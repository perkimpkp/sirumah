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GION\Downloads\"/>
    </mc:Choice>
  </mc:AlternateContent>
  <xr:revisionPtr revIDLastSave="0" documentId="13_ncr:1_{2FFB5F62-2CFA-40F2-BD2A-6DC4501AE855}" xr6:coauthVersionLast="47" xr6:coauthVersionMax="47" xr10:uidLastSave="{00000000-0000-0000-0000-000000000000}"/>
  <bookViews>
    <workbookView xWindow="-110" yWindow="-110" windowWidth="25820" windowHeight="15500" firstSheet="6" activeTab="9" xr2:uid="{00000000-000D-0000-FFFF-FFFF00000000}"/>
  </bookViews>
  <sheets>
    <sheet name="PERUMAHAN" sheetId="1" r:id="rId1"/>
    <sheet name="BACKLOG_KECAMATAN" sheetId="8" r:id="rId2"/>
    <sheet name="RTLH_RLH_KECAMATAN" sheetId="3" r:id="rId3"/>
    <sheet name="RTLH_INDIVIDU" sheetId="7" r:id="rId4"/>
    <sheet name="RUSUNAWA_UNIT" sheetId="4" r:id="rId5"/>
    <sheet name="RUSUNAWA_RETRIBUSI" sheetId="5" r:id="rId6"/>
    <sheet name="RUSUNAWA_SARPRAS" sheetId="6" r:id="rId7"/>
    <sheet name="KOLABORASI_RTLH" sheetId="9" r:id="rId8"/>
    <sheet name="KAWASAN_KUMUH_REKAP" sheetId="10" r:id="rId9"/>
    <sheet name="KAWASAN_KUMUH_LOKASI"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0" i="11" l="1"/>
  <c r="G39" i="11"/>
  <c r="G38" i="11"/>
  <c r="G37" i="11"/>
  <c r="G63" i="11" s="1"/>
  <c r="G35" i="11"/>
  <c r="G34" i="11"/>
  <c r="G61" i="11"/>
  <c r="G62" i="11"/>
  <c r="G64" i="11"/>
  <c r="D12" i="3"/>
  <c r="D10" i="3"/>
  <c r="D8" i="3"/>
  <c r="D7" i="3"/>
  <c r="D6" i="3"/>
  <c r="AR289" i="7"/>
  <c r="AQ289" i="7"/>
  <c r="AO289" i="7"/>
  <c r="AN289" i="7"/>
  <c r="AB289" i="7"/>
  <c r="AA289" i="7"/>
  <c r="Z289" i="7"/>
  <c r="Y289" i="7"/>
  <c r="X289" i="7"/>
  <c r="AS288" i="7"/>
  <c r="AT288" i="7" s="1"/>
  <c r="AR288" i="7"/>
  <c r="AQ288" i="7"/>
  <c r="AO288" i="7"/>
  <c r="AN288" i="7"/>
  <c r="AA288" i="7"/>
  <c r="AB288" i="7" s="1"/>
  <c r="Z288" i="7"/>
  <c r="Y288" i="7"/>
  <c r="X288" i="7"/>
  <c r="AS287" i="7"/>
  <c r="AT287" i="7" s="1"/>
  <c r="AR287" i="7"/>
  <c r="AQ287" i="7"/>
  <c r="AO287" i="7"/>
  <c r="AN287" i="7"/>
  <c r="AA287" i="7"/>
  <c r="AB287" i="7" s="1"/>
  <c r="Z287" i="7"/>
  <c r="Y287" i="7"/>
  <c r="X287" i="7"/>
  <c r="AS286" i="7"/>
  <c r="AT286" i="7" s="1"/>
  <c r="AR286" i="7"/>
  <c r="AQ286" i="7"/>
  <c r="AO286" i="7"/>
  <c r="AN286" i="7"/>
  <c r="AB286" i="7"/>
  <c r="AA286" i="7"/>
  <c r="Z286" i="7"/>
  <c r="Y286" i="7"/>
  <c r="X286" i="7"/>
  <c r="AT285" i="7"/>
  <c r="AR285" i="7"/>
  <c r="AO285" i="7" s="1"/>
  <c r="AQ285" i="7"/>
  <c r="AN285" i="7"/>
  <c r="AA285" i="7"/>
  <c r="Z285" i="7"/>
  <c r="AB285" i="7" s="1"/>
  <c r="AS285" i="7" s="1"/>
  <c r="Y285" i="7"/>
  <c r="X285" i="7"/>
  <c r="AS284" i="7"/>
  <c r="AT284" i="7" s="1"/>
  <c r="AR284" i="7"/>
  <c r="AQ284" i="7"/>
  <c r="AO284" i="7"/>
  <c r="AN284" i="7"/>
  <c r="AA284" i="7"/>
  <c r="Z284" i="7"/>
  <c r="AB284" i="7" s="1"/>
  <c r="Y284" i="7"/>
  <c r="X284" i="7"/>
  <c r="AR283" i="7"/>
  <c r="AO283" i="7" s="1"/>
  <c r="AQ283" i="7"/>
  <c r="AN283" i="7"/>
  <c r="AB283" i="7"/>
  <c r="AA283" i="7"/>
  <c r="Z283" i="7"/>
  <c r="Y283" i="7"/>
  <c r="X283" i="7"/>
  <c r="AR282" i="7"/>
  <c r="AO282" i="7" s="1"/>
  <c r="AQ282" i="7"/>
  <c r="AN282" i="7"/>
  <c r="AA282" i="7"/>
  <c r="Z282" i="7"/>
  <c r="AB282" i="7" s="1"/>
  <c r="AS282" i="7" s="1"/>
  <c r="AT282" i="7" s="1"/>
  <c r="Y282" i="7"/>
  <c r="X282" i="7"/>
  <c r="AR281" i="7"/>
  <c r="AQ281" i="7"/>
  <c r="AO281" i="7"/>
  <c r="AN281" i="7"/>
  <c r="AA281" i="7"/>
  <c r="Z281" i="7"/>
  <c r="AB281" i="7" s="1"/>
  <c r="AS281" i="7" s="1"/>
  <c r="AT281" i="7" s="1"/>
  <c r="Y281" i="7"/>
  <c r="X281" i="7"/>
  <c r="AR280" i="7"/>
  <c r="AQ280" i="7"/>
  <c r="AO280" i="7"/>
  <c r="AN280" i="7"/>
  <c r="AA280" i="7"/>
  <c r="AB280" i="7" s="1"/>
  <c r="Z280" i="7"/>
  <c r="Y280" i="7"/>
  <c r="X280" i="7"/>
  <c r="AR279" i="7"/>
  <c r="AO279" i="7" s="1"/>
  <c r="AQ279" i="7"/>
  <c r="AN279" i="7"/>
  <c r="AA279" i="7"/>
  <c r="Z279" i="7"/>
  <c r="AB279" i="7" s="1"/>
  <c r="Y279" i="7"/>
  <c r="X279" i="7"/>
  <c r="AR278" i="7"/>
  <c r="AO278" i="7" s="1"/>
  <c r="AQ278" i="7"/>
  <c r="AN278" i="7"/>
  <c r="AA278" i="7"/>
  <c r="Z278" i="7"/>
  <c r="AB278" i="7" s="1"/>
  <c r="Y278" i="7"/>
  <c r="X278" i="7"/>
  <c r="AR277" i="7"/>
  <c r="AQ277" i="7"/>
  <c r="AS277" i="7" s="1"/>
  <c r="AT277" i="7" s="1"/>
  <c r="AO277" i="7"/>
  <c r="AN277" i="7"/>
  <c r="AA277" i="7"/>
  <c r="AB277" i="7" s="1"/>
  <c r="Z277" i="7"/>
  <c r="Y277" i="7"/>
  <c r="X277" i="7"/>
  <c r="AS276" i="7"/>
  <c r="AT276" i="7" s="1"/>
  <c r="AR276" i="7"/>
  <c r="AO276" i="7" s="1"/>
  <c r="AQ276" i="7"/>
  <c r="AN276" i="7"/>
  <c r="AB276" i="7"/>
  <c r="AA276" i="7"/>
  <c r="Z276" i="7"/>
  <c r="Y276" i="7"/>
  <c r="X276" i="7"/>
  <c r="AR275" i="7"/>
  <c r="AQ275" i="7"/>
  <c r="AS275" i="7" s="1"/>
  <c r="AT275" i="7" s="1"/>
  <c r="AO275" i="7"/>
  <c r="AN275" i="7"/>
  <c r="AA275" i="7"/>
  <c r="Z275" i="7"/>
  <c r="AB275" i="7" s="1"/>
  <c r="Y275" i="7"/>
  <c r="X275" i="7"/>
  <c r="AS274" i="7"/>
  <c r="AT274" i="7" s="1"/>
  <c r="AR274" i="7"/>
  <c r="AQ274" i="7"/>
  <c r="AO274" i="7"/>
  <c r="AN274" i="7"/>
  <c r="AA274" i="7"/>
  <c r="Z274" i="7"/>
  <c r="AB274" i="7" s="1"/>
  <c r="Y274" i="7"/>
  <c r="X274" i="7"/>
  <c r="AR273" i="7"/>
  <c r="AO273" i="7" s="1"/>
  <c r="AQ273" i="7"/>
  <c r="AS273" i="7" s="1"/>
  <c r="AT273" i="7" s="1"/>
  <c r="AN273" i="7"/>
  <c r="AA273" i="7"/>
  <c r="Z273" i="7"/>
  <c r="AB273" i="7" s="1"/>
  <c r="Y273" i="7"/>
  <c r="X273" i="7"/>
  <c r="AR272" i="7"/>
  <c r="AO272" i="7" s="1"/>
  <c r="AQ272" i="7"/>
  <c r="AN272" i="7"/>
  <c r="AA272" i="7"/>
  <c r="Z272" i="7"/>
  <c r="AB272" i="7" s="1"/>
  <c r="AS272" i="7" s="1"/>
  <c r="AT272" i="7" s="1"/>
  <c r="Y272" i="7"/>
  <c r="X272" i="7"/>
  <c r="AS271" i="7"/>
  <c r="AT271" i="7" s="1"/>
  <c r="AR271" i="7"/>
  <c r="AQ271" i="7"/>
  <c r="AO271" i="7"/>
  <c r="AN271" i="7"/>
  <c r="AA271" i="7"/>
  <c r="AB271" i="7" s="1"/>
  <c r="Z271" i="7"/>
  <c r="Y271" i="7"/>
  <c r="X271" i="7"/>
  <c r="AR270" i="7"/>
  <c r="AQ270" i="7"/>
  <c r="AO270" i="7"/>
  <c r="AN270" i="7"/>
  <c r="AA270" i="7"/>
  <c r="AB270" i="7" s="1"/>
  <c r="Z270" i="7"/>
  <c r="Y270" i="7"/>
  <c r="X270" i="7"/>
  <c r="AR269" i="7"/>
  <c r="AQ269" i="7"/>
  <c r="AS269" i="7" s="1"/>
  <c r="AT269" i="7" s="1"/>
  <c r="AO269" i="7"/>
  <c r="AN269" i="7"/>
  <c r="AB269" i="7"/>
  <c r="AA269" i="7"/>
  <c r="Z269" i="7"/>
  <c r="Y269" i="7"/>
  <c r="X269" i="7"/>
  <c r="AR268" i="7"/>
  <c r="AO268" i="7" s="1"/>
  <c r="AQ268" i="7"/>
  <c r="AS268" i="7" s="1"/>
  <c r="AT268" i="7" s="1"/>
  <c r="AN268" i="7"/>
  <c r="AA268" i="7"/>
  <c r="Z268" i="7"/>
  <c r="AB268" i="7" s="1"/>
  <c r="Y268" i="7"/>
  <c r="X268" i="7"/>
  <c r="AR267" i="7"/>
  <c r="AQ267" i="7"/>
  <c r="AS267" i="7" s="1"/>
  <c r="AT267" i="7" s="1"/>
  <c r="AO267" i="7"/>
  <c r="AN267" i="7"/>
  <c r="AA267" i="7"/>
  <c r="AB267" i="7" s="1"/>
  <c r="Z267" i="7"/>
  <c r="Y267" i="7"/>
  <c r="X267" i="7"/>
  <c r="AR266" i="7"/>
  <c r="AQ266" i="7"/>
  <c r="AS266" i="7" s="1"/>
  <c r="AT266" i="7" s="1"/>
  <c r="AO266" i="7"/>
  <c r="AN266" i="7"/>
  <c r="AB266" i="7"/>
  <c r="AA266" i="7"/>
  <c r="Z266" i="7"/>
  <c r="Y266" i="7"/>
  <c r="X266" i="7"/>
  <c r="AR265" i="7"/>
  <c r="AO265" i="7" s="1"/>
  <c r="AQ265" i="7"/>
  <c r="AN265" i="7"/>
  <c r="AA265" i="7"/>
  <c r="Z265" i="7"/>
  <c r="AB265" i="7" s="1"/>
  <c r="AS265" i="7" s="1"/>
  <c r="AT265" i="7" s="1"/>
  <c r="Y265" i="7"/>
  <c r="X265" i="7"/>
  <c r="AR264" i="7"/>
  <c r="AQ264" i="7"/>
  <c r="AS264" i="7" s="1"/>
  <c r="AT264" i="7" s="1"/>
  <c r="AO264" i="7"/>
  <c r="AN264" i="7"/>
  <c r="AA264" i="7"/>
  <c r="Z264" i="7"/>
  <c r="AB264" i="7" s="1"/>
  <c r="Y264" i="7"/>
  <c r="X264" i="7"/>
  <c r="AR263" i="7"/>
  <c r="AO263" i="7" s="1"/>
  <c r="AQ263" i="7"/>
  <c r="AN263" i="7"/>
  <c r="AA263" i="7"/>
  <c r="Z263" i="7"/>
  <c r="AB263" i="7" s="1"/>
  <c r="Y263" i="7"/>
  <c r="X263" i="7"/>
  <c r="AR262" i="7"/>
  <c r="AO262" i="7" s="1"/>
  <c r="AQ262" i="7"/>
  <c r="AN262" i="7"/>
  <c r="AA262" i="7"/>
  <c r="AB262" i="7" s="1"/>
  <c r="AS262" i="7" s="1"/>
  <c r="AT262" i="7" s="1"/>
  <c r="Z262" i="7"/>
  <c r="Y262" i="7"/>
  <c r="X262" i="7"/>
  <c r="AR261" i="7"/>
  <c r="AQ261" i="7"/>
  <c r="AO261" i="7"/>
  <c r="AN261" i="7"/>
  <c r="AA261" i="7"/>
  <c r="Z261" i="7"/>
  <c r="AB261" i="7" s="1"/>
  <c r="AS261" i="7" s="1"/>
  <c r="AT261" i="7" s="1"/>
  <c r="Y261" i="7"/>
  <c r="X261" i="7"/>
  <c r="AR260" i="7"/>
  <c r="AQ260" i="7"/>
  <c r="AO260" i="7"/>
  <c r="AN260" i="7"/>
  <c r="AA260" i="7"/>
  <c r="AB260" i="7" s="1"/>
  <c r="Z260" i="7"/>
  <c r="Y260" i="7"/>
  <c r="X260" i="7"/>
  <c r="AR259" i="7"/>
  <c r="AQ259" i="7"/>
  <c r="AO259" i="7"/>
  <c r="AN259" i="7"/>
  <c r="AB259" i="7"/>
  <c r="AA259" i="7"/>
  <c r="Z259" i="7"/>
  <c r="Y259" i="7"/>
  <c r="X259" i="7"/>
  <c r="AR258" i="7"/>
  <c r="AO258" i="7" s="1"/>
  <c r="AQ258" i="7"/>
  <c r="AN258" i="7"/>
  <c r="AA258" i="7"/>
  <c r="Z258" i="7"/>
  <c r="AB258" i="7" s="1"/>
  <c r="Y258" i="7"/>
  <c r="X258" i="7"/>
  <c r="AR257" i="7"/>
  <c r="AO257" i="7" s="1"/>
  <c r="AQ257" i="7"/>
  <c r="AN257" i="7"/>
  <c r="AA257" i="7"/>
  <c r="AB257" i="7" s="1"/>
  <c r="AS257" i="7" s="1"/>
  <c r="AT257" i="7" s="1"/>
  <c r="Z257" i="7"/>
  <c r="Y257" i="7"/>
  <c r="X257" i="7"/>
  <c r="AT256" i="7"/>
  <c r="AR256" i="7"/>
  <c r="AO256" i="7" s="1"/>
  <c r="AQ256" i="7"/>
  <c r="AN256" i="7"/>
  <c r="AB256" i="7"/>
  <c r="AS256" i="7" s="1"/>
  <c r="AA256" i="7"/>
  <c r="Z256" i="7"/>
  <c r="Y256" i="7"/>
  <c r="X256" i="7"/>
  <c r="AS255" i="7"/>
  <c r="AT255" i="7" s="1"/>
  <c r="AR255" i="7"/>
  <c r="AQ255" i="7"/>
  <c r="AO255" i="7"/>
  <c r="AN255" i="7"/>
  <c r="AA255" i="7"/>
  <c r="Z255" i="7"/>
  <c r="AB255" i="7" s="1"/>
  <c r="Y255" i="7"/>
  <c r="X255" i="7"/>
  <c r="AS254" i="7"/>
  <c r="AT254" i="7" s="1"/>
  <c r="AR254" i="7"/>
  <c r="AQ254" i="7"/>
  <c r="AO254" i="7"/>
  <c r="AN254" i="7"/>
  <c r="AA254" i="7"/>
  <c r="Z254" i="7"/>
  <c r="AB254" i="7" s="1"/>
  <c r="Y254" i="7"/>
  <c r="X254" i="7"/>
  <c r="AS253" i="7"/>
  <c r="AT253" i="7" s="1"/>
  <c r="AR253" i="7"/>
  <c r="AO253" i="7" s="1"/>
  <c r="AQ253" i="7"/>
  <c r="AN253" i="7"/>
  <c r="AA253" i="7"/>
  <c r="Z253" i="7"/>
  <c r="AB253" i="7" s="1"/>
  <c r="Y253" i="7"/>
  <c r="X253" i="7"/>
  <c r="AR252" i="7"/>
  <c r="AO252" i="7" s="1"/>
  <c r="AQ252" i="7"/>
  <c r="AN252" i="7"/>
  <c r="AA252" i="7"/>
  <c r="Z252" i="7"/>
  <c r="AB252" i="7" s="1"/>
  <c r="Y252" i="7"/>
  <c r="X252" i="7"/>
  <c r="AS251" i="7"/>
  <c r="AT251" i="7" s="1"/>
  <c r="AR251" i="7"/>
  <c r="AQ251" i="7"/>
  <c r="AO251" i="7"/>
  <c r="AN251" i="7"/>
  <c r="AA251" i="7"/>
  <c r="Z251" i="7"/>
  <c r="AB251" i="7" s="1"/>
  <c r="Y251" i="7"/>
  <c r="X251" i="7"/>
  <c r="AR250" i="7"/>
  <c r="AQ250" i="7"/>
  <c r="AO250" i="7"/>
  <c r="AN250" i="7"/>
  <c r="AA250" i="7"/>
  <c r="Z250" i="7"/>
  <c r="AB250" i="7" s="1"/>
  <c r="Y250" i="7"/>
  <c r="X250" i="7"/>
  <c r="AR249" i="7"/>
  <c r="AQ249" i="7"/>
  <c r="AO249" i="7"/>
  <c r="AN249" i="7"/>
  <c r="AB249" i="7"/>
  <c r="AA249" i="7"/>
  <c r="Z249" i="7"/>
  <c r="Y249" i="7"/>
  <c r="X249" i="7"/>
  <c r="AR248" i="7"/>
  <c r="AQ248" i="7"/>
  <c r="AS248" i="7" s="1"/>
  <c r="AT248" i="7" s="1"/>
  <c r="AO248" i="7"/>
  <c r="AN248" i="7"/>
  <c r="AA248" i="7"/>
  <c r="Z248" i="7"/>
  <c r="AB248" i="7" s="1"/>
  <c r="Y248" i="7"/>
  <c r="X248" i="7"/>
  <c r="AR247" i="7"/>
  <c r="AO247" i="7" s="1"/>
  <c r="AQ247" i="7"/>
  <c r="AN247" i="7"/>
  <c r="AA247" i="7"/>
  <c r="AB247" i="7" s="1"/>
  <c r="Z247" i="7"/>
  <c r="Y247" i="7"/>
  <c r="X247" i="7"/>
  <c r="AS246" i="7"/>
  <c r="AT246" i="7" s="1"/>
  <c r="AR246" i="7"/>
  <c r="AQ246" i="7"/>
  <c r="AO246" i="7"/>
  <c r="AN246" i="7"/>
  <c r="AB246" i="7"/>
  <c r="AA246" i="7"/>
  <c r="Z246" i="7"/>
  <c r="Y246" i="7"/>
  <c r="X246" i="7"/>
  <c r="AT245" i="7"/>
  <c r="AS245" i="7"/>
  <c r="AR245" i="7"/>
  <c r="AO245" i="7" s="1"/>
  <c r="AQ245" i="7"/>
  <c r="AN245" i="7"/>
  <c r="AA245" i="7"/>
  <c r="Z245" i="7"/>
  <c r="AB245" i="7" s="1"/>
  <c r="Y245" i="7"/>
  <c r="X245" i="7"/>
  <c r="AS244" i="7"/>
  <c r="AT244" i="7" s="1"/>
  <c r="AR244" i="7"/>
  <c r="AQ244" i="7"/>
  <c r="AO244" i="7"/>
  <c r="AN244" i="7"/>
  <c r="AA244" i="7"/>
  <c r="Z244" i="7"/>
  <c r="AB244" i="7" s="1"/>
  <c r="Y244" i="7"/>
  <c r="X244" i="7"/>
  <c r="AR243" i="7"/>
  <c r="AO243" i="7" s="1"/>
  <c r="AQ243" i="7"/>
  <c r="AN243" i="7"/>
  <c r="AA243" i="7"/>
  <c r="AB243" i="7" s="1"/>
  <c r="Z243" i="7"/>
  <c r="Y243" i="7"/>
  <c r="X243" i="7"/>
  <c r="AR242" i="7"/>
  <c r="AO242" i="7" s="1"/>
  <c r="AQ242" i="7"/>
  <c r="AN242" i="7"/>
  <c r="AA242" i="7"/>
  <c r="AB242" i="7" s="1"/>
  <c r="Z242" i="7"/>
  <c r="Y242" i="7"/>
  <c r="X242" i="7"/>
  <c r="AS241" i="7"/>
  <c r="AT241" i="7" s="1"/>
  <c r="AR241" i="7"/>
  <c r="AQ241" i="7"/>
  <c r="AO241" i="7"/>
  <c r="AN241" i="7"/>
  <c r="AA241" i="7"/>
  <c r="AB241" i="7" s="1"/>
  <c r="Z241" i="7"/>
  <c r="Y241" i="7"/>
  <c r="X241" i="7"/>
  <c r="AR240" i="7"/>
  <c r="AQ240" i="7"/>
  <c r="AO240" i="7"/>
  <c r="AN240" i="7"/>
  <c r="AA240" i="7"/>
  <c r="AB240" i="7" s="1"/>
  <c r="Z240" i="7"/>
  <c r="Y240" i="7"/>
  <c r="X240" i="7"/>
  <c r="AR239" i="7"/>
  <c r="AQ239" i="7"/>
  <c r="AS239" i="7" s="1"/>
  <c r="AT239" i="7" s="1"/>
  <c r="AO239" i="7"/>
  <c r="AN239" i="7"/>
  <c r="AA239" i="7"/>
  <c r="Z239" i="7"/>
  <c r="AB239" i="7" s="1"/>
  <c r="Y239" i="7"/>
  <c r="X239" i="7"/>
  <c r="AR238" i="7"/>
  <c r="AQ238" i="7"/>
  <c r="AO238" i="7"/>
  <c r="AN238" i="7"/>
  <c r="AA238" i="7"/>
  <c r="Z238" i="7"/>
  <c r="AB238" i="7" s="1"/>
  <c r="Y238" i="7"/>
  <c r="X238" i="7"/>
  <c r="AR237" i="7"/>
  <c r="AQ237" i="7"/>
  <c r="AO237" i="7"/>
  <c r="AN237" i="7"/>
  <c r="AB237" i="7"/>
  <c r="AA237" i="7"/>
  <c r="Z237" i="7"/>
  <c r="Y237" i="7"/>
  <c r="X237" i="7"/>
  <c r="AR236" i="7"/>
  <c r="AO236" i="7" s="1"/>
  <c r="AQ236" i="7"/>
  <c r="AN236" i="7"/>
  <c r="AB236" i="7"/>
  <c r="AA236" i="7"/>
  <c r="Z236" i="7"/>
  <c r="Y236" i="7"/>
  <c r="X236" i="7"/>
  <c r="AR235" i="7"/>
  <c r="AO235" i="7" s="1"/>
  <c r="AQ235" i="7"/>
  <c r="AN235" i="7"/>
  <c r="AA235" i="7"/>
  <c r="Z235" i="7"/>
  <c r="AB235" i="7" s="1"/>
  <c r="Y235" i="7"/>
  <c r="X235" i="7"/>
  <c r="AR234" i="7"/>
  <c r="AQ234" i="7"/>
  <c r="AO234" i="7"/>
  <c r="AN234" i="7"/>
  <c r="AA234" i="7"/>
  <c r="Z234" i="7"/>
  <c r="AB234" i="7" s="1"/>
  <c r="AS234" i="7" s="1"/>
  <c r="AT234" i="7" s="1"/>
  <c r="Y234" i="7"/>
  <c r="X234" i="7"/>
  <c r="AR233" i="7"/>
  <c r="AO233" i="7" s="1"/>
  <c r="AQ233" i="7"/>
  <c r="AN233" i="7"/>
  <c r="AA233" i="7"/>
  <c r="Z233" i="7"/>
  <c r="Y233" i="7"/>
  <c r="X233" i="7"/>
  <c r="AR232" i="7"/>
  <c r="AO232" i="7" s="1"/>
  <c r="AQ232" i="7"/>
  <c r="AN232" i="7"/>
  <c r="AA232" i="7"/>
  <c r="Z232" i="7"/>
  <c r="AB232" i="7" s="1"/>
  <c r="AS232" i="7" s="1"/>
  <c r="AT232" i="7" s="1"/>
  <c r="Y232" i="7"/>
  <c r="X232" i="7"/>
  <c r="AR231" i="7"/>
  <c r="AQ231" i="7"/>
  <c r="AO231" i="7"/>
  <c r="AN231" i="7"/>
  <c r="AA231" i="7"/>
  <c r="Z231" i="7"/>
  <c r="AB231" i="7" s="1"/>
  <c r="AS231" i="7" s="1"/>
  <c r="AT231" i="7" s="1"/>
  <c r="Y231" i="7"/>
  <c r="X231" i="7"/>
  <c r="AR230" i="7"/>
  <c r="AQ230" i="7"/>
  <c r="AO230" i="7"/>
  <c r="AN230" i="7"/>
  <c r="AB230" i="7"/>
  <c r="AA230" i="7"/>
  <c r="Z230" i="7"/>
  <c r="Y230" i="7"/>
  <c r="X230" i="7"/>
  <c r="AR229" i="7"/>
  <c r="AQ229" i="7"/>
  <c r="AO229" i="7"/>
  <c r="AN229" i="7"/>
  <c r="AB229" i="7"/>
  <c r="AA229" i="7"/>
  <c r="Z229" i="7"/>
  <c r="Y229" i="7"/>
  <c r="X229" i="7"/>
  <c r="AR228" i="7"/>
  <c r="AO228" i="7" s="1"/>
  <c r="AQ228" i="7"/>
  <c r="AN228" i="7"/>
  <c r="AA228" i="7"/>
  <c r="Z228" i="7"/>
  <c r="AB228" i="7" s="1"/>
  <c r="AS228" i="7" s="1"/>
  <c r="AT228" i="7" s="1"/>
  <c r="Y228" i="7"/>
  <c r="X228" i="7"/>
  <c r="AS227" i="7"/>
  <c r="AT227" i="7" s="1"/>
  <c r="AR227" i="7"/>
  <c r="AO227" i="7" s="1"/>
  <c r="AQ227" i="7"/>
  <c r="AN227" i="7"/>
  <c r="AA227" i="7"/>
  <c r="AB227" i="7" s="1"/>
  <c r="Z227" i="7"/>
  <c r="Y227" i="7"/>
  <c r="X227" i="7"/>
  <c r="AR226" i="7"/>
  <c r="AO226" i="7" s="1"/>
  <c r="AQ226" i="7"/>
  <c r="AN226" i="7"/>
  <c r="AB226" i="7"/>
  <c r="AA226" i="7"/>
  <c r="Z226" i="7"/>
  <c r="Y226" i="7"/>
  <c r="X226" i="7"/>
  <c r="AS225" i="7"/>
  <c r="AT225" i="7" s="1"/>
  <c r="AR225" i="7"/>
  <c r="AO225" i="7" s="1"/>
  <c r="AQ225" i="7"/>
  <c r="AN225" i="7"/>
  <c r="AA225" i="7"/>
  <c r="Z225" i="7"/>
  <c r="AB225" i="7" s="1"/>
  <c r="Y225" i="7"/>
  <c r="X225" i="7"/>
  <c r="AR224" i="7"/>
  <c r="AO224" i="7" s="1"/>
  <c r="AQ224" i="7"/>
  <c r="AN224" i="7"/>
  <c r="AA224" i="7"/>
  <c r="Z224" i="7"/>
  <c r="AB224" i="7" s="1"/>
  <c r="AS224" i="7" s="1"/>
  <c r="AT224" i="7" s="1"/>
  <c r="Y224" i="7"/>
  <c r="X224" i="7"/>
  <c r="AR223" i="7"/>
  <c r="AO223" i="7" s="1"/>
  <c r="AQ223" i="7"/>
  <c r="AN223" i="7"/>
  <c r="AA223" i="7"/>
  <c r="Z223" i="7"/>
  <c r="AB223" i="7" s="1"/>
  <c r="Y223" i="7"/>
  <c r="X223" i="7"/>
  <c r="AT222" i="7"/>
  <c r="AR222" i="7"/>
  <c r="AO222" i="7" s="1"/>
  <c r="AQ222" i="7"/>
  <c r="AN222" i="7"/>
  <c r="AA222" i="7"/>
  <c r="Z222" i="7"/>
  <c r="AB222" i="7" s="1"/>
  <c r="AS222" i="7" s="1"/>
  <c r="Y222" i="7"/>
  <c r="X222" i="7"/>
  <c r="AS221" i="7"/>
  <c r="AT221" i="7" s="1"/>
  <c r="AR221" i="7"/>
  <c r="AQ221" i="7"/>
  <c r="AO221" i="7"/>
  <c r="AN221" i="7"/>
  <c r="AA221" i="7"/>
  <c r="Z221" i="7"/>
  <c r="AB221" i="7" s="1"/>
  <c r="Y221" i="7"/>
  <c r="X221" i="7"/>
  <c r="AR220" i="7"/>
  <c r="AQ220" i="7"/>
  <c r="AO220" i="7"/>
  <c r="AN220" i="7"/>
  <c r="AA220" i="7"/>
  <c r="AB220" i="7" s="1"/>
  <c r="Z220" i="7"/>
  <c r="Y220" i="7"/>
  <c r="X220" i="7"/>
  <c r="AR219" i="7"/>
  <c r="AQ219" i="7"/>
  <c r="AS219" i="7" s="1"/>
  <c r="AT219" i="7" s="1"/>
  <c r="AO219" i="7"/>
  <c r="AN219" i="7"/>
  <c r="AA219" i="7"/>
  <c r="Z219" i="7"/>
  <c r="AB219" i="7" s="1"/>
  <c r="Y219" i="7"/>
  <c r="X219" i="7"/>
  <c r="AR218" i="7"/>
  <c r="AO218" i="7" s="1"/>
  <c r="AQ218" i="7"/>
  <c r="AS218" i="7" s="1"/>
  <c r="AT218" i="7" s="1"/>
  <c r="AN218" i="7"/>
  <c r="AA218" i="7"/>
  <c r="Z218" i="7"/>
  <c r="AB218" i="7" s="1"/>
  <c r="Y218" i="7"/>
  <c r="X218" i="7"/>
  <c r="AR217" i="7"/>
  <c r="AQ217" i="7"/>
  <c r="AS217" i="7" s="1"/>
  <c r="AT217" i="7" s="1"/>
  <c r="AO217" i="7"/>
  <c r="AN217" i="7"/>
  <c r="AB217" i="7"/>
  <c r="AA217" i="7"/>
  <c r="Z217" i="7"/>
  <c r="Y217" i="7"/>
  <c r="X217" i="7"/>
  <c r="AR216" i="7"/>
  <c r="AO216" i="7" s="1"/>
  <c r="AQ216" i="7"/>
  <c r="AN216" i="7"/>
  <c r="AB216" i="7"/>
  <c r="AS216" i="7" s="1"/>
  <c r="AT216" i="7" s="1"/>
  <c r="AA216" i="7"/>
  <c r="Z216" i="7"/>
  <c r="Y216" i="7"/>
  <c r="X216" i="7"/>
  <c r="AR215" i="7"/>
  <c r="AQ215" i="7"/>
  <c r="AS215" i="7" s="1"/>
  <c r="AT215" i="7" s="1"/>
  <c r="AO215" i="7"/>
  <c r="AN215" i="7"/>
  <c r="AA215" i="7"/>
  <c r="Z215" i="7"/>
  <c r="AB215" i="7" s="1"/>
  <c r="Y215" i="7"/>
  <c r="X215" i="7"/>
  <c r="AR214" i="7"/>
  <c r="AQ214" i="7"/>
  <c r="AO214" i="7"/>
  <c r="AN214" i="7"/>
  <c r="AA214" i="7"/>
  <c r="Z214" i="7"/>
  <c r="Y214" i="7"/>
  <c r="X214" i="7"/>
  <c r="AR213" i="7"/>
  <c r="AO213" i="7" s="1"/>
  <c r="AQ213" i="7"/>
  <c r="AN213" i="7"/>
  <c r="AA213" i="7"/>
  <c r="Z213" i="7"/>
  <c r="Y213" i="7"/>
  <c r="X213" i="7"/>
  <c r="AR212" i="7"/>
  <c r="AO212" i="7" s="1"/>
  <c r="AQ212" i="7"/>
  <c r="AN212" i="7"/>
  <c r="AB212" i="7"/>
  <c r="AS212" i="7" s="1"/>
  <c r="AT212" i="7" s="1"/>
  <c r="AA212" i="7"/>
  <c r="Z212" i="7"/>
  <c r="Y212" i="7"/>
  <c r="X212" i="7"/>
  <c r="AR211" i="7"/>
  <c r="AQ211" i="7"/>
  <c r="AO211" i="7"/>
  <c r="AN211" i="7"/>
  <c r="AA211" i="7"/>
  <c r="Z211" i="7"/>
  <c r="AB211" i="7" s="1"/>
  <c r="AS211" i="7" s="1"/>
  <c r="AT211" i="7" s="1"/>
  <c r="Y211" i="7"/>
  <c r="X211" i="7"/>
  <c r="AR210" i="7"/>
  <c r="AQ210" i="7"/>
  <c r="AS210" i="7" s="1"/>
  <c r="AT210" i="7" s="1"/>
  <c r="AO210" i="7"/>
  <c r="AN210" i="7"/>
  <c r="AA210" i="7"/>
  <c r="Z210" i="7"/>
  <c r="AB210" i="7" s="1"/>
  <c r="Y210" i="7"/>
  <c r="X210" i="7"/>
  <c r="AR209" i="7"/>
  <c r="AQ209" i="7"/>
  <c r="AS209" i="7" s="1"/>
  <c r="AO209" i="7"/>
  <c r="AN209" i="7"/>
  <c r="AB209" i="7"/>
  <c r="AA209" i="7"/>
  <c r="Z209" i="7"/>
  <c r="Y209" i="7"/>
  <c r="X209" i="7"/>
  <c r="AR208" i="7"/>
  <c r="AQ208" i="7"/>
  <c r="AO208" i="7"/>
  <c r="AN208" i="7"/>
  <c r="AB208" i="7"/>
  <c r="AA208" i="7"/>
  <c r="Z208" i="7"/>
  <c r="Y208" i="7"/>
  <c r="X208" i="7"/>
  <c r="AR207" i="7"/>
  <c r="AQ207" i="7"/>
  <c r="AO207" i="7"/>
  <c r="AN207" i="7"/>
  <c r="AA207" i="7"/>
  <c r="AB207" i="7" s="1"/>
  <c r="Z207" i="7"/>
  <c r="Y207" i="7"/>
  <c r="X207" i="7"/>
  <c r="AR206" i="7"/>
  <c r="AQ206" i="7"/>
  <c r="AO206" i="7"/>
  <c r="AN206" i="7"/>
  <c r="AB206" i="7"/>
  <c r="AA206" i="7"/>
  <c r="Z206" i="7"/>
  <c r="Y206" i="7"/>
  <c r="X206" i="7"/>
  <c r="AR205" i="7"/>
  <c r="AO205" i="7" s="1"/>
  <c r="AQ205" i="7"/>
  <c r="AN205" i="7"/>
  <c r="AA205" i="7"/>
  <c r="Z205" i="7"/>
  <c r="AB205" i="7" s="1"/>
  <c r="AS205" i="7" s="1"/>
  <c r="AT205" i="7" s="1"/>
  <c r="Y205" i="7"/>
  <c r="X205" i="7"/>
  <c r="AR204" i="7"/>
  <c r="AO204" i="7" s="1"/>
  <c r="AQ204" i="7"/>
  <c r="AS204" i="7" s="1"/>
  <c r="AT204" i="7" s="1"/>
  <c r="AN204" i="7"/>
  <c r="AA204" i="7"/>
  <c r="Z204" i="7"/>
  <c r="AB204" i="7" s="1"/>
  <c r="Y204" i="7"/>
  <c r="X204" i="7"/>
  <c r="AR203" i="7"/>
  <c r="AO203" i="7" s="1"/>
  <c r="AQ203" i="7"/>
  <c r="AN203" i="7"/>
  <c r="AB203" i="7"/>
  <c r="AA203" i="7"/>
  <c r="Z203" i="7"/>
  <c r="Y203" i="7"/>
  <c r="X203" i="7"/>
  <c r="AR202" i="7"/>
  <c r="AO202" i="7" s="1"/>
  <c r="AQ202" i="7"/>
  <c r="AN202" i="7"/>
  <c r="AA202" i="7"/>
  <c r="AB202" i="7" s="1"/>
  <c r="AS202" i="7" s="1"/>
  <c r="AT202" i="7" s="1"/>
  <c r="Z202" i="7"/>
  <c r="Y202" i="7"/>
  <c r="X202" i="7"/>
  <c r="AR201" i="7"/>
  <c r="AQ201" i="7"/>
  <c r="AO201" i="7"/>
  <c r="AN201" i="7"/>
  <c r="AA201" i="7"/>
  <c r="AB201" i="7" s="1"/>
  <c r="AS201" i="7" s="1"/>
  <c r="AT201" i="7" s="1"/>
  <c r="Z201" i="7"/>
  <c r="Y201" i="7"/>
  <c r="X201" i="7"/>
  <c r="AR200" i="7"/>
  <c r="AQ200" i="7"/>
  <c r="AO200" i="7"/>
  <c r="AN200" i="7"/>
  <c r="AA200" i="7"/>
  <c r="AB200" i="7" s="1"/>
  <c r="Z200" i="7"/>
  <c r="Y200" i="7"/>
  <c r="X200" i="7"/>
  <c r="AR199" i="7"/>
  <c r="AO199" i="7" s="1"/>
  <c r="AQ199" i="7"/>
  <c r="AN199" i="7"/>
  <c r="AA199" i="7"/>
  <c r="Z199" i="7"/>
  <c r="AB199" i="7" s="1"/>
  <c r="Y199" i="7"/>
  <c r="X199" i="7"/>
  <c r="AR198" i="7"/>
  <c r="AO198" i="7" s="1"/>
  <c r="AQ198" i="7"/>
  <c r="AN198" i="7"/>
  <c r="AA198" i="7"/>
  <c r="Z198" i="7"/>
  <c r="AB198" i="7" s="1"/>
  <c r="Y198" i="7"/>
  <c r="X198" i="7"/>
  <c r="AR197" i="7"/>
  <c r="AO197" i="7" s="1"/>
  <c r="AQ197" i="7"/>
  <c r="AN197" i="7"/>
  <c r="AA197" i="7"/>
  <c r="AB197" i="7" s="1"/>
  <c r="Z197" i="7"/>
  <c r="Y197" i="7"/>
  <c r="X197" i="7"/>
  <c r="AR196" i="7"/>
  <c r="AQ196" i="7"/>
  <c r="AN196" i="7"/>
  <c r="AB196" i="7"/>
  <c r="AA196" i="7"/>
  <c r="Z196" i="7"/>
  <c r="Y196" i="7"/>
  <c r="X196" i="7"/>
  <c r="AR195" i="7"/>
  <c r="AO195" i="7" s="1"/>
  <c r="AQ195" i="7"/>
  <c r="AN195" i="7"/>
  <c r="AA195" i="7"/>
  <c r="Z195" i="7"/>
  <c r="AB195" i="7" s="1"/>
  <c r="Y195" i="7"/>
  <c r="X195" i="7"/>
  <c r="AR194" i="7"/>
  <c r="AQ194" i="7"/>
  <c r="AO194" i="7"/>
  <c r="AN194" i="7"/>
  <c r="AA194" i="7"/>
  <c r="Z194" i="7"/>
  <c r="Y194" i="7"/>
  <c r="X194" i="7"/>
  <c r="AR193" i="7"/>
  <c r="AO193" i="7" s="1"/>
  <c r="AQ193" i="7"/>
  <c r="AN193" i="7"/>
  <c r="AA193" i="7"/>
  <c r="Z193" i="7"/>
  <c r="AB193" i="7" s="1"/>
  <c r="AS193" i="7" s="1"/>
  <c r="AT193" i="7" s="1"/>
  <c r="Y193" i="7"/>
  <c r="X193" i="7"/>
  <c r="AR192" i="7"/>
  <c r="AO192" i="7" s="1"/>
  <c r="AQ192" i="7"/>
  <c r="AN192" i="7"/>
  <c r="AB192" i="7"/>
  <c r="AS192" i="7" s="1"/>
  <c r="AT192" i="7" s="1"/>
  <c r="AA192" i="7"/>
  <c r="Z192" i="7"/>
  <c r="Y192" i="7"/>
  <c r="X192" i="7"/>
  <c r="AS191" i="7"/>
  <c r="AT191" i="7" s="1"/>
  <c r="AR191" i="7"/>
  <c r="AQ191" i="7"/>
  <c r="AO191" i="7"/>
  <c r="AN191" i="7"/>
  <c r="AA191" i="7"/>
  <c r="Z191" i="7"/>
  <c r="AB191" i="7" s="1"/>
  <c r="Y191" i="7"/>
  <c r="X191" i="7"/>
  <c r="AR190" i="7"/>
  <c r="AQ190" i="7"/>
  <c r="AO190" i="7"/>
  <c r="AN190" i="7"/>
  <c r="AA190" i="7"/>
  <c r="Z190" i="7"/>
  <c r="AB190" i="7" s="1"/>
  <c r="Y190" i="7"/>
  <c r="X190" i="7"/>
  <c r="AR189" i="7"/>
  <c r="AQ189" i="7"/>
  <c r="AS189" i="7" s="1"/>
  <c r="AT189" i="7" s="1"/>
  <c r="AO189" i="7"/>
  <c r="AN189" i="7"/>
  <c r="AB189" i="7"/>
  <c r="AA189" i="7"/>
  <c r="Z189" i="7"/>
  <c r="Y189" i="7"/>
  <c r="X189" i="7"/>
  <c r="AR188" i="7"/>
  <c r="AQ188" i="7"/>
  <c r="AS188" i="7" s="1"/>
  <c r="AT188" i="7" s="1"/>
  <c r="AO188" i="7"/>
  <c r="AN188" i="7"/>
  <c r="AB188" i="7"/>
  <c r="AA188" i="7"/>
  <c r="Z188" i="7"/>
  <c r="Y188" i="7"/>
  <c r="X188" i="7"/>
  <c r="AR187" i="7"/>
  <c r="AO187" i="7" s="1"/>
  <c r="AQ187" i="7"/>
  <c r="AS187" i="7" s="1"/>
  <c r="AT187" i="7" s="1"/>
  <c r="AN187" i="7"/>
  <c r="AA187" i="7"/>
  <c r="AB187" i="7" s="1"/>
  <c r="Z187" i="7"/>
  <c r="Y187" i="7"/>
  <c r="X187" i="7"/>
  <c r="AR186" i="7"/>
  <c r="AQ186" i="7"/>
  <c r="AS186" i="7" s="1"/>
  <c r="AT186" i="7" s="1"/>
  <c r="AO186" i="7"/>
  <c r="AN186" i="7"/>
  <c r="AB186" i="7"/>
  <c r="AA186" i="7"/>
  <c r="Z186" i="7"/>
  <c r="Y186" i="7"/>
  <c r="X186" i="7"/>
  <c r="AR185" i="7"/>
  <c r="AO185" i="7" s="1"/>
  <c r="AQ185" i="7"/>
  <c r="AN185" i="7"/>
  <c r="AA185" i="7"/>
  <c r="Z185" i="7"/>
  <c r="AB185" i="7" s="1"/>
  <c r="Y185" i="7"/>
  <c r="X185" i="7"/>
  <c r="AS184" i="7"/>
  <c r="AT184" i="7" s="1"/>
  <c r="AR184" i="7"/>
  <c r="AQ184" i="7"/>
  <c r="AO184" i="7"/>
  <c r="AN184" i="7"/>
  <c r="AA184" i="7"/>
  <c r="Z184" i="7"/>
  <c r="AB184" i="7" s="1"/>
  <c r="Y184" i="7"/>
  <c r="X184" i="7"/>
  <c r="AR183" i="7"/>
  <c r="AO183" i="7" s="1"/>
  <c r="AQ183" i="7"/>
  <c r="AN183" i="7"/>
  <c r="AA183" i="7"/>
  <c r="Z183" i="7"/>
  <c r="AB183" i="7" s="1"/>
  <c r="Y183" i="7"/>
  <c r="X183" i="7"/>
  <c r="AR182" i="7"/>
  <c r="AO182" i="7" s="1"/>
  <c r="AQ182" i="7"/>
  <c r="AN182" i="7"/>
  <c r="AA182" i="7"/>
  <c r="AB182" i="7" s="1"/>
  <c r="AS182" i="7" s="1"/>
  <c r="AT182" i="7" s="1"/>
  <c r="Z182" i="7"/>
  <c r="Y182" i="7"/>
  <c r="X182" i="7"/>
  <c r="AR181" i="7"/>
  <c r="AQ181" i="7"/>
  <c r="AO181" i="7"/>
  <c r="AN181" i="7"/>
  <c r="AA181" i="7"/>
  <c r="Z181" i="7"/>
  <c r="AB181" i="7" s="1"/>
  <c r="AS181" i="7" s="1"/>
  <c r="AT181" i="7" s="1"/>
  <c r="Y181" i="7"/>
  <c r="X181" i="7"/>
  <c r="AR180" i="7"/>
  <c r="AQ180" i="7"/>
  <c r="AO180" i="7"/>
  <c r="AN180" i="7"/>
  <c r="AA180" i="7"/>
  <c r="AB180" i="7" s="1"/>
  <c r="Z180" i="7"/>
  <c r="Y180" i="7"/>
  <c r="X180" i="7"/>
  <c r="AR179" i="7"/>
  <c r="AO179" i="7" s="1"/>
  <c r="AQ179" i="7"/>
  <c r="AN179" i="7"/>
  <c r="AB179" i="7"/>
  <c r="AA179" i="7"/>
  <c r="Z179" i="7"/>
  <c r="Y179" i="7"/>
  <c r="X179" i="7"/>
  <c r="AR178" i="7"/>
  <c r="AQ178" i="7"/>
  <c r="AO178" i="7"/>
  <c r="AN178" i="7"/>
  <c r="AA178" i="7"/>
  <c r="Z178" i="7"/>
  <c r="AB178" i="7" s="1"/>
  <c r="Y178" i="7"/>
  <c r="X178" i="7"/>
  <c r="AR177" i="7"/>
  <c r="AQ177" i="7"/>
  <c r="AS177" i="7" s="1"/>
  <c r="AT177" i="7" s="1"/>
  <c r="AO177" i="7"/>
  <c r="AN177" i="7"/>
  <c r="AA177" i="7"/>
  <c r="AB177" i="7" s="1"/>
  <c r="Z177" i="7"/>
  <c r="Y177" i="7"/>
  <c r="X177" i="7"/>
  <c r="AR176" i="7"/>
  <c r="AO176" i="7" s="1"/>
  <c r="AQ176" i="7"/>
  <c r="AN176" i="7"/>
  <c r="AB176" i="7"/>
  <c r="AA176" i="7"/>
  <c r="Z176" i="7"/>
  <c r="Y176" i="7"/>
  <c r="X176" i="7"/>
  <c r="AR175" i="7"/>
  <c r="AQ175" i="7"/>
  <c r="AS175" i="7" s="1"/>
  <c r="AT175" i="7" s="1"/>
  <c r="AO175" i="7"/>
  <c r="AN175" i="7"/>
  <c r="AA175" i="7"/>
  <c r="Z175" i="7"/>
  <c r="AB175" i="7" s="1"/>
  <c r="Y175" i="7"/>
  <c r="X175" i="7"/>
  <c r="AR174" i="7"/>
  <c r="AQ174" i="7"/>
  <c r="AO174" i="7"/>
  <c r="AN174" i="7"/>
  <c r="AA174" i="7"/>
  <c r="Z174" i="7"/>
  <c r="AB174" i="7" s="1"/>
  <c r="AS174" i="7" s="1"/>
  <c r="AT174" i="7" s="1"/>
  <c r="Y174" i="7"/>
  <c r="X174" i="7"/>
  <c r="AR173" i="7"/>
  <c r="AO173" i="7" s="1"/>
  <c r="AQ173" i="7"/>
  <c r="AN173" i="7"/>
  <c r="AA173" i="7"/>
  <c r="Z173" i="7"/>
  <c r="AB173" i="7" s="1"/>
  <c r="Y173" i="7"/>
  <c r="X173" i="7"/>
  <c r="AR172" i="7"/>
  <c r="AO172" i="7" s="1"/>
  <c r="AQ172" i="7"/>
  <c r="AN172" i="7"/>
  <c r="AA172" i="7"/>
  <c r="Z172" i="7"/>
  <c r="Y172" i="7"/>
  <c r="X172" i="7"/>
  <c r="AR171" i="7"/>
  <c r="AQ171" i="7"/>
  <c r="AO171" i="7"/>
  <c r="AN171" i="7"/>
  <c r="AA171" i="7"/>
  <c r="Z171" i="7"/>
  <c r="AB171" i="7" s="1"/>
  <c r="AS171" i="7" s="1"/>
  <c r="AT171" i="7" s="1"/>
  <c r="Y171" i="7"/>
  <c r="X171" i="7"/>
  <c r="AR170" i="7"/>
  <c r="AQ170" i="7"/>
  <c r="AO170" i="7"/>
  <c r="AN170" i="7"/>
  <c r="AB170" i="7"/>
  <c r="AA170" i="7"/>
  <c r="Z170" i="7"/>
  <c r="Y170" i="7"/>
  <c r="X170" i="7"/>
  <c r="AR169" i="7"/>
  <c r="AQ169" i="7"/>
  <c r="AO169" i="7"/>
  <c r="AN169" i="7"/>
  <c r="AB169" i="7"/>
  <c r="AA169" i="7"/>
  <c r="Z169" i="7"/>
  <c r="Y169" i="7"/>
  <c r="X169" i="7"/>
  <c r="AR168" i="7"/>
  <c r="AO168" i="7" s="1"/>
  <c r="AQ168" i="7"/>
  <c r="AN168" i="7"/>
  <c r="AA168" i="7"/>
  <c r="Z168" i="7"/>
  <c r="Y168" i="7"/>
  <c r="X168" i="7"/>
  <c r="AR167" i="7"/>
  <c r="AO167" i="7" s="1"/>
  <c r="AQ167" i="7"/>
  <c r="AS167" i="7" s="1"/>
  <c r="AT167" i="7" s="1"/>
  <c r="AN167" i="7"/>
  <c r="AA167" i="7"/>
  <c r="AB167" i="7" s="1"/>
  <c r="Z167" i="7"/>
  <c r="Y167" i="7"/>
  <c r="X167" i="7"/>
  <c r="AT166" i="7"/>
  <c r="AR166" i="7"/>
  <c r="AO166" i="7" s="1"/>
  <c r="AQ166" i="7"/>
  <c r="AS166" i="7" s="1"/>
  <c r="AN166" i="7"/>
  <c r="AB166" i="7"/>
  <c r="AA166" i="7"/>
  <c r="Z166" i="7"/>
  <c r="Y166" i="7"/>
  <c r="X166" i="7"/>
  <c r="AR165" i="7"/>
  <c r="AO165" i="7" s="1"/>
  <c r="AQ165" i="7"/>
  <c r="AN165" i="7"/>
  <c r="AA165" i="7"/>
  <c r="Z165" i="7"/>
  <c r="AB165" i="7" s="1"/>
  <c r="Y165" i="7"/>
  <c r="X165" i="7"/>
  <c r="AR164" i="7"/>
  <c r="AO164" i="7" s="1"/>
  <c r="AQ164" i="7"/>
  <c r="AS164" i="7" s="1"/>
  <c r="AT164" i="7" s="1"/>
  <c r="AN164" i="7"/>
  <c r="AA164" i="7"/>
  <c r="Z164" i="7"/>
  <c r="AB164" i="7" s="1"/>
  <c r="Y164" i="7"/>
  <c r="X164" i="7"/>
  <c r="AR163" i="7"/>
  <c r="AO163" i="7" s="1"/>
  <c r="AQ163" i="7"/>
  <c r="AS163" i="7" s="1"/>
  <c r="AT163" i="7" s="1"/>
  <c r="AN163" i="7"/>
  <c r="AA163" i="7"/>
  <c r="Z163" i="7"/>
  <c r="AB163" i="7" s="1"/>
  <c r="Y163" i="7"/>
  <c r="X163" i="7"/>
  <c r="AR162" i="7"/>
  <c r="AO162" i="7" s="1"/>
  <c r="AQ162" i="7"/>
  <c r="AN162" i="7"/>
  <c r="AA162" i="7"/>
  <c r="Z162" i="7"/>
  <c r="AB162" i="7" s="1"/>
  <c r="AS162" i="7" s="1"/>
  <c r="AT162" i="7" s="1"/>
  <c r="Y162" i="7"/>
  <c r="X162" i="7"/>
  <c r="AR161" i="7"/>
  <c r="AQ161" i="7"/>
  <c r="AO161" i="7"/>
  <c r="AN161" i="7"/>
  <c r="AA161" i="7"/>
  <c r="Z161" i="7"/>
  <c r="AB161" i="7" s="1"/>
  <c r="AS161" i="7" s="1"/>
  <c r="AT161" i="7" s="1"/>
  <c r="Y161" i="7"/>
  <c r="X161" i="7"/>
  <c r="AR160" i="7"/>
  <c r="AQ160" i="7"/>
  <c r="AO160" i="7"/>
  <c r="AN160" i="7"/>
  <c r="AA160" i="7"/>
  <c r="AB160" i="7" s="1"/>
  <c r="Z160" i="7"/>
  <c r="Y160" i="7"/>
  <c r="X160" i="7"/>
  <c r="AR159" i="7"/>
  <c r="AO159" i="7" s="1"/>
  <c r="AQ159" i="7"/>
  <c r="AN159" i="7"/>
  <c r="AB159" i="7"/>
  <c r="AA159" i="7"/>
  <c r="Z159" i="7"/>
  <c r="Y159" i="7"/>
  <c r="X159" i="7"/>
  <c r="AR158" i="7"/>
  <c r="AO158" i="7" s="1"/>
  <c r="AQ158" i="7"/>
  <c r="AS158" i="7" s="1"/>
  <c r="AT158" i="7" s="1"/>
  <c r="AN158" i="7"/>
  <c r="AA158" i="7"/>
  <c r="Z158" i="7"/>
  <c r="AB158" i="7" s="1"/>
  <c r="Y158" i="7"/>
  <c r="X158" i="7"/>
  <c r="AR157" i="7"/>
  <c r="AQ157" i="7"/>
  <c r="AO157" i="7"/>
  <c r="AN157" i="7"/>
  <c r="AA157" i="7"/>
  <c r="AB157" i="7" s="1"/>
  <c r="Z157" i="7"/>
  <c r="Y157" i="7"/>
  <c r="X157" i="7"/>
  <c r="AR156" i="7"/>
  <c r="AO156" i="7" s="1"/>
  <c r="AQ156" i="7"/>
  <c r="AS156" i="7" s="1"/>
  <c r="AT156" i="7" s="1"/>
  <c r="AN156" i="7"/>
  <c r="AB156" i="7"/>
  <c r="AA156" i="7"/>
  <c r="Z156" i="7"/>
  <c r="Y156" i="7"/>
  <c r="X156" i="7"/>
  <c r="AR155" i="7"/>
  <c r="AO155" i="7" s="1"/>
  <c r="AQ155" i="7"/>
  <c r="AS155" i="7" s="1"/>
  <c r="AT155" i="7" s="1"/>
  <c r="AN155" i="7"/>
  <c r="AA155" i="7"/>
  <c r="Z155" i="7"/>
  <c r="AB155" i="7" s="1"/>
  <c r="Y155" i="7"/>
  <c r="X155" i="7"/>
  <c r="AR154" i="7"/>
  <c r="AQ154" i="7"/>
  <c r="AO154" i="7"/>
  <c r="AN154" i="7"/>
  <c r="AA154" i="7"/>
  <c r="Z154" i="7"/>
  <c r="Y154" i="7"/>
  <c r="X154" i="7"/>
  <c r="AR153" i="7"/>
  <c r="AO153" i="7" s="1"/>
  <c r="AQ153" i="7"/>
  <c r="AS153" i="7" s="1"/>
  <c r="AT153" i="7" s="1"/>
  <c r="AN153" i="7"/>
  <c r="AA153" i="7"/>
  <c r="Z153" i="7"/>
  <c r="AB153" i="7" s="1"/>
  <c r="Y153" i="7"/>
  <c r="X153" i="7"/>
  <c r="AR152" i="7"/>
  <c r="AO152" i="7" s="1"/>
  <c r="AQ152" i="7"/>
  <c r="AN152" i="7"/>
  <c r="AB152" i="7"/>
  <c r="AS152" i="7" s="1"/>
  <c r="AT152" i="7" s="1"/>
  <c r="AA152" i="7"/>
  <c r="Z152" i="7"/>
  <c r="Y152" i="7"/>
  <c r="X152" i="7"/>
  <c r="AR151" i="7"/>
  <c r="AQ151" i="7"/>
  <c r="AO151" i="7"/>
  <c r="AN151" i="7"/>
  <c r="AA151" i="7"/>
  <c r="AB151" i="7" s="1"/>
  <c r="AS151" i="7" s="1"/>
  <c r="AT151" i="7" s="1"/>
  <c r="Z151" i="7"/>
  <c r="Y151" i="7"/>
  <c r="X151" i="7"/>
  <c r="AR150" i="7"/>
  <c r="AQ150" i="7"/>
  <c r="AO150" i="7"/>
  <c r="AN150" i="7"/>
  <c r="AA150" i="7"/>
  <c r="Z150" i="7"/>
  <c r="AB150" i="7" s="1"/>
  <c r="Y150" i="7"/>
  <c r="X150" i="7"/>
  <c r="AR149" i="7"/>
  <c r="AQ149" i="7"/>
  <c r="AO149" i="7"/>
  <c r="AN149" i="7"/>
  <c r="AA149" i="7"/>
  <c r="Z149" i="7"/>
  <c r="AB149" i="7" s="1"/>
  <c r="Y149" i="7"/>
  <c r="X149" i="7"/>
  <c r="AR148" i="7"/>
  <c r="AQ148" i="7"/>
  <c r="AO148" i="7"/>
  <c r="AN148" i="7"/>
  <c r="AB148" i="7"/>
  <c r="AA148" i="7"/>
  <c r="Z148" i="7"/>
  <c r="Y148" i="7"/>
  <c r="X148" i="7"/>
  <c r="AR147" i="7"/>
  <c r="AQ147" i="7"/>
  <c r="AO147" i="7"/>
  <c r="AN147" i="7"/>
  <c r="AA147" i="7"/>
  <c r="AB147" i="7" s="1"/>
  <c r="Z147" i="7"/>
  <c r="Y147" i="7"/>
  <c r="X147" i="7"/>
  <c r="AS146" i="7"/>
  <c r="AT146" i="7" s="1"/>
  <c r="AR146" i="7"/>
  <c r="AQ146" i="7"/>
  <c r="AO146" i="7"/>
  <c r="AN146" i="7"/>
  <c r="AB146" i="7"/>
  <c r="AA146" i="7"/>
  <c r="Z146" i="7"/>
  <c r="Y146" i="7"/>
  <c r="X146" i="7"/>
  <c r="AS145" i="7"/>
  <c r="AT145" i="7" s="1"/>
  <c r="AR145" i="7"/>
  <c r="AQ145" i="7"/>
  <c r="AO145" i="7"/>
  <c r="AN145" i="7"/>
  <c r="AA145" i="7"/>
  <c r="Z145" i="7"/>
  <c r="AB145" i="7" s="1"/>
  <c r="Y145" i="7"/>
  <c r="X145" i="7"/>
  <c r="AS144" i="7"/>
  <c r="AT144" i="7" s="1"/>
  <c r="AR144" i="7"/>
  <c r="AQ144" i="7"/>
  <c r="AO144" i="7"/>
  <c r="AN144" i="7"/>
  <c r="AA144" i="7"/>
  <c r="Z144" i="7"/>
  <c r="AB144" i="7" s="1"/>
  <c r="Y144" i="7"/>
  <c r="X144" i="7"/>
  <c r="AR143" i="7"/>
  <c r="AO143" i="7" s="1"/>
  <c r="AQ143" i="7"/>
  <c r="AN143" i="7"/>
  <c r="AA143" i="7"/>
  <c r="Z143" i="7"/>
  <c r="AB143" i="7" s="1"/>
  <c r="Y143" i="7"/>
  <c r="X143" i="7"/>
  <c r="AR142" i="7"/>
  <c r="AO142" i="7" s="1"/>
  <c r="AQ142" i="7"/>
  <c r="AN142" i="7"/>
  <c r="AB142" i="7"/>
  <c r="AA142" i="7"/>
  <c r="Z142" i="7"/>
  <c r="Y142" i="7"/>
  <c r="X142" i="7"/>
  <c r="AR141" i="7"/>
  <c r="AQ141" i="7"/>
  <c r="AO141" i="7"/>
  <c r="AN141" i="7"/>
  <c r="AB141" i="7"/>
  <c r="AA141" i="7"/>
  <c r="Z141" i="7"/>
  <c r="Y141" i="7"/>
  <c r="X141" i="7"/>
  <c r="AR140" i="7"/>
  <c r="AQ140" i="7"/>
  <c r="AO140" i="7"/>
  <c r="AN140" i="7"/>
  <c r="AA140" i="7"/>
  <c r="AB140" i="7" s="1"/>
  <c r="Z140" i="7"/>
  <c r="Y140" i="7"/>
  <c r="X140" i="7"/>
  <c r="AR139" i="7"/>
  <c r="AQ139" i="7"/>
  <c r="AO139" i="7"/>
  <c r="AN139" i="7"/>
  <c r="AA139" i="7"/>
  <c r="Z139" i="7"/>
  <c r="AB139" i="7" s="1"/>
  <c r="Y139" i="7"/>
  <c r="X139" i="7"/>
  <c r="AR138" i="7"/>
  <c r="AQ138" i="7"/>
  <c r="AO138" i="7"/>
  <c r="AN138" i="7"/>
  <c r="AA138" i="7"/>
  <c r="Z138" i="7"/>
  <c r="Y138" i="7"/>
  <c r="X138" i="7"/>
  <c r="AR137" i="7"/>
  <c r="AQ137" i="7"/>
  <c r="AO137" i="7"/>
  <c r="AN137" i="7"/>
  <c r="AA137" i="7"/>
  <c r="AB137" i="7" s="1"/>
  <c r="Z137" i="7"/>
  <c r="Y137" i="7"/>
  <c r="X137" i="7"/>
  <c r="AS136" i="7"/>
  <c r="AT136" i="7" s="1"/>
  <c r="AR136" i="7"/>
  <c r="AO136" i="7" s="1"/>
  <c r="AQ136" i="7"/>
  <c r="AN136" i="7"/>
  <c r="AB136" i="7"/>
  <c r="AA136" i="7"/>
  <c r="Z136" i="7"/>
  <c r="Y136" i="7"/>
  <c r="X136" i="7"/>
  <c r="AR135" i="7"/>
  <c r="AO135" i="7" s="1"/>
  <c r="AQ135" i="7"/>
  <c r="AS135" i="7" s="1"/>
  <c r="AT135" i="7" s="1"/>
  <c r="AN135" i="7"/>
  <c r="AA135" i="7"/>
  <c r="Z135" i="7"/>
  <c r="AB135" i="7" s="1"/>
  <c r="Y135" i="7"/>
  <c r="X135" i="7"/>
  <c r="AR134" i="7"/>
  <c r="AQ134" i="7"/>
  <c r="AS134" i="7" s="1"/>
  <c r="AT134" i="7" s="1"/>
  <c r="AO134" i="7"/>
  <c r="AN134" i="7"/>
  <c r="AA134" i="7"/>
  <c r="Z134" i="7"/>
  <c r="AB134" i="7" s="1"/>
  <c r="Y134" i="7"/>
  <c r="X134" i="7"/>
  <c r="AR133" i="7"/>
  <c r="AO133" i="7" s="1"/>
  <c r="AQ133" i="7"/>
  <c r="AN133" i="7"/>
  <c r="AA133" i="7"/>
  <c r="Z133" i="7"/>
  <c r="Y133" i="7"/>
  <c r="X133" i="7"/>
  <c r="AR132" i="7"/>
  <c r="AQ132" i="7"/>
  <c r="AO132" i="7"/>
  <c r="AN132" i="7"/>
  <c r="AB132" i="7"/>
  <c r="AS132" i="7" s="1"/>
  <c r="AT132" i="7" s="1"/>
  <c r="AA132" i="7"/>
  <c r="Z132" i="7"/>
  <c r="Y132" i="7"/>
  <c r="X132" i="7"/>
  <c r="AR131" i="7"/>
  <c r="AQ131" i="7"/>
  <c r="AO131" i="7"/>
  <c r="AN131" i="7"/>
  <c r="AA131" i="7"/>
  <c r="Z131" i="7"/>
  <c r="AB131" i="7" s="1"/>
  <c r="AS131" i="7" s="1"/>
  <c r="AT131" i="7" s="1"/>
  <c r="Y131" i="7"/>
  <c r="X131" i="7"/>
  <c r="AR130" i="7"/>
  <c r="AQ130" i="7"/>
  <c r="AO130" i="7"/>
  <c r="AN130" i="7"/>
  <c r="AA130" i="7"/>
  <c r="Z130" i="7"/>
  <c r="AB130" i="7" s="1"/>
  <c r="Y130" i="7"/>
  <c r="X130" i="7"/>
  <c r="AR129" i="7"/>
  <c r="AQ129" i="7"/>
  <c r="AO129" i="7"/>
  <c r="AN129" i="7"/>
  <c r="AA129" i="7"/>
  <c r="Z129" i="7"/>
  <c r="AB129" i="7" s="1"/>
  <c r="Y129" i="7"/>
  <c r="X129" i="7"/>
  <c r="AS128" i="7"/>
  <c r="AT128" i="7" s="1"/>
  <c r="AR128" i="7"/>
  <c r="AQ128" i="7"/>
  <c r="AO128" i="7"/>
  <c r="AN128" i="7"/>
  <c r="AA128" i="7"/>
  <c r="Z128" i="7"/>
  <c r="AB128" i="7" s="1"/>
  <c r="Y128" i="7"/>
  <c r="X128" i="7"/>
  <c r="AR127" i="7"/>
  <c r="AO127" i="7" s="1"/>
  <c r="AQ127" i="7"/>
  <c r="AN127" i="7"/>
  <c r="AA127" i="7"/>
  <c r="AB127" i="7" s="1"/>
  <c r="Z127" i="7"/>
  <c r="Y127" i="7"/>
  <c r="X127" i="7"/>
  <c r="AR126" i="7"/>
  <c r="AO126" i="7" s="1"/>
  <c r="AQ126" i="7"/>
  <c r="AN126" i="7"/>
  <c r="AB126" i="7"/>
  <c r="AA126" i="7"/>
  <c r="Z126" i="7"/>
  <c r="Y126" i="7"/>
  <c r="X126" i="7"/>
  <c r="AR125" i="7"/>
  <c r="AQ125" i="7"/>
  <c r="AO125" i="7"/>
  <c r="AN125" i="7"/>
  <c r="AA125" i="7"/>
  <c r="Z125" i="7"/>
  <c r="Y125" i="7"/>
  <c r="X125" i="7"/>
  <c r="AT124" i="7"/>
  <c r="AS124" i="7"/>
  <c r="AR124" i="7"/>
  <c r="AO124" i="7" s="1"/>
  <c r="AQ124" i="7"/>
  <c r="AN124" i="7"/>
  <c r="AA124" i="7"/>
  <c r="Z124" i="7"/>
  <c r="AB124" i="7" s="1"/>
  <c r="Y124" i="7"/>
  <c r="X124" i="7"/>
  <c r="AR123" i="7"/>
  <c r="AO123" i="7" s="1"/>
  <c r="AQ123" i="7"/>
  <c r="AN123" i="7"/>
  <c r="AA123" i="7"/>
  <c r="Z123" i="7"/>
  <c r="AB123" i="7" s="1"/>
  <c r="Y123" i="7"/>
  <c r="X123" i="7"/>
  <c r="AR122" i="7"/>
  <c r="AQ122" i="7"/>
  <c r="AN122" i="7"/>
  <c r="AA122" i="7"/>
  <c r="Z122" i="7"/>
  <c r="AB122" i="7" s="1"/>
  <c r="Y122" i="7"/>
  <c r="X122" i="7"/>
  <c r="AR121" i="7"/>
  <c r="AQ121" i="7"/>
  <c r="AS121" i="7" s="1"/>
  <c r="AT121" i="7" s="1"/>
  <c r="AO121" i="7"/>
  <c r="AN121" i="7"/>
  <c r="AB121" i="7"/>
  <c r="AA121" i="7"/>
  <c r="Z121" i="7"/>
  <c r="Y121" i="7"/>
  <c r="X121" i="7"/>
  <c r="AR120" i="7"/>
  <c r="AQ120" i="7"/>
  <c r="AS120" i="7" s="1"/>
  <c r="AT120" i="7" s="1"/>
  <c r="AO120" i="7"/>
  <c r="AN120" i="7"/>
  <c r="AA120" i="7"/>
  <c r="AB120" i="7" s="1"/>
  <c r="Z120" i="7"/>
  <c r="Y120" i="7"/>
  <c r="X120" i="7"/>
  <c r="AR119" i="7"/>
  <c r="AQ119" i="7"/>
  <c r="AO119" i="7"/>
  <c r="AN119" i="7"/>
  <c r="AB119" i="7"/>
  <c r="AA119" i="7"/>
  <c r="Z119" i="7"/>
  <c r="Y119" i="7"/>
  <c r="X119" i="7"/>
  <c r="AR118" i="7"/>
  <c r="AQ118" i="7"/>
  <c r="AS118" i="7" s="1"/>
  <c r="AT118" i="7" s="1"/>
  <c r="AO118" i="7"/>
  <c r="AN118" i="7"/>
  <c r="AA118" i="7"/>
  <c r="Z118" i="7"/>
  <c r="AB118" i="7" s="1"/>
  <c r="Y118" i="7"/>
  <c r="X118" i="7"/>
  <c r="AR117" i="7"/>
  <c r="AQ117" i="7"/>
  <c r="AO117" i="7"/>
  <c r="AN117" i="7"/>
  <c r="AA117" i="7"/>
  <c r="AB117" i="7" s="1"/>
  <c r="Z117" i="7"/>
  <c r="Y117" i="7"/>
  <c r="X117" i="7"/>
  <c r="AR116" i="7"/>
  <c r="AO116" i="7" s="1"/>
  <c r="AQ116" i="7"/>
  <c r="AN116" i="7"/>
  <c r="AA116" i="7"/>
  <c r="Z116" i="7"/>
  <c r="AB116" i="7" s="1"/>
  <c r="Y116" i="7"/>
  <c r="X116" i="7"/>
  <c r="AR115" i="7"/>
  <c r="AQ115" i="7"/>
  <c r="AS115" i="7" s="1"/>
  <c r="AT115" i="7" s="1"/>
  <c r="AO115" i="7"/>
  <c r="AN115" i="7"/>
  <c r="AA115" i="7"/>
  <c r="Z115" i="7"/>
  <c r="AB115" i="7" s="1"/>
  <c r="Y115" i="7"/>
  <c r="X115" i="7"/>
  <c r="AR114" i="7"/>
  <c r="AQ114" i="7"/>
  <c r="AS114" i="7" s="1"/>
  <c r="AT114" i="7" s="1"/>
  <c r="AO114" i="7"/>
  <c r="AN114" i="7"/>
  <c r="AA114" i="7"/>
  <c r="AB114" i="7" s="1"/>
  <c r="Z114" i="7"/>
  <c r="Y114" i="7"/>
  <c r="X114" i="7"/>
  <c r="AR113" i="7"/>
  <c r="AO113" i="7" s="1"/>
  <c r="AQ113" i="7"/>
  <c r="AN113" i="7"/>
  <c r="AA113" i="7"/>
  <c r="Z113" i="7"/>
  <c r="AB113" i="7" s="1"/>
  <c r="Y113" i="7"/>
  <c r="X113" i="7"/>
  <c r="AR112" i="7"/>
  <c r="AO112" i="7" s="1"/>
  <c r="AQ112" i="7"/>
  <c r="AN112" i="7"/>
  <c r="AA112" i="7"/>
  <c r="Z112" i="7"/>
  <c r="AB112" i="7" s="1"/>
  <c r="Y112" i="7"/>
  <c r="X112" i="7"/>
  <c r="AS111" i="7"/>
  <c r="AT111" i="7" s="1"/>
  <c r="AR111" i="7"/>
  <c r="AQ111" i="7"/>
  <c r="AO111" i="7"/>
  <c r="AN111" i="7"/>
  <c r="AA111" i="7"/>
  <c r="AB111" i="7" s="1"/>
  <c r="Z111" i="7"/>
  <c r="Y111" i="7"/>
  <c r="X111" i="7"/>
  <c r="AR110" i="7"/>
  <c r="AO110" i="7" s="1"/>
  <c r="AQ110" i="7"/>
  <c r="AN110" i="7"/>
  <c r="AA110" i="7"/>
  <c r="AB110" i="7" s="1"/>
  <c r="Z110" i="7"/>
  <c r="Y110" i="7"/>
  <c r="X110" i="7"/>
  <c r="AR109" i="7"/>
  <c r="AQ109" i="7"/>
  <c r="AS109" i="7" s="1"/>
  <c r="AT109" i="7" s="1"/>
  <c r="AO109" i="7"/>
  <c r="AN109" i="7"/>
  <c r="AA109" i="7"/>
  <c r="Z109" i="7"/>
  <c r="AB109" i="7" s="1"/>
  <c r="Y109" i="7"/>
  <c r="X109" i="7"/>
  <c r="AR108" i="7"/>
  <c r="AQ108" i="7"/>
  <c r="AS108" i="7" s="1"/>
  <c r="AT108" i="7" s="1"/>
  <c r="AO108" i="7"/>
  <c r="AN108" i="7"/>
  <c r="AA108" i="7"/>
  <c r="AB108" i="7" s="1"/>
  <c r="Z108" i="7"/>
  <c r="Y108" i="7"/>
  <c r="X108" i="7"/>
  <c r="AR107" i="7"/>
  <c r="AQ107" i="7"/>
  <c r="AO107" i="7"/>
  <c r="AN107" i="7"/>
  <c r="AA107" i="7"/>
  <c r="AB107" i="7" s="1"/>
  <c r="Z107" i="7"/>
  <c r="Y107" i="7"/>
  <c r="X107" i="7"/>
  <c r="AR106" i="7"/>
  <c r="AO106" i="7" s="1"/>
  <c r="AQ106" i="7"/>
  <c r="AS106" i="7" s="1"/>
  <c r="AT106" i="7" s="1"/>
  <c r="AN106" i="7"/>
  <c r="AB106" i="7"/>
  <c r="AA106" i="7"/>
  <c r="Z106" i="7"/>
  <c r="Y106" i="7"/>
  <c r="X106" i="7"/>
  <c r="AR105" i="7"/>
  <c r="AS105" i="7" s="1"/>
  <c r="AT105" i="7" s="1"/>
  <c r="AQ105" i="7"/>
  <c r="AO105" i="7"/>
  <c r="AN105" i="7"/>
  <c r="AA105" i="7"/>
  <c r="Z105" i="7"/>
  <c r="AB105" i="7" s="1"/>
  <c r="Y105" i="7"/>
  <c r="X105" i="7"/>
  <c r="AR104" i="7"/>
  <c r="AO104" i="7" s="1"/>
  <c r="AQ104" i="7"/>
  <c r="AN104" i="7"/>
  <c r="AA104" i="7"/>
  <c r="Z104" i="7"/>
  <c r="AB104" i="7" s="1"/>
  <c r="Y104" i="7"/>
  <c r="X104" i="7"/>
  <c r="AR103" i="7"/>
  <c r="AO103" i="7" s="1"/>
  <c r="AQ103" i="7"/>
  <c r="AN103" i="7"/>
  <c r="AA103" i="7"/>
  <c r="AB103" i="7" s="1"/>
  <c r="Z103" i="7"/>
  <c r="Y103" i="7"/>
  <c r="X103" i="7"/>
  <c r="AR102" i="7"/>
  <c r="AO102" i="7" s="1"/>
  <c r="AQ102" i="7"/>
  <c r="AN102" i="7"/>
  <c r="AA102" i="7"/>
  <c r="AB102" i="7" s="1"/>
  <c r="Z102" i="7"/>
  <c r="Y102" i="7"/>
  <c r="X102" i="7"/>
  <c r="AR101" i="7"/>
  <c r="AQ101" i="7"/>
  <c r="AO101" i="7"/>
  <c r="AN101" i="7"/>
  <c r="AB101" i="7"/>
  <c r="AA101" i="7"/>
  <c r="Z101" i="7"/>
  <c r="Y101" i="7"/>
  <c r="X101" i="7"/>
  <c r="AR100" i="7"/>
  <c r="AQ100" i="7"/>
  <c r="AO100" i="7"/>
  <c r="AN100" i="7"/>
  <c r="AB100" i="7"/>
  <c r="AA100" i="7"/>
  <c r="Z100" i="7"/>
  <c r="Y100" i="7"/>
  <c r="X100" i="7"/>
  <c r="AR99" i="7"/>
  <c r="AQ99" i="7"/>
  <c r="AO99" i="7"/>
  <c r="AN99" i="7"/>
  <c r="AB99" i="7"/>
  <c r="AA99" i="7"/>
  <c r="Z99" i="7"/>
  <c r="Y99" i="7"/>
  <c r="X99" i="7"/>
  <c r="AR98" i="7"/>
  <c r="AQ98" i="7"/>
  <c r="AO98" i="7"/>
  <c r="AN98" i="7"/>
  <c r="AA98" i="7"/>
  <c r="Z98" i="7"/>
  <c r="AB98" i="7" s="1"/>
  <c r="Y98" i="7"/>
  <c r="X98" i="7"/>
  <c r="AR97" i="7"/>
  <c r="AQ97" i="7"/>
  <c r="AO97" i="7"/>
  <c r="AN97" i="7"/>
  <c r="AA97" i="7"/>
  <c r="AB97" i="7" s="1"/>
  <c r="Z97" i="7"/>
  <c r="Y97" i="7"/>
  <c r="X97" i="7"/>
  <c r="AR96" i="7"/>
  <c r="AO96" i="7" s="1"/>
  <c r="AQ96" i="7"/>
  <c r="AS96" i="7" s="1"/>
  <c r="AT96" i="7" s="1"/>
  <c r="AN96" i="7"/>
  <c r="AB96" i="7"/>
  <c r="AA96" i="7"/>
  <c r="Z96" i="7"/>
  <c r="Y96" i="7"/>
  <c r="X96" i="7"/>
  <c r="AR95" i="7"/>
  <c r="AQ95" i="7"/>
  <c r="AS95" i="7" s="1"/>
  <c r="AT95" i="7" s="1"/>
  <c r="AO95" i="7"/>
  <c r="AN95" i="7"/>
  <c r="AA95" i="7"/>
  <c r="Z95" i="7"/>
  <c r="AB95" i="7" s="1"/>
  <c r="Y95" i="7"/>
  <c r="X95" i="7"/>
  <c r="AR94" i="7"/>
  <c r="AQ94" i="7"/>
  <c r="AO94" i="7"/>
  <c r="AN94" i="7"/>
  <c r="AB94" i="7"/>
  <c r="AA94" i="7"/>
  <c r="Z94" i="7"/>
  <c r="Y94" i="7"/>
  <c r="X94" i="7"/>
  <c r="AR93" i="7"/>
  <c r="AO93" i="7" s="1"/>
  <c r="AQ93" i="7"/>
  <c r="AN93" i="7"/>
  <c r="AA93" i="7"/>
  <c r="Z93" i="7"/>
  <c r="Y93" i="7"/>
  <c r="X93" i="7"/>
  <c r="AR92" i="7"/>
  <c r="AQ92" i="7"/>
  <c r="AO92" i="7"/>
  <c r="AN92" i="7"/>
  <c r="AA92" i="7"/>
  <c r="AB92" i="7" s="1"/>
  <c r="AS92" i="7" s="1"/>
  <c r="AT92" i="7" s="1"/>
  <c r="Z92" i="7"/>
  <c r="Y92" i="7"/>
  <c r="X92" i="7"/>
  <c r="AR91" i="7"/>
  <c r="AQ91" i="7"/>
  <c r="AO91" i="7"/>
  <c r="AN91" i="7"/>
  <c r="AB91" i="7"/>
  <c r="AS91" i="7" s="1"/>
  <c r="AT91" i="7" s="1"/>
  <c r="AA91" i="7"/>
  <c r="Z91" i="7"/>
  <c r="Y91" i="7"/>
  <c r="X91" i="7"/>
  <c r="AR90" i="7"/>
  <c r="AO90" i="7" s="1"/>
  <c r="AQ90" i="7"/>
  <c r="AN90" i="7"/>
  <c r="AB90" i="7"/>
  <c r="AA90" i="7"/>
  <c r="Z90" i="7"/>
  <c r="Y90" i="7"/>
  <c r="X90" i="7"/>
  <c r="AR89" i="7"/>
  <c r="AQ89" i="7"/>
  <c r="AO89" i="7"/>
  <c r="AN89" i="7"/>
  <c r="AB89" i="7"/>
  <c r="AA89" i="7"/>
  <c r="Z89" i="7"/>
  <c r="Y89" i="7"/>
  <c r="X89" i="7"/>
  <c r="AR88" i="7"/>
  <c r="AO88" i="7" s="1"/>
  <c r="AQ88" i="7"/>
  <c r="AS88" i="7" s="1"/>
  <c r="AT88" i="7" s="1"/>
  <c r="AN88" i="7"/>
  <c r="AB88" i="7"/>
  <c r="AA88" i="7"/>
  <c r="Z88" i="7"/>
  <c r="Y88" i="7"/>
  <c r="X88" i="7"/>
  <c r="AR87" i="7"/>
  <c r="AQ87" i="7"/>
  <c r="AS87" i="7" s="1"/>
  <c r="AT87" i="7" s="1"/>
  <c r="AO87" i="7"/>
  <c r="AN87" i="7"/>
  <c r="AA87" i="7"/>
  <c r="AB87" i="7" s="1"/>
  <c r="Z87" i="7"/>
  <c r="Y87" i="7"/>
  <c r="X87" i="7"/>
  <c r="AT86" i="7"/>
  <c r="AS86" i="7"/>
  <c r="AR86" i="7"/>
  <c r="AQ86" i="7"/>
  <c r="AO86" i="7"/>
  <c r="AN86" i="7"/>
  <c r="AB86" i="7"/>
  <c r="AA86" i="7"/>
  <c r="Z86" i="7"/>
  <c r="Y86" i="7"/>
  <c r="X86" i="7"/>
  <c r="AR85" i="7"/>
  <c r="AO85" i="7" s="1"/>
  <c r="AQ85" i="7"/>
  <c r="AN85" i="7"/>
  <c r="AA85" i="7"/>
  <c r="Z85" i="7"/>
  <c r="AB85" i="7" s="1"/>
  <c r="AS85" i="7" s="1"/>
  <c r="AT85" i="7" s="1"/>
  <c r="Y85" i="7"/>
  <c r="X85" i="7"/>
  <c r="AR84" i="7"/>
  <c r="AO84" i="7" s="1"/>
  <c r="AQ84" i="7"/>
  <c r="AN84" i="7"/>
  <c r="AA84" i="7"/>
  <c r="Z84" i="7"/>
  <c r="AB84" i="7" s="1"/>
  <c r="Y84" i="7"/>
  <c r="X84" i="7"/>
  <c r="AR83" i="7"/>
  <c r="AO83" i="7" s="1"/>
  <c r="AQ83" i="7"/>
  <c r="AS83" i="7" s="1"/>
  <c r="AT83" i="7" s="1"/>
  <c r="AN83" i="7"/>
  <c r="AA83" i="7"/>
  <c r="Z83" i="7"/>
  <c r="AB83" i="7" s="1"/>
  <c r="Y83" i="7"/>
  <c r="X83" i="7"/>
  <c r="AS82" i="7"/>
  <c r="AT82" i="7" s="1"/>
  <c r="AR82" i="7"/>
  <c r="AO82" i="7" s="1"/>
  <c r="AQ82" i="7"/>
  <c r="AN82" i="7"/>
  <c r="AA82" i="7"/>
  <c r="Z82" i="7"/>
  <c r="AB82" i="7" s="1"/>
  <c r="Y82" i="7"/>
  <c r="X82" i="7"/>
  <c r="AR81" i="7"/>
  <c r="AQ81" i="7"/>
  <c r="AO81" i="7"/>
  <c r="AN81" i="7"/>
  <c r="AA81" i="7"/>
  <c r="Z81" i="7"/>
  <c r="Y81" i="7"/>
  <c r="X81" i="7"/>
  <c r="AR80" i="7"/>
  <c r="AQ80" i="7"/>
  <c r="AO80" i="7"/>
  <c r="AN80" i="7"/>
  <c r="AA80" i="7"/>
  <c r="AB80" i="7" s="1"/>
  <c r="Z80" i="7"/>
  <c r="Y80" i="7"/>
  <c r="X80" i="7"/>
  <c r="AR79" i="7"/>
  <c r="AQ79" i="7"/>
  <c r="AO79" i="7"/>
  <c r="AN79" i="7"/>
  <c r="AA79" i="7"/>
  <c r="Z79" i="7"/>
  <c r="AB79" i="7" s="1"/>
  <c r="Y79" i="7"/>
  <c r="X79" i="7"/>
  <c r="AS78" i="7"/>
  <c r="AR78" i="7"/>
  <c r="AQ78" i="7"/>
  <c r="AO78" i="7"/>
  <c r="AN78" i="7"/>
  <c r="AA78" i="7"/>
  <c r="Z78" i="7"/>
  <c r="AB78" i="7" s="1"/>
  <c r="Y78" i="7"/>
  <c r="X78" i="7"/>
  <c r="AR77" i="7"/>
  <c r="AQ77" i="7"/>
  <c r="AS77" i="7" s="1"/>
  <c r="AT77" i="7" s="1"/>
  <c r="AO77" i="7"/>
  <c r="AN77" i="7"/>
  <c r="AA77" i="7"/>
  <c r="AB77" i="7" s="1"/>
  <c r="Z77" i="7"/>
  <c r="Y77" i="7"/>
  <c r="X77" i="7"/>
  <c r="AR76" i="7"/>
  <c r="AO76" i="7" s="1"/>
  <c r="AQ76" i="7"/>
  <c r="AN76" i="7"/>
  <c r="AA76" i="7"/>
  <c r="Z76" i="7"/>
  <c r="AB76" i="7" s="1"/>
  <c r="Y76" i="7"/>
  <c r="X76" i="7"/>
  <c r="AR75" i="7"/>
  <c r="AO75" i="7" s="1"/>
  <c r="AQ75" i="7"/>
  <c r="AN75" i="7"/>
  <c r="AA75" i="7"/>
  <c r="Z75" i="7"/>
  <c r="AB75" i="7" s="1"/>
  <c r="Y75" i="7"/>
  <c r="X75" i="7"/>
  <c r="AR74" i="7"/>
  <c r="AQ74" i="7"/>
  <c r="AO74" i="7"/>
  <c r="AN74" i="7"/>
  <c r="AA74" i="7"/>
  <c r="Z74" i="7"/>
  <c r="AB74" i="7" s="1"/>
  <c r="Y74" i="7"/>
  <c r="X74" i="7"/>
  <c r="AR73" i="7"/>
  <c r="AO73" i="7" s="1"/>
  <c r="AQ73" i="7"/>
  <c r="AN73" i="7"/>
  <c r="AA73" i="7"/>
  <c r="Z73" i="7"/>
  <c r="AB73" i="7" s="1"/>
  <c r="AS73" i="7" s="1"/>
  <c r="AT73" i="7" s="1"/>
  <c r="Y73" i="7"/>
  <c r="X73" i="7"/>
  <c r="AR72" i="7"/>
  <c r="AO72" i="7" s="1"/>
  <c r="AQ72" i="7"/>
  <c r="AN72" i="7"/>
  <c r="AA72" i="7"/>
  <c r="Z72" i="7"/>
  <c r="Y72" i="7"/>
  <c r="X72" i="7"/>
  <c r="AR71" i="7"/>
  <c r="AQ71" i="7"/>
  <c r="AO71" i="7"/>
  <c r="AN71" i="7"/>
  <c r="AA71" i="7"/>
  <c r="Z71" i="7"/>
  <c r="AB71" i="7" s="1"/>
  <c r="AS71" i="7" s="1"/>
  <c r="AT71" i="7" s="1"/>
  <c r="Y71" i="7"/>
  <c r="X71" i="7"/>
  <c r="AR70" i="7"/>
  <c r="AO70" i="7" s="1"/>
  <c r="AQ70" i="7"/>
  <c r="AN70" i="7"/>
  <c r="AA70" i="7"/>
  <c r="AB70" i="7" s="1"/>
  <c r="Z70" i="7"/>
  <c r="Y70" i="7"/>
  <c r="X70" i="7"/>
  <c r="AR69" i="7"/>
  <c r="AO69" i="7" s="1"/>
  <c r="AQ69" i="7"/>
  <c r="AN69" i="7"/>
  <c r="AA69" i="7"/>
  <c r="Z69" i="7"/>
  <c r="AB69" i="7" s="1"/>
  <c r="Y69" i="7"/>
  <c r="X69" i="7"/>
  <c r="AR68" i="7"/>
  <c r="AO68" i="7" s="1"/>
  <c r="AQ68" i="7"/>
  <c r="AN68" i="7"/>
  <c r="AA68" i="7"/>
  <c r="Z68" i="7"/>
  <c r="AB68" i="7" s="1"/>
  <c r="AS68" i="7" s="1"/>
  <c r="AT68" i="7" s="1"/>
  <c r="Y68" i="7"/>
  <c r="X68" i="7"/>
  <c r="AT67" i="7"/>
  <c r="AR67" i="7"/>
  <c r="AQ67" i="7"/>
  <c r="AO67" i="7"/>
  <c r="AN67" i="7"/>
  <c r="AA67" i="7"/>
  <c r="AB67" i="7" s="1"/>
  <c r="AS67" i="7" s="1"/>
  <c r="Z67" i="7"/>
  <c r="Y67" i="7"/>
  <c r="X67" i="7"/>
  <c r="AR66" i="7"/>
  <c r="AQ66" i="7"/>
  <c r="AO66" i="7"/>
  <c r="AN66" i="7"/>
  <c r="AB66" i="7"/>
  <c r="AA66" i="7"/>
  <c r="Z66" i="7"/>
  <c r="Y66" i="7"/>
  <c r="X66" i="7"/>
  <c r="AR65" i="7"/>
  <c r="AO65" i="7" s="1"/>
  <c r="AQ65" i="7"/>
  <c r="AN65" i="7"/>
  <c r="AA65" i="7"/>
  <c r="Z65" i="7"/>
  <c r="Y65" i="7"/>
  <c r="X65" i="7"/>
  <c r="AR64" i="7"/>
  <c r="AQ64" i="7"/>
  <c r="AS64" i="7" s="1"/>
  <c r="AT64" i="7" s="1"/>
  <c r="AO64" i="7"/>
  <c r="AN64" i="7"/>
  <c r="AA64" i="7"/>
  <c r="Z64" i="7"/>
  <c r="AB64" i="7" s="1"/>
  <c r="Y64" i="7"/>
  <c r="X64" i="7"/>
  <c r="AR63" i="7"/>
  <c r="AO63" i="7" s="1"/>
  <c r="AQ63" i="7"/>
  <c r="AS63" i="7" s="1"/>
  <c r="AT63" i="7" s="1"/>
  <c r="AN63" i="7"/>
  <c r="AB63" i="7"/>
  <c r="AA63" i="7"/>
  <c r="Z63" i="7"/>
  <c r="Y63" i="7"/>
  <c r="X63" i="7"/>
  <c r="AR62" i="7"/>
  <c r="AO62" i="7" s="1"/>
  <c r="AQ62" i="7"/>
  <c r="AN62" i="7"/>
  <c r="AB62" i="7"/>
  <c r="AS62" i="7" s="1"/>
  <c r="AT62" i="7" s="1"/>
  <c r="AA62" i="7"/>
  <c r="Z62" i="7"/>
  <c r="Y62" i="7"/>
  <c r="X62" i="7"/>
  <c r="AR61" i="7"/>
  <c r="AQ61" i="7"/>
  <c r="AO61" i="7"/>
  <c r="AN61" i="7"/>
  <c r="AA61" i="7"/>
  <c r="AB61" i="7" s="1"/>
  <c r="Z61" i="7"/>
  <c r="Y61" i="7"/>
  <c r="X61" i="7"/>
  <c r="AR60" i="7"/>
  <c r="AQ60" i="7"/>
  <c r="AO60" i="7"/>
  <c r="AN60" i="7"/>
  <c r="AA60" i="7"/>
  <c r="AB60" i="7" s="1"/>
  <c r="Z60" i="7"/>
  <c r="Y60" i="7"/>
  <c r="X60" i="7"/>
  <c r="AR59" i="7"/>
  <c r="AQ59" i="7"/>
  <c r="AO59" i="7"/>
  <c r="AN59" i="7"/>
  <c r="AA59" i="7"/>
  <c r="AB59" i="7" s="1"/>
  <c r="Z59" i="7"/>
  <c r="Y59" i="7"/>
  <c r="X59" i="7"/>
  <c r="AR58" i="7"/>
  <c r="AQ58" i="7"/>
  <c r="AO58" i="7"/>
  <c r="AN58" i="7"/>
  <c r="AA58" i="7"/>
  <c r="Z58" i="7"/>
  <c r="AB58" i="7" s="1"/>
  <c r="Y58" i="7"/>
  <c r="X58" i="7"/>
  <c r="AR57" i="7"/>
  <c r="AQ57" i="7"/>
  <c r="AO57" i="7"/>
  <c r="AN57" i="7"/>
  <c r="AA57" i="7"/>
  <c r="AB57" i="7" s="1"/>
  <c r="Z57" i="7"/>
  <c r="Y57" i="7"/>
  <c r="X57" i="7"/>
  <c r="AR56" i="7"/>
  <c r="AO56" i="7" s="1"/>
  <c r="AQ56" i="7"/>
  <c r="AN56" i="7"/>
  <c r="AA56" i="7"/>
  <c r="Z56" i="7"/>
  <c r="AB56" i="7" s="1"/>
  <c r="Y56" i="7"/>
  <c r="X56" i="7"/>
  <c r="AR55" i="7"/>
  <c r="AQ55" i="7"/>
  <c r="AS55" i="7" s="1"/>
  <c r="AT55" i="7" s="1"/>
  <c r="AO55" i="7"/>
  <c r="AN55" i="7"/>
  <c r="AA55" i="7"/>
  <c r="Z55" i="7"/>
  <c r="AB55" i="7" s="1"/>
  <c r="Y55" i="7"/>
  <c r="X55" i="7"/>
  <c r="AR54" i="7"/>
  <c r="AQ54" i="7"/>
  <c r="AO54" i="7"/>
  <c r="AN54" i="7"/>
  <c r="AB54" i="7"/>
  <c r="AA54" i="7"/>
  <c r="Z54" i="7"/>
  <c r="Y54" i="7"/>
  <c r="X54" i="7"/>
  <c r="AR53" i="7"/>
  <c r="AO53" i="7" s="1"/>
  <c r="AQ53" i="7"/>
  <c r="AN53" i="7"/>
  <c r="AB53" i="7"/>
  <c r="AA53" i="7"/>
  <c r="Z53" i="7"/>
  <c r="Y53" i="7"/>
  <c r="X53" i="7"/>
  <c r="AR52" i="7"/>
  <c r="AQ52" i="7"/>
  <c r="AO52" i="7"/>
  <c r="AN52" i="7"/>
  <c r="AA52" i="7"/>
  <c r="Z52" i="7"/>
  <c r="AB52" i="7" s="1"/>
  <c r="AS52" i="7" s="1"/>
  <c r="AT52" i="7" s="1"/>
  <c r="Y52" i="7"/>
  <c r="X52" i="7"/>
  <c r="AR51" i="7"/>
  <c r="AQ51" i="7"/>
  <c r="AO51" i="7"/>
  <c r="AN51" i="7"/>
  <c r="AA51" i="7"/>
  <c r="Z51" i="7"/>
  <c r="AB51" i="7" s="1"/>
  <c r="AS51" i="7" s="1"/>
  <c r="AT51" i="7" s="1"/>
  <c r="Y51" i="7"/>
  <c r="X51" i="7"/>
  <c r="AR50" i="7"/>
  <c r="AQ50" i="7"/>
  <c r="AO50" i="7"/>
  <c r="AN50" i="7"/>
  <c r="AA50" i="7"/>
  <c r="Z50" i="7"/>
  <c r="AB50" i="7" s="1"/>
  <c r="Y50" i="7"/>
  <c r="X50" i="7"/>
  <c r="AR49" i="7"/>
  <c r="AO49" i="7" s="1"/>
  <c r="AQ49" i="7"/>
  <c r="AN49" i="7"/>
  <c r="AB49" i="7"/>
  <c r="AA49" i="7"/>
  <c r="Z49" i="7"/>
  <c r="Y49" i="7"/>
  <c r="X49" i="7"/>
  <c r="AR48" i="7"/>
  <c r="AO48" i="7" s="1"/>
  <c r="AQ48" i="7"/>
  <c r="AN48" i="7"/>
  <c r="AA48" i="7"/>
  <c r="Z48" i="7"/>
  <c r="AB48" i="7" s="1"/>
  <c r="Y48" i="7"/>
  <c r="X48" i="7"/>
  <c r="AS47" i="7"/>
  <c r="AT47" i="7" s="1"/>
  <c r="AR47" i="7"/>
  <c r="AO47" i="7" s="1"/>
  <c r="AQ47" i="7"/>
  <c r="AN47" i="7"/>
  <c r="AA47" i="7"/>
  <c r="AB47" i="7" s="1"/>
  <c r="Z47" i="7"/>
  <c r="Y47" i="7"/>
  <c r="X47" i="7"/>
  <c r="AS46" i="7"/>
  <c r="AT46" i="7" s="1"/>
  <c r="AR46" i="7"/>
  <c r="AQ46" i="7"/>
  <c r="AO46" i="7"/>
  <c r="AN46" i="7"/>
  <c r="AB46" i="7"/>
  <c r="AA46" i="7"/>
  <c r="Z46" i="7"/>
  <c r="Y46" i="7"/>
  <c r="X46" i="7"/>
  <c r="AT45" i="7"/>
  <c r="AS45" i="7"/>
  <c r="AR45" i="7"/>
  <c r="AO45" i="7" s="1"/>
  <c r="AQ45" i="7"/>
  <c r="AN45" i="7"/>
  <c r="AA45" i="7"/>
  <c r="Z45" i="7"/>
  <c r="AB45" i="7" s="1"/>
  <c r="Y45" i="7"/>
  <c r="X45" i="7"/>
  <c r="AS44" i="7"/>
  <c r="AT44" i="7" s="1"/>
  <c r="AR44" i="7"/>
  <c r="AQ44" i="7"/>
  <c r="AO44" i="7"/>
  <c r="AN44" i="7"/>
  <c r="AA44" i="7"/>
  <c r="Z44" i="7"/>
  <c r="AB44" i="7" s="1"/>
  <c r="Y44" i="7"/>
  <c r="X44" i="7"/>
  <c r="AR43" i="7"/>
  <c r="AO43" i="7" s="1"/>
  <c r="AQ43" i="7"/>
  <c r="AN43" i="7"/>
  <c r="AA43" i="7"/>
  <c r="AB43" i="7" s="1"/>
  <c r="Z43" i="7"/>
  <c r="Y43" i="7"/>
  <c r="X43" i="7"/>
  <c r="AR42" i="7"/>
  <c r="AO42" i="7" s="1"/>
  <c r="AQ42" i="7"/>
  <c r="AN42" i="7"/>
  <c r="AA42" i="7"/>
  <c r="AB42" i="7" s="1"/>
  <c r="Z42" i="7"/>
  <c r="Y42" i="7"/>
  <c r="X42" i="7"/>
  <c r="AR41" i="7"/>
  <c r="AQ41" i="7"/>
  <c r="AS41" i="7" s="1"/>
  <c r="AT41" i="7" s="1"/>
  <c r="AO41" i="7"/>
  <c r="AN41" i="7"/>
  <c r="AB41" i="7"/>
  <c r="AA41" i="7"/>
  <c r="Z41" i="7"/>
  <c r="Y41" i="7"/>
  <c r="X41" i="7"/>
  <c r="AR40" i="7"/>
  <c r="AQ40" i="7"/>
  <c r="AS40" i="7" s="1"/>
  <c r="AT40" i="7" s="1"/>
  <c r="AO40" i="7"/>
  <c r="AN40" i="7"/>
  <c r="AB40" i="7"/>
  <c r="AA40" i="7"/>
  <c r="Z40" i="7"/>
  <c r="Y40" i="7"/>
  <c r="X40" i="7"/>
  <c r="AR39" i="7"/>
  <c r="AO39" i="7" s="1"/>
  <c r="AQ39" i="7"/>
  <c r="AS39" i="7" s="1"/>
  <c r="AT39" i="7" s="1"/>
  <c r="AN39" i="7"/>
  <c r="AB39" i="7"/>
  <c r="AA39" i="7"/>
  <c r="Z39" i="7"/>
  <c r="Y39" i="7"/>
  <c r="X39" i="7"/>
  <c r="AR38" i="7"/>
  <c r="AQ38" i="7"/>
  <c r="AO38" i="7"/>
  <c r="AN38" i="7"/>
  <c r="AA38" i="7"/>
  <c r="Z38" i="7"/>
  <c r="Y38" i="7"/>
  <c r="X38" i="7"/>
  <c r="AR37" i="7"/>
  <c r="AO37" i="7" s="1"/>
  <c r="AQ37" i="7"/>
  <c r="AS37" i="7" s="1"/>
  <c r="AT37" i="7" s="1"/>
  <c r="AN37" i="7"/>
  <c r="AB37" i="7"/>
  <c r="AA37" i="7"/>
  <c r="Z37" i="7"/>
  <c r="Y37" i="7"/>
  <c r="X37" i="7"/>
  <c r="AR36" i="7"/>
  <c r="AO36" i="7" s="1"/>
  <c r="AQ36" i="7"/>
  <c r="AS36" i="7" s="1"/>
  <c r="AT36" i="7" s="1"/>
  <c r="AN36" i="7"/>
  <c r="AB36" i="7"/>
  <c r="AA36" i="7"/>
  <c r="Z36" i="7"/>
  <c r="Y36" i="7"/>
  <c r="X36" i="7"/>
  <c r="AR35" i="7"/>
  <c r="AO35" i="7" s="1"/>
  <c r="AQ35" i="7"/>
  <c r="AN35" i="7"/>
  <c r="AA35" i="7"/>
  <c r="Z35" i="7"/>
  <c r="AB35" i="7" s="1"/>
  <c r="Y35" i="7"/>
  <c r="X35" i="7"/>
  <c r="AR34" i="7"/>
  <c r="AQ34" i="7"/>
  <c r="AS34" i="7" s="1"/>
  <c r="AT34" i="7" s="1"/>
  <c r="AO34" i="7"/>
  <c r="AN34" i="7"/>
  <c r="AA34" i="7"/>
  <c r="Z34" i="7"/>
  <c r="AB34" i="7" s="1"/>
  <c r="Y34" i="7"/>
  <c r="X34" i="7"/>
  <c r="AS33" i="7"/>
  <c r="AT33" i="7" s="1"/>
  <c r="AR33" i="7"/>
  <c r="AO33" i="7" s="1"/>
  <c r="AQ33" i="7"/>
  <c r="AN33" i="7"/>
  <c r="AA33" i="7"/>
  <c r="Z33" i="7"/>
  <c r="AB33" i="7" s="1"/>
  <c r="Y33" i="7"/>
  <c r="X33" i="7"/>
  <c r="AR32" i="7"/>
  <c r="AQ32" i="7"/>
  <c r="AO32" i="7"/>
  <c r="AN32" i="7"/>
  <c r="AA32" i="7"/>
  <c r="Z32" i="7"/>
  <c r="AB32" i="7" s="1"/>
  <c r="AS32" i="7" s="1"/>
  <c r="AT32" i="7" s="1"/>
  <c r="Y32" i="7"/>
  <c r="X32" i="7"/>
  <c r="AR31" i="7"/>
  <c r="AQ31" i="7"/>
  <c r="AO31" i="7"/>
  <c r="AN31" i="7"/>
  <c r="AA31" i="7"/>
  <c r="Z31" i="7"/>
  <c r="AB31" i="7" s="1"/>
  <c r="AS31" i="7" s="1"/>
  <c r="AT31" i="7" s="1"/>
  <c r="Y31" i="7"/>
  <c r="X31" i="7"/>
  <c r="AR30" i="7"/>
  <c r="AQ30" i="7"/>
  <c r="AO30" i="7"/>
  <c r="AN30" i="7"/>
  <c r="AA30" i="7"/>
  <c r="Z30" i="7"/>
  <c r="AB30" i="7" s="1"/>
  <c r="Y30" i="7"/>
  <c r="X30" i="7"/>
  <c r="AR29" i="7"/>
  <c r="AO29" i="7" s="1"/>
  <c r="AQ29" i="7"/>
  <c r="AN29" i="7"/>
  <c r="AA29" i="7"/>
  <c r="Z29" i="7"/>
  <c r="AB29" i="7" s="1"/>
  <c r="Y29" i="7"/>
  <c r="X29" i="7"/>
  <c r="AS28" i="7"/>
  <c r="AT28" i="7" s="1"/>
  <c r="AR28" i="7"/>
  <c r="AO28" i="7" s="1"/>
  <c r="AQ28" i="7"/>
  <c r="AN28" i="7"/>
  <c r="AA28" i="7"/>
  <c r="Z28" i="7"/>
  <c r="AB28" i="7" s="1"/>
  <c r="Y28" i="7"/>
  <c r="X28" i="7"/>
  <c r="AR27" i="7"/>
  <c r="AO27" i="7" s="1"/>
  <c r="AQ27" i="7"/>
  <c r="AN27" i="7"/>
  <c r="AA27" i="7"/>
  <c r="AB27" i="7" s="1"/>
  <c r="Z27" i="7"/>
  <c r="Y27" i="7"/>
  <c r="X27" i="7"/>
  <c r="AR26" i="7"/>
  <c r="AO26" i="7" s="1"/>
  <c r="AQ26" i="7"/>
  <c r="AN26" i="7"/>
  <c r="AB26" i="7"/>
  <c r="AA26" i="7"/>
  <c r="Z26" i="7"/>
  <c r="Y26" i="7"/>
  <c r="X26" i="7"/>
  <c r="AS25" i="7"/>
  <c r="AT25" i="7" s="1"/>
  <c r="AR25" i="7"/>
  <c r="AQ25" i="7"/>
  <c r="AO25" i="7"/>
  <c r="AN25" i="7"/>
  <c r="AA25" i="7"/>
  <c r="Z25" i="7"/>
  <c r="AB25" i="7" s="1"/>
  <c r="Y25" i="7"/>
  <c r="X25" i="7"/>
  <c r="AS24" i="7"/>
  <c r="AT24" i="7" s="1"/>
  <c r="AR24" i="7"/>
  <c r="AQ24" i="7"/>
  <c r="AO24" i="7"/>
  <c r="AN24" i="7"/>
  <c r="AA24" i="7"/>
  <c r="Z24" i="7"/>
  <c r="AB24" i="7" s="1"/>
  <c r="Y24" i="7"/>
  <c r="X24" i="7"/>
  <c r="AR23" i="7"/>
  <c r="AO23" i="7" s="1"/>
  <c r="AQ23" i="7"/>
  <c r="AN23" i="7"/>
  <c r="AA23" i="7"/>
  <c r="Z23" i="7"/>
  <c r="AB23" i="7" s="1"/>
  <c r="Y23" i="7"/>
  <c r="X23" i="7"/>
  <c r="AR22" i="7"/>
  <c r="AO22" i="7" s="1"/>
  <c r="AQ22" i="7"/>
  <c r="AN22" i="7"/>
  <c r="AA22" i="7"/>
  <c r="Z22" i="7"/>
  <c r="AB22" i="7" s="1"/>
  <c r="AS22" i="7" s="1"/>
  <c r="AT22" i="7" s="1"/>
  <c r="Y22" i="7"/>
  <c r="X22" i="7"/>
  <c r="AR21" i="7"/>
  <c r="AQ21" i="7"/>
  <c r="AO21" i="7"/>
  <c r="AN21" i="7"/>
  <c r="AA21" i="7"/>
  <c r="Z21" i="7"/>
  <c r="AB21" i="7" s="1"/>
  <c r="AS21" i="7" s="1"/>
  <c r="AT21" i="7" s="1"/>
  <c r="Y21" i="7"/>
  <c r="X21" i="7"/>
  <c r="AR20" i="7"/>
  <c r="AQ20" i="7"/>
  <c r="AO20" i="7"/>
  <c r="AN20" i="7"/>
  <c r="AA20" i="7"/>
  <c r="AB20" i="7" s="1"/>
  <c r="Z20" i="7"/>
  <c r="Y20" i="7"/>
  <c r="X20" i="7"/>
  <c r="AR19" i="7"/>
  <c r="AO19" i="7" s="1"/>
  <c r="AQ19" i="7"/>
  <c r="AN19" i="7"/>
  <c r="AA19" i="7"/>
  <c r="Z19" i="7"/>
  <c r="AB19" i="7" s="1"/>
  <c r="AS19" i="7" s="1"/>
  <c r="AT19" i="7" s="1"/>
  <c r="Y19" i="7"/>
  <c r="X19" i="7"/>
  <c r="AR18" i="7"/>
  <c r="AO18" i="7" s="1"/>
  <c r="AQ18" i="7"/>
  <c r="AN18" i="7"/>
  <c r="AA18" i="7"/>
  <c r="Z18" i="7"/>
  <c r="AB18" i="7" s="1"/>
  <c r="AS18" i="7" s="1"/>
  <c r="AT18" i="7" s="1"/>
  <c r="Y18" i="7"/>
  <c r="X18" i="7"/>
  <c r="AR17" i="7"/>
  <c r="AO17" i="7" s="1"/>
  <c r="AQ17" i="7"/>
  <c r="AN17" i="7"/>
  <c r="AA17" i="7"/>
  <c r="AB17" i="7" s="1"/>
  <c r="AS17" i="7" s="1"/>
  <c r="AT17" i="7" s="1"/>
  <c r="Z17" i="7"/>
  <c r="Y17" i="7"/>
  <c r="X17" i="7"/>
  <c r="AR16" i="7"/>
  <c r="AO16" i="7" s="1"/>
  <c r="AQ16" i="7"/>
  <c r="AN16" i="7"/>
  <c r="AA16" i="7"/>
  <c r="Z16" i="7"/>
  <c r="AB16" i="7" s="1"/>
  <c r="AS16" i="7" s="1"/>
  <c r="AT16" i="7" s="1"/>
  <c r="Y16" i="7"/>
  <c r="X16" i="7"/>
  <c r="AS15" i="7"/>
  <c r="AT15" i="7" s="1"/>
  <c r="AR15" i="7"/>
  <c r="AQ15" i="7"/>
  <c r="AO15" i="7"/>
  <c r="AN15" i="7"/>
  <c r="AA15" i="7"/>
  <c r="Z15" i="7"/>
  <c r="AB15" i="7" s="1"/>
  <c r="Y15" i="7"/>
  <c r="X15" i="7"/>
  <c r="AS14" i="7"/>
  <c r="AT14" i="7" s="1"/>
  <c r="AR14" i="7"/>
  <c r="AQ14" i="7"/>
  <c r="AO14" i="7"/>
  <c r="AN14" i="7"/>
  <c r="AA14" i="7"/>
  <c r="Z14" i="7"/>
  <c r="AB14" i="7" s="1"/>
  <c r="Y14" i="7"/>
  <c r="X14" i="7"/>
  <c r="AR13" i="7"/>
  <c r="AO13" i="7" s="1"/>
  <c r="AQ13" i="7"/>
  <c r="AN13" i="7"/>
  <c r="AA13" i="7"/>
  <c r="Z13" i="7"/>
  <c r="AB13" i="7" s="1"/>
  <c r="Y13" i="7"/>
  <c r="X13" i="7"/>
  <c r="AS12" i="7"/>
  <c r="AT12" i="7" s="1"/>
  <c r="AR12" i="7"/>
  <c r="AQ12" i="7"/>
  <c r="AO12" i="7"/>
  <c r="AN12" i="7"/>
  <c r="AA12" i="7"/>
  <c r="Z12" i="7"/>
  <c r="AB12" i="7" s="1"/>
  <c r="Y12" i="7"/>
  <c r="X12" i="7"/>
  <c r="AT11" i="7"/>
  <c r="AR11" i="7"/>
  <c r="AQ11" i="7"/>
  <c r="AO11" i="7"/>
  <c r="AN11" i="7"/>
  <c r="AA11" i="7"/>
  <c r="Z11" i="7"/>
  <c r="AB11" i="7" s="1"/>
  <c r="AS11" i="7" s="1"/>
  <c r="Y11" i="7"/>
  <c r="X11" i="7"/>
  <c r="AR10" i="7"/>
  <c r="AO10" i="7" s="1"/>
  <c r="AQ10" i="7"/>
  <c r="AN10" i="7"/>
  <c r="AA10" i="7"/>
  <c r="AB10" i="7" s="1"/>
  <c r="Z10" i="7"/>
  <c r="Y10" i="7"/>
  <c r="X10" i="7"/>
  <c r="AR9" i="7"/>
  <c r="AQ9" i="7"/>
  <c r="AO9" i="7"/>
  <c r="AN9" i="7"/>
  <c r="AA9" i="7"/>
  <c r="Z9" i="7"/>
  <c r="AB9" i="7" s="1"/>
  <c r="Y9" i="7"/>
  <c r="X9" i="7"/>
  <c r="AR8" i="7"/>
  <c r="AO8" i="7" s="1"/>
  <c r="AQ8" i="7"/>
  <c r="AN8" i="7"/>
  <c r="AA8" i="7"/>
  <c r="AB8" i="7" s="1"/>
  <c r="Z8" i="7"/>
  <c r="Y8" i="7"/>
  <c r="X8" i="7"/>
  <c r="AR7" i="7"/>
  <c r="AQ7" i="7"/>
  <c r="AS7" i="7" s="1"/>
  <c r="AT7" i="7" s="1"/>
  <c r="AO7" i="7"/>
  <c r="AN7" i="7"/>
  <c r="AB7" i="7"/>
  <c r="AA7" i="7"/>
  <c r="Z7" i="7"/>
  <c r="Y7" i="7"/>
  <c r="X7" i="7"/>
  <c r="AR6" i="7"/>
  <c r="AQ6" i="7"/>
  <c r="AS6" i="7" s="1"/>
  <c r="AT6" i="7" s="1"/>
  <c r="AO6" i="7"/>
  <c r="AN6" i="7"/>
  <c r="AB6" i="7"/>
  <c r="AA6" i="7"/>
  <c r="Z6" i="7"/>
  <c r="Y6" i="7"/>
  <c r="X6" i="7"/>
  <c r="J6" i="10"/>
  <c r="K6" i="10"/>
  <c r="H7" i="10"/>
  <c r="I7" i="10"/>
  <c r="J7" i="10"/>
  <c r="K7" i="10" s="1"/>
  <c r="H8" i="10"/>
  <c r="I8" i="10"/>
  <c r="J8" i="10"/>
  <c r="K8" i="10"/>
  <c r="H9" i="10"/>
  <c r="I9" i="10"/>
  <c r="J9" i="10"/>
  <c r="K9" i="10"/>
  <c r="H10" i="10"/>
  <c r="I10" i="10"/>
  <c r="J10" i="10"/>
  <c r="K10" i="10"/>
  <c r="H11" i="10"/>
  <c r="I11" i="10"/>
  <c r="J11" i="10"/>
  <c r="K11" i="10"/>
  <c r="H12" i="10"/>
  <c r="I12" i="10"/>
  <c r="J12" i="10"/>
  <c r="K12" i="10"/>
  <c r="H13" i="10"/>
  <c r="I13" i="10"/>
  <c r="J13" i="10"/>
  <c r="K13" i="10"/>
  <c r="G16" i="10"/>
  <c r="G17" i="10"/>
  <c r="G18" i="10"/>
  <c r="G19" i="10"/>
  <c r="AS42" i="7" l="1"/>
  <c r="AT42" i="7" s="1"/>
  <c r="AS10" i="7"/>
  <c r="AT10" i="7" s="1"/>
  <c r="AS61" i="7"/>
  <c r="AT61" i="7" s="1"/>
  <c r="AS119" i="7"/>
  <c r="AT119" i="7" s="1"/>
  <c r="AS93" i="7"/>
  <c r="AT93" i="7" s="1"/>
  <c r="AS150" i="7"/>
  <c r="AT150" i="7" s="1"/>
  <c r="AS157" i="7"/>
  <c r="AT157" i="7" s="1"/>
  <c r="AS207" i="7"/>
  <c r="AT207" i="7" s="1"/>
  <c r="AS126" i="7"/>
  <c r="AT126" i="7" s="1"/>
  <c r="AS165" i="7"/>
  <c r="AT165" i="7" s="1"/>
  <c r="AB168" i="7"/>
  <c r="AS242" i="7"/>
  <c r="AT242" i="7" s="1"/>
  <c r="AS26" i="7"/>
  <c r="AT26" i="7" s="1"/>
  <c r="AS100" i="7"/>
  <c r="AT100" i="7" s="1"/>
  <c r="AS112" i="7"/>
  <c r="AT112" i="7" s="1"/>
  <c r="AO122" i="7"/>
  <c r="AS122" i="7"/>
  <c r="AT122" i="7" s="1"/>
  <c r="AO196" i="7"/>
  <c r="AS196" i="7"/>
  <c r="AT196" i="7" s="1"/>
  <c r="AS107" i="7"/>
  <c r="AT107" i="7" s="1"/>
  <c r="AS143" i="7"/>
  <c r="AT143" i="7" s="1"/>
  <c r="AT209" i="7"/>
  <c r="AS54" i="7"/>
  <c r="AT54" i="7" s="1"/>
  <c r="AS79" i="7"/>
  <c r="AT79" i="7" s="1"/>
  <c r="AS8" i="7"/>
  <c r="AT8" i="7" s="1"/>
  <c r="AS110" i="7"/>
  <c r="AT110" i="7" s="1"/>
  <c r="AS141" i="7"/>
  <c r="AT141" i="7" s="1"/>
  <c r="AS127" i="7"/>
  <c r="AT127" i="7" s="1"/>
  <c r="AS101" i="7"/>
  <c r="AT101" i="7" s="1"/>
  <c r="AS113" i="7"/>
  <c r="AT113" i="7" s="1"/>
  <c r="AS35" i="7"/>
  <c r="AT35" i="7" s="1"/>
  <c r="AS99" i="7"/>
  <c r="AT99" i="7" s="1"/>
  <c r="AS123" i="7"/>
  <c r="AT123" i="7" s="1"/>
  <c r="AS104" i="7"/>
  <c r="AT104" i="7" s="1"/>
  <c r="AS235" i="7"/>
  <c r="AT235" i="7" s="1"/>
  <c r="AS75" i="7"/>
  <c r="AT75" i="7" s="1"/>
  <c r="AS94" i="7"/>
  <c r="AT94" i="7" s="1"/>
  <c r="AS53" i="7"/>
  <c r="AT53" i="7" s="1"/>
  <c r="AS233" i="7"/>
  <c r="AT233" i="7" s="1"/>
  <c r="AS97" i="7"/>
  <c r="AT97" i="7" s="1"/>
  <c r="AS102" i="7"/>
  <c r="AT102" i="7" s="1"/>
  <c r="AS116" i="7"/>
  <c r="AT116" i="7" s="1"/>
  <c r="AS176" i="7"/>
  <c r="AT176" i="7" s="1"/>
  <c r="AS240" i="7"/>
  <c r="AT240" i="7" s="1"/>
  <c r="AS103" i="7"/>
  <c r="AT103" i="7" s="1"/>
  <c r="AS185" i="7"/>
  <c r="AT185" i="7" s="1"/>
  <c r="AS30" i="7"/>
  <c r="AT30" i="7" s="1"/>
  <c r="AS69" i="7"/>
  <c r="AT69" i="7" s="1"/>
  <c r="AS238" i="7"/>
  <c r="AT238" i="7" s="1"/>
  <c r="AS76" i="7"/>
  <c r="AT76" i="7" s="1"/>
  <c r="AS58" i="7"/>
  <c r="AT58" i="7" s="1"/>
  <c r="AT78" i="7"/>
  <c r="AS263" i="7"/>
  <c r="AT263" i="7" s="1"/>
  <c r="AS260" i="7"/>
  <c r="AT260" i="7" s="1"/>
  <c r="AS140" i="7"/>
  <c r="AT140" i="7" s="1"/>
  <c r="AS183" i="7"/>
  <c r="AT183" i="7" s="1"/>
  <c r="AS149" i="7"/>
  <c r="AT149" i="7" s="1"/>
  <c r="AS206" i="7"/>
  <c r="AT206" i="7" s="1"/>
  <c r="AS13" i="7"/>
  <c r="AT13" i="7" s="1"/>
  <c r="AS49" i="7"/>
  <c r="AT49" i="7" s="1"/>
  <c r="AB72" i="7"/>
  <c r="AS72" i="7" s="1"/>
  <c r="AT72" i="7" s="1"/>
  <c r="AB81" i="7"/>
  <c r="AS81" i="7" s="1"/>
  <c r="AT81" i="7" s="1"/>
  <c r="AS89" i="7"/>
  <c r="AT89" i="7" s="1"/>
  <c r="AS129" i="7"/>
  <c r="AT129" i="7" s="1"/>
  <c r="AS147" i="7"/>
  <c r="AT147" i="7" s="1"/>
  <c r="AB172" i="7"/>
  <c r="AS172" i="7" s="1"/>
  <c r="AT172" i="7" s="1"/>
  <c r="AS236" i="7"/>
  <c r="AT236" i="7" s="1"/>
  <c r="AS270" i="7"/>
  <c r="AT270" i="7" s="1"/>
  <c r="AS142" i="7"/>
  <c r="AT142" i="7" s="1"/>
  <c r="AS208" i="7"/>
  <c r="AT208" i="7" s="1"/>
  <c r="AS169" i="7"/>
  <c r="AT169" i="7" s="1"/>
  <c r="AS43" i="7"/>
  <c r="AT43" i="7" s="1"/>
  <c r="AS56" i="7"/>
  <c r="AT56" i="7" s="1"/>
  <c r="AS74" i="7"/>
  <c r="AT74" i="7" s="1"/>
  <c r="AS179" i="7"/>
  <c r="AT179" i="7" s="1"/>
  <c r="AS190" i="7"/>
  <c r="AT190" i="7" s="1"/>
  <c r="AS195" i="7"/>
  <c r="AT195" i="7" s="1"/>
  <c r="AS197" i="7"/>
  <c r="AT197" i="7" s="1"/>
  <c r="AS243" i="7"/>
  <c r="AT243" i="7" s="1"/>
  <c r="AS247" i="7"/>
  <c r="AT247" i="7" s="1"/>
  <c r="AS252" i="7"/>
  <c r="AT252" i="7" s="1"/>
  <c r="AS279" i="7"/>
  <c r="AT279" i="7" s="1"/>
  <c r="AS139" i="7"/>
  <c r="AT139" i="7" s="1"/>
  <c r="AS168" i="7"/>
  <c r="AT168" i="7" s="1"/>
  <c r="AS59" i="7"/>
  <c r="AT59" i="7" s="1"/>
  <c r="AS90" i="7"/>
  <c r="AT90" i="7" s="1"/>
  <c r="AS117" i="7"/>
  <c r="AT117" i="7" s="1"/>
  <c r="AS130" i="7"/>
  <c r="AT130" i="7" s="1"/>
  <c r="AS148" i="7"/>
  <c r="AT148" i="7" s="1"/>
  <c r="AS237" i="7"/>
  <c r="AT237" i="7" s="1"/>
  <c r="AS280" i="7"/>
  <c r="AT280" i="7" s="1"/>
  <c r="AS57" i="7"/>
  <c r="AT57" i="7" s="1"/>
  <c r="AS84" i="7"/>
  <c r="AT84" i="7" s="1"/>
  <c r="AS137" i="7"/>
  <c r="AT137" i="7" s="1"/>
  <c r="AS173" i="7"/>
  <c r="AT173" i="7" s="1"/>
  <c r="AS180" i="7"/>
  <c r="AT180" i="7" s="1"/>
  <c r="AS250" i="7"/>
  <c r="AT250" i="7" s="1"/>
  <c r="AS98" i="7"/>
  <c r="AT98" i="7" s="1"/>
  <c r="AS223" i="7"/>
  <c r="AT223" i="7" s="1"/>
  <c r="AS50" i="7"/>
  <c r="AT50" i="7" s="1"/>
  <c r="AS66" i="7"/>
  <c r="AT66" i="7" s="1"/>
  <c r="AS198" i="7"/>
  <c r="AT198" i="7" s="1"/>
  <c r="AS27" i="7"/>
  <c r="AT27" i="7" s="1"/>
  <c r="AS48" i="7"/>
  <c r="AT48" i="7" s="1"/>
  <c r="AB133" i="7"/>
  <c r="AS133" i="7" s="1"/>
  <c r="AT133" i="7" s="1"/>
  <c r="AS159" i="7"/>
  <c r="AT159" i="7" s="1"/>
  <c r="AB194" i="7"/>
  <c r="AS194" i="7" s="1"/>
  <c r="AT194" i="7" s="1"/>
  <c r="AS226" i="7"/>
  <c r="AT226" i="7" s="1"/>
  <c r="AS60" i="7"/>
  <c r="AT60" i="7" s="1"/>
  <c r="AS203" i="7"/>
  <c r="AT203" i="7" s="1"/>
  <c r="AB214" i="7"/>
  <c r="AS214" i="7" s="1"/>
  <c r="AT214" i="7" s="1"/>
  <c r="AS230" i="7"/>
  <c r="AT230" i="7" s="1"/>
  <c r="AS259" i="7"/>
  <c r="AT259" i="7" s="1"/>
  <c r="AS178" i="7"/>
  <c r="AT178" i="7" s="1"/>
  <c r="AS9" i="7"/>
  <c r="AT9" i="7" s="1"/>
  <c r="AS23" i="7"/>
  <c r="AT23" i="7" s="1"/>
  <c r="AS70" i="7"/>
  <c r="AT70" i="7" s="1"/>
  <c r="AB154" i="7"/>
  <c r="AS154" i="7" s="1"/>
  <c r="AT154" i="7" s="1"/>
  <c r="AS170" i="7"/>
  <c r="AT170" i="7" s="1"/>
  <c r="AS199" i="7"/>
  <c r="AT199" i="7" s="1"/>
  <c r="AS80" i="7"/>
  <c r="AT80" i="7" s="1"/>
  <c r="AS220" i="7"/>
  <c r="AT220" i="7" s="1"/>
  <c r="AS29" i="7"/>
  <c r="AT29" i="7" s="1"/>
  <c r="AB65" i="7"/>
  <c r="AS65" i="7" s="1"/>
  <c r="AT65" i="7" s="1"/>
  <c r="AB138" i="7"/>
  <c r="AS138" i="7" s="1"/>
  <c r="AT138" i="7" s="1"/>
  <c r="AS160" i="7"/>
  <c r="AT160" i="7" s="1"/>
  <c r="AB233" i="7"/>
  <c r="AS249" i="7"/>
  <c r="AT249" i="7" s="1"/>
  <c r="AS278" i="7"/>
  <c r="AT278" i="7" s="1"/>
  <c r="AS200" i="7"/>
  <c r="AT200" i="7" s="1"/>
  <c r="AS289" i="7"/>
  <c r="AT289" i="7" s="1"/>
  <c r="AS20" i="7"/>
  <c r="AT20" i="7" s="1"/>
  <c r="AB38" i="7"/>
  <c r="AS38" i="7" s="1"/>
  <c r="AT38" i="7" s="1"/>
  <c r="AB93" i="7"/>
  <c r="AB125" i="7"/>
  <c r="AS125" i="7" s="1"/>
  <c r="AT125" i="7" s="1"/>
  <c r="AB213" i="7"/>
  <c r="AS213" i="7" s="1"/>
  <c r="AT213" i="7" s="1"/>
  <c r="AS229" i="7"/>
  <c r="AT229" i="7" s="1"/>
  <c r="AS258" i="7"/>
  <c r="AT258" i="7" s="1"/>
  <c r="AS283" i="7"/>
  <c r="AT283" i="7" s="1"/>
  <c r="J6" i="9"/>
  <c r="J7" i="9"/>
  <c r="J8" i="9"/>
  <c r="J9" i="9"/>
  <c r="J10" i="9"/>
  <c r="J11" i="9"/>
  <c r="J25" i="9" s="1"/>
  <c r="J12" i="9"/>
  <c r="J13" i="9"/>
  <c r="J14" i="9"/>
  <c r="J15" i="9"/>
  <c r="J16" i="9"/>
  <c r="J17" i="9"/>
  <c r="J18" i="9"/>
  <c r="J19" i="9"/>
  <c r="J20" i="9"/>
  <c r="J21" i="9"/>
  <c r="J22" i="9"/>
  <c r="J27" i="9" s="1"/>
  <c r="J23" i="9"/>
  <c r="E25" i="9"/>
  <c r="F25" i="9"/>
  <c r="G25" i="9"/>
  <c r="H25" i="9"/>
  <c r="I25" i="9"/>
  <c r="I13" i="8"/>
  <c r="H13" i="8"/>
  <c r="G13" i="8"/>
  <c r="F13" i="8"/>
  <c r="E13" i="8"/>
  <c r="D13" i="8"/>
  <c r="L12" i="8"/>
  <c r="K12" i="8"/>
  <c r="J12" i="8"/>
  <c r="L11" i="8"/>
  <c r="K11" i="8"/>
  <c r="J11" i="8"/>
  <c r="L10" i="8"/>
  <c r="K10" i="8"/>
  <c r="J10" i="8"/>
  <c r="L9" i="8"/>
  <c r="K9" i="8"/>
  <c r="J9" i="8"/>
  <c r="L8" i="8"/>
  <c r="K8" i="8"/>
  <c r="J8" i="8"/>
  <c r="L7" i="8"/>
  <c r="K7" i="8"/>
  <c r="J7" i="8"/>
  <c r="L6" i="8"/>
  <c r="L13" i="8" s="1"/>
  <c r="K6" i="8"/>
  <c r="K13" i="8" s="1"/>
  <c r="J6" i="8"/>
  <c r="J13" i="8" s="1"/>
  <c r="J26" i="9" l="1"/>
  <c r="AC143" i="1"/>
  <c r="AD143" i="1"/>
  <c r="AC144" i="1"/>
  <c r="AD144" i="1"/>
  <c r="H105" i="5" l="1"/>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G11" i="5"/>
  <c r="H11" i="5" s="1"/>
  <c r="G10" i="5"/>
  <c r="H10" i="5" s="1"/>
  <c r="G9" i="5"/>
  <c r="H9" i="5" s="1"/>
  <c r="G8" i="5"/>
  <c r="H8" i="5" s="1"/>
  <c r="G7" i="5"/>
  <c r="H7" i="5" s="1"/>
  <c r="G6" i="5"/>
  <c r="H6" i="5" s="1"/>
  <c r="F55" i="3"/>
  <c r="E55" i="3"/>
  <c r="F54" i="3"/>
  <c r="E54" i="3"/>
  <c r="F53" i="3"/>
  <c r="E53" i="3"/>
  <c r="F52" i="3"/>
  <c r="E52" i="3"/>
  <c r="F51" i="3"/>
  <c r="E51" i="3"/>
  <c r="F50" i="3"/>
  <c r="E50" i="3"/>
  <c r="F49" i="3"/>
  <c r="E49" i="3"/>
  <c r="F48" i="3"/>
  <c r="E48" i="3"/>
  <c r="F47" i="3"/>
  <c r="E47" i="3"/>
  <c r="F46" i="3"/>
  <c r="E46" i="3"/>
  <c r="F45" i="3"/>
  <c r="E45" i="3"/>
  <c r="F44" i="3"/>
  <c r="E44" i="3"/>
  <c r="F43" i="3"/>
  <c r="E43" i="3"/>
  <c r="F42" i="3"/>
  <c r="E42" i="3"/>
  <c r="F41" i="3"/>
  <c r="E41" i="3"/>
  <c r="F40" i="3"/>
  <c r="E40" i="3"/>
  <c r="F39" i="3"/>
  <c r="E39" i="3"/>
  <c r="F38" i="3"/>
  <c r="E38" i="3"/>
  <c r="F37" i="3"/>
  <c r="E37" i="3"/>
  <c r="F36" i="3"/>
  <c r="E36" i="3"/>
  <c r="F35" i="3"/>
  <c r="E35" i="3"/>
  <c r="F34" i="3"/>
  <c r="E34" i="3"/>
  <c r="F33" i="3"/>
  <c r="E33" i="3"/>
  <c r="F32" i="3"/>
  <c r="E32" i="3"/>
  <c r="F31" i="3"/>
  <c r="E31" i="3"/>
  <c r="F30" i="3"/>
  <c r="E30" i="3"/>
  <c r="F29" i="3"/>
  <c r="E29" i="3"/>
  <c r="F28" i="3"/>
  <c r="E28" i="3"/>
  <c r="F27" i="3"/>
  <c r="E27" i="3"/>
  <c r="F26" i="3"/>
  <c r="E26" i="3"/>
  <c r="F25" i="3"/>
  <c r="E25" i="3"/>
  <c r="F24" i="3"/>
  <c r="E24" i="3"/>
  <c r="F23" i="3"/>
  <c r="E23" i="3"/>
  <c r="F22" i="3"/>
  <c r="E22" i="3"/>
  <c r="F21" i="3"/>
  <c r="E21" i="3"/>
  <c r="F20" i="3"/>
  <c r="E20" i="3"/>
  <c r="F19" i="3"/>
  <c r="E19" i="3"/>
  <c r="F18" i="3"/>
  <c r="E18" i="3"/>
  <c r="F17" i="3"/>
  <c r="E17" i="3"/>
  <c r="F16" i="3"/>
  <c r="E16" i="3"/>
  <c r="F15" i="3"/>
  <c r="E15" i="3"/>
  <c r="F14" i="3"/>
  <c r="E14" i="3"/>
  <c r="F13" i="3"/>
  <c r="E13" i="3"/>
  <c r="F12" i="3"/>
  <c r="E12" i="3"/>
  <c r="F11" i="3"/>
  <c r="E11" i="3"/>
  <c r="F10" i="3"/>
  <c r="E10" i="3"/>
  <c r="F9" i="3"/>
  <c r="E9" i="3"/>
  <c r="F8" i="3"/>
  <c r="E8" i="3"/>
  <c r="F7" i="3"/>
  <c r="E7" i="3"/>
  <c r="F6" i="3"/>
  <c r="E6" i="3"/>
  <c r="AD361" i="1"/>
  <c r="AC361" i="1"/>
  <c r="AD360" i="1"/>
  <c r="AC360" i="1"/>
  <c r="AD359" i="1"/>
  <c r="AC359" i="1"/>
  <c r="AD358" i="1"/>
  <c r="AC358" i="1"/>
  <c r="AD357" i="1"/>
  <c r="AC357" i="1"/>
  <c r="AD356" i="1"/>
  <c r="AC356" i="1"/>
  <c r="AD355" i="1"/>
  <c r="AC355" i="1"/>
  <c r="AD354" i="1"/>
  <c r="AC354" i="1"/>
  <c r="AD353" i="1"/>
  <c r="AC353" i="1"/>
  <c r="AD352" i="1"/>
  <c r="AC352" i="1"/>
  <c r="AD351" i="1"/>
  <c r="AC351" i="1"/>
  <c r="AD350" i="1"/>
  <c r="AC350" i="1"/>
  <c r="AD348" i="1"/>
  <c r="AC348" i="1"/>
  <c r="AD347" i="1"/>
  <c r="AC347" i="1"/>
  <c r="AD346" i="1"/>
  <c r="AC346" i="1"/>
  <c r="AD345" i="1"/>
  <c r="AC345" i="1"/>
  <c r="AD344" i="1"/>
  <c r="AC344" i="1"/>
  <c r="AD343" i="1"/>
  <c r="AC343" i="1"/>
  <c r="AD342" i="1"/>
  <c r="AC342" i="1"/>
  <c r="AD341" i="1"/>
  <c r="AC341" i="1"/>
  <c r="AD340" i="1"/>
  <c r="AC340" i="1"/>
  <c r="AD339" i="1"/>
  <c r="AC339" i="1"/>
  <c r="AD338" i="1"/>
  <c r="AC338" i="1"/>
  <c r="AD337" i="1"/>
  <c r="AC337" i="1"/>
  <c r="AD336" i="1"/>
  <c r="AC336" i="1"/>
  <c r="AD335" i="1"/>
  <c r="AC335" i="1"/>
  <c r="AD334" i="1"/>
  <c r="AC334" i="1"/>
  <c r="AD333" i="1"/>
  <c r="AC333" i="1"/>
  <c r="AD332" i="1"/>
  <c r="AC332" i="1"/>
  <c r="AD331" i="1"/>
  <c r="AC331" i="1"/>
  <c r="AD330" i="1"/>
  <c r="AC330" i="1"/>
  <c r="AD329" i="1"/>
  <c r="AC329" i="1"/>
  <c r="AD328" i="1"/>
  <c r="AC328" i="1"/>
  <c r="AD327" i="1"/>
  <c r="AC327" i="1"/>
  <c r="AD326" i="1"/>
  <c r="AC326" i="1"/>
  <c r="AD325" i="1"/>
  <c r="AC325" i="1"/>
  <c r="AD324" i="1"/>
  <c r="AC324" i="1"/>
  <c r="AD323" i="1"/>
  <c r="AC323" i="1"/>
  <c r="AD322" i="1"/>
  <c r="AC322" i="1"/>
  <c r="AD321" i="1"/>
  <c r="AC321" i="1"/>
  <c r="AD320" i="1"/>
  <c r="AC320" i="1"/>
  <c r="AD319" i="1"/>
  <c r="AC319" i="1"/>
  <c r="AD318" i="1"/>
  <c r="AC318" i="1"/>
  <c r="AD317" i="1"/>
  <c r="AC317" i="1"/>
  <c r="AD316" i="1"/>
  <c r="AC316" i="1"/>
  <c r="AD315" i="1"/>
  <c r="AC315" i="1"/>
  <c r="AD314" i="1"/>
  <c r="AC314" i="1"/>
  <c r="AD313" i="1"/>
  <c r="AC313" i="1"/>
  <c r="AD312" i="1"/>
  <c r="AC312" i="1"/>
  <c r="AD311" i="1"/>
  <c r="AC311" i="1"/>
  <c r="AD310" i="1"/>
  <c r="AC310" i="1"/>
  <c r="AD309" i="1"/>
  <c r="AC309" i="1"/>
  <c r="AD308" i="1"/>
  <c r="AC308" i="1"/>
  <c r="AD307" i="1"/>
  <c r="AC307" i="1"/>
  <c r="AD306" i="1"/>
  <c r="AC306" i="1"/>
  <c r="AD305" i="1"/>
  <c r="AC305" i="1"/>
  <c r="AD304" i="1"/>
  <c r="AC304" i="1"/>
  <c r="AD303" i="1"/>
  <c r="AC303" i="1"/>
  <c r="AD302" i="1"/>
  <c r="AC302" i="1"/>
  <c r="AD301" i="1"/>
  <c r="AC301" i="1"/>
  <c r="AD300" i="1"/>
  <c r="AC300" i="1"/>
  <c r="AD299" i="1"/>
  <c r="AC299" i="1"/>
  <c r="AD298" i="1"/>
  <c r="AC298" i="1"/>
  <c r="AD297" i="1"/>
  <c r="AC297" i="1"/>
  <c r="AD296" i="1"/>
  <c r="AC296" i="1"/>
  <c r="AD295" i="1"/>
  <c r="AC295" i="1"/>
  <c r="AD294" i="1"/>
  <c r="AC294" i="1"/>
  <c r="AD293" i="1"/>
  <c r="AC293" i="1"/>
  <c r="AD292" i="1"/>
  <c r="AC292" i="1"/>
  <c r="AD291" i="1"/>
  <c r="AC291" i="1"/>
  <c r="AD290" i="1"/>
  <c r="AC290" i="1"/>
  <c r="AD289" i="1"/>
  <c r="AC289" i="1"/>
  <c r="AD288" i="1"/>
  <c r="AC288" i="1"/>
  <c r="AD287" i="1"/>
  <c r="AC287" i="1"/>
  <c r="AD286" i="1"/>
  <c r="AC286" i="1"/>
  <c r="AD285" i="1"/>
  <c r="AC285" i="1"/>
  <c r="AD284" i="1"/>
  <c r="AC284" i="1"/>
  <c r="AD283" i="1"/>
  <c r="AC283" i="1"/>
  <c r="AD282" i="1"/>
  <c r="AC282" i="1"/>
  <c r="AD281" i="1"/>
  <c r="AC281" i="1"/>
  <c r="AD280" i="1"/>
  <c r="AC280" i="1"/>
  <c r="AD279" i="1"/>
  <c r="AC279" i="1"/>
  <c r="AD278" i="1"/>
  <c r="AC278" i="1"/>
  <c r="AD277" i="1"/>
  <c r="AC277" i="1"/>
  <c r="AD276" i="1"/>
  <c r="AC276" i="1"/>
  <c r="AD275" i="1"/>
  <c r="AC275" i="1"/>
  <c r="AD274" i="1"/>
  <c r="AC274" i="1"/>
  <c r="AD273" i="1"/>
  <c r="AC273" i="1"/>
  <c r="AD272" i="1"/>
  <c r="AC272" i="1"/>
  <c r="AD271" i="1"/>
  <c r="AC271" i="1"/>
  <c r="AD270" i="1"/>
  <c r="AC270" i="1"/>
  <c r="AD269" i="1"/>
  <c r="AC269" i="1"/>
  <c r="AD268" i="1"/>
  <c r="AC268" i="1"/>
  <c r="AD267" i="1"/>
  <c r="AC267" i="1"/>
  <c r="AD266" i="1"/>
  <c r="AC266" i="1"/>
  <c r="AD265" i="1"/>
  <c r="AC265" i="1"/>
  <c r="AD264" i="1"/>
  <c r="AC264" i="1"/>
  <c r="AD263" i="1"/>
  <c r="AC263" i="1"/>
  <c r="AD262" i="1"/>
  <c r="AC262" i="1"/>
  <c r="AD261" i="1"/>
  <c r="AC261" i="1"/>
  <c r="AD260" i="1"/>
  <c r="AC260" i="1"/>
  <c r="AD259" i="1"/>
  <c r="AC259" i="1"/>
  <c r="AD258" i="1"/>
  <c r="AC258" i="1"/>
  <c r="AD257" i="1"/>
  <c r="AC257" i="1"/>
  <c r="AD256" i="1"/>
  <c r="AC256" i="1"/>
  <c r="AD255" i="1"/>
  <c r="AC255" i="1"/>
  <c r="AD254" i="1"/>
  <c r="AC254" i="1"/>
  <c r="AD253" i="1"/>
  <c r="AC253" i="1"/>
  <c r="AD252" i="1"/>
  <c r="AC252" i="1"/>
  <c r="AD251" i="1"/>
  <c r="AC251" i="1"/>
  <c r="AD250" i="1"/>
  <c r="AC250" i="1"/>
  <c r="AD249" i="1"/>
  <c r="AC249" i="1"/>
  <c r="AD248" i="1"/>
  <c r="AC248" i="1"/>
  <c r="AD247" i="1"/>
  <c r="AC247" i="1"/>
  <c r="AD246" i="1"/>
  <c r="AC246" i="1"/>
  <c r="AD245" i="1"/>
  <c r="AC245" i="1"/>
  <c r="AD244" i="1"/>
  <c r="AC244" i="1"/>
  <c r="AD243" i="1"/>
  <c r="AC243" i="1"/>
  <c r="AD242" i="1"/>
  <c r="AC242" i="1"/>
  <c r="AD241" i="1"/>
  <c r="AC241" i="1"/>
  <c r="AD240" i="1"/>
  <c r="AC240" i="1"/>
  <c r="AD239" i="1"/>
  <c r="AC239" i="1"/>
  <c r="AD238" i="1"/>
  <c r="AC238" i="1"/>
  <c r="AD237" i="1"/>
  <c r="AC237" i="1"/>
  <c r="AD236" i="1"/>
  <c r="AC236" i="1"/>
  <c r="AD235" i="1"/>
  <c r="AC235" i="1"/>
  <c r="AD234" i="1"/>
  <c r="AC234" i="1"/>
  <c r="AD233" i="1"/>
  <c r="AC233" i="1"/>
  <c r="AD232" i="1"/>
  <c r="AC232" i="1"/>
  <c r="AD231" i="1"/>
  <c r="AC231" i="1"/>
  <c r="AD230" i="1"/>
  <c r="AC230" i="1"/>
  <c r="AD229" i="1"/>
  <c r="AC229" i="1"/>
  <c r="AD228" i="1"/>
  <c r="AC228" i="1"/>
  <c r="AD227" i="1"/>
  <c r="AC227" i="1"/>
  <c r="AD226" i="1"/>
  <c r="AC226" i="1"/>
  <c r="AD225" i="1"/>
  <c r="AC225" i="1"/>
  <c r="AD224" i="1"/>
  <c r="AC224" i="1"/>
  <c r="AD223" i="1"/>
  <c r="AC223" i="1"/>
  <c r="AD222" i="1"/>
  <c r="AC222" i="1"/>
  <c r="AD221" i="1"/>
  <c r="AC221" i="1"/>
  <c r="AD220" i="1"/>
  <c r="AC220" i="1"/>
  <c r="AD219" i="1"/>
  <c r="AC219" i="1"/>
  <c r="AD218" i="1"/>
  <c r="AC218" i="1"/>
  <c r="AD217" i="1"/>
  <c r="AC217" i="1"/>
  <c r="AD216" i="1"/>
  <c r="AC216" i="1"/>
  <c r="AD215" i="1"/>
  <c r="AC215" i="1"/>
  <c r="AD214" i="1"/>
  <c r="AC214" i="1"/>
  <c r="AD213" i="1"/>
  <c r="AC213" i="1"/>
  <c r="AD210" i="1"/>
  <c r="AC210" i="1"/>
  <c r="AD209" i="1"/>
  <c r="AC209" i="1"/>
  <c r="AD208" i="1"/>
  <c r="AC208" i="1"/>
  <c r="AD207" i="1"/>
  <c r="AC207" i="1"/>
  <c r="AD205" i="1"/>
  <c r="AC205" i="1"/>
  <c r="AD204" i="1"/>
  <c r="AC204" i="1"/>
  <c r="AD203" i="1"/>
  <c r="AC203" i="1"/>
  <c r="AD202" i="1"/>
  <c r="AC202" i="1"/>
  <c r="AD201" i="1"/>
  <c r="AC201" i="1"/>
  <c r="AD200" i="1"/>
  <c r="AC200" i="1"/>
  <c r="AD199" i="1"/>
  <c r="AC199" i="1"/>
  <c r="AD198" i="1"/>
  <c r="AC198" i="1"/>
  <c r="AD197" i="1"/>
  <c r="AC197" i="1"/>
  <c r="AD196" i="1"/>
  <c r="AC196" i="1"/>
  <c r="AD195" i="1"/>
  <c r="AC195" i="1"/>
  <c r="AD194" i="1"/>
  <c r="AC194" i="1"/>
  <c r="AD193" i="1"/>
  <c r="AC193" i="1"/>
  <c r="AD192" i="1"/>
  <c r="AC192" i="1"/>
  <c r="AD191" i="1"/>
  <c r="AC191" i="1"/>
  <c r="AD190" i="1"/>
  <c r="AC190" i="1"/>
  <c r="AD189" i="1"/>
  <c r="AC189" i="1"/>
  <c r="AD188" i="1"/>
  <c r="AC188" i="1"/>
  <c r="AD187" i="1"/>
  <c r="AC187" i="1"/>
  <c r="AD186" i="1"/>
  <c r="AC186" i="1"/>
  <c r="AD185" i="1"/>
  <c r="AC185" i="1"/>
  <c r="AD184" i="1"/>
  <c r="AC184" i="1"/>
  <c r="AD183" i="1"/>
  <c r="AC183" i="1"/>
  <c r="AD182" i="1"/>
  <c r="AC182" i="1"/>
  <c r="AD181" i="1"/>
  <c r="AC181" i="1"/>
  <c r="AD180" i="1"/>
  <c r="AC180" i="1"/>
  <c r="AD179" i="1"/>
  <c r="AC179" i="1"/>
  <c r="AD178" i="1"/>
  <c r="AC178" i="1"/>
  <c r="AD177" i="1"/>
  <c r="AC177" i="1"/>
  <c r="AD176" i="1"/>
  <c r="AC176" i="1"/>
  <c r="AD175" i="1"/>
  <c r="AC175" i="1"/>
  <c r="AD174" i="1"/>
  <c r="AC174" i="1"/>
  <c r="AD173" i="1"/>
  <c r="AC173" i="1"/>
  <c r="AD172" i="1"/>
  <c r="AC172" i="1"/>
  <c r="AD171" i="1"/>
  <c r="AC171" i="1"/>
  <c r="AD170" i="1"/>
  <c r="AC170" i="1"/>
  <c r="AD169" i="1"/>
  <c r="AC169" i="1"/>
  <c r="AD168" i="1"/>
  <c r="AC168" i="1"/>
  <c r="AD167" i="1"/>
  <c r="AC167" i="1"/>
  <c r="AD166" i="1"/>
  <c r="AC166" i="1"/>
  <c r="AD165" i="1"/>
  <c r="AC165" i="1"/>
  <c r="AD163" i="1"/>
  <c r="AC163" i="1"/>
  <c r="AD162" i="1"/>
  <c r="AC162" i="1"/>
  <c r="AD161" i="1"/>
  <c r="AC161" i="1"/>
  <c r="AD160" i="1"/>
  <c r="AC160" i="1"/>
  <c r="AD159" i="1"/>
  <c r="AC159" i="1"/>
  <c r="AD158" i="1"/>
  <c r="AC158" i="1"/>
  <c r="AD157" i="1"/>
  <c r="AC157" i="1"/>
  <c r="AD156" i="1"/>
  <c r="AC156" i="1"/>
  <c r="AD155" i="1"/>
  <c r="AC155" i="1"/>
  <c r="AD154" i="1"/>
  <c r="AC154" i="1"/>
  <c r="AD153" i="1"/>
  <c r="AC153" i="1"/>
  <c r="AD152" i="1"/>
  <c r="AC152" i="1"/>
  <c r="AD151" i="1"/>
  <c r="AC151" i="1"/>
  <c r="AD149" i="1"/>
  <c r="AC149" i="1"/>
  <c r="AD148" i="1"/>
  <c r="AC148" i="1"/>
  <c r="AD147" i="1"/>
  <c r="AC147" i="1"/>
  <c r="AD146" i="1"/>
  <c r="AC146" i="1"/>
  <c r="AD145" i="1"/>
  <c r="AC145" i="1"/>
  <c r="AD142" i="1"/>
  <c r="AC142" i="1"/>
  <c r="AD141" i="1"/>
  <c r="AC141" i="1"/>
  <c r="AD140" i="1"/>
  <c r="AC140" i="1"/>
  <c r="AD139" i="1"/>
  <c r="AC139" i="1"/>
  <c r="AD138" i="1"/>
  <c r="AC138" i="1"/>
  <c r="AD137" i="1"/>
  <c r="AC137" i="1"/>
  <c r="AD136" i="1"/>
  <c r="AC136" i="1"/>
  <c r="AD135" i="1"/>
  <c r="AC135" i="1"/>
  <c r="AD134" i="1"/>
  <c r="AC134" i="1"/>
  <c r="AD133" i="1"/>
  <c r="AC133" i="1"/>
  <c r="AD132" i="1"/>
  <c r="AC132" i="1"/>
  <c r="AD131" i="1"/>
  <c r="AC131" i="1"/>
  <c r="AD130" i="1"/>
  <c r="AC130" i="1"/>
  <c r="AD129" i="1"/>
  <c r="AC129" i="1"/>
  <c r="AD128" i="1"/>
  <c r="AC128" i="1"/>
  <c r="AD127" i="1"/>
  <c r="AC127" i="1"/>
  <c r="AD126" i="1"/>
  <c r="AC126" i="1"/>
  <c r="AD125" i="1"/>
  <c r="AC125" i="1"/>
  <c r="AD124" i="1"/>
  <c r="AC124" i="1"/>
  <c r="AD123" i="1"/>
  <c r="AC123" i="1"/>
  <c r="AD122" i="1"/>
  <c r="AC122" i="1"/>
  <c r="AD121" i="1"/>
  <c r="AC121" i="1"/>
  <c r="AD120" i="1"/>
  <c r="AC120" i="1"/>
  <c r="AD119" i="1"/>
  <c r="AC119" i="1"/>
  <c r="AD118" i="1"/>
  <c r="AC118" i="1"/>
  <c r="AD117" i="1"/>
  <c r="AC117" i="1"/>
  <c r="AD116" i="1"/>
  <c r="AC116" i="1"/>
  <c r="AD114" i="1"/>
  <c r="AC114" i="1"/>
  <c r="AD113" i="1"/>
  <c r="AC113" i="1"/>
  <c r="AD112" i="1"/>
  <c r="AC112" i="1"/>
  <c r="AD111" i="1"/>
  <c r="AC111" i="1"/>
  <c r="AD110" i="1"/>
  <c r="AC110" i="1"/>
  <c r="AD109" i="1"/>
  <c r="AC109" i="1"/>
  <c r="AD107" i="1"/>
  <c r="AC107" i="1"/>
  <c r="AD106" i="1"/>
  <c r="AC106" i="1"/>
  <c r="AD105" i="1"/>
  <c r="AC105" i="1"/>
  <c r="AD104" i="1"/>
  <c r="AC104" i="1"/>
  <c r="AD103" i="1"/>
  <c r="AC103" i="1"/>
  <c r="AD102" i="1"/>
  <c r="AC102" i="1"/>
  <c r="AD101" i="1"/>
  <c r="AC101" i="1"/>
  <c r="AD100" i="1"/>
  <c r="AC100" i="1"/>
  <c r="AD99" i="1"/>
  <c r="AC99" i="1"/>
  <c r="AD98" i="1"/>
  <c r="AC98" i="1"/>
  <c r="AD97" i="1"/>
  <c r="AC97" i="1"/>
  <c r="AD96" i="1"/>
  <c r="AC96" i="1"/>
  <c r="AD95" i="1"/>
  <c r="AC95" i="1"/>
  <c r="AD94" i="1"/>
  <c r="AC94" i="1"/>
  <c r="AD93" i="1"/>
  <c r="AC93" i="1"/>
  <c r="AD92" i="1"/>
  <c r="AC92" i="1"/>
  <c r="AD91" i="1"/>
  <c r="AC91" i="1"/>
  <c r="AD90" i="1"/>
  <c r="AC90" i="1"/>
  <c r="AD89" i="1"/>
  <c r="AC89" i="1"/>
  <c r="AD88" i="1"/>
  <c r="AC88" i="1"/>
  <c r="AD87" i="1"/>
  <c r="AC87" i="1"/>
  <c r="AD86" i="1"/>
  <c r="AC86" i="1"/>
  <c r="AD85" i="1"/>
  <c r="AC85" i="1"/>
  <c r="AD84" i="1"/>
  <c r="AC84" i="1"/>
  <c r="AD83" i="1"/>
  <c r="AC83" i="1"/>
  <c r="AD82" i="1"/>
  <c r="AC82" i="1"/>
  <c r="AD81" i="1"/>
  <c r="AC81" i="1"/>
  <c r="AD80" i="1"/>
  <c r="AC80" i="1"/>
  <c r="AD79" i="1"/>
  <c r="AC79" i="1"/>
  <c r="AD78" i="1"/>
  <c r="AC78" i="1"/>
  <c r="AD77" i="1"/>
  <c r="AC77" i="1"/>
  <c r="AD76" i="1"/>
  <c r="AC76" i="1"/>
  <c r="AD75" i="1"/>
  <c r="AC75" i="1"/>
  <c r="AD74" i="1"/>
  <c r="AC74" i="1"/>
  <c r="AD73" i="1"/>
  <c r="AC73" i="1"/>
  <c r="AD72" i="1"/>
  <c r="AC72" i="1"/>
  <c r="AD71" i="1"/>
  <c r="AC71" i="1"/>
  <c r="AD70" i="1"/>
  <c r="AC70" i="1"/>
  <c r="AD69" i="1"/>
  <c r="AC69" i="1"/>
  <c r="AD68" i="1"/>
  <c r="AC68" i="1"/>
  <c r="AD67" i="1"/>
  <c r="AC67" i="1"/>
  <c r="AD66" i="1"/>
  <c r="AC66" i="1"/>
  <c r="AD65" i="1"/>
  <c r="AC65" i="1"/>
  <c r="AD64" i="1"/>
  <c r="AC64" i="1"/>
  <c r="AD63" i="1"/>
  <c r="AC63" i="1"/>
  <c r="AD62" i="1"/>
  <c r="AC62" i="1"/>
  <c r="AD61" i="1"/>
  <c r="AC61" i="1"/>
  <c r="AD60" i="1"/>
  <c r="AC60" i="1"/>
  <c r="AD59" i="1"/>
  <c r="AC59" i="1"/>
  <c r="AD58" i="1"/>
  <c r="AC58" i="1"/>
  <c r="AD57" i="1"/>
  <c r="AC57" i="1"/>
  <c r="AD56" i="1"/>
  <c r="AC56" i="1"/>
  <c r="AD55" i="1"/>
  <c r="AC55" i="1"/>
  <c r="AD54" i="1"/>
  <c r="AC54" i="1"/>
  <c r="AD53" i="1"/>
  <c r="AC53" i="1"/>
  <c r="AD51" i="1"/>
  <c r="AC51" i="1"/>
  <c r="AD50" i="1"/>
  <c r="AC50" i="1"/>
  <c r="AD49" i="1"/>
  <c r="AC49" i="1"/>
  <c r="AD48" i="1"/>
  <c r="AC48" i="1"/>
  <c r="AD47" i="1"/>
  <c r="AC47" i="1"/>
  <c r="AD46" i="1"/>
  <c r="AC46" i="1"/>
  <c r="AD45" i="1"/>
  <c r="AC45" i="1"/>
  <c r="AD44" i="1"/>
  <c r="AC44" i="1"/>
  <c r="AD43" i="1"/>
  <c r="AC43" i="1"/>
  <c r="AD42" i="1"/>
  <c r="AC42" i="1"/>
  <c r="AD41" i="1"/>
  <c r="AC41" i="1"/>
  <c r="AD40" i="1"/>
  <c r="AC40" i="1"/>
  <c r="AD39" i="1"/>
  <c r="AC39" i="1"/>
  <c r="AD38" i="1"/>
  <c r="AC38" i="1"/>
  <c r="AD37" i="1"/>
  <c r="AC37" i="1"/>
  <c r="AD36" i="1"/>
  <c r="AC36" i="1"/>
  <c r="AD35" i="1"/>
  <c r="AC35" i="1"/>
  <c r="AD34" i="1"/>
  <c r="AC34" i="1"/>
  <c r="AD33" i="1"/>
  <c r="AC33" i="1"/>
  <c r="AD32" i="1"/>
  <c r="AC32" i="1"/>
  <c r="AD31" i="1"/>
  <c r="AC31" i="1"/>
  <c r="AD30" i="1"/>
  <c r="AC30" i="1"/>
  <c r="AD29" i="1"/>
  <c r="AC29" i="1"/>
  <c r="AD28" i="1"/>
  <c r="AC28" i="1"/>
  <c r="AD27" i="1"/>
  <c r="AC27" i="1"/>
  <c r="AD26" i="1"/>
  <c r="AC26" i="1"/>
  <c r="AD25" i="1"/>
  <c r="AC25" i="1"/>
  <c r="AD24" i="1"/>
  <c r="AC24" i="1"/>
  <c r="AD23" i="1"/>
  <c r="AC23" i="1"/>
  <c r="AD22" i="1"/>
  <c r="AC22" i="1"/>
  <c r="AD21" i="1"/>
  <c r="AC21" i="1"/>
  <c r="AD20" i="1"/>
  <c r="AC20" i="1"/>
  <c r="AD19" i="1"/>
  <c r="AC19" i="1"/>
  <c r="AD18" i="1"/>
  <c r="AC18" i="1"/>
  <c r="AD17" i="1"/>
  <c r="AC17" i="1"/>
  <c r="AD16" i="1"/>
  <c r="AC16" i="1"/>
  <c r="AD15" i="1"/>
  <c r="AC15" i="1"/>
  <c r="AD14" i="1"/>
  <c r="AC14" i="1"/>
  <c r="AD13" i="1"/>
  <c r="AC13" i="1"/>
  <c r="AD12" i="1"/>
  <c r="AC12" i="1"/>
  <c r="AD11" i="1"/>
  <c r="AC11" i="1"/>
  <c r="AD10" i="1"/>
  <c r="AC10" i="1"/>
  <c r="AD9" i="1"/>
  <c r="AC9" i="1"/>
  <c r="AD8" i="1"/>
  <c r="AC8" i="1"/>
  <c r="AD7" i="1"/>
  <c r="AC7" i="1"/>
  <c r="AD6" i="1"/>
  <c r="AC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LEGION</author>
  </authors>
  <commentList>
    <comment ref="R5" authorId="0" shapeId="0" xr:uid="{B9EF35C7-4168-4B6F-83EA-181C96E2E716}">
      <text>
        <r>
          <rPr>
            <b/>
            <sz val="9"/>
            <color indexed="81"/>
            <rFont val="Tahoma"/>
            <charset val="1"/>
          </rPr>
          <t>Pilih Ya apabila:</t>
        </r>
        <r>
          <rPr>
            <sz val="9"/>
            <color indexed="81"/>
            <rFont val="Tahoma"/>
            <charset val="1"/>
          </rPr>
          <t xml:space="preserve">
Terdapat penghuni berusia 60 tahun atau lebih</t>
        </r>
      </text>
    </comment>
    <comment ref="S5" authorId="0" shapeId="0" xr:uid="{0580F875-E11F-4C0B-B36E-EF35C582DDF0}">
      <text>
        <r>
          <rPr>
            <b/>
            <sz val="9"/>
            <color indexed="81"/>
            <rFont val="Tahoma"/>
            <charset val="1"/>
          </rPr>
          <t>Pilih Ya apabila:</t>
        </r>
        <r>
          <rPr>
            <sz val="9"/>
            <color indexed="81"/>
            <rFont val="Tahoma"/>
            <charset val="1"/>
          </rPr>
          <t xml:space="preserve">
Terdapat penghuni yang mengalami kesulitan berjalan, melihat, mendengar, berkomunikasi, memahami kondisi sekitar, atau melakukan aktivitas sehari-hari secara mandiri.</t>
        </r>
      </text>
    </comment>
    <comment ref="T5" authorId="0" shapeId="0" xr:uid="{39929FA7-86C1-429D-B7C0-F424E4E0751C}">
      <text>
        <r>
          <rPr>
            <b/>
            <sz val="9"/>
            <color indexed="81"/>
            <rFont val="Tahoma"/>
            <charset val="1"/>
          </rPr>
          <t>Pilih Ya apabila:</t>
        </r>
        <r>
          <rPr>
            <sz val="9"/>
            <color indexed="81"/>
            <rFont val="Tahoma"/>
            <charset val="1"/>
          </rPr>
          <t xml:space="preserve">
Perempuan tercatat sebagai kepala keluarga pada KK</t>
        </r>
      </text>
    </comment>
    <comment ref="U5" authorId="0" shapeId="0" xr:uid="{6910898C-262E-4814-817D-308AD0159BAE}">
      <text>
        <r>
          <rPr>
            <b/>
            <sz val="9"/>
            <color indexed="81"/>
            <rFont val="Tahoma"/>
            <charset val="1"/>
          </rPr>
          <t>Pilih Ya apabila:</t>
        </r>
        <r>
          <rPr>
            <sz val="9"/>
            <color indexed="81"/>
            <rFont val="Tahoma"/>
            <charset val="1"/>
          </rPr>
          <t xml:space="preserve">
Terdapat penghuni berusia 0 sampai sebelum 5 tahun</t>
        </r>
      </text>
    </comment>
    <comment ref="V5" authorId="0" shapeId="0" xr:uid="{30880CAF-E088-424B-8090-DDC7892E7C10}">
      <text>
        <r>
          <rPr>
            <b/>
            <sz val="9"/>
            <color indexed="81"/>
            <rFont val="Tahoma"/>
            <charset val="1"/>
          </rPr>
          <t>Pilih Ya apabila:</t>
        </r>
        <r>
          <rPr>
            <sz val="9"/>
            <color indexed="81"/>
            <rFont val="Tahoma"/>
            <charset val="1"/>
          </rPr>
          <t xml:space="preserve">
Terdapat penghuni yang tidak dapat makan, mandi, berpakaian, berpindah tempat, menggunakan toilet, atau menyelamatkan diri tanpa bantuan. Termasuk penghuni yang terbaring, mengalami sakit berat berkepanjangan, atau membutuhkan pendampingan hampir sepanjang waktu.</t>
        </r>
      </text>
    </comment>
    <comment ref="AC5" authorId="0" shapeId="0" xr:uid="{24C62A2D-3551-4CB2-B4D5-238320F84C84}">
      <text>
        <r>
          <rPr>
            <b/>
            <sz val="9"/>
            <color indexed="81"/>
            <rFont val="Tahoma"/>
            <charset val="1"/>
          </rPr>
          <t>Pilih Ya apabila:</t>
        </r>
        <r>
          <rPr>
            <sz val="9"/>
            <color indexed="81"/>
            <rFont val="Tahoma"/>
            <charset val="1"/>
          </rPr>
          <t xml:space="preserve">
Rumah terlihat miring berat, fondasi turun, beberapa bagian struktur utama rusak, kolom atau balok patah, atau bangunan dapat runtuh sewaktu-waktu.</t>
        </r>
      </text>
    </comment>
    <comment ref="AD5" authorId="0" shapeId="0" xr:uid="{933BD42C-6705-49FA-80C0-AA29DDD56F04}">
      <text>
        <r>
          <rPr>
            <b/>
            <sz val="9"/>
            <color indexed="81"/>
            <rFont val="Tahoma"/>
            <charset val="1"/>
          </rPr>
          <t>Pilih Ya apabila:</t>
        </r>
        <r>
          <rPr>
            <sz val="9"/>
            <color indexed="81"/>
            <rFont val="Tahoma"/>
            <charset val="1"/>
          </rPr>
          <t xml:space="preserve">
Rangka atap, dinding, kolom, plafon, atau instalasi listrik rusak akibat api; terdapat bagian hangus, retak karena panas, atau masih berisiko runtuh dan korsleting.</t>
        </r>
      </text>
    </comment>
    <comment ref="AE5" authorId="0" shapeId="0" xr:uid="{7D1626EE-DB4B-4FF5-839E-480D53995F1A}">
      <text>
        <r>
          <rPr>
            <b/>
            <sz val="9"/>
            <color indexed="81"/>
            <rFont val="Tahoma"/>
            <charset val="1"/>
          </rPr>
          <t>Pilih Ya apabila:</t>
        </r>
        <r>
          <rPr>
            <sz val="9"/>
            <color indexed="81"/>
            <rFont val="Tahoma"/>
            <charset val="1"/>
          </rPr>
          <t xml:space="preserve">
Rangka atap melendut, penutup atap hampir jatuh, dinding miring, terlepas, retak besar, menggembung, atau sebagian sudah runtuh.</t>
        </r>
      </text>
    </comment>
    <comment ref="AF5" authorId="0" shapeId="0" xr:uid="{ADB33801-ADEB-4469-9217-687BE901216F}">
      <text>
        <r>
          <rPr>
            <b/>
            <sz val="9"/>
            <color indexed="81"/>
            <rFont val="Tahoma"/>
            <charset val="1"/>
          </rPr>
          <t>Pilih Ya apabila:</t>
        </r>
        <r>
          <rPr>
            <sz val="9"/>
            <color indexed="81"/>
            <rFont val="Tahoma"/>
            <charset val="1"/>
          </rPr>
          <t xml:space="preserve">
Genangan cukup tinggi, terjadi berulang, mengenai instalasi listrik, menghambat keluar rumah, mengancam balita/lansia/disabilitas, atau menyebabkan lantai dan struktur menjadi tidak aman.</t>
        </r>
      </text>
    </comment>
    <comment ref="AG5" authorId="0" shapeId="0" xr:uid="{1EC807F1-48DC-4915-9459-F4D4C442DC28}">
      <text>
        <r>
          <rPr>
            <b/>
            <sz val="9"/>
            <color indexed="81"/>
            <rFont val="Tahoma"/>
            <charset val="1"/>
          </rPr>
          <t>Pilih Ya apabila:</t>
        </r>
        <r>
          <rPr>
            <sz val="9"/>
            <color indexed="81"/>
            <rFont val="Tahoma"/>
            <charset val="1"/>
          </rPr>
          <t xml:space="preserve">
Fondasi turun, lantai amblas, kolom atau balok retak, rangka atap bergeser, dinding miring, sambungan kayu lepas, atau bangunan bergetar/bergerak tidak wajar.</t>
        </r>
      </text>
    </comment>
    <comment ref="AH5" authorId="0" shapeId="0" xr:uid="{E10CFA8F-91A8-4686-A2A4-04EF0616B2C9}">
      <text>
        <r>
          <rPr>
            <b/>
            <sz val="9"/>
            <color indexed="81"/>
            <rFont val="Tahoma"/>
            <charset val="1"/>
          </rPr>
          <t>Pilih Ya apabila:</t>
        </r>
        <r>
          <rPr>
            <sz val="9"/>
            <color indexed="81"/>
            <rFont val="Tahoma"/>
            <charset val="1"/>
          </rPr>
          <t xml:space="preserve">
Kabel terbuka atau terkelupas, sambungan tanpa pelindung, stopkontak terbakar, kabel semrawut, instalasi terkena air, meter/panel terlalu rendah di area banjir, atau sering terjadi korsleting.</t>
        </r>
      </text>
    </comment>
    <comment ref="AI5" authorId="0" shapeId="0" xr:uid="{FFD77680-580C-4401-B8D8-3D0BDDA3F985}">
      <text>
        <r>
          <rPr>
            <b/>
            <sz val="9"/>
            <color indexed="81"/>
            <rFont val="Tahoma"/>
            <charset val="1"/>
          </rPr>
          <t>Pilih Ya apabila:</t>
        </r>
        <r>
          <rPr>
            <sz val="9"/>
            <color indexed="81"/>
            <rFont val="Tahoma"/>
            <charset val="1"/>
          </rPr>
          <t xml:space="preserve">
Plafon hampir jatuh, papan lantai lapuk, genteng longgar, kusen rapuh, railing lepas, tangga rusak, atau bagian bangunan lain mudah patah dan membahayakan.</t>
        </r>
      </text>
    </comment>
    <comment ref="AJ5" authorId="0" shapeId="0" xr:uid="{7BBCE9CF-9ACB-4A55-8386-B0389FC8F24F}">
      <text>
        <r>
          <rPr>
            <b/>
            <sz val="9"/>
            <color indexed="81"/>
            <rFont val="Tahoma"/>
            <charset val="1"/>
          </rPr>
          <t>Pilih Ya apabila:</t>
        </r>
        <r>
          <rPr>
            <sz val="9"/>
            <color indexed="81"/>
            <rFont val="Tahoma"/>
            <charset val="1"/>
          </rPr>
          <t xml:space="preserve">
Hanya ada satu jalan keluar yang sempit, pintu terhalang, tangga curam atau rusak, jalur keluar terkunci, gang sangat sempit, atau penghuni rentan sulit dievakuasi.</t>
        </r>
      </text>
    </comment>
    <comment ref="AK5" authorId="0" shapeId="0" xr:uid="{74C221AE-2A50-4C82-93B4-1BAA2815F56F}">
      <text>
        <r>
          <rPr>
            <b/>
            <sz val="9"/>
            <color indexed="81"/>
            <rFont val="Tahoma"/>
            <charset val="1"/>
          </rPr>
          <t>Pilih Ya apabila:</t>
        </r>
        <r>
          <rPr>
            <sz val="9"/>
            <color indexed="81"/>
            <rFont val="Tahoma"/>
            <charset val="1"/>
          </rPr>
          <t xml:space="preserve">
Rumah berada di titik banjir berulang, tepi sungai, lereng rawan longsor, dekat bangunan/tanah yang tidak stabil, kawasan kebakaran padat.</t>
        </r>
      </text>
    </comment>
  </commentList>
</comments>
</file>

<file path=xl/sharedStrings.xml><?xml version="1.0" encoding="utf-8"?>
<sst xmlns="http://schemas.openxmlformats.org/spreadsheetml/2006/main" count="14058" uniqueCount="2424">
  <si>
    <t>TEMPLATE RESMI DATABASE SIRUMAH — DATA PERUMAHAN</t>
  </si>
  <si>
    <t>Sumber utama modul Data Perumahan, Peta Perumahan, PSU &amp; RTH, serta ringkasan unit.</t>
  </si>
  <si>
    <t>PETUNJUK: Jangan mengubah nama atau urutan header. Isi data mulai baris 6. Dropdown tersedia pada KATEGORI, KECAMATAN, STATUS_PSU, STATUS_RTH, STATUS_JALAN, STATUS_PENGEMBANG, STATUS_RAWAN_BANJIR, dan STATUS_VERIFIKASI. DIREKTUR/PELAKSANA serta ASOSIASI diisi sebagai teks. STATUS_RTH, STATUS_JALAN, STATUS_PENGEMBANG, STATUS_RAWAN_BANJIR, dan CATATAN akan digabungkan sebagai Catatan pada Dashboard. Kolom PERSEN_TERBANGUN dan PERSEN_TERHUNI dihitung otomatis.</t>
  </si>
  <si>
    <t>ID_PERUMAHAN*</t>
  </si>
  <si>
    <t>NAMA_PERUMAHAN*</t>
  </si>
  <si>
    <t>KATEGORI</t>
  </si>
  <si>
    <t>KECAMATAN*</t>
  </si>
  <si>
    <t>KELURAHAN*</t>
  </si>
  <si>
    <t>ALAMAT</t>
  </si>
  <si>
    <t>PENGEMBANG</t>
  </si>
  <si>
    <t>DIREKTUR/PELAKSANA</t>
  </si>
  <si>
    <t>ASOSIASI</t>
  </si>
  <si>
    <t>TAHUN_SITEPLAN</t>
  </si>
  <si>
    <t>JUMLAH_SITEPLAN</t>
  </si>
  <si>
    <t>JUMLAH_TERBANGUN</t>
  </si>
  <si>
    <t>JUMLAH_TERHUNI</t>
  </si>
  <si>
    <t>STATUS_PSU*</t>
  </si>
  <si>
    <t>TAHUN_SERAH_TERIMA_PSU</t>
  </si>
  <si>
    <t>LUAS_RTH_M2</t>
  </si>
  <si>
    <t>STATUS_RTH</t>
  </si>
  <si>
    <t>STATUS_JALAN</t>
  </si>
  <si>
    <t>STATUS_PENGEMBANG</t>
  </si>
  <si>
    <t>STATUS_RAWAN_BANJIR</t>
  </si>
  <si>
    <t>CATATAN</t>
  </si>
  <si>
    <t>LATITUDE</t>
  </si>
  <si>
    <t>LONGITUDE</t>
  </si>
  <si>
    <t>TAHUN_DATA*</t>
  </si>
  <si>
    <t>SUMBER_DATA*</t>
  </si>
  <si>
    <t>STATUS_VERIFIKASI*</t>
  </si>
  <si>
    <t>TANGGAL_UPDATE*</t>
  </si>
  <si>
    <t>OPERATOR*</t>
  </si>
  <si>
    <t>PERSEN_TERBANGUN</t>
  </si>
  <si>
    <t>PERSEN_TERHUNI</t>
  </si>
  <si>
    <t>ALAM KAMPAK</t>
  </si>
  <si>
    <t>Subsidi</t>
  </si>
  <si>
    <t>Gerunggang</t>
  </si>
  <si>
    <t>Tua Tunu Indah</t>
  </si>
  <si>
    <t>Jl. Seniman</t>
  </si>
  <si>
    <t>PT. ELNOV LANGGENG INDAH</t>
  </si>
  <si>
    <t>Novian Kasmofit</t>
  </si>
  <si>
    <t>APERSI</t>
  </si>
  <si>
    <t>BELUM DISERAHKAN</t>
  </si>
  <si>
    <t>NN</t>
  </si>
  <si>
    <t>RTH belum terbangun</t>
  </si>
  <si>
    <t>Titik rawan genangan dan banjir</t>
  </si>
  <si>
    <t>ALAM KEMANG PERMATA</t>
  </si>
  <si>
    <t>Air Kepala Tujuh</t>
  </si>
  <si>
    <t>Jl. Kemang Permata</t>
  </si>
  <si>
    <t>SUDAH DISERAHKAN</t>
  </si>
  <si>
    <t>ALAM PINANG PURA</t>
  </si>
  <si>
    <t>ALIA HILL RESIDENCE</t>
  </si>
  <si>
    <t>Jl. Tampuk Pinang Pura</t>
  </si>
  <si>
    <t>Rusdianto</t>
  </si>
  <si>
    <t>AMIRAH RESIDENCE</t>
  </si>
  <si>
    <t>Jl. Kulan Kampak</t>
  </si>
  <si>
    <t>Jalan rusak ringan</t>
  </si>
  <si>
    <t>ANJAYA RESIDENCE</t>
  </si>
  <si>
    <t>PT. BABEL JAYA KONSTRUKSI</t>
  </si>
  <si>
    <t>Ivan Skyler Anjaya S.T</t>
  </si>
  <si>
    <t>ANJAYO RESIDENCE 2</t>
  </si>
  <si>
    <t>Gabek</t>
  </si>
  <si>
    <t>Air Salemba</t>
  </si>
  <si>
    <t>Jl. Fatmawati</t>
  </si>
  <si>
    <t>PT. MARLINDO BANGUN PERSADA</t>
  </si>
  <si>
    <t>Andrian Bong</t>
  </si>
  <si>
    <t>APPERNAS JAYA</t>
  </si>
  <si>
    <t>ANJAYO RESIDENCE 4</t>
  </si>
  <si>
    <t>Gabek Satu</t>
  </si>
  <si>
    <t>Jl. Stadion</t>
  </si>
  <si>
    <t>ANJAYO RESIDENCE 10</t>
  </si>
  <si>
    <t>Jerambah Gantung</t>
  </si>
  <si>
    <t>Jl. Pustu</t>
  </si>
  <si>
    <t>RTH terbangun</t>
  </si>
  <si>
    <t>ANJAYO RESIDENCE 12</t>
  </si>
  <si>
    <t>Jl. Kampak Dalam</t>
  </si>
  <si>
    <t>RTH beralih fungsi</t>
  </si>
  <si>
    <t>ANJAYO RESIDENCE 15</t>
  </si>
  <si>
    <t>Jl. Mentangor</t>
  </si>
  <si>
    <t>ANJAYO RESIDENCE 16</t>
  </si>
  <si>
    <t>Jl. Kelompok</t>
  </si>
  <si>
    <t>APPLE RESIDENCE 1</t>
  </si>
  <si>
    <t>Bukit Intan</t>
  </si>
  <si>
    <t>Bacang</t>
  </si>
  <si>
    <t>Jl. Air Mangkok</t>
  </si>
  <si>
    <t>PT. BANGKA JESSTINDO LESTARI</t>
  </si>
  <si>
    <t>Rince</t>
  </si>
  <si>
    <t>REI</t>
  </si>
  <si>
    <t>APPLE RESIDENCE 1 TAMBAHAN</t>
  </si>
  <si>
    <t>Jalan belum perkerasan</t>
  </si>
  <si>
    <t>APPLE RESIDENCE 2</t>
  </si>
  <si>
    <t>Subsidi dan Komersil</t>
  </si>
  <si>
    <t>Selindung</t>
  </si>
  <si>
    <t>Jl. Sekolah</t>
  </si>
  <si>
    <t>APPLE RESIDENCE 2 TAMBAHAN</t>
  </si>
  <si>
    <t>APPLE RESIDENCE 3 TAHAP 1</t>
  </si>
  <si>
    <t>Sinar Bulan</t>
  </si>
  <si>
    <t>Jl. Sampur</t>
  </si>
  <si>
    <t>APPLE RESIDENCE 3 TAHAP 2</t>
  </si>
  <si>
    <t>AROMA RESIDENCE</t>
  </si>
  <si>
    <t>Pangkal Balam</t>
  </si>
  <si>
    <t>Ketapang</t>
  </si>
  <si>
    <t>Jl. Selar</t>
  </si>
  <si>
    <t>PT. CAHAYA KEMULIAAN BERSAMA</t>
  </si>
  <si>
    <t>ARTHA USAHA MANDIRI</t>
  </si>
  <si>
    <t>Jl. Kampung Melayu</t>
  </si>
  <si>
    <t>PT. ARTHA USAHA MANDIRI INDAH</t>
  </si>
  <si>
    <t>Dahri</t>
  </si>
  <si>
    <t>ARTHA USAHA MANDIRI 2</t>
  </si>
  <si>
    <t>ARTISTIK RESIDENCE</t>
  </si>
  <si>
    <t>Gg. Warisan Budaya Kampak</t>
  </si>
  <si>
    <t>PT. ARTISTIK JAYA CONT</t>
  </si>
  <si>
    <t>Eko Yulianto</t>
  </si>
  <si>
    <t>PI</t>
  </si>
  <si>
    <t>Jalan rusak berat</t>
  </si>
  <si>
    <t>ARTISTIK RESIDENCE 2</t>
  </si>
  <si>
    <t>ARTISTIK RESIDENCE 3</t>
  </si>
  <si>
    <t>Jl. Haji Bakir</t>
  </si>
  <si>
    <t>ARTISTIK RESIDENCE 5</t>
  </si>
  <si>
    <t>Jl. Pikas</t>
  </si>
  <si>
    <t>ARTISTIK RESIDENCE 6</t>
  </si>
  <si>
    <t>Jl. Kurma</t>
  </si>
  <si>
    <t>AYRA SRIWIJAYA RESIDENCE</t>
  </si>
  <si>
    <t>Temberan</t>
  </si>
  <si>
    <t>Jl. Pantai Pasir Padi</t>
  </si>
  <si>
    <t>PT. AYRA SRIWIJAYA MANDIRI</t>
  </si>
  <si>
    <t>Yuyun Mutriani</t>
  </si>
  <si>
    <t>AYRA SRIWIJAYA RESIDENCE 2</t>
  </si>
  <si>
    <t>Jl. Cempaka Putih</t>
  </si>
  <si>
    <t>AYRA SRIWIJAYA RESIDENCE 3</t>
  </si>
  <si>
    <t>Jl. Raya Pasir Padi</t>
  </si>
  <si>
    <t>AYRA SRIWIJAYA RESIDENCE 4</t>
  </si>
  <si>
    <t>AZKA SQUARE</t>
  </si>
  <si>
    <t>Jl. Al-Mizan</t>
  </si>
  <si>
    <t>PT. AZKA CAHAYA GEMILANG</t>
  </si>
  <si>
    <t>Anggun</t>
  </si>
  <si>
    <t>AZURA</t>
  </si>
  <si>
    <t>Taman Bunga</t>
  </si>
  <si>
    <t>Gg. Vanila</t>
  </si>
  <si>
    <t>AZZAHRAH RESIDENCE</t>
  </si>
  <si>
    <t>Gg. Palapa</t>
  </si>
  <si>
    <t>PT. ALEXINDO CIPTA PROPERTI</t>
  </si>
  <si>
    <t>Yongki Alexander</t>
  </si>
  <si>
    <t>AZZAHRAH RESIDENCE II</t>
  </si>
  <si>
    <t>Jl. Mawar Kampak</t>
  </si>
  <si>
    <t>AZZAHRAH RESIDENCE IV</t>
  </si>
  <si>
    <t>Jl. Air Ketapik</t>
  </si>
  <si>
    <t>BABEL RESIDENCE</t>
  </si>
  <si>
    <t>Jl. Kurma Dalam</t>
  </si>
  <si>
    <t>PT. IFAN AURA LESTARI</t>
  </si>
  <si>
    <t>Firmansyah</t>
  </si>
  <si>
    <t>BABEL RESIDENCE II</t>
  </si>
  <si>
    <t>BABEL RESIDENCE III</t>
  </si>
  <si>
    <t>BABEL RESIDENCE IV</t>
  </si>
  <si>
    <t>BERKAH MANDIRI</t>
  </si>
  <si>
    <t>Jl. Kerabut 2</t>
  </si>
  <si>
    <t>PT. MEGA SAPUTRA PERSADA</t>
  </si>
  <si>
    <t>Defri Hertanto</t>
  </si>
  <si>
    <t>BERKAH SYARIAH MANDIRI</t>
  </si>
  <si>
    <t>BHAYANGKARA RESIDENCE</t>
  </si>
  <si>
    <t>Jl. Komp Sampur</t>
  </si>
  <si>
    <t>PT. TJEMARA MENTARI</t>
  </si>
  <si>
    <t>Tan Tok Khian</t>
  </si>
  <si>
    <t>BINTANG SAMRATULANGI 3</t>
  </si>
  <si>
    <t>Jl. Tanjung Bunga</t>
  </si>
  <si>
    <t>PT. LIMA BINTANG SEMPURNA</t>
  </si>
  <si>
    <t>M. Nomordin</t>
  </si>
  <si>
    <t>APPERINDO</t>
  </si>
  <si>
    <t>BINTANG SAMRATULANGI 6</t>
  </si>
  <si>
    <t>Jl. Pikas 4</t>
  </si>
  <si>
    <t>BONA MUTIARA RESIDENCE</t>
  </si>
  <si>
    <t>Komersil</t>
  </si>
  <si>
    <t>Jl. Gandaria 1</t>
  </si>
  <si>
    <t>BRALING INDAH</t>
  </si>
  <si>
    <t>PT.GIE SUKSES MANDIRI</t>
  </si>
  <si>
    <t>Supriyanto</t>
  </si>
  <si>
    <t>BUKIT BARU RESIDENCE 1</t>
  </si>
  <si>
    <t>Jl. Delima III</t>
  </si>
  <si>
    <t>Defri Hartanto</t>
  </si>
  <si>
    <t>Pengembang tidak aktif</t>
  </si>
  <si>
    <t>BUKIT BARU RESIDENCE 2</t>
  </si>
  <si>
    <t>Jl. Rariang</t>
  </si>
  <si>
    <t>BUKIT BARU RESIDENCE 3</t>
  </si>
  <si>
    <t>Jl. Cendrawasih</t>
  </si>
  <si>
    <t>BUKIT BARU RESIDENCE 4</t>
  </si>
  <si>
    <t>Bukit Merapin</t>
  </si>
  <si>
    <t>Jl. Bukit Manggis</t>
  </si>
  <si>
    <t>BUKIT INTAN ASRI</t>
  </si>
  <si>
    <t>Jl. Nilam Raya No II</t>
  </si>
  <si>
    <t>BUKIT MANGGIS</t>
  </si>
  <si>
    <t>Irma Yani</t>
  </si>
  <si>
    <t>BUKIT MAS</t>
  </si>
  <si>
    <t>Jl. Borneo</t>
  </si>
  <si>
    <t>BUKIT PRIMER</t>
  </si>
  <si>
    <t>Gg. Karet</t>
  </si>
  <si>
    <t>PT. PUNDIMAS</t>
  </si>
  <si>
    <t>Efran</t>
  </si>
  <si>
    <t>HIMPERA</t>
  </si>
  <si>
    <t>BUMI ASRI PERMAI</t>
  </si>
  <si>
    <t>PT. RADHI UTAMA NUSA</t>
  </si>
  <si>
    <t>Rudi Kurniawan</t>
  </si>
  <si>
    <t>BUMI ASRI PERMAI 2</t>
  </si>
  <si>
    <t>BUMI GANADHYA</t>
  </si>
  <si>
    <t>Air Itam</t>
  </si>
  <si>
    <t>PT. MITRA GUNADHYA MANDIRI</t>
  </si>
  <si>
    <t>Novita Lestari</t>
  </si>
  <si>
    <t>BUMI KAMPAK PERMAI</t>
  </si>
  <si>
    <t>PT. TIMUR JAYA NUGRAHA</t>
  </si>
  <si>
    <t>Beny Ansory</t>
  </si>
  <si>
    <t>BUMI SELINDUNG DAMAI</t>
  </si>
  <si>
    <t>Jl. Lintas Timur</t>
  </si>
  <si>
    <t>PT. MUZAZI NURFI ABADI</t>
  </si>
  <si>
    <t>Nurul Anwar</t>
  </si>
  <si>
    <t>CAHAYA PROPERTI</t>
  </si>
  <si>
    <t>Lontong Pancur</t>
  </si>
  <si>
    <t>Jl. Dok Kartini</t>
  </si>
  <si>
    <t>PT. CAHAYA JAYA KONSTRUKSI</t>
  </si>
  <si>
    <t>Mas'ud</t>
  </si>
  <si>
    <t>CAHAYA RESIDENCE</t>
  </si>
  <si>
    <t>CAHAYA RESIDENCE 1</t>
  </si>
  <si>
    <t>CAHAYA RESIDENCE 2</t>
  </si>
  <si>
    <t>CAHAYA RESIDENCE 3</t>
  </si>
  <si>
    <t>CAHAYA RESIDENCE 4</t>
  </si>
  <si>
    <t>CAHAYA RESIDENCE 5</t>
  </si>
  <si>
    <t>CV. CAHAYA JAYA ABADI</t>
  </si>
  <si>
    <t>Hendra Wijaya</t>
  </si>
  <si>
    <t>CAHAYA RESIDENCE 6</t>
  </si>
  <si>
    <t>CAHAYA RESIDENCE 7</t>
  </si>
  <si>
    <t>Jl. Stania</t>
  </si>
  <si>
    <t>CAHAYA RESIDENCE 8</t>
  </si>
  <si>
    <t>Jl. Kerabut</t>
  </si>
  <si>
    <t>CAHAYA RESIDENCE 9</t>
  </si>
  <si>
    <t>CAHAYA RESIDENCE 10</t>
  </si>
  <si>
    <t>Jl. Fatmawati Gang Keluarga 1</t>
  </si>
  <si>
    <t>CAHAYA RESIDENCE 11</t>
  </si>
  <si>
    <t>Jl. Air Kampak</t>
  </si>
  <si>
    <t>CAHAYA RESIDENCE 12</t>
  </si>
  <si>
    <t>Jl. Ali Asik II</t>
  </si>
  <si>
    <t>PT.CAHAYA JAYA KONSTRUKSI</t>
  </si>
  <si>
    <t>CAHAYA RESIDENCE 13</t>
  </si>
  <si>
    <t>CAHAYA RESIDENCE 15</t>
  </si>
  <si>
    <t>CAHAYA RESIDENCE 17</t>
  </si>
  <si>
    <t>Jl. Anggrek</t>
  </si>
  <si>
    <t>CAHAYA RESIDENCE 18</t>
  </si>
  <si>
    <t>Jl. H. Umar</t>
  </si>
  <si>
    <t>CEMPAKA MAS RESIDENCE</t>
  </si>
  <si>
    <t>PT. WANGKA WIJAYA PROPERTY</t>
  </si>
  <si>
    <t>Ery Wahyudi</t>
  </si>
  <si>
    <t>Jalan rusak sedang</t>
  </si>
  <si>
    <t>CEMPAKA MAS RESIDENCE 3</t>
  </si>
  <si>
    <t>Jl. Jalur Dua</t>
  </si>
  <si>
    <t>CEMPAKA MAS RESIDENCE 4</t>
  </si>
  <si>
    <t>CEMPAKA MAS RESIDENCE 5</t>
  </si>
  <si>
    <t>CERIA VILLAGE</t>
  </si>
  <si>
    <t>Gg. Mirah Delima</t>
  </si>
  <si>
    <t>PT.INDO BANGKA PROPERTY</t>
  </si>
  <si>
    <t>Munawir</t>
  </si>
  <si>
    <t>CIPTA KARYA</t>
  </si>
  <si>
    <t>CITRALAND</t>
  </si>
  <si>
    <t>Jl. Alexander</t>
  </si>
  <si>
    <t>PT. CIPUTRA SUKSES PROPERTY</t>
  </si>
  <si>
    <t>DAMAI LESTARI RESIDENCE</t>
  </si>
  <si>
    <t>Jl. Nilam II</t>
  </si>
  <si>
    <t>PT.BANGKA DAMAI LESTARI</t>
  </si>
  <si>
    <t>DAMAI LESTARI RESIDENCE 1 TAHAP 1</t>
  </si>
  <si>
    <t>DAMAI LESTARI RESIDENCE 1 TAHAP 2</t>
  </si>
  <si>
    <t>DAMAI LESTARI RESIDENCE 2</t>
  </si>
  <si>
    <t>Selindung Baru</t>
  </si>
  <si>
    <t>Jl. Kartini</t>
  </si>
  <si>
    <t>PT. BANGKA DAMAI LESTARI</t>
  </si>
  <si>
    <t>DAMAI LESTARI RESIDENCE 2 B</t>
  </si>
  <si>
    <t>DAMAI LESTARI RESIDENCE 6 TAHAP 1</t>
  </si>
  <si>
    <t>DAMAI LESTARI RESIDENCE 6 TAHAP 2</t>
  </si>
  <si>
    <t>DAMAI LESTARI RESIDENCE 10</t>
  </si>
  <si>
    <t>DAMAI LESTARI RESIDENCE 10 TAHAP 2</t>
  </si>
  <si>
    <t>Jl. Kampak Serasi</t>
  </si>
  <si>
    <t>DAMAI LESTARI RESIDENCE 15 TAHAP 1</t>
  </si>
  <si>
    <t>Jl. Tanjung Bunga 2</t>
  </si>
  <si>
    <t>DAMAI LESTARI RESIDENCE 15 TAHAP 2</t>
  </si>
  <si>
    <t>DE PURNAMA</t>
  </si>
  <si>
    <t>DEALOVA BAHAGIA</t>
  </si>
  <si>
    <t>Jl. Jalur 2, Tampuk Pinang Pura</t>
  </si>
  <si>
    <t>PT. STANLEY PROPERTY MANDIRI</t>
  </si>
  <si>
    <t>Mulyadi Lie</t>
  </si>
  <si>
    <t>DEALOVA BAHAGIA TAHAP 2</t>
  </si>
  <si>
    <t>Jl. Jalur 2</t>
  </si>
  <si>
    <t>DELANO RESIDENCE</t>
  </si>
  <si>
    <t>Jl. Fatmawati Gg. Keluarga</t>
  </si>
  <si>
    <t>PT . DELANO JAYA PROPERTI</t>
  </si>
  <si>
    <t>Djong Khian Khie</t>
  </si>
  <si>
    <t>Air Mawar</t>
  </si>
  <si>
    <t>Jl. Swadaya</t>
  </si>
  <si>
    <t>DELIMA BAHAGIA</t>
  </si>
  <si>
    <t>Jl. Mirah Delima</t>
  </si>
  <si>
    <t>DERIYASA</t>
  </si>
  <si>
    <t>CV. RIMA JAYA</t>
  </si>
  <si>
    <t>Asep Hidayat</t>
  </si>
  <si>
    <t>DIVA RESIDENCE</t>
  </si>
  <si>
    <t>CV. ANUGRAH ABADI</t>
  </si>
  <si>
    <t>Boy Akbar Anugrah</t>
  </si>
  <si>
    <t>DIVA RESIDENCE 2</t>
  </si>
  <si>
    <t>Bukit Sari</t>
  </si>
  <si>
    <t>Jl. Melangir</t>
  </si>
  <si>
    <t>PT. ANUGRAH DIVA ABADI</t>
  </si>
  <si>
    <t>DIZA RESIDENCE</t>
  </si>
  <si>
    <t>Girimaya</t>
  </si>
  <si>
    <t>Sriwijaya</t>
  </si>
  <si>
    <t>Jl. Basuki Rahmat Ujung 1</t>
  </si>
  <si>
    <t>DREAMLAND 1</t>
  </si>
  <si>
    <t>Jl. Haji Umar</t>
  </si>
  <si>
    <t>PT. BESTINDO PROPERTY</t>
  </si>
  <si>
    <t>Ir. Thomas Jusman, MM</t>
  </si>
  <si>
    <t>D'RICH ADYKA RESIDENCE</t>
  </si>
  <si>
    <t>Jl R. Hundani</t>
  </si>
  <si>
    <t>PT. ANUGRAH HARAPAN BARU REGENCY</t>
  </si>
  <si>
    <t>Ady Irawan/Riska Jesika</t>
  </si>
  <si>
    <t>ELGHANI REGENCY</t>
  </si>
  <si>
    <t>Jl. Cucak Rowo</t>
  </si>
  <si>
    <t>FARRAS RESIDENCE</t>
  </si>
  <si>
    <t>Jl. Dasalamah</t>
  </si>
  <si>
    <t>PT. FARRAZY PUTRA CONTRAINDO</t>
  </si>
  <si>
    <t>FEIYAZ RESIDENCE</t>
  </si>
  <si>
    <t>Jl. Pulau Gelasa</t>
  </si>
  <si>
    <t>PT. KARYA DANISH FAZILA</t>
  </si>
  <si>
    <t>Zulfani</t>
  </si>
  <si>
    <t>FEIYAZ RESIDENCE 2</t>
  </si>
  <si>
    <t>Jl. Fajar</t>
  </si>
  <si>
    <t>FERZA BERLIAN RESIDENCE</t>
  </si>
  <si>
    <t>CV. BUMI CITRA LESTARI</t>
  </si>
  <si>
    <t>Reza Eka Aprilianto</t>
  </si>
  <si>
    <t>FERZA MUTIARA RESIDENCE</t>
  </si>
  <si>
    <t>Jl. Gandaria 1 Dalam</t>
  </si>
  <si>
    <t>FERZA RESIDENCE</t>
  </si>
  <si>
    <t>Jl. Pahlawan 12</t>
  </si>
  <si>
    <t>FLAMENGO RESIDENCE</t>
  </si>
  <si>
    <t>Jl. Gandaria 1, No. 12</t>
  </si>
  <si>
    <t>PT. BANGKA INDO PROPERTY</t>
  </si>
  <si>
    <t>Sri Devi Agustini</t>
  </si>
  <si>
    <t>FLAMENGO RESIDENCE 2</t>
  </si>
  <si>
    <t>Jl. Haji Bakri</t>
  </si>
  <si>
    <t>PT. BANGKA INDO PROPERTI</t>
  </si>
  <si>
    <t>FLAMENGO RESIDENCE 3</t>
  </si>
  <si>
    <t>Jl . Gandari 1, Gg. Flamengo</t>
  </si>
  <si>
    <t>GADING HIJAU</t>
  </si>
  <si>
    <t>Bukit Besar</t>
  </si>
  <si>
    <t>Jl. Belakang Sd 60 Girimaya</t>
  </si>
  <si>
    <t>PERUMAHAN GADING HIJAU</t>
  </si>
  <si>
    <t>Hasan Basri</t>
  </si>
  <si>
    <t>GADING PERMAI</t>
  </si>
  <si>
    <t>Jl. Fatmawati Gg. H. Hasan</t>
  </si>
  <si>
    <t>PT. MAESA BANGUN SEJAHTERA</t>
  </si>
  <si>
    <t>Andrev Timbong</t>
  </si>
  <si>
    <t>GANDARIA GREEN RESIDENCE</t>
  </si>
  <si>
    <t>Jl. Gandaria Dalam</t>
  </si>
  <si>
    <t>GANDARIA MAS 2</t>
  </si>
  <si>
    <t>PT. ANGKASA RAYA MAS</t>
  </si>
  <si>
    <t>Daniel Surya Putra</t>
  </si>
  <si>
    <t>GANTUNG BRIDGE RESIDENCE</t>
  </si>
  <si>
    <t>GARDEN INDAH RESIDENCE 1</t>
  </si>
  <si>
    <t>PT. KHANZANAH BABEL LESTARI</t>
  </si>
  <si>
    <t>Robiani</t>
  </si>
  <si>
    <t>GARDEN INDAH RESIDENCE 2</t>
  </si>
  <si>
    <t>GARDEN INDAH RESIDENCE 3</t>
  </si>
  <si>
    <t>Jl. Pinang Pura</t>
  </si>
  <si>
    <t>GENIO CITY RESIDENCE 1</t>
  </si>
  <si>
    <t>Jl. Seluang III</t>
  </si>
  <si>
    <t>CV. NAGA MAS</t>
  </si>
  <si>
    <t>Zulkifli</t>
  </si>
  <si>
    <t>GENIO CITY RESIDENCE 2</t>
  </si>
  <si>
    <t>Gabek Dua</t>
  </si>
  <si>
    <t>Jl. Raya Kartini</t>
  </si>
  <si>
    <t>GOLDEN RESIDENCE 1 TAHAP 1</t>
  </si>
  <si>
    <t>Jl. Almizan Gang Seniman</t>
  </si>
  <si>
    <t>PT. CITRA PRATAMA GASINDO</t>
  </si>
  <si>
    <t>Emida</t>
  </si>
  <si>
    <t>GOLDEN RESIDENCE 1 TAHAP 2</t>
  </si>
  <si>
    <t>GRAHA ARTA</t>
  </si>
  <si>
    <t>PT. TIRTA LOKA</t>
  </si>
  <si>
    <t>GRAHA FAMILY</t>
  </si>
  <si>
    <t>Jl. Laksamana Hayati</t>
  </si>
  <si>
    <t>PT. ANUGRAH FAJAR MENUMBING</t>
  </si>
  <si>
    <t>Wanda Purnama</t>
  </si>
  <si>
    <t>GRAHA FAMILY TAHAP 2</t>
  </si>
  <si>
    <t>GRAHA GADING MAS</t>
  </si>
  <si>
    <t>Jl. Alexander, Depan Citraland</t>
  </si>
  <si>
    <t>PT. PINANG MAS DUA</t>
  </si>
  <si>
    <t>Sri Hartati</t>
  </si>
  <si>
    <t>GRAHA KORPRI / SINAR MAS</t>
  </si>
  <si>
    <t>Jl. Air Geligit</t>
  </si>
  <si>
    <t>PT. GUNA MITRA PRIMA PROPERTINDO</t>
  </si>
  <si>
    <t>GRAHA LOKA ESTATE</t>
  </si>
  <si>
    <t>Jl. Jend. Sudirman</t>
  </si>
  <si>
    <t>PT. GRAHA LOKA</t>
  </si>
  <si>
    <t>Dymas Dwi Setia</t>
  </si>
  <si>
    <t>GRAHA PESONA</t>
  </si>
  <si>
    <t>Jl. Raya Tua Tunu</t>
  </si>
  <si>
    <t>GRAHA PINANG MAS 2</t>
  </si>
  <si>
    <t>GRAHA PURI</t>
  </si>
  <si>
    <t>GRAND BANGKA CITY</t>
  </si>
  <si>
    <t>Semabung Lama</t>
  </si>
  <si>
    <t>Jl. Batu Kaldera</t>
  </si>
  <si>
    <t>PT. PINANG JAYA MURNI</t>
  </si>
  <si>
    <t>Ho Har Aty</t>
  </si>
  <si>
    <t>GRAND ERANES</t>
  </si>
  <si>
    <t>Gg. Abadi 1</t>
  </si>
  <si>
    <t>PT. ERFOLG MANDIRI INDONESIA</t>
  </si>
  <si>
    <t>Zhaud Marully Wisudawan Silaban</t>
  </si>
  <si>
    <t>GRAND GANDARIA TAHAP 1</t>
  </si>
  <si>
    <t>Jl. Kampung Melayu No.16</t>
  </si>
  <si>
    <t>PT. MADINA INVESTAMA SEJAHTERA</t>
  </si>
  <si>
    <t>Munajat</t>
  </si>
  <si>
    <t>GRAND GANDARIA TAHAP 2</t>
  </si>
  <si>
    <t>GRAND GANDARIA TAHAP 3</t>
  </si>
  <si>
    <t>GRAND PAPIN'K ESTATE</t>
  </si>
  <si>
    <t>Jl. Masjid Al Husna</t>
  </si>
  <si>
    <t>PT.PAPINK INDAH PROPERTY</t>
  </si>
  <si>
    <t>Rita</t>
  </si>
  <si>
    <t>GRAND PAPINK II</t>
  </si>
  <si>
    <t>PT.GRAHA PAPINK INDAH PROPERTY</t>
  </si>
  <si>
    <t>GRAND PAPIN'K III</t>
  </si>
  <si>
    <t>Jl. Pasir Padi</t>
  </si>
  <si>
    <t>GRAND PAPIN'K IV</t>
  </si>
  <si>
    <t>GREEN HILL</t>
  </si>
  <si>
    <t>Naser Salim</t>
  </si>
  <si>
    <t>GREEN HILL 3</t>
  </si>
  <si>
    <t>PT. BANGKA MANDIRI PROPERTY</t>
  </si>
  <si>
    <t>Edy Susanto</t>
  </si>
  <si>
    <t>GREEN HILL TAHAP 2</t>
  </si>
  <si>
    <t>GREEN PESONA SELINDUNG</t>
  </si>
  <si>
    <t>Jl. Rustam Effendi</t>
  </si>
  <si>
    <t>PT. PRIMASCO GLOBAL DWISTAMA</t>
  </si>
  <si>
    <t>Ir. Dwi Herlanto</t>
  </si>
  <si>
    <t>GREEN VILLA</t>
  </si>
  <si>
    <t>PT. PEDS GRUP PROPERTI</t>
  </si>
  <si>
    <t>Dedy</t>
  </si>
  <si>
    <t>GRIYA BANGKA POS</t>
  </si>
  <si>
    <t>Jl. Pulau Pelepas</t>
  </si>
  <si>
    <t>SEBELUM TAHUN 2014</t>
  </si>
  <si>
    <t>GRIYA BERKAH</t>
  </si>
  <si>
    <t>Jl. Bukit Tunggal</t>
  </si>
  <si>
    <t>PT.BERKAH ABADI BERJAYA</t>
  </si>
  <si>
    <t>Fiter</t>
  </si>
  <si>
    <t>GRIYA BUKIT INTAN</t>
  </si>
  <si>
    <t>GRIYA ELANG</t>
  </si>
  <si>
    <t>PT.ELANG PERKASA PROPERTY</t>
  </si>
  <si>
    <t>Muhammad Pharevi</t>
  </si>
  <si>
    <t>GRIYA ELANG 2</t>
  </si>
  <si>
    <t>PT. ELANG PERKASA PROPERTI</t>
  </si>
  <si>
    <t>GRIYA ELANG 3</t>
  </si>
  <si>
    <t>Jl. Sungai Salim Dalam</t>
  </si>
  <si>
    <t>GRIYA ELANG 4</t>
  </si>
  <si>
    <t>GRIYA GANDARIA INDAH</t>
  </si>
  <si>
    <t>CV. MADINA INVESTAMA SEJAHTERA</t>
  </si>
  <si>
    <t>GRIYA INTAN ASRI</t>
  </si>
  <si>
    <t>Jl. Padang Lama</t>
  </si>
  <si>
    <t>PT.BANGKA INDO PROPERTY</t>
  </si>
  <si>
    <t>GRIYA KHARISMA</t>
  </si>
  <si>
    <t>PT. GANDARIA SUKSES SEJAHTERA</t>
  </si>
  <si>
    <t>Zuiyita</t>
  </si>
  <si>
    <t>GRIYA MUSTIKA 1</t>
  </si>
  <si>
    <t>Jl. Masjid Al-Husna</t>
  </si>
  <si>
    <t>PT. RIZKI AGUNG PROPERTINDO</t>
  </si>
  <si>
    <t>Risky Rexcy</t>
  </si>
  <si>
    <t>GRIYA PANGKALPINANG</t>
  </si>
  <si>
    <t>Jl. Kartini Utama Raya</t>
  </si>
  <si>
    <t>PT. GRAHA KARUNIA PERKASA</t>
  </si>
  <si>
    <t>GRIYA PAPINKA 1</t>
  </si>
  <si>
    <t>Jl. Gabek I</t>
  </si>
  <si>
    <t>GRIYA PAPINKA 2</t>
  </si>
  <si>
    <t>CV. MANDIRI SUKSES</t>
  </si>
  <si>
    <t>GRIYA PAPINKA 3</t>
  </si>
  <si>
    <t>Jl. Jebung Dalam</t>
  </si>
  <si>
    <t>GRIYA PESONA</t>
  </si>
  <si>
    <t>Gunawan</t>
  </si>
  <si>
    <t>GRIYA PESONA SELINDUNG</t>
  </si>
  <si>
    <t>Jl. Bedukang Raya</t>
  </si>
  <si>
    <t>GRIYA ROSMANIA RESIDENCE</t>
  </si>
  <si>
    <t>Jl. Salma</t>
  </si>
  <si>
    <t>PT. SYAMSI INVES TAMA</t>
  </si>
  <si>
    <t>GRIYA SAFARIAH</t>
  </si>
  <si>
    <t>GRIYA SHENA PERMAI</t>
  </si>
  <si>
    <t>Jl. M. Zainuddin</t>
  </si>
  <si>
    <t>Hendry Sujono</t>
  </si>
  <si>
    <t>GRIYA SYARIAH</t>
  </si>
  <si>
    <t>HARMONI RESIDENCE</t>
  </si>
  <si>
    <t>Jl. Lingkar Barat</t>
  </si>
  <si>
    <t>PT. HARMONI CITRA BANGKA</t>
  </si>
  <si>
    <t>Susantri</t>
  </si>
  <si>
    <t>HARVEST RESIDENCE 1</t>
  </si>
  <si>
    <t>Jl. Padat Karya</t>
  </si>
  <si>
    <t>PT. TRIMADYA PRIMA JAYA</t>
  </si>
  <si>
    <t>Lilis Martono</t>
  </si>
  <si>
    <t>HARVEST RESIDENCE 2</t>
  </si>
  <si>
    <t>HARVEST RESIDENCE 3</t>
  </si>
  <si>
    <t>Jl. Jamrud III</t>
  </si>
  <si>
    <t>HARVEST RESIDENCE 5</t>
  </si>
  <si>
    <t>HARVEST RESIDENCE 6</t>
  </si>
  <si>
    <t>Jl. Line Listrik</t>
  </si>
  <si>
    <t>HARVEST RESIDENCE 7</t>
  </si>
  <si>
    <t>Jl. Line Listrik (Kampak-Kerabut)</t>
  </si>
  <si>
    <t>HARVEST RESIDENCE 8</t>
  </si>
  <si>
    <t>HARVEST RESIDENCE 9</t>
  </si>
  <si>
    <t>INDAH RESIDENCE</t>
  </si>
  <si>
    <t>Jl. Kenari Rt.03 Rw.01</t>
  </si>
  <si>
    <t>INDO GRAHA</t>
  </si>
  <si>
    <t>Jl. Kampak</t>
  </si>
  <si>
    <t>INDO GRIYA</t>
  </si>
  <si>
    <t>INDO RESIDENCE</t>
  </si>
  <si>
    <t>Jl. Singkur No.83</t>
  </si>
  <si>
    <t>INDO WANEKA RESIDENCE 1</t>
  </si>
  <si>
    <t>CV.INDO SEJAHTERA</t>
  </si>
  <si>
    <t>INDO WANEKA RESIDENCE 2</t>
  </si>
  <si>
    <t>INDO WANEKA RESIDENCE 3</t>
  </si>
  <si>
    <t>INDO WANEKA RESIDENCE 4</t>
  </si>
  <si>
    <t>INDO WANEKA RESIDENCE 5</t>
  </si>
  <si>
    <t>KALENDRA RESIDENCE</t>
  </si>
  <si>
    <t>Jl. Pikas IV</t>
  </si>
  <si>
    <t>PT. TEKNIK KONSTRUKSI PROPERTINDO</t>
  </si>
  <si>
    <t>Tri Wibowo</t>
  </si>
  <si>
    <t>KAMPUNG ASRI 3</t>
  </si>
  <si>
    <t>KAMPUNG MELAYU ASRI 2</t>
  </si>
  <si>
    <t>Jl. Rumbia</t>
  </si>
  <si>
    <t>KORPRI PERMAI</t>
  </si>
  <si>
    <t>PT. Belma</t>
  </si>
  <si>
    <t>KOTA BARU RESIDENCE</t>
  </si>
  <si>
    <t>Jl. Gerunggang</t>
  </si>
  <si>
    <t>LEGAVISTA 4</t>
  </si>
  <si>
    <t>Jl. Fatmawati Dalam</t>
  </si>
  <si>
    <t>PT. LEGA CIPTA PROPERTINDO</t>
  </si>
  <si>
    <t>Noviko</t>
  </si>
  <si>
    <t>LEGAVISTA 4 TAHAP 2</t>
  </si>
  <si>
    <t>LENTERA BAHAGIA</t>
  </si>
  <si>
    <t>Jl. Pustu Kerabut</t>
  </si>
  <si>
    <t>MADANI RESIDENCE</t>
  </si>
  <si>
    <t>PT. GRAHA MADANI SUKSES BERSAMA</t>
  </si>
  <si>
    <t>Mardani</t>
  </si>
  <si>
    <t>MAHARANI RESIDENCE</t>
  </si>
  <si>
    <t>Jl. Bukit Intan</t>
  </si>
  <si>
    <t>PT. MAHARANI BERKAH COI PROPERTI</t>
  </si>
  <si>
    <t>Corri Ihsani</t>
  </si>
  <si>
    <t>MATAHARI RESIDENCE</t>
  </si>
  <si>
    <t>CV. BANGKA INDO KARYA</t>
  </si>
  <si>
    <t>Andri</t>
  </si>
  <si>
    <t>MATAHARI RESIDENCE 2</t>
  </si>
  <si>
    <t>PT. BANGKA INDO KARYA</t>
  </si>
  <si>
    <t>MEGA HARMONI</t>
  </si>
  <si>
    <t>MENARA KAMPAK RESIDENCE</t>
  </si>
  <si>
    <t>CV.MENARA JAYA</t>
  </si>
  <si>
    <t>MENTARI RESIDENCE</t>
  </si>
  <si>
    <t>Kacang Pedang</t>
  </si>
  <si>
    <t>PT. MENTARI BERSAUDARA BABEL</t>
  </si>
  <si>
    <t>Muhammad Iqbal</t>
  </si>
  <si>
    <t>MIRACLE LAND</t>
  </si>
  <si>
    <t>MONACO RESIDENCE</t>
  </si>
  <si>
    <t>Jl. Kartini Utama</t>
  </si>
  <si>
    <t>PT. GERHANA KARUNIA PERKASA</t>
  </si>
  <si>
    <t>MUTIARA RUBY</t>
  </si>
  <si>
    <t>MUTIARA SELINDUNG</t>
  </si>
  <si>
    <t>Jl. Betutu</t>
  </si>
  <si>
    <t>PT. PBERLY'S JAYA PROPERTI</t>
  </si>
  <si>
    <t>Subuadi</t>
  </si>
  <si>
    <t>MUTIARA SELINDUNG TAHAP 2</t>
  </si>
  <si>
    <t>NILAM PERMATA RESIDENCE</t>
  </si>
  <si>
    <t>Jl. Nilam Raya</t>
  </si>
  <si>
    <t>PT.PLASMA JAYA PERKASA</t>
  </si>
  <si>
    <t>Yanto</t>
  </si>
  <si>
    <t>NILAM PERMATA RESIDENCE 2 TAHAP 1</t>
  </si>
  <si>
    <t>PT. PLASMA JAYA PERKASA</t>
  </si>
  <si>
    <t>NILAM PERMATA RESIDENCE 2 TAHAP 2</t>
  </si>
  <si>
    <t>NILAM PERMATA RESIDENCE 2 TAHAP 3</t>
  </si>
  <si>
    <t>NILAM PERMATA RESIDENCE 2 TAHAP 4</t>
  </si>
  <si>
    <t>NIRWANA ASRI</t>
  </si>
  <si>
    <t>PT. RIZKI NUGRAHA SEJAHTERA</t>
  </si>
  <si>
    <t>Zuyyika Aditama Putra</t>
  </si>
  <si>
    <t>ORIZA PERMAI</t>
  </si>
  <si>
    <t>PANORAMA ZAMRUD RESIDENCE</t>
  </si>
  <si>
    <t>PT. PUTRA LIMBUNG JAYA PROPERTINDO</t>
  </si>
  <si>
    <t>Zam Zami</t>
  </si>
  <si>
    <t>PAPINKA VALLEY (JASMINE)</t>
  </si>
  <si>
    <t>Jl. Raya Air Itam</t>
  </si>
  <si>
    <t>PT. TIGA KOTA SEMACANG</t>
  </si>
  <si>
    <t>PAPINKA VALLEY (ORCHID)</t>
  </si>
  <si>
    <t>Jl. Depati Hamzah</t>
  </si>
  <si>
    <t>PARADISE RESIDENCE 1</t>
  </si>
  <si>
    <t>Jl. Tampak Pinang Pura</t>
  </si>
  <si>
    <t>CV. ANUGRAH KARYA KONSTRUKSI</t>
  </si>
  <si>
    <t>Dori Setiawan</t>
  </si>
  <si>
    <t>PARADISE RESIDENCE 2</t>
  </si>
  <si>
    <t>PARADISE RESIDENCE 3</t>
  </si>
  <si>
    <t>Jl. Warisan Budaya</t>
  </si>
  <si>
    <t>PT. Anugerah Karya Konstruksi</t>
  </si>
  <si>
    <t>PARADISE RESIDENCE 4</t>
  </si>
  <si>
    <t>PARADISE RESIDENCE 5</t>
  </si>
  <si>
    <t>Jl. Lingkar Barat Jalur 30 M</t>
  </si>
  <si>
    <t>PARADISE RESIDENCE 6</t>
  </si>
  <si>
    <t>PT. ANUGRAH KARYA KONSTRUKSI</t>
  </si>
  <si>
    <t>PARADISE RESIDENCE 7</t>
  </si>
  <si>
    <t>PARADISE RESIDENCE 8</t>
  </si>
  <si>
    <t>PARADISE RESIDENCE 9 GANDARIA</t>
  </si>
  <si>
    <t>Jl. Dealova Bahagia</t>
  </si>
  <si>
    <t>Tisnu Rehatta</t>
  </si>
  <si>
    <t>PARIS RESIDENCE</t>
  </si>
  <si>
    <t>PASIR MUTIARA RESIDENCE</t>
  </si>
  <si>
    <t>Jl. Pasir</t>
  </si>
  <si>
    <t>PT. BHAKTI AISYAH ATAYA</t>
  </si>
  <si>
    <t>M. Aditiya Mebiantara</t>
  </si>
  <si>
    <t>PASIR PADI RESIDENCE</t>
  </si>
  <si>
    <t>PT.KARYA PUTRA BANGKA MANDIRI</t>
  </si>
  <si>
    <t>Steven Wijaya</t>
  </si>
  <si>
    <t>PEARL RESIDENCE 1</t>
  </si>
  <si>
    <t>Jl. Bukit Tunggal 1</t>
  </si>
  <si>
    <t>CV. AGRIKULTUR RUMPUT LAUT</t>
  </si>
  <si>
    <t>Prigunardi Tjhia</t>
  </si>
  <si>
    <t>PEARL RESIDENCE 2</t>
  </si>
  <si>
    <t>Jl. Perbakin Rt.01 Rw.02 Kel.Sriwijaya Kec. Girimaya</t>
  </si>
  <si>
    <t>PEARL RESIDENCE 3</t>
  </si>
  <si>
    <t>Jl. Batu Akik</t>
  </si>
  <si>
    <t>PEARL RESIDENCE 5</t>
  </si>
  <si>
    <t>Jl. Basuki Rahmat Ujung II</t>
  </si>
  <si>
    <t>PELANGI RESIDENCE</t>
  </si>
  <si>
    <t>Jl. Sungkur Dalam</t>
  </si>
  <si>
    <t>PERMATA GANDARIA</t>
  </si>
  <si>
    <t>Gg. Al Mukaromah</t>
  </si>
  <si>
    <t>PT. KAYYESA ELMA MAZEA</t>
  </si>
  <si>
    <t>Sariati</t>
  </si>
  <si>
    <t>PERMATA INTI KAMPAK</t>
  </si>
  <si>
    <t>PERMATA KULAN</t>
  </si>
  <si>
    <t>Jl. Kulan</t>
  </si>
  <si>
    <t>PT. LAUTAN EMAS ADI GRAHA</t>
  </si>
  <si>
    <t>Hendri</t>
  </si>
  <si>
    <t>PERMATA MANDIRI RESIDENCE 2</t>
  </si>
  <si>
    <t>PERMATA SELINDUNG RESIDENCE</t>
  </si>
  <si>
    <t>Jl. Lintas Timur No. 18</t>
  </si>
  <si>
    <t>PERMATA SRIWIJAYA</t>
  </si>
  <si>
    <t>Jl. Basuki Rahmat Ujung</t>
  </si>
  <si>
    <t>Suwandi</t>
  </si>
  <si>
    <t>PESONA ASROBAN INDAH</t>
  </si>
  <si>
    <t>CV. PBERLY'S</t>
  </si>
  <si>
    <t>PESONA KAMPAK PERMAI</t>
  </si>
  <si>
    <t>PESONA SELINDUNG</t>
  </si>
  <si>
    <t>Jl. Puri Kencana</t>
  </si>
  <si>
    <t>PINANG MAS</t>
  </si>
  <si>
    <t>PONDOK GRIYA KEDATON</t>
  </si>
  <si>
    <t>Jl. Depati Hamzah, Gg. Bandes</t>
  </si>
  <si>
    <t>PT. SUNGAILIAT BERKAH JAYA SENTOSA</t>
  </si>
  <si>
    <t>Hermawan Bayu Seno</t>
  </si>
  <si>
    <t>PONDOK INDAH</t>
  </si>
  <si>
    <t>Jl. Rustam Efendi</t>
  </si>
  <si>
    <t>PONDOK INDAH 2</t>
  </si>
  <si>
    <t>PT . BANGKA CIPTA MANDIRI</t>
  </si>
  <si>
    <t>Yuswan</t>
  </si>
  <si>
    <t>PONDOK INDAH 3</t>
  </si>
  <si>
    <t>PT.SUMBER MAS PRATAMA</t>
  </si>
  <si>
    <t>Selly</t>
  </si>
  <si>
    <t>PONDOK INDAH 5</t>
  </si>
  <si>
    <t>PT. SUMBER MAS PRATAMA</t>
  </si>
  <si>
    <t>PONDOK INDAH 6</t>
  </si>
  <si>
    <t>PONDOK INDAH 7</t>
  </si>
  <si>
    <t>Feri Sardani</t>
  </si>
  <si>
    <t>PONDOK INDAH 8</t>
  </si>
  <si>
    <t>Muhammad Rizki Ramadhan</t>
  </si>
  <si>
    <t>PONDOK INDAH 9</t>
  </si>
  <si>
    <t>PONDOK INDAH 10</t>
  </si>
  <si>
    <t>PONDOK INDAH 11</t>
  </si>
  <si>
    <t>PRIMA GARDEN 1</t>
  </si>
  <si>
    <t>Jl. Fatmawati Gg. Kulan</t>
  </si>
  <si>
    <t>PT. BABELINDO NUSANTARA PRIMA</t>
  </si>
  <si>
    <t>Muksen</t>
  </si>
  <si>
    <t>PRIMA GARDEN 1 TAHAP 2</t>
  </si>
  <si>
    <t>PURI ARWANA</t>
  </si>
  <si>
    <t>PT. GIBSI HMS SEJAHTERA PERSADA</t>
  </si>
  <si>
    <t>M. Dollar</t>
  </si>
  <si>
    <t>PURI KENCANA</t>
  </si>
  <si>
    <t>Edward</t>
  </si>
  <si>
    <t>PURI MANSION</t>
  </si>
  <si>
    <t>PT. MAHA KARYA KREASI</t>
  </si>
  <si>
    <t>Romitama Purwanto Wibowo</t>
  </si>
  <si>
    <t>PURI RESIDENCE</t>
  </si>
  <si>
    <t>PURI SEMABUNG INDAH</t>
  </si>
  <si>
    <t>Jl. Mustika II</t>
  </si>
  <si>
    <t>Heriyanto</t>
  </si>
  <si>
    <t>PURI SEMABUNG INDAH 1</t>
  </si>
  <si>
    <t>Jl. Semabung Lama</t>
  </si>
  <si>
    <t>RED WOOD</t>
  </si>
  <si>
    <t>Jl. Tayib</t>
  </si>
  <si>
    <t>RIVERA RESIDENCE</t>
  </si>
  <si>
    <t>Jl. Tanjung Bunga II</t>
  </si>
  <si>
    <t>Eko Yuliyanto</t>
  </si>
  <si>
    <t>RIZKI RESIDENCE</t>
  </si>
  <si>
    <t>PT.SUKMA KARYA ABADI</t>
  </si>
  <si>
    <t>Ebit Sugiarto</t>
  </si>
  <si>
    <t>RIZKY RESIDENCE 2</t>
  </si>
  <si>
    <t>PT. SUKMA KARYA ABADI PROPERTI</t>
  </si>
  <si>
    <t>Ebid Sugiarto</t>
  </si>
  <si>
    <t>ROSE WATER ESTATE</t>
  </si>
  <si>
    <t>ROYAL PERMATA INDAH</t>
  </si>
  <si>
    <t>PT. BERKAH BERSAMA KONSTRUKSI</t>
  </si>
  <si>
    <t>Agustian Safitri</t>
  </si>
  <si>
    <t>SILAM PARI</t>
  </si>
  <si>
    <t>PT. TUNGGARA BERKAH PROPERTY</t>
  </si>
  <si>
    <t>Rivaldy Oki Rudiansyah</t>
  </si>
  <si>
    <t>SINAR BANGKA INDAH</t>
  </si>
  <si>
    <t>Jl. Depati Hamzah Gg. Mirah Delima I</t>
  </si>
  <si>
    <t>PT. SINAR BANGKA INDAH</t>
  </si>
  <si>
    <t>TAMAN ANGGREK RESIDENCE 1</t>
  </si>
  <si>
    <t>TAMAN ANGGREK RESIDENCE 2</t>
  </si>
  <si>
    <t>Jl. Parit Lalang</t>
  </si>
  <si>
    <t>TAMAN GANDARIA MAS</t>
  </si>
  <si>
    <t>TAMAN GANDARIA MAS 3</t>
  </si>
  <si>
    <t>Gg. Melati</t>
  </si>
  <si>
    <t>TAMAN JAGUNG RESIDENCE 1</t>
  </si>
  <si>
    <t>Jl. Betutu Dalam</t>
  </si>
  <si>
    <t>PT. KARYA TEKNIK KONTRUKSI</t>
  </si>
  <si>
    <t>Dwi Pramono</t>
  </si>
  <si>
    <t>TAMAN JAGUNG RESIDENCE 2</t>
  </si>
  <si>
    <t>Jl. Jebung 1</t>
  </si>
  <si>
    <t>PT. KARYATEK PRIMA</t>
  </si>
  <si>
    <t>TAMAN JAGUNG RESIDENCE 3</t>
  </si>
  <si>
    <t>TAMAN JAGUNG RESIDENCE 4</t>
  </si>
  <si>
    <t>TAMAN JAGUNG RESIDENCE 5</t>
  </si>
  <si>
    <t>Jl. Terubuk Dalam</t>
  </si>
  <si>
    <t>TAMAN JAGUNG RESIDENCE 6</t>
  </si>
  <si>
    <t>Jl. Stadion Depati Amir</t>
  </si>
  <si>
    <t>TAMAN JAGUNG RESIDENCE 7</t>
  </si>
  <si>
    <t>Jl. Fatmawati Kampak</t>
  </si>
  <si>
    <t>TAMAN JAGUNG RESIDENCE 8</t>
  </si>
  <si>
    <t>TAMAN JAGUNG RESIDENCE 9</t>
  </si>
  <si>
    <t>Jl. M. Saleh Zainudin</t>
  </si>
  <si>
    <t>TAMAN JAGUNG RESIDENCE 10</t>
  </si>
  <si>
    <t>TAMAN JAGUNG RESIDENCE 11</t>
  </si>
  <si>
    <t>TAMAN JAGUNG RESIDENCE 12</t>
  </si>
  <si>
    <t>Jl. Mawar</t>
  </si>
  <si>
    <t>TAMAN JAGUNG RESIDENCE 14</t>
  </si>
  <si>
    <t>PT. KARYA TEKNIK KONSTRUKSI</t>
  </si>
  <si>
    <t>TAMAN JAGUNG RESIDENCE 15</t>
  </si>
  <si>
    <t>Rifky Pramana Putra</t>
  </si>
  <si>
    <t>TAMAN JAGUNG RESIDENCE 16</t>
  </si>
  <si>
    <t>Jl. Pikas 1</t>
  </si>
  <si>
    <t>TAMAN JAGUNG RESIDENCE 17</t>
  </si>
  <si>
    <t>TAMAN JAGUNG RESIDENCE 18</t>
  </si>
  <si>
    <t>Jl. Stadion Dalam</t>
  </si>
  <si>
    <t>TAMAN JAGUNG RESIDENCE ICON 1</t>
  </si>
  <si>
    <t>TAMAN JAGUNG RESIDENCE ICON 2</t>
  </si>
  <si>
    <t>TAMAN KOTA</t>
  </si>
  <si>
    <t>Jl. Pulad Bangka</t>
  </si>
  <si>
    <t>TAMAN MANGGIS 1</t>
  </si>
  <si>
    <t>PT. PARAHYANGAN DWI KARYA</t>
  </si>
  <si>
    <t>Hendrawan/Anugrah Wiyogo</t>
  </si>
  <si>
    <t>TAMAN MANGGIS 2</t>
  </si>
  <si>
    <t>TAMAN MANGGIS 2 TAHAP 2</t>
  </si>
  <si>
    <t>PT. PARAHYANGAN DWIKARYA</t>
  </si>
  <si>
    <t>TAMAN NAZHALEA</t>
  </si>
  <si>
    <t>PT. GITA PUTRI BANGKA</t>
  </si>
  <si>
    <t>Muhammad Ikhsan Suryaatmaja</t>
  </si>
  <si>
    <t>TAMAN PAPINKA</t>
  </si>
  <si>
    <t>CV. TAMAN PAPINKA</t>
  </si>
  <si>
    <t>TAMAN SEMESTA MAS</t>
  </si>
  <si>
    <t>TAMAN SRIWIJAYA</t>
  </si>
  <si>
    <t>Jl. Kubis</t>
  </si>
  <si>
    <t>TAMAN SRIWIJAYA II</t>
  </si>
  <si>
    <t>Jl. Kubis II</t>
  </si>
  <si>
    <t>TAMAN SURYA</t>
  </si>
  <si>
    <t>Jl. Fatmawati Gg. Makmur</t>
  </si>
  <si>
    <t>PT. BANGKA RAYA JAYA</t>
  </si>
  <si>
    <t>Julu Wahyono</t>
  </si>
  <si>
    <t>TAMAN SURYA MAS</t>
  </si>
  <si>
    <t>Jl. Kampak Gg. Haji Umar</t>
  </si>
  <si>
    <t>TAMAN SURYA MAS INDAH</t>
  </si>
  <si>
    <t>TAMAN TANJUNG BUNGA CLUSTER ANGGREK</t>
  </si>
  <si>
    <t>PT.CAHAYA INTAN ABADI SAKTI</t>
  </si>
  <si>
    <t>Welly Abdullah</t>
  </si>
  <si>
    <t>TAMAN TANJUNG BUNGA CLUSTER DAHLIA</t>
  </si>
  <si>
    <t>Jl. Perumahan Tanjung Bunga</t>
  </si>
  <si>
    <t>PT. CAHAYA INDAH ABADISAKTI</t>
  </si>
  <si>
    <t>Ferdinan</t>
  </si>
  <si>
    <t>TAMAN TANJUNG BUNGA CLUSTER LILI</t>
  </si>
  <si>
    <t>Jl. Taman Indah No 212</t>
  </si>
  <si>
    <t>TAMAN TANJUNG BUNGA CLUSTER MAWAR 1</t>
  </si>
  <si>
    <t>TAMAN TANJUNG BUNGA CLUSTER MAWAR 2</t>
  </si>
  <si>
    <t>TAMAN TANJUNG BUNGA CLUSTER SERUNI</t>
  </si>
  <si>
    <t>TAMARA DREAM LAND 2</t>
  </si>
  <si>
    <t>PT. BUSNI IPAH GEMA</t>
  </si>
  <si>
    <t>Harini</t>
  </si>
  <si>
    <t>ALIANSI PENGEMBANG PERUMAHAN NASIONAL JAYA (APPERNAS JAYA)</t>
  </si>
  <si>
    <t>TAMARA DREAM LAND 2 TAHAP 2</t>
  </si>
  <si>
    <t>Jl. Air Bebar</t>
  </si>
  <si>
    <t>TANJUNG MANDIRI</t>
  </si>
  <si>
    <t>TELAGA TIMUR 1</t>
  </si>
  <si>
    <t>Jl. Tambak Udang</t>
  </si>
  <si>
    <t>PT. CAHAYA VIATINDO PRIMA</t>
  </si>
  <si>
    <t>Doddy Primananda</t>
  </si>
  <si>
    <t>TELAGA TIMUR 2</t>
  </si>
  <si>
    <t>TELAGA TIMUR 3</t>
  </si>
  <si>
    <t>Jl. Lingkar Timur</t>
  </si>
  <si>
    <t>Efviar Said</t>
  </si>
  <si>
    <t>THE GREENLAND CITY</t>
  </si>
  <si>
    <t>Jl. Selindung Raya</t>
  </si>
  <si>
    <t>PT. MITRA ANUGRAH PERDANA</t>
  </si>
  <si>
    <t>Gunadi</t>
  </si>
  <si>
    <t>THE ZAMRUD LAND</t>
  </si>
  <si>
    <t>Jl. Perumahan Bhayangkara</t>
  </si>
  <si>
    <t>PT. BAPALINDO JAYA PROPERTI</t>
  </si>
  <si>
    <t>TIRTA KENCANA PERMAI</t>
  </si>
  <si>
    <t>Asiong</t>
  </si>
  <si>
    <t>TUNAS ILALANG</t>
  </si>
  <si>
    <t>PT. PERSLY DONNY SIREGAR</t>
  </si>
  <si>
    <t>Kristory Glorius S.</t>
  </si>
  <si>
    <t>TUNAS JERAMBAH GANTUNG</t>
  </si>
  <si>
    <t>TUNAS KAMPAK REGAR</t>
  </si>
  <si>
    <t>TUNAS TANJUNG BUNGA</t>
  </si>
  <si>
    <t>VALERI RESIDENCE</t>
  </si>
  <si>
    <t>Rangkui</t>
  </si>
  <si>
    <t>Asam</t>
  </si>
  <si>
    <t>Jl. Jeruk</t>
  </si>
  <si>
    <t>PT. PRESTIGE LAND PROPERTI</t>
  </si>
  <si>
    <t>Warino</t>
  </si>
  <si>
    <t>VALERI RESIDENCE 2</t>
  </si>
  <si>
    <t>VILLA BUKIT ASRI</t>
  </si>
  <si>
    <t>VILLA HARMONI</t>
  </si>
  <si>
    <t>Ampui</t>
  </si>
  <si>
    <t>Jl. Teluk Bayur</t>
  </si>
  <si>
    <t>Yurita Sari</t>
  </si>
  <si>
    <t>VILLA JAM'S RESIDENCE</t>
  </si>
  <si>
    <t>Jl. Padat Karya Dalam</t>
  </si>
  <si>
    <t>PT. FARISLA JAYA MAKMUR</t>
  </si>
  <si>
    <t>VILLA KAYU MAS</t>
  </si>
  <si>
    <t>Jl. Tua Tunu Raya</t>
  </si>
  <si>
    <t>PT. BUMI CITRA LESTARI PROPERTINDO</t>
  </si>
  <si>
    <t>VILLA SAKINAH INDAH</t>
  </si>
  <si>
    <t>Jl. Galanggang Kapal Selindung</t>
  </si>
  <si>
    <t>PD. DOK KARTINI</t>
  </si>
  <si>
    <t>Jibran Chairozi</t>
  </si>
  <si>
    <t>VIONA VILLAGE</t>
  </si>
  <si>
    <t>Jl. Sembilang No. 2</t>
  </si>
  <si>
    <t>WAN RESIDENCE 1</t>
  </si>
  <si>
    <t>Jl. Puskesmas/Len 30</t>
  </si>
  <si>
    <t>PT. WAN JANNAH RIA</t>
  </si>
  <si>
    <t>Dahlia</t>
  </si>
  <si>
    <t>WATERGATE PARK RESIDENCE</t>
  </si>
  <si>
    <t>Pintu Air</t>
  </si>
  <si>
    <t>Jl. Batin Iso No. 429</t>
  </si>
  <si>
    <t>ZIKRI RESIDENCE TAHAP 1</t>
  </si>
  <si>
    <t>PT. ROBIATUL RUBIEQA RABBANI</t>
  </si>
  <si>
    <t>Zikri</t>
  </si>
  <si>
    <t>ZIKRI RESIDENCE TAHAP 2</t>
  </si>
  <si>
    <t>ZIKRY RESIDENCE TAHAP 3</t>
  </si>
  <si>
    <t>ZIKRY RESIDENCE TAHAP 4</t>
  </si>
  <si>
    <t>Jl. Sungai Liat</t>
  </si>
  <si>
    <t>PETUNJUK: Jangan mengubah nama header. Kolom bertanda * wajib diisi. Isi data mulai baris 6. Kolom berwarna biru muda dihitung otomatis oleh Excel.</t>
  </si>
  <si>
    <t>ID_BACKLOG*</t>
  </si>
  <si>
    <t>TINGKAT_WILAYAH*</t>
  </si>
  <si>
    <t>KECAMATAN/WILAYAH*</t>
  </si>
  <si>
    <t>BACKLOG_KEPEMILIKAN</t>
  </si>
  <si>
    <t>BACKLOG_HUNIAN</t>
  </si>
  <si>
    <t>KETERANGAN</t>
  </si>
  <si>
    <t>1</t>
  </si>
  <si>
    <t>Kecamatan</t>
  </si>
  <si>
    <t>BKKBN</t>
  </si>
  <si>
    <t>Terverifikasi</t>
  </si>
  <si>
    <t>2</t>
  </si>
  <si>
    <t>3</t>
  </si>
  <si>
    <t>Taman Sari</t>
  </si>
  <si>
    <t>4</t>
  </si>
  <si>
    <t>5</t>
  </si>
  <si>
    <t>6</t>
  </si>
  <si>
    <t>7</t>
  </si>
  <si>
    <t>8</t>
  </si>
  <si>
    <t>Kota</t>
  </si>
  <si>
    <t>TEMPLATE RESMI DATABASE SIRUMAH — RTLH &amp; RLH PER KECAMATAN</t>
  </si>
  <si>
    <t>Kolom RLH dan Persentase RTLH dihitung otomatis. Pastikan Jumlah Rumah dan RTLH telah diverifikasi.</t>
  </si>
  <si>
    <t>ID_REKAP*</t>
  </si>
  <si>
    <t>JUMLAH_RUMAH*</t>
  </si>
  <si>
    <t>RTLH*</t>
  </si>
  <si>
    <t>RLH</t>
  </si>
  <si>
    <t>PERSENTASE_RTLH</t>
  </si>
  <si>
    <t>TEMPLATE RESMI DATABASE SIRUMAH — DATA UNIT RUSUNAWA</t>
  </si>
  <si>
    <t>Sumber Ringkasan Utama RUSUNAWA, status unit, tingkat hunian, unit siap huni, dan kondisi unit.</t>
  </si>
  <si>
    <t>ID_UNIT*</t>
  </si>
  <si>
    <t>NAMA_RUSUNAWA*</t>
  </si>
  <si>
    <t>BLOK*</t>
  </si>
  <si>
    <t>LANTAI*</t>
  </si>
  <si>
    <t>NOMOR_UNIT*</t>
  </si>
  <si>
    <t>TIPE_UNIT</t>
  </si>
  <si>
    <t>STATUS_UNIT*</t>
  </si>
  <si>
    <t>KONDISI_UNIT*</t>
  </si>
  <si>
    <t>RUSUNAWA Kota Pangkalpinang</t>
  </si>
  <si>
    <t>BLOK C</t>
  </si>
  <si>
    <t>DASAR</t>
  </si>
  <si>
    <t>Kosong</t>
  </si>
  <si>
    <t>Baik</t>
  </si>
  <si>
    <t>I</t>
  </si>
  <si>
    <t>Terisi</t>
  </si>
  <si>
    <t>Rusak Ringan</t>
  </si>
  <si>
    <t>9</t>
  </si>
  <si>
    <t>10</t>
  </si>
  <si>
    <t>Tidak Dapat Digunakan</t>
  </si>
  <si>
    <t>Rusak Berat</t>
  </si>
  <si>
    <t>11</t>
  </si>
  <si>
    <t>12</t>
  </si>
  <si>
    <t>13</t>
  </si>
  <si>
    <t>14</t>
  </si>
  <si>
    <t>15</t>
  </si>
  <si>
    <t>16</t>
  </si>
  <si>
    <t>17</t>
  </si>
  <si>
    <t>18</t>
  </si>
  <si>
    <t>19</t>
  </si>
  <si>
    <t>Rusak Sedang</t>
  </si>
  <si>
    <t>20</t>
  </si>
  <si>
    <t>21</t>
  </si>
  <si>
    <t>22</t>
  </si>
  <si>
    <t>23</t>
  </si>
  <si>
    <t>24</t>
  </si>
  <si>
    <t>II</t>
  </si>
  <si>
    <t>III</t>
  </si>
  <si>
    <t>IV</t>
  </si>
  <si>
    <t>BLOK D</t>
  </si>
  <si>
    <t>TEMPLATE RESMI DATABASE SIRUMAH — RETRIBUSI SEWA RUSUNAWA BULANAN DENGAN TARGET TAHUNAN</t>
  </si>
  <si>
    <t>Satu baris mewakili realisasi satu bulan. TARGET_TAHUNAN adalah target satu tahun anggaran, bukan target bulanan, dan harus bernilai sama pada seluruh baris bulan untuk RUSUNAWA dan tahun yang sama.</t>
  </si>
  <si>
    <t>PETUNJUK: Jangan mengubah nama header. Kolom bertanda * wajib diisi. Dashboard hanya menampilkan data tahun berjalan. REALISASI diisi per bulan; REALISASI_KUMULATIF dan CAPAIAN_PERSEN dihitung otomatis oleh Excel.</t>
  </si>
  <si>
    <t>ID_RETRIBUSI*</t>
  </si>
  <si>
    <t>TAHUN*</t>
  </si>
  <si>
    <t>BULAN*</t>
  </si>
  <si>
    <t>TARGET_TAHUNAN*</t>
  </si>
  <si>
    <t>REALISASI*</t>
  </si>
  <si>
    <t>REALISASI_KUMULATIF</t>
  </si>
  <si>
    <t>CAPAIAN_PERSEN</t>
  </si>
  <si>
    <t>RET-2026-001</t>
  </si>
  <si>
    <t>Januari</t>
  </si>
  <si>
    <t>Belum Diverifikasi</t>
  </si>
  <si>
    <t>RET-2026-002</t>
  </si>
  <si>
    <t>Februari</t>
  </si>
  <si>
    <t>RET-2026-003</t>
  </si>
  <si>
    <t>Maret</t>
  </si>
  <si>
    <t>RET-2026-004</t>
  </si>
  <si>
    <t>April</t>
  </si>
  <si>
    <t>RET-2026-005</t>
  </si>
  <si>
    <t>Mei</t>
  </si>
  <si>
    <t>TEMPLATE RESMI DATABASE SIRUMAH — SARANA PRASARANA RUSUNAWA</t>
  </si>
  <si>
    <t>Gunakan untuk monitoring kondisi bangunan, utilitas, fasilitas bersama, prioritas, dan tindak lanjut.</t>
  </si>
  <si>
    <t>ID_SARPRAS*</t>
  </si>
  <si>
    <t>KOMPONEN*</t>
  </si>
  <si>
    <t>LOKASI</t>
  </si>
  <si>
    <t>KONDISI*</t>
  </si>
  <si>
    <t>PRIORITAS*</t>
  </si>
  <si>
    <t>TINDAK_LANJUT*</t>
  </si>
  <si>
    <t>STATUS_TINDAK_LANJUT*</t>
  </si>
  <si>
    <t>TANGGAL_PEMERIKSAAN*</t>
  </si>
  <si>
    <t>Atap dan talang</t>
  </si>
  <si>
    <t>Gangguan Ringan</t>
  </si>
  <si>
    <t>Rendah</t>
  </si>
  <si>
    <t>Air bersih</t>
  </si>
  <si>
    <t>Listrik koridor</t>
  </si>
  <si>
    <t>Sedang</t>
  </si>
  <si>
    <t>Drainase lingkungan</t>
  </si>
  <si>
    <t>IPAL / septic tank</t>
  </si>
  <si>
    <t>Tangga dan railing</t>
  </si>
  <si>
    <t>Area parkir</t>
  </si>
  <si>
    <t>UNIT-0001</t>
  </si>
  <si>
    <t>UNIT-0002</t>
  </si>
  <si>
    <t>UNIT-0003</t>
  </si>
  <si>
    <t>UNIT-0004</t>
  </si>
  <si>
    <t>UNIT-0005</t>
  </si>
  <si>
    <t>UNIT-0006</t>
  </si>
  <si>
    <t>UNIT-0007</t>
  </si>
  <si>
    <t>UNIT-0008</t>
  </si>
  <si>
    <t>UNIT-0009</t>
  </si>
  <si>
    <t>UNIT-0010</t>
  </si>
  <si>
    <t>UNIT-0011</t>
  </si>
  <si>
    <t>UNIT-0012</t>
  </si>
  <si>
    <t>UNIT-0013</t>
  </si>
  <si>
    <t>UNIT-0014</t>
  </si>
  <si>
    <t>UNIT-0015</t>
  </si>
  <si>
    <t>UNIT-0016</t>
  </si>
  <si>
    <t>UNIT-0017</t>
  </si>
  <si>
    <t>UNIT-0018</t>
  </si>
  <si>
    <t>UNIT-0019</t>
  </si>
  <si>
    <t>UNIT-0020</t>
  </si>
  <si>
    <t>UNIT-0021</t>
  </si>
  <si>
    <t>UNIT-0022</t>
  </si>
  <si>
    <t>UNIT-0023</t>
  </si>
  <si>
    <t>UNIT-0024</t>
  </si>
  <si>
    <t>UNIT-0025</t>
  </si>
  <si>
    <t>UNIT-0026</t>
  </si>
  <si>
    <t>UNIT-0027</t>
  </si>
  <si>
    <t>UNIT-0028</t>
  </si>
  <si>
    <t>UNIT-0029</t>
  </si>
  <si>
    <t>UNIT-0030</t>
  </si>
  <si>
    <t>UNIT-0031</t>
  </si>
  <si>
    <t>UNIT-0032</t>
  </si>
  <si>
    <t>UNIT-0033</t>
  </si>
  <si>
    <t>UNIT-0034</t>
  </si>
  <si>
    <t>UNIT-0035</t>
  </si>
  <si>
    <t>UNIT-0036</t>
  </si>
  <si>
    <t>UNIT-0037</t>
  </si>
  <si>
    <t>UNIT-0038</t>
  </si>
  <si>
    <t>UNIT-0039</t>
  </si>
  <si>
    <t>UNIT-0040</t>
  </si>
  <si>
    <t>UNIT-0041</t>
  </si>
  <si>
    <t>UNIT-0042</t>
  </si>
  <si>
    <t>UNIT-0043</t>
  </si>
  <si>
    <t>UNIT-0044</t>
  </si>
  <si>
    <t>UNIT-0045</t>
  </si>
  <si>
    <t>UNIT-0046</t>
  </si>
  <si>
    <t>UNIT-0047</t>
  </si>
  <si>
    <t>UNIT-0048</t>
  </si>
  <si>
    <t>UNIT-0049</t>
  </si>
  <si>
    <t>UNIT-0050</t>
  </si>
  <si>
    <t>UNIT-0051</t>
  </si>
  <si>
    <t>UNIT-0052</t>
  </si>
  <si>
    <t>UNIT-0053</t>
  </si>
  <si>
    <t>UNIT-0054</t>
  </si>
  <si>
    <t>UNIT-0055</t>
  </si>
  <si>
    <t>UNIT-0056</t>
  </si>
  <si>
    <t>UNIT-0057</t>
  </si>
  <si>
    <t>UNIT-0058</t>
  </si>
  <si>
    <t>UNIT-0059</t>
  </si>
  <si>
    <t>UNIT-0060</t>
  </si>
  <si>
    <t>UNIT-0061</t>
  </si>
  <si>
    <t>UNIT-0062</t>
  </si>
  <si>
    <t>UNIT-0063</t>
  </si>
  <si>
    <t>UNIT-0064</t>
  </si>
  <si>
    <t>UNIT-0065</t>
  </si>
  <si>
    <t>UNIT-0066</t>
  </si>
  <si>
    <t>UNIT-0067</t>
  </si>
  <si>
    <t>UNIT-0068</t>
  </si>
  <si>
    <t>UNIT-0069</t>
  </si>
  <si>
    <t>UNIT-0070</t>
  </si>
  <si>
    <t>UNIT-0071</t>
  </si>
  <si>
    <t>UNIT-0072</t>
  </si>
  <si>
    <t>UNIT-0073</t>
  </si>
  <si>
    <t>UNIT-0074</t>
  </si>
  <si>
    <t>UNIT-0075</t>
  </si>
  <si>
    <t>UNIT-0076</t>
  </si>
  <si>
    <t>UNIT-0077</t>
  </si>
  <si>
    <t>UNIT-0078</t>
  </si>
  <si>
    <t>UNIT-0079</t>
  </si>
  <si>
    <t>UNIT-0080</t>
  </si>
  <si>
    <t>UNIT-0081</t>
  </si>
  <si>
    <t>UNIT-0082</t>
  </si>
  <si>
    <t>UNIT-0083</t>
  </si>
  <si>
    <t>UNIT-0084</t>
  </si>
  <si>
    <t>UNIT-0085</t>
  </si>
  <si>
    <t>UNIT-0086</t>
  </si>
  <si>
    <t>UNIT-0087</t>
  </si>
  <si>
    <t>UNIT-0088</t>
  </si>
  <si>
    <t>UNIT-0089</t>
  </si>
  <si>
    <t>UNIT-0090</t>
  </si>
  <si>
    <t>UNIT-0091</t>
  </si>
  <si>
    <t>UNIT-0092</t>
  </si>
  <si>
    <t>UNIT-0093</t>
  </si>
  <si>
    <t>UNIT-0094</t>
  </si>
  <si>
    <t>UNIT-0095</t>
  </si>
  <si>
    <t>UNIT-0096</t>
  </si>
  <si>
    <t>UNIT-0097</t>
  </si>
  <si>
    <t>UNIT-0098</t>
  </si>
  <si>
    <t>UNIT-0099</t>
  </si>
  <si>
    <t>UNIT-0100</t>
  </si>
  <si>
    <t>UNIT-0101</t>
  </si>
  <si>
    <t>UNIT-0102</t>
  </si>
  <si>
    <t>UNIT-0103</t>
  </si>
  <si>
    <t>UNIT-0104</t>
  </si>
  <si>
    <t>UNIT-0105</t>
  </si>
  <si>
    <t>UNIT-0106</t>
  </si>
  <si>
    <t>UNIT-0107</t>
  </si>
  <si>
    <t>UNIT-0108</t>
  </si>
  <si>
    <t>UNIT-0109</t>
  </si>
  <si>
    <t>UNIT-0110</t>
  </si>
  <si>
    <t>UNIT-0111</t>
  </si>
  <si>
    <t>UNIT-0112</t>
  </si>
  <si>
    <t>UNIT-0113</t>
  </si>
  <si>
    <t>UNIT-0114</t>
  </si>
  <si>
    <t>UNIT-0115</t>
  </si>
  <si>
    <t>UNIT-0116</t>
  </si>
  <si>
    <t>UNIT-0117</t>
  </si>
  <si>
    <t>UNIT-0118</t>
  </si>
  <si>
    <t>UNIT-0119</t>
  </si>
  <si>
    <t>UNIT-0120</t>
  </si>
  <si>
    <t>UNIT-0121</t>
  </si>
  <si>
    <t>UNIT-0122</t>
  </si>
  <si>
    <t>UNIT-0123</t>
  </si>
  <si>
    <t>UNIT-0124</t>
  </si>
  <si>
    <t>UNIT-0125</t>
  </si>
  <si>
    <t>UNIT-0126</t>
  </si>
  <si>
    <t>UNIT-0127</t>
  </si>
  <si>
    <t>UNIT-0128</t>
  </si>
  <si>
    <t>UNIT-0129</t>
  </si>
  <si>
    <t>UNIT-0130</t>
  </si>
  <si>
    <t>UNIT-0131</t>
  </si>
  <si>
    <t>UNIT-0132</t>
  </si>
  <si>
    <t>UNIT-0133</t>
  </si>
  <si>
    <t>UNIT-0134</t>
  </si>
  <si>
    <t>UNIT-0135</t>
  </si>
  <si>
    <t>UNIT-0136</t>
  </si>
  <si>
    <t>UNIT-0137</t>
  </si>
  <si>
    <t>UNIT-0138</t>
  </si>
  <si>
    <t>UNIT-0139</t>
  </si>
  <si>
    <t>UNIT-0140</t>
  </si>
  <si>
    <t>UNIT-0141</t>
  </si>
  <si>
    <t>UNIT-0142</t>
  </si>
  <si>
    <t>UNIT-0143</t>
  </si>
  <si>
    <t>UNIT-0144</t>
  </si>
  <si>
    <t>UNIT-0145</t>
  </si>
  <si>
    <t>UNIT-0146</t>
  </si>
  <si>
    <t>UNIT-0147</t>
  </si>
  <si>
    <t>UNIT-0148</t>
  </si>
  <si>
    <t>UNIT-0149</t>
  </si>
  <si>
    <t>UNIT-0150</t>
  </si>
  <si>
    <t>UNIT-0151</t>
  </si>
  <si>
    <t>UNIT-0152</t>
  </si>
  <si>
    <t>UNIT-0153</t>
  </si>
  <si>
    <t>UNIT-0154</t>
  </si>
  <si>
    <t>UNIT-0155</t>
  </si>
  <si>
    <t>UNIT-0156</t>
  </si>
  <si>
    <t>UNIT-0157</t>
  </si>
  <si>
    <t>UNIT-0158</t>
  </si>
  <si>
    <t>UNIT-0159</t>
  </si>
  <si>
    <t>UNIT-0160</t>
  </si>
  <si>
    <t>UNIT-0161</t>
  </si>
  <si>
    <t>UNIT-0162</t>
  </si>
  <si>
    <t>UNIT-0163</t>
  </si>
  <si>
    <t>UNIT-0164</t>
  </si>
  <si>
    <t>UNIT-0165</t>
  </si>
  <si>
    <t>UNIT-0166</t>
  </si>
  <si>
    <t>UNIT-0167</t>
  </si>
  <si>
    <t>UNIT-0168</t>
  </si>
  <si>
    <t>UNIT-0169</t>
  </si>
  <si>
    <t>UNIT-0170</t>
  </si>
  <si>
    <t>UNIT-0171</t>
  </si>
  <si>
    <t>UNIT-0172</t>
  </si>
  <si>
    <t>UNIT-0173</t>
  </si>
  <si>
    <t>UNIT-0174</t>
  </si>
  <si>
    <t>UNIT-0175</t>
  </si>
  <si>
    <t>UNIT-0176</t>
  </si>
  <si>
    <t>UNIT-0177</t>
  </si>
  <si>
    <t>UNIT-0178</t>
  </si>
  <si>
    <t>UNIT-0179</t>
  </si>
  <si>
    <t>UNIT-0180</t>
  </si>
  <si>
    <t>UNIT-0181</t>
  </si>
  <si>
    <t>UNIT-0182</t>
  </si>
  <si>
    <t>UNIT-0183</t>
  </si>
  <si>
    <t>UNIT-0184</t>
  </si>
  <si>
    <t>UNIT-0185</t>
  </si>
  <si>
    <t>UNIT-0186</t>
  </si>
  <si>
    <t>UNIT-0187</t>
  </si>
  <si>
    <t>UNIT-0188</t>
  </si>
  <si>
    <t>UNIT-0189</t>
  </si>
  <si>
    <t>UNIT-0190</t>
  </si>
  <si>
    <t>UNIT-0191</t>
  </si>
  <si>
    <t>UNIT-0192</t>
  </si>
  <si>
    <t>UNIT-0193</t>
  </si>
  <si>
    <t>UNIT-0194</t>
  </si>
  <si>
    <t>UNIT-0195</t>
  </si>
  <si>
    <t>UNIT-0196</t>
  </si>
  <si>
    <t>UNIT-0197</t>
  </si>
  <si>
    <t>UNIT-0198</t>
  </si>
  <si>
    <t>SARPRAS-001</t>
  </si>
  <si>
    <t>SARPRAS-002</t>
  </si>
  <si>
    <t>SARPRAS-003</t>
  </si>
  <si>
    <t>SARPRAS-004</t>
  </si>
  <si>
    <t>SARPRAS-005</t>
  </si>
  <si>
    <t>SARPRAS-006</t>
  </si>
  <si>
    <t>SARPRAS-007</t>
  </si>
  <si>
    <t>TEMPLATE RESMI DATABASE SIRUMAH — DATA INDIVIDU RTLH</t>
  </si>
  <si>
    <t>KECAMATAN</t>
  </si>
  <si>
    <t>JENIS_USULAN</t>
  </si>
  <si>
    <t>TIPE_KONSTRUKSI</t>
  </si>
  <si>
    <t>MATERIAL_ATAP</t>
  </si>
  <si>
    <t>KONDISI_ATAP</t>
  </si>
  <si>
    <t>MATERIAL_DINDING</t>
  </si>
  <si>
    <t>KONDISI_DINDING</t>
  </si>
  <si>
    <t>MATERIAL_LANTAI</t>
  </si>
  <si>
    <t>KONDISI_LANTAI</t>
  </si>
  <si>
    <t>STATUS_MBR</t>
  </si>
  <si>
    <t>CHECKLIST_YA_TIDAK</t>
  </si>
  <si>
    <t>TINGKAT_RISIKO_LAINNYA</t>
  </si>
  <si>
    <t>STATUS_ADMINISTRASI</t>
  </si>
  <si>
    <t>STATUS_VERIFIKASI</t>
  </si>
  <si>
    <t>STATUS_PENANGANAN</t>
  </si>
  <si>
    <t>SUMBER_DANA</t>
  </si>
  <si>
    <t>STATUS_KEPEMILIKAN_TANAH</t>
  </si>
  <si>
    <t>SUMBER_DATA</t>
  </si>
  <si>
    <t>DATA INTERNAL. Berisi usulan Musrenbang dan Pokir DPRD. Lindungi NIK, No. KK, alamat lengkap, dan nomor telepon; dashboard publik hanya menampilkan data agregat.</t>
  </si>
  <si>
    <t>Pembangunan Baru</t>
  </si>
  <si>
    <t>Permanen</t>
  </si>
  <si>
    <t>Genteng</t>
  </si>
  <si>
    <t>Bata/Batako Diplester</t>
  </si>
  <si>
    <t>Keramik</t>
  </si>
  <si>
    <t>Terverifikasi DTKS/P3KE/MBR</t>
  </si>
  <si>
    <t>Ya</t>
  </si>
  <si>
    <t>Risiko Sedang</t>
  </si>
  <si>
    <t>Lengkap</t>
  </si>
  <si>
    <t>Belum Ditangani</t>
  </si>
  <si>
    <t>Belum Ada</t>
  </si>
  <si>
    <t>Milik Sendiri</t>
  </si>
  <si>
    <t>Usulan Musrenbang/Pokir DPRD</t>
  </si>
  <si>
    <t>PETUNJUK: Kolom faktor rentan dan risiko berfungsi seperti checklist. Pilih Ya, Tidak, atau Belum Dinilai. Ringkasan faktor dan poin dihitung otomatis.</t>
  </si>
  <si>
    <t>Peningkatan Kualitas</t>
  </si>
  <si>
    <t>Semipermanen</t>
  </si>
  <si>
    <t>Seng</t>
  </si>
  <si>
    <t>Bata/Batako Belum Diplester</t>
  </si>
  <si>
    <t>Tegel/Ubin</t>
  </si>
  <si>
    <t>Diusulkan, Belum Terverifikasi</t>
  </si>
  <si>
    <t>Tidak</t>
  </si>
  <si>
    <t>Risiko Tinggi/Darurat</t>
  </si>
  <si>
    <t>Belum Lengkap</t>
  </si>
  <si>
    <t>Sudah Diverifikasi</t>
  </si>
  <si>
    <t>Masuk Prioritas</t>
  </si>
  <si>
    <t>APBD Kota</t>
  </si>
  <si>
    <t>Kepemilikan Keluarga</t>
  </si>
  <si>
    <t>Musrenbang</t>
  </si>
  <si>
    <t>Belum Prioritas</t>
  </si>
  <si>
    <t>Nonpermanen</t>
  </si>
  <si>
    <t>Asbes/Fiber Semen</t>
  </si>
  <si>
    <t>Beton</t>
  </si>
  <si>
    <t>Semen/Plester</t>
  </si>
  <si>
    <t>Tidak Terdata</t>
  </si>
  <si>
    <t>Belum Dinilai</t>
  </si>
  <si>
    <t>Dalam Pelaksanaan</t>
  </si>
  <si>
    <t>APBD Provinsi</t>
  </si>
  <si>
    <t>Sewa/Kontrak</t>
  </si>
  <si>
    <t>Pokir DPRD</t>
  </si>
  <si>
    <t>ID_RTLH*</t>
  </si>
  <si>
    <t>NAMA_KEPALA_KELUARGA*</t>
  </si>
  <si>
    <t>NIK</t>
  </si>
  <si>
    <t>NO_KK</t>
  </si>
  <si>
    <t>ALAMAT*</t>
  </si>
  <si>
    <t>JENIS_USULAN*</t>
  </si>
  <si>
    <t>CATATAN_VERIFIKASI*</t>
  </si>
  <si>
    <t>TIPE_KONSTRUKSI_RUMAH*</t>
  </si>
  <si>
    <t>STATUS_MBR*</t>
  </si>
  <si>
    <t>RENTAN_LANSIA*</t>
  </si>
  <si>
    <t>RENTAN_DISABILITAS*</t>
  </si>
  <si>
    <t>RENTAN_KEPALA_KELUARGA_PEREMPUAN*</t>
  </si>
  <si>
    <t>RENTAN_BALITA*</t>
  </si>
  <si>
    <t>RENTAN_KETERGANTUNGAN_TINGGI*</t>
  </si>
  <si>
    <t>CATATAN_KERENTANAN_PENGHUNI</t>
  </si>
  <si>
    <t>FAKTOR_KERENTANAN_TERPILIH</t>
  </si>
  <si>
    <t>TINGKAT_KERENTANAN_PENGHUNI</t>
  </si>
  <si>
    <t>SKOR_MBR</t>
  </si>
  <si>
    <t>SKOR_FAKTOR_RENTAN</t>
  </si>
  <si>
    <t>SKOR_KERENTANAN</t>
  </si>
  <si>
    <t>RISIKO_BANGUNAN_BERPOTENSI_ROBOH*</t>
  </si>
  <si>
    <t>RISIKO_BEKAS_KEBAKARAN_TIDAK_AMAN*</t>
  </si>
  <si>
    <t>RISIKO_ATAP_DINDING_HAMPIR_RUNTUH*</t>
  </si>
  <si>
    <t>RISIKO_GENANGAN_MEMBAHAYAKAN*</t>
  </si>
  <si>
    <t>RISIKO_STRUKTUR_TIDAK_STABIL*</t>
  </si>
  <si>
    <t>RISIKO_INSTALASI_LISTRIK_BERBAHAYA*</t>
  </si>
  <si>
    <t>RISIKO_KOMPONEN_LEPAS_LAPUK*</t>
  </si>
  <si>
    <t>RISIKO_AKSES_EVAKUASI_TERBATAS*</t>
  </si>
  <si>
    <t>RISIKO_LOKASI_RAWAN_BENCANA*</t>
  </si>
  <si>
    <t>RISIKO_LAINNYA</t>
  </si>
  <si>
    <t>FAKTOR_RISIKO_TERPILIH</t>
  </si>
  <si>
    <t>TINGKAT_RISIKO_KESELAMATAN</t>
  </si>
  <si>
    <t>CATATAN_RISIKO_KESELAMATAN</t>
  </si>
  <si>
    <t>SKOR_TEKNIS</t>
  </si>
  <si>
    <t>SKOR_RISIKO</t>
  </si>
  <si>
    <t>SKOR_PRIORITAS</t>
  </si>
  <si>
    <t>TINGKAT_PRIORITAS</t>
  </si>
  <si>
    <t>STATUS_ADMINISTRASI*</t>
  </si>
  <si>
    <t>STATUS_PENANGANAN*</t>
  </si>
  <si>
    <t>TAHUN_PENANGANAN</t>
  </si>
  <si>
    <t>NOMOR_HP</t>
  </si>
  <si>
    <t>TANGGAL_SURVEI</t>
  </si>
  <si>
    <t>Belum Ditentukan</t>
  </si>
  <si>
    <t>Belum Dapat Ditentukan</t>
  </si>
  <si>
    <t>Spandek</t>
  </si>
  <si>
    <t>Dinding Permanen (Material tidak dirinci)</t>
  </si>
  <si>
    <t>Papan/Kayu</t>
  </si>
  <si>
    <t>Selesai</t>
  </si>
  <si>
    <t>BSPS</t>
  </si>
  <si>
    <t>Menumpang</t>
  </si>
  <si>
    <t>Pendataan Dinas</t>
  </si>
  <si>
    <t>RTLH-0001</t>
  </si>
  <si>
    <t>WAHYU KURNIADI</t>
  </si>
  <si>
    <t>JL. BATU RUBI XI RT.003 RW.001</t>
  </si>
  <si>
    <t>BUKIT BESAR</t>
  </si>
  <si>
    <t>GIRIMAYA</t>
  </si>
  <si>
    <t>RUMAH BAGIAN UTAMA FULL PAPAN, BAGIAN DAPUR BARU DI RENOVASI (PERMANEN), ATAP ASBES,</t>
  </si>
  <si>
    <t>Belum Diidentifikasi</t>
  </si>
  <si>
    <t>Dinas Perkim Kota Pangkalpinang</t>
  </si>
  <si>
    <t>Beton/Dak</t>
  </si>
  <si>
    <t>Tidak Ada/Terbuka</t>
  </si>
  <si>
    <t>Tanah</t>
  </si>
  <si>
    <t>Tidak Layak</t>
  </si>
  <si>
    <t>CSR</t>
  </si>
  <si>
    <t>Lainnya</t>
  </si>
  <si>
    <t>RTLH-0002</t>
  </si>
  <si>
    <t>SUSANTO</t>
  </si>
  <si>
    <t>JL. AIR MAWAR DALAM RT.003 RW.002</t>
  </si>
  <si>
    <t>AIR MAWAR</t>
  </si>
  <si>
    <t>BUKIT INTAN</t>
  </si>
  <si>
    <t>RUMAH FULL PAPAN</t>
  </si>
  <si>
    <t>Sirap</t>
  </si>
  <si>
    <t>Bambu</t>
  </si>
  <si>
    <t>Campuran</t>
  </si>
  <si>
    <t>BAZNAS</t>
  </si>
  <si>
    <t>RTLH-0003</t>
  </si>
  <si>
    <t>MOIFA</t>
  </si>
  <si>
    <t>JL. ARUS DALAM RT.003 RW.002</t>
  </si>
  <si>
    <t>RUMAH FULL PAPAN,DINDING PAPAN RUSAK SEDANG,ATAP SENG,</t>
  </si>
  <si>
    <t>RTLH-0004</t>
  </si>
  <si>
    <t>ERLY TAHAR</t>
  </si>
  <si>
    <t>JL RATNA RAYA RT.002 RW.001</t>
  </si>
  <si>
    <t>SEMABUNG BARU</t>
  </si>
  <si>
    <t>RUMAH SEMI PERMANEN,DINGDING PAPAN, RUSAK RINGAN,ATAP SENG</t>
  </si>
  <si>
    <t>Belum tersedia</t>
  </si>
  <si>
    <t>Campuran Permanen dan Papan</t>
  </si>
  <si>
    <t>RTLH-0005</t>
  </si>
  <si>
    <t>SULAEHA SUNDARI</t>
  </si>
  <si>
    <t>JL. DEPATI HAMZAH RT.001 RW.001</t>
  </si>
  <si>
    <t>GAJAH MADA</t>
  </si>
  <si>
    <t>RANGKUI</t>
  </si>
  <si>
    <t>RUMAH PERMANEN,KENDALA ( BANJIR SAAT HUJAN) BANGUNAN RUMAH DI ATAS SALURAN AIR (BANDAR)</t>
  </si>
  <si>
    <t>RTLH-0006</t>
  </si>
  <si>
    <t>MUTROFIN</t>
  </si>
  <si>
    <t>JL. MUSTIKA 4 RT.008 RW.002</t>
  </si>
  <si>
    <t>SEMABUNG LAMA</t>
  </si>
  <si>
    <t>RTLH-0007</t>
  </si>
  <si>
    <t>LAIJ TJHUN MOIJ</t>
  </si>
  <si>
    <t>JL. NIPAH III RT.006 RW.002</t>
  </si>
  <si>
    <t>PASIR PUTIH</t>
  </si>
  <si>
    <t>RUMAH RUSAK PARAH, RUMAH DAERAH RAWA-RAWA,</t>
  </si>
  <si>
    <t>RTLH-0008</t>
  </si>
  <si>
    <t>FIKA RAMADHANI</t>
  </si>
  <si>
    <t>JL. NILA DAAM NO.74</t>
  </si>
  <si>
    <t>REJOSARI</t>
  </si>
  <si>
    <t>PANGKAL BALAM</t>
  </si>
  <si>
    <t>RUMAH RUSAK SEDANG ,BAGIAN DINDING DAN ATAP RUSAK BERAT SEBAGIAN</t>
  </si>
  <si>
    <t>RTLH-0009</t>
  </si>
  <si>
    <t>MARIYATI</t>
  </si>
  <si>
    <t>GG. LOHAN II NO.47</t>
  </si>
  <si>
    <t>GABEK I</t>
  </si>
  <si>
    <t>GABEK</t>
  </si>
  <si>
    <t>RUMAH KONDISI MASIH BAGUS</t>
  </si>
  <si>
    <t>RTLH-0010</t>
  </si>
  <si>
    <t>SADUANTO</t>
  </si>
  <si>
    <t>GG YOS SUDARSO III</t>
  </si>
  <si>
    <t>GABEK II</t>
  </si>
  <si>
    <t>KONDISI KESELURUHAN RUMAH RUSAK SEDANG ,CUMA ATAP RUSAK BERAT</t>
  </si>
  <si>
    <t>RTLH-0011</t>
  </si>
  <si>
    <t>JANUAR FIKRI</t>
  </si>
  <si>
    <t>JL. FATMAWATI DALAM</t>
  </si>
  <si>
    <t>JERAMBAH GANTUNG</t>
  </si>
  <si>
    <t>KESELURUHAN RUMAH RUSAK SEDANG</t>
  </si>
  <si>
    <t>RTLH-0012</t>
  </si>
  <si>
    <t>MARTOYAH</t>
  </si>
  <si>
    <t>JL. EKOR KUNING VI</t>
  </si>
  <si>
    <t>KONDISI RUMAH RUSAK PARAH TERMASUK DINDING ,ATAP</t>
  </si>
  <si>
    <t>RTLH-0013</t>
  </si>
  <si>
    <t>M.YAMIN</t>
  </si>
  <si>
    <t>JL. A YANI GG.17</t>
  </si>
  <si>
    <t>KEJAKSAAN</t>
  </si>
  <si>
    <t>TAMAN SARI</t>
  </si>
  <si>
    <t>KESELURUHAN RUMAH RUSAK PARAH , ATAP DAN DNDING BOCOR</t>
  </si>
  <si>
    <t>RTLH-0016</t>
  </si>
  <si>
    <t>KASMAH</t>
  </si>
  <si>
    <t>GG. BANDES RT.007 RW.003</t>
  </si>
  <si>
    <t>AIR ITAM</t>
  </si>
  <si>
    <t>RTLH-0018</t>
  </si>
  <si>
    <t>USMAN</t>
  </si>
  <si>
    <t>JL. MENGKUDU RT.008 RW.003</t>
  </si>
  <si>
    <t>TUATUNU</t>
  </si>
  <si>
    <t>GERUNGGANG</t>
  </si>
  <si>
    <t>SURAT TANAH ATAS NAMA SENDIRI.RUMAH FULL PAPAN.ATAP ASBES.LANTAI SEMEN.</t>
  </si>
  <si>
    <t>RTLH-0019</t>
  </si>
  <si>
    <t>ROHANA</t>
  </si>
  <si>
    <t>JL.KURMA RT.003 RW.001</t>
  </si>
  <si>
    <t>AIR KEPALA TUJUH</t>
  </si>
  <si>
    <t>SURAT TANAH Lengkap. RUMAH FULL PAPAN. ATAP ASBES.</t>
  </si>
  <si>
    <t>RTLH-0020</t>
  </si>
  <si>
    <t>BONG A THIN</t>
  </si>
  <si>
    <t>RUMAH FULL PAPAN,ATAP GENTENG,SEBAGIAN ASBES, DINDING RUSAK RINGAN, KEADAAN DAPUR RUSAK PARAH, LANTAI FULL FLOOR,</t>
  </si>
  <si>
    <t>RTLH-0022</t>
  </si>
  <si>
    <t>NASIR</t>
  </si>
  <si>
    <t>JL. PADANG LAMA RT.009 RW.003</t>
  </si>
  <si>
    <t>RUMAH FULL PAPAN, ATAP SENG ,DINDING PAPAN RUSAK SEDANG, LANTAI FLOOR</t>
  </si>
  <si>
    <t>RTLH-0023</t>
  </si>
  <si>
    <t>JONI</t>
  </si>
  <si>
    <t>GG. MERAH DELIMA RT.004 RW.002</t>
  </si>
  <si>
    <t>TEMBERAN</t>
  </si>
  <si>
    <t>RUMAH SEMI PERMANEN, SEBAGIAN DINDING PAPAN, ATAP SENG, BAGIAN DAPUR PERMANEN</t>
  </si>
  <si>
    <t>RTLH-0024</t>
  </si>
  <si>
    <t>WIDYA</t>
  </si>
  <si>
    <t>GG. INTAN III RT.006</t>
  </si>
  <si>
    <t>BATU INTAN</t>
  </si>
  <si>
    <t>RUMAH PERMANEN, MINTA REHAB ATAP BAGIAN DAPUR</t>
  </si>
  <si>
    <t>RTLH-0025</t>
  </si>
  <si>
    <t>MUNG SULLAH / ATET</t>
  </si>
  <si>
    <t>GG. NILAM VI RT.004 RW.001</t>
  </si>
  <si>
    <t>BACANG</t>
  </si>
  <si>
    <t>RUMAH SEBAGIAN BETON</t>
  </si>
  <si>
    <t>RTLH-0027</t>
  </si>
  <si>
    <t>JL. TELUK BAYUR RT.009 RW.003</t>
  </si>
  <si>
    <t>RTLH-0029</t>
  </si>
  <si>
    <t>YUHANA HANSI</t>
  </si>
  <si>
    <t>JL. AKASIA DALAM RT.009 RW.003</t>
  </si>
  <si>
    <t>BUKIT MERAPIN</t>
  </si>
  <si>
    <t>RUMAH FULL PAPAN, ATAP SENG ,DINDING PAPAN RUSAK SEDANG,LANTAI PLASTERAN. RUMAH BOCOR RINGAN.</t>
  </si>
  <si>
    <t>RTLH-0030</t>
  </si>
  <si>
    <t>RUSTAM EFENDI</t>
  </si>
  <si>
    <t>JL. SUMEDANG GG.PIPIT RT.006 RW.002</t>
  </si>
  <si>
    <t>KACANG PEDANG</t>
  </si>
  <si>
    <t>RUMAH PERMANEN, DAPUR RUSAK RINGAN. ATAP RUSAK RINGAN</t>
  </si>
  <si>
    <t>RTLH-0031</t>
  </si>
  <si>
    <t>LIM JIT SEN</t>
  </si>
  <si>
    <t>JL. MATRI URIP DALAM 1 NO.06 RT.001 RW.001</t>
  </si>
  <si>
    <t>TAMAN BUNGA</t>
  </si>
  <si>
    <t>RTLH-0032</t>
  </si>
  <si>
    <t>RASIDI</t>
  </si>
  <si>
    <t>JL. DELIMA DALAM RT.004</t>
  </si>
  <si>
    <t>RUMAH SEMI PERMANEN,DINGDING PAPAN, RUSAK RINGAN,ATAP ASBES. LANTAI PLASTERAN.</t>
  </si>
  <si>
    <t>RTLH-0034</t>
  </si>
  <si>
    <t>BAHARUDIN</t>
  </si>
  <si>
    <t>JL. NYATOH RT.006 RW.002</t>
  </si>
  <si>
    <t>BUKIT SARI</t>
  </si>
  <si>
    <t>RUMAH PERMANEN</t>
  </si>
  <si>
    <t>RTLH-0035</t>
  </si>
  <si>
    <t>MARSIDA</t>
  </si>
  <si>
    <t>JL. H JUMAT YAHYA DALAM RT.006 RW.002</t>
  </si>
  <si>
    <t>RTLH-0036</t>
  </si>
  <si>
    <t>NURSINAH</t>
  </si>
  <si>
    <t>JL KAMPUNG MELAYU RT.008 RW.003</t>
  </si>
  <si>
    <t>RTLH-0037</t>
  </si>
  <si>
    <t>LIM MUK SUAN</t>
  </si>
  <si>
    <t>RTLH-0038</t>
  </si>
  <si>
    <t>SOLMI</t>
  </si>
  <si>
    <t>ASAM</t>
  </si>
  <si>
    <t>RTLH-0041</t>
  </si>
  <si>
    <t>SENAH</t>
  </si>
  <si>
    <t>JL. BATIN ISO RT.005 RW.002</t>
  </si>
  <si>
    <t>PINTU AIR</t>
  </si>
  <si>
    <t>RUMAH FULL PAPAN RUSAK BERAT, ATAP SENG RUSAK RINGAN, LANTAI PAPAN RUSAK BERAT ( MINTA REHAB KESELURUHAN)</t>
  </si>
  <si>
    <t>RTLH-0042</t>
  </si>
  <si>
    <t>AJIJAH</t>
  </si>
  <si>
    <t>JL. JAKFAR YUSUF RT.008 RW.003</t>
  </si>
  <si>
    <t>RTLH-0043</t>
  </si>
  <si>
    <t>MUSLIM</t>
  </si>
  <si>
    <t>RUMAH FULL PAPAN, ATAP ASBES, DINDING PAPAN RUSAK RINGAN, LANTAI FLOOR</t>
  </si>
  <si>
    <t>RTLH-0044</t>
  </si>
  <si>
    <t>UJANG ANDI WIJAYA</t>
  </si>
  <si>
    <t>JL. MARICA RT.008 RW.003</t>
  </si>
  <si>
    <t>RUMAH BAGI DUA DENGAN SAUDARA ( SATU ATAP), DINDING PAPAN,LANTAI FLOOR, ATAP SENG RUSAK RINGAN ( SAUDARA DARI RESKY RANGKUTI)</t>
  </si>
  <si>
    <t>RTLH-0045</t>
  </si>
  <si>
    <t>RESKY RANGKUTI</t>
  </si>
  <si>
    <t>RTLH-0046</t>
  </si>
  <si>
    <t>BUIKA M.AA</t>
  </si>
  <si>
    <t>JL. ABDURRACHMAN NO.58 RT.003 RW.001</t>
  </si>
  <si>
    <t>RUMAH,SEMI PERMANEN, LANTAI KERAMIK, ATAP SENG RUSAK SEDANG, DINDING RUSAK RINGAN</t>
  </si>
  <si>
    <t>RTLH-0047</t>
  </si>
  <si>
    <t>IRWAN RIZALI</t>
  </si>
  <si>
    <t>JL. KH MOESLIMIN MANAB NO.04 RT.006 RW.002</t>
  </si>
  <si>
    <t>RUMAH SEMI PERMANEN, ATAP GENTENG RUSAK BERAT, LANTAI FLOOR RUSAK RINGAN, DINDING PAPAN RUSAK SEDANG,</t>
  </si>
  <si>
    <t>RTLH-0048</t>
  </si>
  <si>
    <t>AGUS CIK</t>
  </si>
  <si>
    <t>GG. RUKAM IV NO.166 RT.005 RW.002</t>
  </si>
  <si>
    <t>RUMAH PERMANEN, LANTAI FLOOR, ATAP SENG, KELAYAKAN 80% MINTA REHAB BAGIAN ATAP</t>
  </si>
  <si>
    <t>RTLH-0050</t>
  </si>
  <si>
    <t>RIMA</t>
  </si>
  <si>
    <t>JL. BANGKALAN NO.25 RT.009 RW.003</t>
  </si>
  <si>
    <t>MELINTANG</t>
  </si>
  <si>
    <t>RUMAH FULL PAPAN, ATAP GENTENG,DINDING PAPAN, ATAP RUSAK SEDANG,DINDING RUSAK RINGAN,</t>
  </si>
  <si>
    <t>RTLH-0051</t>
  </si>
  <si>
    <t>SANKA</t>
  </si>
  <si>
    <t>JL. SRIWIJAYA RT.005 RW.002</t>
  </si>
  <si>
    <t>BELUM PRIORITAS</t>
  </si>
  <si>
    <t>RUMAH SEMI PERMANEN, ATAP SENG RUSAK RINGAN,DIDING PAPAN RUSAK RINGAN, LANTAI KERAMIK</t>
  </si>
  <si>
    <t>RTLH-0052</t>
  </si>
  <si>
    <t>SITANIA</t>
  </si>
  <si>
    <t>DINDING PERMANEN, LANTAI FLOOR,ATAP SENG, ( MINTA REHAB BAGIAN ATAP)</t>
  </si>
  <si>
    <t>RTLH-0053</t>
  </si>
  <si>
    <t>SRIWATI</t>
  </si>
  <si>
    <t>RTLH-0054</t>
  </si>
  <si>
    <t>ROSMAH</t>
  </si>
  <si>
    <t>RTLH-0055</t>
  </si>
  <si>
    <t>BASTIAR</t>
  </si>
  <si>
    <t>PARITLALANG</t>
  </si>
  <si>
    <t>RUMAH FULL PAPAN,LANTAI FLOOR, ATAP SENG, DINDING RUSAK BERAT, LANTAI RUSAK SEDANG, ATAP RUSAK SEDANG.</t>
  </si>
  <si>
    <t>RTLH-0056</t>
  </si>
  <si>
    <t>HATIMAH</t>
  </si>
  <si>
    <t>JL. PAMEKASAN RT.002 RW.002</t>
  </si>
  <si>
    <t>RUMAH SEMI PERMANEN, BAGIAN BELAKANG PERMANEN, ATAP GENTENG,LANTAI FLOOR ( PERNAH MENDAPATKAN BANTUAN SWADAYA )</t>
  </si>
  <si>
    <t>RTLH-0057</t>
  </si>
  <si>
    <t>YULIA ANJANI</t>
  </si>
  <si>
    <t>JL. VETERAN NO.8 RT.002 RW.001</t>
  </si>
  <si>
    <t>RUMAH SEMI PERMANEN, BAGIAN DAPUR PERMANEN, BAGIAN UTAMA FULL PAPAN, ATAP ASBES, DINDING PAPAN RUSAK RINGAN, LANTAI FLOOR</t>
  </si>
  <si>
    <t>RTLH-0060</t>
  </si>
  <si>
    <t>LIONG NGIAT FUN</t>
  </si>
  <si>
    <t>JL.BATU KADERA RT.011 RW.003</t>
  </si>
  <si>
    <t>RUMAH FULL PAPAN, DINDING RUSAK BERAT,ATAP GENTENG RUSAK BERAT,LANTAI FLOOR RUSAK RINGAN</t>
  </si>
  <si>
    <t>RTLH-0063</t>
  </si>
  <si>
    <t>RIRIN</t>
  </si>
  <si>
    <t>JL. AIR MAWAR DALAM RT.002 RW.001</t>
  </si>
  <si>
    <t>RTLH-0064</t>
  </si>
  <si>
    <t>UYAN SOPIANDI</t>
  </si>
  <si>
    <t>GG. HAJI LAUT RT.006 RW.002</t>
  </si>
  <si>
    <t>RUMAH SEMI PERMANEN TANPA PONDASI, DINDING PAPAN, ATAP ASBES, LANTAI FLOOR</t>
  </si>
  <si>
    <t>RTLH-0065</t>
  </si>
  <si>
    <t>KUSLINA</t>
  </si>
  <si>
    <t>GG. H.SALEH RT.003 RW.001</t>
  </si>
  <si>
    <t>RUMAH KEBAKARAN</t>
  </si>
  <si>
    <t>RTLH-0066</t>
  </si>
  <si>
    <t>AHMAD YANTO</t>
  </si>
  <si>
    <t>JL. TANJUNG GUNUNG II RT.001 RW.001</t>
  </si>
  <si>
    <t>DINDING ASBES, LANTAI FLOOR, ATAP SENG, WC TIDAK ADA</t>
  </si>
  <si>
    <t>RTLH-0067</t>
  </si>
  <si>
    <t>ROYADI</t>
  </si>
  <si>
    <t>JL. KASIR RT.009 RW.003</t>
  </si>
  <si>
    <t>SINAR BULAN</t>
  </si>
  <si>
    <t>RUMAH PERMANEN, (MINTA REHAB BAGIAN DEPAN )</t>
  </si>
  <si>
    <t>RTLH-0069</t>
  </si>
  <si>
    <t>ASNI</t>
  </si>
  <si>
    <t>JL. SINAR BULAN RT.005 RW.003</t>
  </si>
  <si>
    <t>RUMAH SEMI PERMANEN , LANTAI FLOOR, DINDING PAPAN RUSAK RINGAN, ATAP GENTENG RUSAK SEDANG )</t>
  </si>
  <si>
    <t>RTLH-0070</t>
  </si>
  <si>
    <t>RIZKA</t>
  </si>
  <si>
    <t>RUMAH SEMI PERMANEN, LANTAI FLOOR, BAGIAN DAPUR PERMANEN LANTAI KERAMIK, DINDING PAPAN, ATAP SENG RUSAK SEDANG )\</t>
  </si>
  <si>
    <t>RTLH-0071</t>
  </si>
  <si>
    <t>NOVITA SARI</t>
  </si>
  <si>
    <t>RUMAH SEMI PERMANEN, TANPA PONDASI, DINDING PAPAN RUSAK SEDANG, ATAP ASBES</t>
  </si>
  <si>
    <t>RTLH-0072</t>
  </si>
  <si>
    <t>EKO</t>
  </si>
  <si>
    <t>GG.MAJID AL IHSAN RT/RW 003/001</t>
  </si>
  <si>
    <t>LONTONG PANCUR</t>
  </si>
  <si>
    <t>RUMAH FULL DINDING, ATAS ASBES DAN TIDAK AD KAMAR MANDI</t>
  </si>
  <si>
    <t>RTLH-0073</t>
  </si>
  <si>
    <t>YUNI RETNO WATI</t>
  </si>
  <si>
    <t>JL.KAYU PUTIH.RT/RW. 002/001</t>
  </si>
  <si>
    <t>RUMAH FULL DINDING , ATAP ASBES RUSAK BERAT (BOCOR)</t>
  </si>
  <si>
    <t>RTLH-0074</t>
  </si>
  <si>
    <t>BEENISHYA UKHRA NAJWA NURLAILA</t>
  </si>
  <si>
    <t>JL.VETERAN RT/RW 002/003</t>
  </si>
  <si>
    <t>RUMAH TIADK LAYAK HUNI, DINDING ASBES/SENG, ATAP SENG,</t>
  </si>
  <si>
    <t>RTLH-0075</t>
  </si>
  <si>
    <t>MAUN RASIMA</t>
  </si>
  <si>
    <t>JL.ARUS DALAM RT/RW 003/002</t>
  </si>
  <si>
    <t>RTLH-0083</t>
  </si>
  <si>
    <t>DAVINDRA</t>
  </si>
  <si>
    <t>JL. TREM SEBRANG</t>
  </si>
  <si>
    <t>GEDUNG NASIONAL</t>
  </si>
  <si>
    <t>RUMAH DAN TANAH MILIK KELURGA DAN HNYA REHAB WC</t>
  </si>
  <si>
    <t>RTLH-0084</t>
  </si>
  <si>
    <t>NAYARA/FITRA LATIFA</t>
  </si>
  <si>
    <t>JL. AHMAD YANI</t>
  </si>
  <si>
    <t>BATIN TIKAL</t>
  </si>
  <si>
    <t>RTLH-0085</t>
  </si>
  <si>
    <t>RAHMA SHOLEHA</t>
  </si>
  <si>
    <t>RTLH-0088</t>
  </si>
  <si>
    <t>AGUSTOMO</t>
  </si>
  <si>
    <t>JL. NILA RAYA NO 30, RT/RW 008/003</t>
  </si>
  <si>
    <t>RUMAH ADA 2. TERLETAK DIBELAKANG RUMAH, DINDING SETENGAH BATA, ATAP GENTENG</t>
  </si>
  <si>
    <t>RTLH-0089</t>
  </si>
  <si>
    <t>NAMIWATI</t>
  </si>
  <si>
    <t>JL. NILA RAYA NO 153, RT/RW 005/003</t>
  </si>
  <si>
    <t>DINDING SETENGAH BATA, ATAP GENTENG</t>
  </si>
  <si>
    <t>RTLH-0090</t>
  </si>
  <si>
    <t>BUDI</t>
  </si>
  <si>
    <t>JL. BEDUKANG DALAM , RT/RW 002/001</t>
  </si>
  <si>
    <t>PASIR GARAM</t>
  </si>
  <si>
    <t>RUMAH RUSAK SEDANG.DINDING PAPAN, LANTAIO PLASTER,ATAP SENG,</t>
  </si>
  <si>
    <t>RTLH-0091</t>
  </si>
  <si>
    <t>ROZALI</t>
  </si>
  <si>
    <t>JL. SUMEDANG , RT/RW 002/001</t>
  </si>
  <si>
    <t>RUMAH RUSAK SEDANG,ATAP SENG.DINDING BETON.LANTAI EKRAMIK.</t>
  </si>
  <si>
    <t>RTLH-0092</t>
  </si>
  <si>
    <t>ACHMAD HASIBIN</t>
  </si>
  <si>
    <t>JL.DELIMA SIAM IV RT/RW . 005/002</t>
  </si>
  <si>
    <t>SRIWIJAYA</t>
  </si>
  <si>
    <t>RUMAH BANTUAN DARI DINSOS (10 THN LALU), ATAP BOCOR, DINDING RETAK,LANTAI FLOOR, YBS SEKARANG TINGGAL DI RUMAH SAUDARA</t>
  </si>
  <si>
    <t>RTLH-0093</t>
  </si>
  <si>
    <t>ROSIAH</t>
  </si>
  <si>
    <t>GG, MUTIARA II</t>
  </si>
  <si>
    <t>RUMAH FULL PAPAN, DINDING RUSAK BERAT, ATAP SENG RUSAK RINGAN, RUMAH BAGI DUA DENGAN SAUDARA</t>
  </si>
  <si>
    <t>RTLH-0094</t>
  </si>
  <si>
    <t>NINA</t>
  </si>
  <si>
    <t>JL. BASUKI RACHMAN, RT/RW 003/001</t>
  </si>
  <si>
    <t>RUMAH SEMI PERMANEN, LANTAI FLOOR RUSAK RINGAN, ATAP GENTENG RUSAK SEDANG, RUMAH BAGI DUA DENGAN SAUDARA</t>
  </si>
  <si>
    <t>RTLH-0095</t>
  </si>
  <si>
    <t>KANDAR SUNARWAN</t>
  </si>
  <si>
    <t>JL. BASUKI RACHMAN RT/RW OO2/001</t>
  </si>
  <si>
    <t>RTLH-0096</t>
  </si>
  <si>
    <t>RITA</t>
  </si>
  <si>
    <t>GG,BATU AKIK V, RT/RW 006/002</t>
  </si>
  <si>
    <t>RUMAH PERMANEN, LANTAI RUSAK SEDANG BAGIAN DAPUR, ATAP SENG BOCOR, MINTA REHAB BAGIAN ATAP</t>
  </si>
  <si>
    <t>RTLH-0097</t>
  </si>
  <si>
    <t>ZULIANA</t>
  </si>
  <si>
    <t>JL. RAYA PASIR PADI RT/RW 006/002</t>
  </si>
  <si>
    <t>RUMAH PERMANEN, TANPA, STRUKTUR PEMBESIAN</t>
  </si>
  <si>
    <t>RTLH-0098</t>
  </si>
  <si>
    <t>GUSTI MARIN</t>
  </si>
  <si>
    <t>JL. PASIR PADI RT/RW 006/002</t>
  </si>
  <si>
    <t>RUMAH FULL PAPAN, DINDING RUSAK BERAT, ATAP ASBES RUSAK RINGAN</t>
  </si>
  <si>
    <t>RTLH-0099</t>
  </si>
  <si>
    <t>RTLH-0100</t>
  </si>
  <si>
    <t>KUANNIE HASAN</t>
  </si>
  <si>
    <t>JL. RE.MARTADINATA NO.75.RT/RW.005/003</t>
  </si>
  <si>
    <t>DINDING FULL PAPAN,ATAP GENTENG,LANTAI PLASTERAN, RUMAH RUSAK SEDANG</t>
  </si>
  <si>
    <t>RTLH-0101</t>
  </si>
  <si>
    <t>MAMAN RACHMANSYAH</t>
  </si>
  <si>
    <t>JL. RE .MARTADINATA. RT/RW.002/001</t>
  </si>
  <si>
    <t>AMPUI</t>
  </si>
  <si>
    <t>DINDING FULL PAPAN,ATAP SENG,LANTAI PLASTERAN, RUMAH RUSAK SEDANG</t>
  </si>
  <si>
    <t>RTLH-0102</t>
  </si>
  <si>
    <t>TAMSIR</t>
  </si>
  <si>
    <t>RUMAH ADA 2,</t>
  </si>
  <si>
    <t>RTLH-0103</t>
  </si>
  <si>
    <t>MUS MULYADI NURDIN</t>
  </si>
  <si>
    <t>JL. TENGGIRI 1. RT/RT.007/003</t>
  </si>
  <si>
    <t>KETAPANG</t>
  </si>
  <si>
    <t>RUMAH FULL.TRIPLEK,SENG,ASBES BEKAS.</t>
  </si>
  <si>
    <t>RTLH-0104</t>
  </si>
  <si>
    <t>ZUNIAR</t>
  </si>
  <si>
    <t>RUMAH SEBAGIAN PAPAN, DAN LANTAI KERAMIK</t>
  </si>
  <si>
    <t>RTLH-0105</t>
  </si>
  <si>
    <t>PUNADI</t>
  </si>
  <si>
    <t>JL. AIR PAMD RT002/RW003</t>
  </si>
  <si>
    <t>RUMAH SETENGAH BETON , LANTAI FULL FLOOR. POSIS RUMAH AREA DAS</t>
  </si>
  <si>
    <t>RTLH-0106</t>
  </si>
  <si>
    <t>RUMAH FULL PAPAN , LANTAI FLOOR, ATAP RUSAK PARAH</t>
  </si>
  <si>
    <t>RTLH-0107</t>
  </si>
  <si>
    <t>BUDIMAN</t>
  </si>
  <si>
    <t>JL. VETERAN RT/002 RW/003</t>
  </si>
  <si>
    <t>RUMAH FULL PAPAN, RUSAK PARAH, LANTAI FLOOR</t>
  </si>
  <si>
    <t>RTLH-0108</t>
  </si>
  <si>
    <t>ROZIYANTI</t>
  </si>
  <si>
    <t>JL,KH,AHMAD DAHLAN RT/RW:008/002</t>
  </si>
  <si>
    <t>KERAMAT</t>
  </si>
  <si>
    <t>RTLH-0109</t>
  </si>
  <si>
    <t>YUNIAR</t>
  </si>
  <si>
    <t>JL,KH.AHMAD DAHLAN</t>
  </si>
  <si>
    <t>RTLH-0110</t>
  </si>
  <si>
    <t>HARY A.R.SUHAILI</t>
  </si>
  <si>
    <t>JL,MENARA RT/RW 009/003</t>
  </si>
  <si>
    <t>FULL PAPAN ,LANTAI TANAH, WC DI LUAR</t>
  </si>
  <si>
    <t>RTLH-0111</t>
  </si>
  <si>
    <t>SUNARTI</t>
  </si>
  <si>
    <t>JL.TREM RT/RW 007/003</t>
  </si>
  <si>
    <t>RTLH-0112</t>
  </si>
  <si>
    <t>GG.RUKEM RT/RW 005/002</t>
  </si>
  <si>
    <t>RUMAH FULL BETON ATAP RUASK SEDANG</t>
  </si>
  <si>
    <t>RTLH-0114</t>
  </si>
  <si>
    <t>SYAMSUL BAHRI</t>
  </si>
  <si>
    <t>JL.KELAPA RT/RW 002/001</t>
  </si>
  <si>
    <t>PASAR PADI</t>
  </si>
  <si>
    <t>RUMAH BENCANA KEBAKARAN, TERSISA PONDASI. DAN SEKARANG TINGGAL DIKONTRAKAN</t>
  </si>
  <si>
    <t>RTLH-0115</t>
  </si>
  <si>
    <t>ASLAMIAH</t>
  </si>
  <si>
    <t>RUMAH BENCANA KEBAKARAN, TERSISA PONDASI. DAN SEKARANG TINGGAL DIKAMPUNG</t>
  </si>
  <si>
    <t>RTLH-0116</t>
  </si>
  <si>
    <t>LAIN CUN MOY</t>
  </si>
  <si>
    <t>BELUM PRIORITAS, LOKASI RUMAH DI PINGGIR DAS</t>
  </si>
  <si>
    <t>RTLH-0117</t>
  </si>
  <si>
    <t>SILAWATI</t>
  </si>
  <si>
    <t>JL.VETERAN RT/RW 003/001</t>
  </si>
  <si>
    <t>RUMAH ROBOH KURANG LEBIH 1TAHUN, SEKARANG TINGGAL DI KONTRAKAN</t>
  </si>
  <si>
    <t>RTLH-0118</t>
  </si>
  <si>
    <t>MARZUKI</t>
  </si>
  <si>
    <t>RUMAH FULL PAPAN, LANTAI FLOOR, ATAP RUSAK PARAH, TANAH BERMASALAH DENGAN SAUDARA</t>
  </si>
  <si>
    <t>RTLH-0119</t>
  </si>
  <si>
    <t>SOLEHA</t>
  </si>
  <si>
    <t>JL.VETERAN RT/RW 001/003</t>
  </si>
  <si>
    <t>RUMAH FULL PAPAN, LANTAI FLOOR</t>
  </si>
  <si>
    <t>RTLH-0120</t>
  </si>
  <si>
    <t>HERMAN</t>
  </si>
  <si>
    <t>RUMAH FULL PAPAN, LANTAI FLOOR, ATAP RUSAK PARAH, DAN ADA ASET LAIN</t>
  </si>
  <si>
    <t>RTLH-0121</t>
  </si>
  <si>
    <t>JL.PASIR PADI RT/RW 006/002</t>
  </si>
  <si>
    <t>RUMAH SETENGAH BETON , LANTAI FULL FLOOR</t>
  </si>
  <si>
    <t>RTLH-0123</t>
  </si>
  <si>
    <t>NUR TIA</t>
  </si>
  <si>
    <t>JL.HIDAYATUSSALIKIN DALAM RT/RW 004/002</t>
  </si>
  <si>
    <t>FULL PAPAN</t>
  </si>
  <si>
    <t>RTLH-0124</t>
  </si>
  <si>
    <t>AGUS SUTANTO</t>
  </si>
  <si>
    <t>RUMAH SETENGAH BETON.</t>
  </si>
  <si>
    <t>RTLH-0125</t>
  </si>
  <si>
    <t>AGUSTIAR FERNANDI</t>
  </si>
  <si>
    <t>RT/02 SAMPING RUMAH PAK RT</t>
  </si>
  <si>
    <t>RTLH-0127</t>
  </si>
  <si>
    <t>ACUNG</t>
  </si>
  <si>
    <t>JL.ALEXANDER RT/RW 002/003</t>
  </si>
  <si>
    <t>RTLH-0128</t>
  </si>
  <si>
    <t>LEO SANDI</t>
  </si>
  <si>
    <t>GG.ALEKSANDER II RT/RW 007/003</t>
  </si>
  <si>
    <t>RUMAH KORBAN KEBAKARAN, ATAP RUSAK BERAT</t>
  </si>
  <si>
    <t>RTLH-0129</t>
  </si>
  <si>
    <t>APO</t>
  </si>
  <si>
    <t>RTLH-0130</t>
  </si>
  <si>
    <t>BELUM DIISI</t>
  </si>
  <si>
    <t>RUMAH FULL PAPAN, DAN LANTAI TANAH</t>
  </si>
  <si>
    <t>RTLH-0131</t>
  </si>
  <si>
    <t>Belum ada catatan verifikasi</t>
  </si>
  <si>
    <t>RTLH-0132</t>
  </si>
  <si>
    <t>FARIZAL</t>
  </si>
  <si>
    <t>GG.KEMILI I RT/RW 002/001</t>
  </si>
  <si>
    <t>SEBAGIAN BETON, LANTAI FLOOR</t>
  </si>
  <si>
    <t>RTLH-0135</t>
  </si>
  <si>
    <t>TERYANTO</t>
  </si>
  <si>
    <t>RUMAH SETENGAH BETON</t>
  </si>
  <si>
    <t>RTLH-0136</t>
  </si>
  <si>
    <t>ROMLI</t>
  </si>
  <si>
    <t>JL. VETERAN RT/003 RW/003 KEL:PARIT LALANG</t>
  </si>
  <si>
    <t>RTLH-0137</t>
  </si>
  <si>
    <t>FIRDIANSYAH</t>
  </si>
  <si>
    <t>JL.KELAPA RT/RW :002/001</t>
  </si>
  <si>
    <t>RTLH-0138</t>
  </si>
  <si>
    <t>HOLID</t>
  </si>
  <si>
    <t>RUMAH FULL PAPAN , LANTAI CONBLOK</t>
  </si>
  <si>
    <t>RTLH-0139</t>
  </si>
  <si>
    <t>RISNA HERTIAYU</t>
  </si>
  <si>
    <t>RUMAH FULL PAPAN. LANTAI FLOOR</t>
  </si>
  <si>
    <t>RTLH-0140</t>
  </si>
  <si>
    <t>MUHAMMAD UNTUNG</t>
  </si>
  <si>
    <t>RTLH-0141</t>
  </si>
  <si>
    <t>SOBRI SUGARI PUTRA</t>
  </si>
  <si>
    <t>RUMAH FULL PAPAN, LANTAI PAPAN</t>
  </si>
  <si>
    <t>RTLH-0142</t>
  </si>
  <si>
    <t>SOLEH</t>
  </si>
  <si>
    <t>JL.GIRIMAYA NO 66 RT/RW 05/02</t>
  </si>
  <si>
    <t>RUMAH FULLPAPAN, LANTAI FLOOR</t>
  </si>
  <si>
    <t>RTLH-0143</t>
  </si>
  <si>
    <t>THAM KIM SIAN</t>
  </si>
  <si>
    <t>JL.RASAKUNDA RT/RW: 003/001 KEL: BUKIT BESAR</t>
  </si>
  <si>
    <t>DEPAN BETON, DAN BAGIAN DALAM KAYU, LANTAI FLOOR .</t>
  </si>
  <si>
    <t>RTLH-0144</t>
  </si>
  <si>
    <t>ASNAWI</t>
  </si>
  <si>
    <t>JL.BATU RUBI 11 RT/RW 003/001</t>
  </si>
  <si>
    <t>FULL PAPAN , LANTAI FLOOR DAN BAGIAN BELAKANG BETON.</t>
  </si>
  <si>
    <t>RTLH-0145</t>
  </si>
  <si>
    <t>ABDUR RAWI</t>
  </si>
  <si>
    <t>RTLH-0146</t>
  </si>
  <si>
    <t>MARTAWAN</t>
  </si>
  <si>
    <t>JL,PERBAKIN RT/RW 007/003</t>
  </si>
  <si>
    <t>FULL PAPAN , LANTAI FLOOR</t>
  </si>
  <si>
    <t>RTLH-0147</t>
  </si>
  <si>
    <t>ZULKIFLI HASYIM</t>
  </si>
  <si>
    <t>JL,BERLIAN IV RT/RW 004/001</t>
  </si>
  <si>
    <t>RUMAH FULL PAPAN, ATAP SENG, LANTIA FLOOR / RUMAH BAGI DUA DENGAN SAUDARA</t>
  </si>
  <si>
    <t>RTLH-0148</t>
  </si>
  <si>
    <t>MASKUR</t>
  </si>
  <si>
    <t>RUMAH FULL BETON,LANTAI FULL FLOOR, ATAP SENG</t>
  </si>
  <si>
    <t>RTLH-0149</t>
  </si>
  <si>
    <t>ASMAD</t>
  </si>
  <si>
    <t>GG,ARUS DALAM RT/RW 03/02</t>
  </si>
  <si>
    <t>RUMAH FULL PAPAN. DINDING RUSAK RINGAN LANTAI FLOOR, ATAP SENGRUSAK RINGAN</t>
  </si>
  <si>
    <t>RTLH-0150</t>
  </si>
  <si>
    <t>MAINAH</t>
  </si>
  <si>
    <t>JL.AIR MAWAR RT/RW 03/02 KEL.AIR MAWAR</t>
  </si>
  <si>
    <t>RUMAH SEMI,PERMANEN,DIDING PAPAN RUSAK RINGAN, ATAP SENG RUSAK RINGAN,</t>
  </si>
  <si>
    <t>RTLH-0151</t>
  </si>
  <si>
    <t>RTLH-0154</t>
  </si>
  <si>
    <t>RTLH-0155</t>
  </si>
  <si>
    <t>TJHIN MUK NA</t>
  </si>
  <si>
    <t>JL,TELUK BAYUR</t>
  </si>
  <si>
    <t>RUMAH FULL PAPAN, LANTAI KERAMIK,ATAP SENG, DINDING RUSAK RINGAN,ATAP RUSAK RINGAN,</t>
  </si>
  <si>
    <t>RTLH-0157</t>
  </si>
  <si>
    <t>ASHAB</t>
  </si>
  <si>
    <t>JL,KUBIS NO 217 RT/RW 003/001</t>
  </si>
  <si>
    <t>RUMAH SEMI PERMANEN,LANTAI FULL FLOOR,ATAP SEBAGIAN GENTENG/SENG LANTAI RUSAK RINGAN,DINDING RUSAK RINGAN,ATAP RUSAK RINGAN</t>
  </si>
  <si>
    <t>RTLH-0158</t>
  </si>
  <si>
    <t>MARTALI</t>
  </si>
  <si>
    <t>JL,VETERAN NO 125 RT/RW 003/001</t>
  </si>
  <si>
    <t>RUMAH ,SEMI PERMANEN, RUSAK HANYA BAGIAN DAPUR</t>
  </si>
  <si>
    <t>RTLH-0159</t>
  </si>
  <si>
    <t>HAMDANI</t>
  </si>
  <si>
    <t>JL.KUBIS RT/RW 003/001</t>
  </si>
  <si>
    <t>RUMAH SEMI PERMANEN,LANTAI SEBAGIAN KERAMIK,DINDING PAPAN,RUSAK RINGAN, ATAP SENG RUSAK RINGAN.</t>
  </si>
  <si>
    <t>RTLH-0160</t>
  </si>
  <si>
    <t>SUJONO</t>
  </si>
  <si>
    <t>JL,PEMEKASAN RT/RW 002/002</t>
  </si>
  <si>
    <t>RUMAH BERDAMPINGAN DENGAN ORANG TUA, LANTAI FUL FLOOR.</t>
  </si>
  <si>
    <t>RTLH-0162</t>
  </si>
  <si>
    <t>SUPANDI</t>
  </si>
  <si>
    <t>JL,PEMEKASAN II RT 002 RW 002</t>
  </si>
  <si>
    <t>RUMAH SEMI PERMANEN, LANTAI FULL FLOOR DINDING RUSAK RINGAN, ATAP ASBES RUSAK RINGAN</t>
  </si>
  <si>
    <t>RTLH-0163</t>
  </si>
  <si>
    <t>PUSI</t>
  </si>
  <si>
    <t>JL,VETERAN RT/RW 002/003</t>
  </si>
  <si>
    <t>RUMAH SEMI PERMANEN,BAGIAN DAPUR PERMANEN, LANTAI FULL FLOOR,DINDING PAPAN RUSAK RINGAN,ATAP RUSAK RINGAN.</t>
  </si>
  <si>
    <t>RTLH-0164</t>
  </si>
  <si>
    <t>YULITAR</t>
  </si>
  <si>
    <t>JL,LAP BOLA RT/RW 002/003</t>
  </si>
  <si>
    <t>RUMAH FULL PAPAN.LANTAI FULL FLOR,DINDING RUSAK RINGAN ATAP SENG RUSAK RINGAN</t>
  </si>
  <si>
    <t>RTLH-0165</t>
  </si>
  <si>
    <t>KUWATNO</t>
  </si>
  <si>
    <t>JL.LAP BOLA RT/RW 002/003</t>
  </si>
  <si>
    <t>RUMAH FULL PAPAN, DINDING RUSAK RINGAN, LANTAI FULL KERAMIK, ATAP ASBES</t>
  </si>
  <si>
    <t>RTLH-0167</t>
  </si>
  <si>
    <t>RTLH-0168</t>
  </si>
  <si>
    <t>SUHAIKAH</t>
  </si>
  <si>
    <t>JL,DELIMA SIAM VIII RT/RW 003/001</t>
  </si>
  <si>
    <t>RUMAH PERMANEN ( MINTA REHAB BAGIAN DAPIUR)</t>
  </si>
  <si>
    <t>RTLH-0169</t>
  </si>
  <si>
    <t>MISLIYEH</t>
  </si>
  <si>
    <t>JL,BASUKI RACHMAD UJUNG II RT/RW 008/003</t>
  </si>
  <si>
    <t>RUMAH FULL PAPAN, SEBAGIAN BETON WC,PERMANEN, LANTAI FULL FLOOR,ATAP ASBES RUSAK RINGAN</t>
  </si>
  <si>
    <t>RTLH-0170</t>
  </si>
  <si>
    <t>NIRAH</t>
  </si>
  <si>
    <t>RUMAH FULL PAPAN, DINDING RUSAK RINGAN, LANTAI FULL FLOOR ATAP SENG, DINDING RUSAK RINGAN, ATAP RUSAK RINGAN LANTAI RUSAK RINGAN</t>
  </si>
  <si>
    <t>MARYEMAH</t>
  </si>
  <si>
    <t>RUMAH FULL PAPAN,LANTAI FULL FLOOR, ATAP SENG RUSAK RINGAN, DINDING PAPAN RUSAK RINGAN, LANTAI RUSAK RINGAN</t>
  </si>
  <si>
    <t>LIN HON JON</t>
  </si>
  <si>
    <t>JL,BUKIT TUNGGAL RT/RW 008/003</t>
  </si>
  <si>
    <t>RUMAH SEMI PERMANEN, SEBAGIAN DINDING PAPAN RUSAK RINGAN, LANTAI FULL FLOOR, LANTAI RUSAK RINGAN,BAGIAN DAPUR PERMANEN, ATAP RUSAK RINGAN</t>
  </si>
  <si>
    <t>SUHAILI</t>
  </si>
  <si>
    <t>JL.SOLIHIN GP, GG BUAH BATU 1 RT/RW 001/002</t>
  </si>
  <si>
    <t>RUMAH PERMANEN,ATAP SENG RUSAK RINGAN, DINDING RUSAK RINGAN,LANTAI FLOOR,</t>
  </si>
  <si>
    <t>DAHLIA</t>
  </si>
  <si>
    <t>RT,01 RW,01</t>
  </si>
  <si>
    <t>RUMAH FULL PAPAN, DINDING RUSAK RINGAN, LANTAI FLOOR, ATAP ASBES</t>
  </si>
  <si>
    <t>ALING</t>
  </si>
  <si>
    <t>Keadaan Rumah Semi Permanen, Hanya bagian ruang tamu, (Full Papan)</t>
  </si>
  <si>
    <t>ZAHRO</t>
  </si>
  <si>
    <t>RT,03 RW,01</t>
  </si>
  <si>
    <t>Rumah Bagi DUA Dengan Anak, ( Saudara Zahro, menepati bagian Belakang, Keadaan Rumah Semi Permanen, Hanya bagian ruang tamu, (Full Papan)</t>
  </si>
  <si>
    <t>MAHMUDAH</t>
  </si>
  <si>
    <t>RT,05 RW,02</t>
  </si>
  <si>
    <t>RUMAH BENTUK L, SEBAGIAN DINDING PERMANEN DAN PAPAN, LANTAI FLOOR, ATAP SENG</t>
  </si>
  <si>
    <t>SUBANA</t>
  </si>
  <si>
    <t>RT:001 / RW : 001</t>
  </si>
  <si>
    <t>RUMAH FULL PAPAN, LANTAI FLOOR ATAP SENG, WC DI LUAR</t>
  </si>
  <si>
    <t>AI WE</t>
  </si>
  <si>
    <t>RUMAH FULL PAPAN, LANTAI FLOOR, ATAP SENG</t>
  </si>
  <si>
    <t>KOSGORO</t>
  </si>
  <si>
    <t>RUMAH INDUK FULL PAPAN, BAGIAN DAPUR PERMANEN, ATAP GENTENG BOOCR</t>
  </si>
  <si>
    <t>ZURYANA</t>
  </si>
  <si>
    <t>RT,02/RW,001</t>
  </si>
  <si>
    <t>RUMAH PERMANEN, KERUSAKAN HANYA BAGIAN ATAP</t>
  </si>
  <si>
    <t>APHI</t>
  </si>
  <si>
    <t>JL,Batu Kadera RT,04/RW,02</t>
  </si>
  <si>
    <t>RUDY</t>
  </si>
  <si>
    <t>JL.HORMEN MADDATI NO 24</t>
  </si>
  <si>
    <t>RIVA GUSTI</t>
  </si>
  <si>
    <t>RUMAH SEMI PERMANEN, BAGIAN UTAM FULL PAPAN, BAGIAN DAPUR PERMANEN</t>
  </si>
  <si>
    <t>MARDIYAN</t>
  </si>
  <si>
    <t>JL. AIR MAWAR</t>
  </si>
  <si>
    <t>JOHAN</t>
  </si>
  <si>
    <t>RUMAH FULL PAPAN , DINDING RUSAK RINGAN, ATAP RUSAK RINGAN, LANTAI FLOOR</t>
  </si>
  <si>
    <t>ATTAYATUL</t>
  </si>
  <si>
    <t>JL.NANAS II</t>
  </si>
  <si>
    <t>RUMAH PERMANEN, HANYA MINTA REHAB BAGIAN DAPUR</t>
  </si>
  <si>
    <t>ZAIMAH</t>
  </si>
  <si>
    <t>JL.IRIAN NO 90</t>
  </si>
  <si>
    <t>RUMAH SEMI PERMANEN, BAGIAN DEPAN PERMANEN, BAGIAN BELAKANG PAPAN</t>
  </si>
  <si>
    <t>A.HANAN / ZAENAB</t>
  </si>
  <si>
    <t>RUMAH SEMI PERMANEN, LANTAI FLOOR ( SELALU BANJIR SAAT HUJAN)]</t>
  </si>
  <si>
    <t>AZIZAH</t>
  </si>
  <si>
    <t>JL,KERABUT GG.SD 44</t>
  </si>
  <si>
    <t>RUMAH PERMANEN,LANTAI FLOOR,KEADAAN DINDING TANPA PLESTERAN,ATAP SENG</t>
  </si>
  <si>
    <t>SUYANTO</t>
  </si>
  <si>
    <t>JL,KELOMPOK</t>
  </si>
  <si>
    <t>RUMAH FULL PAPAN,LANTAI FLOOR,ATAP SENG, KEADAAN DINDING RUSAK ,ATAP BAIK, LANTAI RUSAK RINGAN (Lengkap)</t>
  </si>
  <si>
    <t>ASNAH . D</t>
  </si>
  <si>
    <t>RT/RW 002 / 001 , JALAN HORMEN MADDATI NO 65</t>
  </si>
  <si>
    <t>RT/RW 005/002, JL. MASJID ALHUDA NO.95</t>
  </si>
  <si>
    <t>SURAT-Lengkap, RUMAH SEMI PERMANEN, BAGIAN DAPUR PERMANEN, DINDING RUSAK RINGAN, ATAP RUSAK RINGAN, LANTAI FULL FLOR,</t>
  </si>
  <si>
    <t>SYARIFUDIN</t>
  </si>
  <si>
    <t>GG.TOMAT I NO.6</t>
  </si>
  <si>
    <t>RUMAH SEMI PERMANEN,</t>
  </si>
  <si>
    <t>SITI MASITOH</t>
  </si>
  <si>
    <t>RUMAH SEMI PERMANEN , BAGIAN DAPUR PERMANEN, BAGIAN DEPAN PAPAN</t>
  </si>
  <si>
    <t>ANAWATI</t>
  </si>
  <si>
    <t>JL: HORMEN MADDATI NO.55</t>
  </si>
  <si>
    <t>RUMAH SEMI PERMANEN, BAGIAN DEPAN PAPAN, LANTAI FLOOR , ATAP SENG</t>
  </si>
  <si>
    <t>ADRI</t>
  </si>
  <si>
    <t>JL.LETKOL H.SULAIMAN SALAM GG.BINJAI 3</t>
  </si>
  <si>
    <t>BUCE DE QUALYU</t>
  </si>
  <si>
    <t>JL,LIONG BIEN NO.13 RT/RW 006/002</t>
  </si>
  <si>
    <t>RUMAH FULL PAPAN, ATAP SENG, LANTAI FLOOR ( PERNAH MENGUNDURKAN DIRI TAHUN 2018)</t>
  </si>
  <si>
    <t>NURSIAH</t>
  </si>
  <si>
    <t>JL.SOLIHIN GP NO,67</t>
  </si>
  <si>
    <t>RUMAH BAGI DUA DENGAN SAUDARA, LANTAI FLOOR, DINDING PAPAN, ATAP SENG</t>
  </si>
  <si>
    <t>ISKANDAR</t>
  </si>
  <si>
    <t>RUMAH SEMI PERMANEN, BAGIAN BELAKANG FULL PAPAN ( RUMAH BAGI DUA DENGAN SAUDARA)</t>
  </si>
  <si>
    <t>DELANO RESIDENCE 8</t>
  </si>
  <si>
    <t>GRAHA KENCANA</t>
  </si>
  <si>
    <t>Jl. Masjid Al-Husna Dalam</t>
  </si>
  <si>
    <t>PT. SYIRA JAYA PROPERTI</t>
  </si>
  <si>
    <t>Imrin</t>
  </si>
  <si>
    <t>BUKIT BARU REGENCY</t>
  </si>
  <si>
    <t>Jl. Cenderawasih</t>
  </si>
  <si>
    <t>PT. KARYA SUKSES KNEELAND</t>
  </si>
  <si>
    <t>Muhammad Apriansyah</t>
  </si>
  <si>
    <t>DREAMLAND 2</t>
  </si>
  <si>
    <t>PT DREAMLAND PROPERTY</t>
  </si>
  <si>
    <t>GREEN VALLEY RESIDENCE</t>
  </si>
  <si>
    <t>PT. ELANG GEMILANG PROPERTINDO</t>
  </si>
  <si>
    <t>Indra Setiawan</t>
  </si>
  <si>
    <t>KALENDRA RESIDENCE 2</t>
  </si>
  <si>
    <t>Jl. Gandaria</t>
  </si>
  <si>
    <t>LAVANDE RESIDENCE 1</t>
  </si>
  <si>
    <t>Jl. Kelenteng</t>
  </si>
  <si>
    <t>PT. TANAMAS BERKAH JAYA</t>
  </si>
  <si>
    <t>Darwanto</t>
  </si>
  <si>
    <t>LAVANDE RESIDENCE 2</t>
  </si>
  <si>
    <t>VALERI RESIDENCE 3</t>
  </si>
  <si>
    <t>Jl. Tirta Darma 1</t>
  </si>
  <si>
    <t>CITY HILL</t>
  </si>
  <si>
    <t>GRAHA ROSMANIA</t>
  </si>
  <si>
    <t>Jl. Yos Sudarso</t>
  </si>
  <si>
    <t>Selesai Ditangani</t>
  </si>
  <si>
    <t>DELANO RESIDENCE 4</t>
  </si>
  <si>
    <t>BURHANUDIN</t>
  </si>
  <si>
    <t>1901040808800010</t>
  </si>
  <si>
    <t>JL. PASAR PADI, GG. BAROKAH RT/RW 006/002</t>
  </si>
  <si>
    <t>1971011006170003</t>
  </si>
  <si>
    <t>1971044407600003</t>
  </si>
  <si>
    <t>1971040411080011</t>
  </si>
  <si>
    <t>1971031002570005</t>
  </si>
  <si>
    <t>1971032403090013</t>
  </si>
  <si>
    <t>JL. RE .MARTADINATA. RT.002 RW.001</t>
  </si>
  <si>
    <t>JL,GIRIMAYA DALAM NO.31 RT/RW 005/001</t>
  </si>
  <si>
    <t>JL. DEPATI HAMZAH RT.003 RW.001</t>
  </si>
  <si>
    <t>1704020707820004</t>
  </si>
  <si>
    <t>1971012507170008</t>
  </si>
  <si>
    <t>EFFENDI</t>
  </si>
  <si>
    <t>GG. SAKURA II RT.001 RW.001</t>
  </si>
  <si>
    <t>BUSTAMI</t>
  </si>
  <si>
    <t>JL. RE MARTADINATA RT.007 RW.002</t>
  </si>
  <si>
    <t>ABAS</t>
  </si>
  <si>
    <t>1971010107700018</t>
  </si>
  <si>
    <t>1971011801170002</t>
  </si>
  <si>
    <t>JL. DEPATI HAMZAH RT.004 RW.002</t>
  </si>
  <si>
    <t>1971021802840005</t>
  </si>
  <si>
    <t>1971020506090001</t>
  </si>
  <si>
    <t>NURSAYDAH</t>
  </si>
  <si>
    <t>1901045404040000</t>
  </si>
  <si>
    <t>1971071907240002</t>
  </si>
  <si>
    <t>JL. KELAPA II RT.002 RW.001</t>
  </si>
  <si>
    <t>SUMIYATI</t>
  </si>
  <si>
    <t>1971024505570001</t>
  </si>
  <si>
    <t>1971021403082636</t>
  </si>
  <si>
    <t>JL. KH ABDULLAH ADDARI NO.45 RT.001 RW.001</t>
  </si>
  <si>
    <t>RAWA BANGUN</t>
  </si>
  <si>
    <t>RTLH-0014</t>
  </si>
  <si>
    <t>RTLH-0015</t>
  </si>
  <si>
    <t>RTLH-0017</t>
  </si>
  <si>
    <t>RTLH-0021</t>
  </si>
  <si>
    <t>RTLH-0026</t>
  </si>
  <si>
    <t>RTLH-0028</t>
  </si>
  <si>
    <t>RTLH-0033</t>
  </si>
  <si>
    <t>RTLH-0039</t>
  </si>
  <si>
    <t>RTLH-0040</t>
  </si>
  <si>
    <t>RTLH-0049</t>
  </si>
  <si>
    <t>RTLH-0058</t>
  </si>
  <si>
    <t>RTLH-0059</t>
  </si>
  <si>
    <t>RTLH-0061</t>
  </si>
  <si>
    <t>RTLH-0062</t>
  </si>
  <si>
    <t>RTLH-0068</t>
  </si>
  <si>
    <t>RTLH-0076</t>
  </si>
  <si>
    <t>RTLH-0077</t>
  </si>
  <si>
    <t>RTLH-0078</t>
  </si>
  <si>
    <t>RTLH-0079</t>
  </si>
  <si>
    <t>RTLH-0080</t>
  </si>
  <si>
    <t>RTLH-0081</t>
  </si>
  <si>
    <t>RTLH-0082</t>
  </si>
  <si>
    <t>RTLH-0086</t>
  </si>
  <si>
    <t>RTLH-0087</t>
  </si>
  <si>
    <t>RTLH-0113</t>
  </si>
  <si>
    <t>RTLH-0122</t>
  </si>
  <si>
    <t>RTLH-0126</t>
  </si>
  <si>
    <t>RTLH-0133</t>
  </si>
  <si>
    <t>RTLH-0134</t>
  </si>
  <si>
    <t>RTLH-0152</t>
  </si>
  <si>
    <t>RTLH-0153</t>
  </si>
  <si>
    <t>RTLH-0156</t>
  </si>
  <si>
    <t>RTLH-0161</t>
  </si>
  <si>
    <t>RTLH-0166</t>
  </si>
  <si>
    <t>ABU BAKAR</t>
  </si>
  <si>
    <t>1971022506500001</t>
  </si>
  <si>
    <t>1971020509110002</t>
  </si>
  <si>
    <t>JL. TERATAI NO.219 RT.007 RW.002</t>
  </si>
  <si>
    <t>MELLY</t>
  </si>
  <si>
    <t>1904044205900004</t>
  </si>
  <si>
    <t>1904041106150002</t>
  </si>
  <si>
    <t>JL. TERATAI RT.007 RW.002</t>
  </si>
  <si>
    <t>RTLH-0171</t>
  </si>
  <si>
    <t>RTLH-0172</t>
  </si>
  <si>
    <t>SLAMET / ROMADHON</t>
  </si>
  <si>
    <t>1971020212100014</t>
  </si>
  <si>
    <t>JL. TERATAI RT.007 RW.003</t>
  </si>
  <si>
    <t>1971020711680001</t>
  </si>
  <si>
    <t>1971021403081714</t>
  </si>
  <si>
    <t>JL. TERATAI RT.007 RW.004</t>
  </si>
  <si>
    <t>Alm. AMPERAWATI / AKBAL SAPUTRA</t>
  </si>
  <si>
    <t>1971021510990002</t>
  </si>
  <si>
    <t>1971023009110001</t>
  </si>
  <si>
    <t>JL. TERATAI RT.007 RW.005</t>
  </si>
  <si>
    <t>JL. TERATAI RT.007 RW.006</t>
  </si>
  <si>
    <t>ILHAMSYAH / LUSIANI</t>
  </si>
  <si>
    <t>1971021403081713</t>
  </si>
  <si>
    <t>BONARANG</t>
  </si>
  <si>
    <t>1971020310760003</t>
  </si>
  <si>
    <t>1971022403090005</t>
  </si>
  <si>
    <t>JL. TERATAI RT.007 RW.007</t>
  </si>
  <si>
    <t>EMAN KOTO / INDA SASTRA</t>
  </si>
  <si>
    <t>1971041403086448</t>
  </si>
  <si>
    <t>JL. MASJID ALHUDA NO.77 RT.007 RW.002</t>
  </si>
  <si>
    <t>SUGIANA</t>
  </si>
  <si>
    <t>1971054410790003</t>
  </si>
  <si>
    <t>1971020501240003</t>
  </si>
  <si>
    <t>JL. A YANI, GG. PELITA DALAM RT.003 RW.004</t>
  </si>
  <si>
    <t>RUSYATI</t>
  </si>
  <si>
    <t>1971035604520001</t>
  </si>
  <si>
    <t>1971060312180004</t>
  </si>
  <si>
    <t>JL. KERABUT RT.004 RW.002</t>
  </si>
  <si>
    <t>SURYA MARGARETHA</t>
  </si>
  <si>
    <t>1901014709770003</t>
  </si>
  <si>
    <t>1901012807220008</t>
  </si>
  <si>
    <t>JL. ISTIQRAB DALAM</t>
  </si>
  <si>
    <t>ZAINI</t>
  </si>
  <si>
    <t>1971041008510002</t>
  </si>
  <si>
    <t>1971041002100001</t>
  </si>
  <si>
    <t>1971046908540002</t>
  </si>
  <si>
    <t>1971042302220003</t>
  </si>
  <si>
    <t>TERY WAHYUDI</t>
  </si>
  <si>
    <t>1971042006970002</t>
  </si>
  <si>
    <t>1971042707200002</t>
  </si>
  <si>
    <t>M. TAUPIK HIDAYAT</t>
  </si>
  <si>
    <t>1971031206600004</t>
  </si>
  <si>
    <t>1971030503090006</t>
  </si>
  <si>
    <t>JL. PIKAS 9 NO.50B RT.002 RW.001</t>
  </si>
  <si>
    <t>AIR SALEMBA</t>
  </si>
  <si>
    <t>ARSITA SAMPURNA / DARLENA</t>
  </si>
  <si>
    <t>1971021511110007</t>
  </si>
  <si>
    <t>1971022411510001</t>
  </si>
  <si>
    <t>1971023009090003</t>
  </si>
  <si>
    <t>M. ZALDI</t>
  </si>
  <si>
    <t>1971020705720001</t>
  </si>
  <si>
    <t>1971021512080005</t>
  </si>
  <si>
    <t>RTLH-0173</t>
  </si>
  <si>
    <t>RTLH-0174</t>
  </si>
  <si>
    <t>RTLH-0175</t>
  </si>
  <si>
    <t>RTLH-0176</t>
  </si>
  <si>
    <t>RTLH-0177</t>
  </si>
  <si>
    <t>RTLH-0178</t>
  </si>
  <si>
    <t>RTLH-0179</t>
  </si>
  <si>
    <t>RTLH-0180</t>
  </si>
  <si>
    <t>RTLH-0181</t>
  </si>
  <si>
    <t>RTLH-0182</t>
  </si>
  <si>
    <t>RTLH-0183</t>
  </si>
  <si>
    <t>RTLH-0184</t>
  </si>
  <si>
    <t>RTLH-0185</t>
  </si>
  <si>
    <t>RTLH-0186</t>
  </si>
  <si>
    <t>RTLH-0187</t>
  </si>
  <si>
    <t>TEMPLATE RESMI DATABASE SIRUMAH — STATUS KEPEMILIKAN TEMPAT TINGGAL DAN BACKLOG</t>
  </si>
  <si>
    <t>JUMLAH_KK*</t>
  </si>
  <si>
    <t>MILIK_SENDIRI*</t>
  </si>
  <si>
    <t>SEWA_KONTRAK*</t>
  </si>
  <si>
    <t>MENUMPANG_BEBAS_SEWA*</t>
  </si>
  <si>
    <t>RUMAH_DINAS*</t>
  </si>
  <si>
    <t>LAINNYA*</t>
  </si>
  <si>
    <t>UNIT_HUNIAN_TERDATA</t>
  </si>
  <si>
    <t>BLG-001</t>
  </si>
  <si>
    <t>BKKBN — diolah Dinas Perkim Kota Pangkalpinang</t>
  </si>
  <si>
    <t>BLG-002</t>
  </si>
  <si>
    <t>BLG-003</t>
  </si>
  <si>
    <t>BLG-004</t>
  </si>
  <si>
    <t>BLG-005</t>
  </si>
  <si>
    <t>BLG-006</t>
  </si>
  <si>
    <t>BLG-007</t>
  </si>
  <si>
    <t>BLG-KOTA</t>
  </si>
  <si>
    <t>Kota Pangkalpinang</t>
  </si>
  <si>
    <t>Total Kota Pangkalpinang</t>
  </si>
  <si>
    <t>Data per kecamatan dan total Kota Pangkalpinang. Unit Hunian Terdata adalah jumlah rumah tangga menurut status tempat tinggal, bukan seluruh bangunan rumah yang ada.</t>
  </si>
  <si>
    <t>RUMUS: Unit Hunian Terdata = seluruh status tempat tinggal; Backlog Kepemilikan = selain Milik Sendiri; Backlog Penghunian = Jumlah KK − (Milik Sendiri + Sewa/Kontrak + Rumah Dinas).</t>
  </si>
  <si>
    <t>Data tahun 2026 belum diperlakukan sebagai realisasi selesai.</t>
  </si>
  <si>
    <t>PROSES TAHUN 2026</t>
  </si>
  <si>
    <t>REALISASI SELESAI 2018–2025</t>
  </si>
  <si>
    <t>TOTAL REALISASI DAN PROSES</t>
  </si>
  <si>
    <t>Data tahun 2026 masih dalam proses.</t>
  </si>
  <si>
    <t>Luar Kumuh</t>
  </si>
  <si>
    <t>Proses</t>
  </si>
  <si>
    <t>KOL-2026-02</t>
  </si>
  <si>
    <t>Kumuh</t>
  </si>
  <si>
    <t>KOL-2026-01</t>
  </si>
  <si>
    <t>Realisasi</t>
  </si>
  <si>
    <t>KOL-2025-02</t>
  </si>
  <si>
    <t>KOL-2025-01</t>
  </si>
  <si>
    <t>KOL-2024-02</t>
  </si>
  <si>
    <t>KOL-2024-01</t>
  </si>
  <si>
    <t>KOL-2023-02</t>
  </si>
  <si>
    <t>KOL-2023-01</t>
  </si>
  <si>
    <t>KOL-2022-02</t>
  </si>
  <si>
    <t>KOL-2022-01</t>
  </si>
  <si>
    <t>KOL-2021-02</t>
  </si>
  <si>
    <t>KOL-2021-01</t>
  </si>
  <si>
    <t>KOL-2020-02</t>
  </si>
  <si>
    <t>KOL-2020-01</t>
  </si>
  <si>
    <t>KOL-2019-02</t>
  </si>
  <si>
    <t>KOL-2019-01</t>
  </si>
  <si>
    <t>KOL-2018-02</t>
  </si>
  <si>
    <t>KOL-2018-01</t>
  </si>
  <si>
    <t>TOTAL</t>
  </si>
  <si>
    <t>CSR*</t>
  </si>
  <si>
    <t>BSPS*</t>
  </si>
  <si>
    <t>DAK*</t>
  </si>
  <si>
    <t>APBD_PROVINSI*</t>
  </si>
  <si>
    <t>APBD_KOTA*</t>
  </si>
  <si>
    <t>STATUS_KAWASAN*</t>
  </si>
  <si>
    <t>STATUS_DATA*</t>
  </si>
  <si>
    <t>ID_KOLABORASI*</t>
  </si>
  <si>
    <t>PETUNJUK: Jangan mengubah nama header. Kolom bertanda * wajib diisi. TOTAL dihitung otomatis dari APBD Kota, APBD Provinsi, DAK, BSPS, dan CSR. Gunakan STATUS_DATA = Proses untuk kegiatan yang belum selesai.</t>
  </si>
  <si>
    <t>Satu baris mewakili penanganan RTLH pada satu tahun dan satu status kawasan. Satuan seluruh kolom pendanaan dan TOTAL adalah unit rumah.</t>
  </si>
  <si>
    <t>TEMPLATE RESMI DATABASE SIRUMAH — KOLABORASI PENANGANAN RTLH KOTA PANGKALPINANG</t>
  </si>
  <si>
    <t>Persentase pengurangan</t>
  </si>
  <si>
    <t>Pengurangan dari baseline (Ha)</t>
  </si>
  <si>
    <t>Luas terkini 2024 (Ha)</t>
  </si>
  <si>
    <t>Baseline 2014 (Ha)</t>
  </si>
  <si>
    <t>Nilai</t>
  </si>
  <si>
    <t>RINGKASAN KONDISI TERKINI</t>
  </si>
  <si>
    <t>Perlu Konfirmasi Dokumen</t>
  </si>
  <si>
    <t>Hasil verifikasi BPBPK Bangka Belitung: Parit Lalang 8,80 Ha pada 1 RT dan Kejaksaan 15,28 Ha pada 6 RT.</t>
  </si>
  <si>
    <t>Terkini</t>
  </si>
  <si>
    <t>Fase 3 — Penurunan konsisten</t>
  </si>
  <si>
    <t>Parit Lalang; Kejaksaan</t>
  </si>
  <si>
    <t>Permen PUPR Nomor 14/PRT/M/2018</t>
  </si>
  <si>
    <t>Verifikasi/Pemutakhiran</t>
  </si>
  <si>
    <t>KUMUH-REKAP-2024</t>
  </si>
  <si>
    <t>Penurunan berlanjut dan menyisakan dua kelurahan.</t>
  </si>
  <si>
    <t>Historis</t>
  </si>
  <si>
    <t>Dua kelurahan tersisa</t>
  </si>
  <si>
    <t>Penetapan/Pemutakhiran</t>
  </si>
  <si>
    <t>KUMUH-REKAP-2023</t>
  </si>
  <si>
    <t>Intervensi tahun 2021 menurunkan luas secara signifikan. Angka mengikuti tabel sumber 85,30 Ha; narasi 83,20 Ha perlu diselaraskan.</t>
  </si>
  <si>
    <t>Termasuk Kelurahan Selindung sebagai satu lokasi baru</t>
  </si>
  <si>
    <t>KUMUH-REKAP-2022</t>
  </si>
  <si>
    <t>Jumlah kelurahan tetap delapan. Penambahan luasan pada dua kelurahan baru menyebabkan luas sedikit meningkat.</t>
  </si>
  <si>
    <t>Fase 2 — Perubahan metode</t>
  </si>
  <si>
    <t>Termasuk Pintu Air dan 1 kelurahan baru lainnya; dua kelurahan keluar setelah intervensi 2020</t>
  </si>
  <si>
    <t>KUMUH-REKAP-2021</t>
  </si>
  <si>
    <t>Luas meningkat karena perubahan metode penilaian dan masuknya empat kelurahan baru yang belum tercakup pada SK sebelumnya.</t>
  </si>
  <si>
    <t>Kelurahan Asam; Keramat; Rejosari; Temberan; serta 4 kelurahan lama</t>
  </si>
  <si>
    <t>KUMUH-REKAP-2020</t>
  </si>
  <si>
    <t>Sesuai berita acara akhir tahun 2018, kawasan kumuh tersisa 21,90 Ha di Kelurahan Parit Lalang.</t>
  </si>
  <si>
    <t>Fase 1 — Penurunan awal</t>
  </si>
  <si>
    <t>Parit Lalang</t>
  </si>
  <si>
    <t>Peraturan Menteri Pekerjaan Umum Nomor 02/PRT/M/2016</t>
  </si>
  <si>
    <t>Berita Acara</t>
  </si>
  <si>
    <t>KUMUH-REKAP-2019</t>
  </si>
  <si>
    <t>Luas menurun setelah intervensi awal, sedangkan jumlah kelurahan tetap sama.</t>
  </si>
  <si>
    <t>Sama dengan 14 kelurahan pada baseline 2014</t>
  </si>
  <si>
    <t>Evaluasi</t>
  </si>
  <si>
    <t>KUMUH-REKAP-2018</t>
  </si>
  <si>
    <t>Titik awal pencatatan terdiri atas 14 kelurahan. Tahun data 2014 berada sebelum regulasi 2016 dan dicatat sebagai baseline pada kelompok metode tersebut.</t>
  </si>
  <si>
    <t>Pasir Putih; Semabung Lama; Batu Intan; Pasar Padi; Semabung Baru; Ketapang; Lontong Pancur; Bintang; Parit Lalang; Batin Tikal; Gedung Nasional; Kejaksaan; Opas Indah; Rawa Bangun</t>
  </si>
  <si>
    <t>Baseline/SK</t>
  </si>
  <si>
    <t>KUMUH-REKAP-2014</t>
  </si>
  <si>
    <t>FASE_PERKEMBANGAN*</t>
  </si>
  <si>
    <t>DAFTAR_KELURAHAN</t>
  </si>
  <si>
    <t>PERSENTASE_PENGURANGAN_DARI_BASELINE</t>
  </si>
  <si>
    <t>PENGURANGAN_DARI_BASELINE_HA</t>
  </si>
  <si>
    <t>PERSENTASE_PERUBAHAN</t>
  </si>
  <si>
    <t>PERUBAHAN_LUAS_HA</t>
  </si>
  <si>
    <t>LUAS_KUMUH_HA*</t>
  </si>
  <si>
    <t>JUMLAH_KELURAHAN*</t>
  </si>
  <si>
    <t>NOMOR_SK</t>
  </si>
  <si>
    <t>DASAR_HUKUM*</t>
  </si>
  <si>
    <t>JENIS_TAHUN*</t>
  </si>
  <si>
    <t>ID_REKAP_KUMUH*</t>
  </si>
  <si>
    <t>PETUNJUK: Jangan mengubah nama header. Kolom bertanda * wajib diisi. Nilai PERUBAHAN negatif menunjukkan penurunan luas; nilai positif menunjukkan peningkatan. Baris tanpa ID tidak dibaca dashboard.</t>
  </si>
  <si>
    <t>Satu baris mewakili satu tahun penetapan, evaluasi, atau pemutakhiran luas kawasan kumuh. Satuan luas adalah hektare (Ha).</t>
  </si>
  <si>
    <t>TEMPLATE RESMI DATABASE SIRUMAH — REKAP PERKEMBANGAN KAWASAN KUMUH KOTA PANGKALPINANG</t>
  </si>
  <si>
    <t>Lokasi dengan koordinat</t>
  </si>
  <si>
    <t>Total luas (Ha)</t>
  </si>
  <si>
    <t>Jumlah RT</t>
  </si>
  <si>
    <t>Jumlah lokasi</t>
  </si>
  <si>
    <t>RINGKASAN LOKASI TERKINI</t>
  </si>
  <si>
    <t>Kawasan Kumuh Tersisa</t>
  </si>
  <si>
    <t>Kejaksaan</t>
  </si>
  <si>
    <t>Delineasi Kawasan Kumuh Kejaksaan</t>
  </si>
  <si>
    <t>KUMUH-LOC-2024-02</t>
  </si>
  <si>
    <t>Delineasi Kawasan Kumuh Parit Lalang</t>
  </si>
  <si>
    <t>KUMUH-LOC-2024-01</t>
  </si>
  <si>
    <t>GEOJSON</t>
  </si>
  <si>
    <t>TAHUN_PENETAPAN*</t>
  </si>
  <si>
    <t>JUMLAH_RT*</t>
  </si>
  <si>
    <t>NAMA_LOKASI*</t>
  </si>
  <si>
    <t>ID_LOKASI_KUMUH*</t>
  </si>
  <si>
    <t>PETUNJUK: Jangan mengubah nama header. Koordinat dan GeoJSON belum diisi karena tidak tersedia pada data sumber yang dilampirkan. Dashboard tidak akan mengarang posisi lokasi.</t>
  </si>
  <si>
    <t>Satu baris mewakili satu lokasi/delineasi kawasan kumuh. Isi LATITUDE dan LONGITUDE untuk titik pusat, atau GEOJSON untuk menampilkan batas polygon pada peta.</t>
  </si>
  <si>
    <t>TEMPLATE RESMI DATABASE SIRUMAH — LOKASI KAWASAN KUMUH KOTA PANGKALPINANG</t>
  </si>
  <si>
    <t>GG. SEMPAYO 1 RT.003 RW.001</t>
  </si>
  <si>
    <t>1971022211650001</t>
  </si>
  <si>
    <t>1971021403081170</t>
  </si>
  <si>
    <t xml:space="preserve">DARMAWAN/ SRI SEPTRIANTI    </t>
  </si>
  <si>
    <t>1971040509710001</t>
  </si>
  <si>
    <t>ALM. DARMAWAN/ JARIAH</t>
  </si>
  <si>
    <t>RUSDIN/ATIE</t>
  </si>
  <si>
    <t>JL.PABRIK LIMUS RT/RW 009/003</t>
  </si>
  <si>
    <t>RUAIDAH</t>
  </si>
  <si>
    <t>GG.TOMAT IV RT/RW 006/002</t>
  </si>
  <si>
    <t>SYARIFUDDIN</t>
  </si>
  <si>
    <t>1971042505730002</t>
  </si>
  <si>
    <t>1971041403086219</t>
  </si>
  <si>
    <t>GG.TOMAT IV RT/RW 005/002</t>
  </si>
  <si>
    <t>RAHMI ANDARI</t>
  </si>
  <si>
    <t>1971055603950002</t>
  </si>
  <si>
    <t>1971022210140002</t>
  </si>
  <si>
    <t>JL.M TOYIB RT/RW 003/004</t>
  </si>
  <si>
    <t>JOHAN/JUNIATI</t>
  </si>
  <si>
    <t>JL. M TOYIB RT/RW 003/004</t>
  </si>
  <si>
    <t>RTLH-0188</t>
  </si>
  <si>
    <t>ROSIDI</t>
  </si>
  <si>
    <t>JL.AYANI GG AIDA RT/RW 002/004</t>
  </si>
  <si>
    <t>RTLH-0189</t>
  </si>
  <si>
    <t>ZANIMAR</t>
  </si>
  <si>
    <t>1971054304480000</t>
  </si>
  <si>
    <t>1971051403084412</t>
  </si>
  <si>
    <t>JL.SUMEDANG GG SALAM RT/RW 002/001</t>
  </si>
  <si>
    <t>RTLH-0190</t>
  </si>
  <si>
    <t>N ENDANG</t>
  </si>
  <si>
    <t>JL.SAHABAT RT/RW 001/004</t>
  </si>
  <si>
    <t>RTLH-0191</t>
  </si>
  <si>
    <t>TJHANG MUK LOI</t>
  </si>
  <si>
    <t>PARIT LALANG</t>
  </si>
  <si>
    <t>RTLH-0192</t>
  </si>
  <si>
    <t>NUZUL ANDANI</t>
  </si>
  <si>
    <t>RTLH-0193</t>
  </si>
  <si>
    <t>SANIAH</t>
  </si>
  <si>
    <t>JL.PAMEKASAN RT/RW 002/002</t>
  </si>
  <si>
    <t>RTLH-0194</t>
  </si>
  <si>
    <t>AMINAH</t>
  </si>
  <si>
    <t>JL.VETERAN UJUNG RT/RW 001/003</t>
  </si>
  <si>
    <t>RTLH-0195</t>
  </si>
  <si>
    <t>KAMALUDDIN</t>
  </si>
  <si>
    <t>JL.VETERAN GG.KEMANGI I RT/RW 003/002</t>
  </si>
  <si>
    <t>RTLH-0196</t>
  </si>
  <si>
    <t>MUNZIR</t>
  </si>
  <si>
    <t>JL.MASJID JAMIK ALHUSNA RT/RW 004/002</t>
  </si>
  <si>
    <t>RTLH-0197</t>
  </si>
  <si>
    <t>PILOMON POLUS</t>
  </si>
  <si>
    <t>JL.SMP N 10 RT/RW 007/002</t>
  </si>
  <si>
    <t>RTLH-0198</t>
  </si>
  <si>
    <t>SAHARI ( ORG TUA) / ERIC JAYAPRAJA (ANAK)</t>
  </si>
  <si>
    <t>JL.DEMANG SINGA YUDA, GG MUTIARA IV DEPAN MASJID AL MUTAQQIN RT/RW 007/003</t>
  </si>
  <si>
    <t>RTLH-0199</t>
  </si>
  <si>
    <t>ARIATI</t>
  </si>
  <si>
    <t>1904026503740001</t>
  </si>
  <si>
    <t>1904022812080004</t>
  </si>
  <si>
    <t>RTLH-0200</t>
  </si>
  <si>
    <t>RENNY OKTAVIANI</t>
  </si>
  <si>
    <t>JL.AIR MAWAR RT/RW 002/001</t>
  </si>
  <si>
    <t xml:space="preserve">AIR MAWAR </t>
  </si>
  <si>
    <t>RTLH-0201</t>
  </si>
  <si>
    <t xml:space="preserve">ROSIAH </t>
  </si>
  <si>
    <t>1971015509620003</t>
  </si>
  <si>
    <t>1971070607150002</t>
  </si>
  <si>
    <t>RTLH-0202</t>
  </si>
  <si>
    <t>1971010907750003</t>
  </si>
  <si>
    <t>1971011403082801</t>
  </si>
  <si>
    <t>RTLH-0203</t>
  </si>
  <si>
    <t>IMRON</t>
  </si>
  <si>
    <t>1971010707730003</t>
  </si>
  <si>
    <t>1971011403082730</t>
  </si>
  <si>
    <t>RTLH-0204</t>
  </si>
  <si>
    <t xml:space="preserve">ZAINUDDIN </t>
  </si>
  <si>
    <t>RTLH-0205</t>
  </si>
  <si>
    <t>TOHAR MARTONO SUDIRO</t>
  </si>
  <si>
    <t>1971031404570001</t>
  </si>
  <si>
    <t>1971031403086512</t>
  </si>
  <si>
    <t>JL.MUJAIR RT/RW 006/002</t>
  </si>
  <si>
    <t>PANGKALBALAM</t>
  </si>
  <si>
    <t>RTLH-0206</t>
  </si>
  <si>
    <t>DEDI SISWANTO</t>
  </si>
  <si>
    <t>1971030606750002</t>
  </si>
  <si>
    <t>'1971031403086727</t>
  </si>
  <si>
    <t>JL. NILA DALAM RT/RW 008/003</t>
  </si>
  <si>
    <t>RTLH-0207</t>
  </si>
  <si>
    <t>USMAN/ DIAN LARASATI</t>
  </si>
  <si>
    <t>1971051409880006</t>
  </si>
  <si>
    <t>1971050602240002</t>
  </si>
  <si>
    <t>JL. KAMPUNG MELAYU RT.007 RW.003</t>
  </si>
  <si>
    <t>RTLH-0208</t>
  </si>
  <si>
    <t>USMAN/ NOVA</t>
  </si>
  <si>
    <t>1971051005910001</t>
  </si>
  <si>
    <t>1971053107130002</t>
  </si>
  <si>
    <t>JL. GERUNGGANG DALAM</t>
  </si>
  <si>
    <t>selesai</t>
  </si>
  <si>
    <t>Juni</t>
  </si>
  <si>
    <t>RET-2026-006</t>
  </si>
  <si>
    <t>-2.139584</t>
  </si>
  <si>
    <t>106.111468</t>
  </si>
  <si>
    <t>Pengurangan Luasan hasil verifikasi BPBPK Babel menjadi 8,80 Ha pada 1 RT yang semula 10,30 Ha</t>
  </si>
  <si>
    <t>-2.127368</t>
  </si>
  <si>
    <t>106.104078</t>
  </si>
  <si>
    <t>Pengurangan Luasan hasil verifikasi BPBPK Babel menjadi 15,28 Ha pada 6 RT yang semula 18,13 Ha</t>
  </si>
  <si>
    <t>KUMUH-LOC-2022-01</t>
  </si>
  <si>
    <t>Delineasi Kawasan Kumuh Keramat</t>
  </si>
  <si>
    <t>Keramat</t>
  </si>
  <si>
    <t>237/KEP/PERKIM/VII/2022</t>
  </si>
  <si>
    <t>-2138574</t>
  </si>
  <si>
    <t>106.090707</t>
  </si>
  <si>
    <t xml:space="preserve">Luasan kumuh berkurang setelah di intervensi menjadi 0 Ha (Tuntas) </t>
  </si>
  <si>
    <t>KUMUH-LOC-2022-02</t>
  </si>
  <si>
    <t>Luasan kumuh berkurang setelah di intervensi di 2 RT menyisakan 10,30 Ha Kumuh yang tertuang dalam BA Perhitungan dan Penetapan Penguranagn Luasan Kumuh Kota Pangkal Pinang, NO. 650.4/10/PERKIM/IX/2023</t>
  </si>
  <si>
    <t>KUMUH-LOC-2022-03</t>
  </si>
  <si>
    <t>Delineasi Kawasan Kumuh Bintang</t>
  </si>
  <si>
    <t>Bintang</t>
  </si>
  <si>
    <t>-2.136562</t>
  </si>
  <si>
    <t>106.112882</t>
  </si>
  <si>
    <t>KUMUH-LOC-2022-04</t>
  </si>
  <si>
    <t>Dalam Penanganan</t>
  </si>
  <si>
    <t>Intervensi yang dilakukan pada wilayah ini tidak membuat luasan wilayah kumuh berkurang, hanya saja nilai kekumuhan berkurang</t>
  </si>
  <si>
    <t>KUMUH-LOC-2022-05</t>
  </si>
  <si>
    <t>Delineasi Kawasan Kumuh Pintu Air</t>
  </si>
  <si>
    <t>-2.131628</t>
  </si>
  <si>
    <t>106.103006</t>
  </si>
  <si>
    <t>KUMUH-LOC-2022-06</t>
  </si>
  <si>
    <t>Delineasi Kawasan Kumuh Selindung</t>
  </si>
  <si>
    <t>-2.082876</t>
  </si>
  <si>
    <t>106.124794</t>
  </si>
  <si>
    <t>KUMUH-LOC-2021-01</t>
  </si>
  <si>
    <t>Delineasi Kawasan Kumuh Asam</t>
  </si>
  <si>
    <t>426/KEP/BAPPEDA&amp;LITBANG/X/2021</t>
  </si>
  <si>
    <t>-2.143522</t>
  </si>
  <si>
    <t>106.102554</t>
  </si>
  <si>
    <t>Bapperida Kota Pangkal Pinang</t>
  </si>
  <si>
    <t>KUMUH-LOC-2021-02</t>
  </si>
  <si>
    <t>Luasan kumuh berkurang setelah di intervensi di 2 RT menyisakan 12,50 Ha Kumuh yang tertuang dalam BA Perhitungan dan Penetapan Penguranagn Luasan Kumuh Kota Pangkal Pinang, NO. 050/332/Bappeda-Litbang/XI/2021</t>
  </si>
  <si>
    <t>KUMUH-LOC-2021-03</t>
  </si>
  <si>
    <t>Delineasi Kawasan Kumuh Rejosari</t>
  </si>
  <si>
    <t>Rejosari</t>
  </si>
  <si>
    <t>-2.109298</t>
  </si>
  <si>
    <t>106.119221</t>
  </si>
  <si>
    <t>KUMUH-LOC-2021-04</t>
  </si>
  <si>
    <t>Delineasi Kawasan Kumuh Temberan</t>
  </si>
  <si>
    <t>-2.140322</t>
  </si>
  <si>
    <t>106.159168</t>
  </si>
  <si>
    <t>KUMUH-LOC-2021-05</t>
  </si>
  <si>
    <t>Luasan kumuh berkurang setelah di intervensi di 2 RT menyisakan 32,09 Ha Kumuh yang tertuang dalam BA Perhitungan dan Penetapan Penguranagn Luasan Kumuh Kota Pangkal Pinang, NO. 050/332/Bappeda-Litbang/XI/2021</t>
  </si>
  <si>
    <t>KUMUH-LOC-2021-06</t>
  </si>
  <si>
    <t>KUMUH-LOC-2021-07</t>
  </si>
  <si>
    <t>Wilayah Kumuh baru yang belum di tangani pada tahun berjalan</t>
  </si>
  <si>
    <t>KUMUH-LOC-2021-08</t>
  </si>
  <si>
    <t>KUMUH-LOC-2020-01</t>
  </si>
  <si>
    <t>Delineasi Kawasan Kumuh Opas Indah</t>
  </si>
  <si>
    <t>Opas Indah</t>
  </si>
  <si>
    <t>465/KEP/BAPPEDA&amp;LITBANG/IX/2020</t>
  </si>
  <si>
    <t>-2.120490</t>
  </si>
  <si>
    <t>106.116940</t>
  </si>
  <si>
    <t>Melanjutkan intervensi sebelumnya untuk Skala Kawasan Opas Genas sehingga hanya 2 kelurahan ini yang berkurang luasan kumuhnya</t>
  </si>
  <si>
    <t>KUMUH-LOC-2020-02</t>
  </si>
  <si>
    <t>Delineasi Kawasan Kumuh Gedung Nasional</t>
  </si>
  <si>
    <t>Gedung Nasional</t>
  </si>
  <si>
    <t>-2.121099</t>
  </si>
  <si>
    <t>106.117040</t>
  </si>
  <si>
    <t>KUMUH-LOC-2020-03</t>
  </si>
  <si>
    <t>Deliniase Kawasan Kumuh Asam</t>
  </si>
  <si>
    <t>Wilayah Kumuh baru yang belum di tangani pada tahun berjalan karena perubahan kebijakan yang menjadi dasar perhitungan nilai kumuh</t>
  </si>
  <si>
    <t>KUMUH-LOC-2020-04</t>
  </si>
  <si>
    <t>KUMUH-LOC-2020-05</t>
  </si>
  <si>
    <t>KUMUH-LOC-2020-06</t>
  </si>
  <si>
    <t>KUMUH-LOC-2020-07</t>
  </si>
  <si>
    <t>KUMUH-LOC-2020-08</t>
  </si>
  <si>
    <t>KUMUH-LOC-2018-01</t>
  </si>
  <si>
    <t>Delineasi Kawasan Kumuh Pasir Putih</t>
  </si>
  <si>
    <t>Pasir Putih</t>
  </si>
  <si>
    <t>Permen PUPR Nomor 02/PRT/M/2016</t>
  </si>
  <si>
    <t>282/KEP/BAPPEDA&amp;LITBANG/IV/2018</t>
  </si>
  <si>
    <t>-2.12956</t>
  </si>
  <si>
    <t>106.12142</t>
  </si>
  <si>
    <t>KUMUH-LOC-2018-02</t>
  </si>
  <si>
    <t>Delineasi Kawasan Kumuh Semabung Lama</t>
  </si>
  <si>
    <t>-2.13760</t>
  </si>
  <si>
    <t>106.12749</t>
  </si>
  <si>
    <t>KUMUH-LOC-2018-03</t>
  </si>
  <si>
    <t>Delineasi Kawasan Kumuh Batu Intan</t>
  </si>
  <si>
    <t>Batu Intan</t>
  </si>
  <si>
    <t>-2.13511</t>
  </si>
  <si>
    <t>106.11641</t>
  </si>
  <si>
    <t>KUMUH-LOC-2018-04</t>
  </si>
  <si>
    <t>Delineasi Kawasan Kumuh Pasar Padi</t>
  </si>
  <si>
    <t>Pasar Padi</t>
  </si>
  <si>
    <t>-2.12653</t>
  </si>
  <si>
    <t>106.11832</t>
  </si>
  <si>
    <t>KUMUH-LOC-2018-05</t>
  </si>
  <si>
    <t>Delineasi Kawasan Kumuh Semabung Baru</t>
  </si>
  <si>
    <t>Semabung Baru</t>
  </si>
  <si>
    <t>-2.13353</t>
  </si>
  <si>
    <t>106.12177</t>
  </si>
  <si>
    <t>KUMUH-LOC-2018-06</t>
  </si>
  <si>
    <t>Delineasi Kawasan Kumuh Ketapang</t>
  </si>
  <si>
    <t>-2.10357</t>
  </si>
  <si>
    <t>106.131171</t>
  </si>
  <si>
    <t>KUMUH-LOC-2018-07</t>
  </si>
  <si>
    <t>Delineasi Kawasan Kumuh Lontong Pancur</t>
  </si>
  <si>
    <t>-2.09231</t>
  </si>
  <si>
    <t>106.12019</t>
  </si>
  <si>
    <t>KUMUH-LOC-2018-08</t>
  </si>
  <si>
    <t>-2.13671</t>
  </si>
  <si>
    <t>106.11008</t>
  </si>
  <si>
    <t>KUMUH-LOC-2018-09</t>
  </si>
  <si>
    <t>-2.14030</t>
  </si>
  <si>
    <t>106.11197\</t>
  </si>
  <si>
    <t>KUMUH-LOC-2018-10</t>
  </si>
  <si>
    <t>Delineasi Kawasan Kumuh Batin Tikal</t>
  </si>
  <si>
    <t>Batin Tikal</t>
  </si>
  <si>
    <t>-2.12338</t>
  </si>
  <si>
    <t>106.11147</t>
  </si>
  <si>
    <t>KUMUH-LOC-2018-11</t>
  </si>
  <si>
    <t>KUMUH-LOC-2018-12</t>
  </si>
  <si>
    <t>-2.12804</t>
  </si>
  <si>
    <t>106.10393</t>
  </si>
  <si>
    <t>KUMUH-LOC-2018-13</t>
  </si>
  <si>
    <t>KUMUH-LOC-2018-14</t>
  </si>
  <si>
    <t>Delineasi Kawasan Kumuh Rawa Bangun</t>
  </si>
  <si>
    <t>Rawa Bangun</t>
  </si>
  <si>
    <t>106.11025</t>
  </si>
  <si>
    <t>KUMUH-LOC-2014-01</t>
  </si>
  <si>
    <t>388/KEP/BAPPEDA/XII/2014</t>
  </si>
  <si>
    <t>Wilayah Kumuh baru yang belum di tangani pada tahun berjalan. Pada tahun ini pengentasan wilayah kumuh belum menjadi prioritas, program dukungan dari pemerintah pusat juga masih berfokus pada masyarakat miskin saja, sehingga belum ada intervensi khusus di wilayah kumuh sejak di terbitkan SK tahun berjalan.</t>
  </si>
  <si>
    <t>KUMUH-LOC-2014-02</t>
  </si>
  <si>
    <t>KUMUH-LOC-2014-03</t>
  </si>
  <si>
    <t>KUMUH-LOC-2014-04</t>
  </si>
  <si>
    <t>KUMUH-LOC-2014-05</t>
  </si>
  <si>
    <t>KUMUH-LOC-2014-06</t>
  </si>
  <si>
    <t>KUMUH-LOC-2014-07</t>
  </si>
  <si>
    <t>KUMUH-LOC-2014-08</t>
  </si>
  <si>
    <t>KUMUH-LOC-2014-09</t>
  </si>
  <si>
    <t>KUMUH-LOC-2014-10</t>
  </si>
  <si>
    <t>KUMUH-LOC-2014-11</t>
  </si>
  <si>
    <t>KUMUH-LOC-2014-12</t>
  </si>
  <si>
    <t>KUMUH-LOC-2014-13</t>
  </si>
  <si>
    <t>KUMUH-LOC-2014-14</t>
  </si>
  <si>
    <t>{"type":"Polygon","coordinates":[[[106.100000,-2.120000],[106.101000,-2.120000],[106.101000,-2.121000],[106.100000,-2.121000],[106.100000,-2.120000]]]}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</si>
</sst>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0.000000"/>
    <numFmt numFmtId="166" formatCode="[$Rp-421]\ #,##0"/>
    <numFmt numFmtId="167" formatCode="[$-421]dd\ mmmm\ yyyy;@"/>
    <numFmt numFmtId="168" formatCode="0.0"/>
  </numFmts>
  <fonts count="31">
    <font>
      <sz val="11"/>
      <name val="Carlito"/>
    </font>
    <font>
      <b/>
      <sz val="18"/>
      <color rgb="FFFFFFFF"/>
      <name val="Carlito"/>
    </font>
    <font>
      <i/>
      <sz val="10"/>
      <color rgb="FF0F3F50"/>
      <name val="Carlito"/>
    </font>
    <font>
      <b/>
      <sz val="9"/>
      <color rgb="FF0F3F50"/>
      <name val="Carlito"/>
    </font>
    <font>
      <b/>
      <sz val="10"/>
      <color rgb="FFD3C584"/>
      <name val="Carlito"/>
    </font>
    <font>
      <sz val="10"/>
      <color rgb="FF1F2937"/>
      <name val="Carlito"/>
    </font>
    <font>
      <b/>
      <sz val="11"/>
      <color rgb="FFD3C584"/>
      <name val="Carlito"/>
    </font>
    <font>
      <sz val="11"/>
      <color rgb="FF1F2937"/>
      <name val="Carlito"/>
    </font>
    <font>
      <sz val="10"/>
      <name val="Carlito"/>
    </font>
    <font>
      <b/>
      <sz val="16"/>
      <color rgb="FFFFFFFF"/>
      <name val="Carlito"/>
    </font>
    <font>
      <i/>
      <sz val="11"/>
      <color rgb="FF334155"/>
      <name val="Carlito"/>
    </font>
    <font>
      <b/>
      <sz val="10"/>
      <color rgb="FF334155"/>
      <name val="Carlito"/>
    </font>
    <font>
      <b/>
      <sz val="10"/>
      <color rgb="FFDCCF79"/>
      <name val="Carlito"/>
    </font>
    <font>
      <b/>
      <sz val="11"/>
      <color rgb="FFFFFFFF"/>
      <name val="Carlito"/>
    </font>
    <font>
      <i/>
      <sz val="11"/>
      <color rgb="FF0F3F50"/>
      <name val="Carlito"/>
    </font>
    <font>
      <b/>
      <sz val="11"/>
      <color rgb="FF0F3F50"/>
      <name val="Carlito"/>
    </font>
    <font>
      <b/>
      <sz val="11"/>
      <color rgb="FF334155"/>
      <name val="Carlito"/>
    </font>
    <font>
      <sz val="8"/>
      <name val="Carlito"/>
    </font>
    <font>
      <sz val="9"/>
      <color indexed="81"/>
      <name val="Tahoma"/>
      <charset val="1"/>
    </font>
    <font>
      <b/>
      <sz val="9"/>
      <color indexed="81"/>
      <name val="Tahoma"/>
      <charset val="1"/>
    </font>
    <font>
      <b/>
      <sz val="9"/>
      <color rgb="FF92400E"/>
      <name val="Carlito"/>
    </font>
    <font>
      <b/>
      <sz val="11"/>
      <color rgb="FF92400E"/>
      <name val="Carlito"/>
    </font>
    <font>
      <b/>
      <sz val="10"/>
      <color rgb="FFFFFFFF"/>
      <name val="Carlito"/>
    </font>
    <font>
      <b/>
      <sz val="10"/>
      <color rgb="FF0F172A"/>
      <name val="Carlito"/>
    </font>
    <font>
      <b/>
      <sz val="11"/>
      <color rgb="FF0F172A"/>
      <name val="Carlito"/>
    </font>
    <font>
      <i/>
      <sz val="11"/>
      <color rgb="FF9A3412"/>
      <name val="Carlito"/>
    </font>
    <font>
      <b/>
      <sz val="11"/>
      <color rgb="FF1E3A8A"/>
      <name val="Carlito"/>
    </font>
    <font>
      <sz val="10"/>
      <color rgb="FF334155"/>
      <name val="Carlito"/>
    </font>
    <font>
      <b/>
      <sz val="10"/>
      <color rgb="FFFDE68A"/>
      <name val="Carlito"/>
    </font>
    <font>
      <b/>
      <sz val="10"/>
      <color rgb="FF7C4A03"/>
      <name val="Carlito"/>
    </font>
    <font>
      <i/>
      <sz val="11"/>
      <color rgb="FF475569"/>
      <name val="Carlito"/>
    </font>
  </fonts>
  <fills count="40">
    <fill>
      <patternFill patternType="none"/>
    </fill>
    <fill>
      <patternFill patternType="gray125"/>
    </fill>
    <fill>
      <patternFill patternType="solid">
        <fgColor rgb="FF175B72"/>
      </patternFill>
    </fill>
    <fill>
      <patternFill patternType="solid">
        <fgColor rgb="FFE8F4F4"/>
      </patternFill>
    </fill>
    <fill>
      <patternFill patternType="solid">
        <fgColor rgb="FFF6F1DA"/>
      </patternFill>
    </fill>
    <fill>
      <patternFill patternType="solid">
        <fgColor rgb="FF0F3F50"/>
      </patternFill>
    </fill>
    <fill>
      <patternFill patternType="solid">
        <fgColor rgb="FFFFFFFF"/>
      </patternFill>
    </fill>
    <fill>
      <patternFill patternType="solid">
        <fgColor rgb="FFFFF8DD"/>
      </patternFill>
    </fill>
    <fill>
      <patternFill patternType="solid">
        <fgColor rgb="FFEAF2F8"/>
      </patternFill>
    </fill>
    <fill>
      <patternFill patternType="solid">
        <fgColor rgb="FF0F3F50"/>
      </patternFill>
    </fill>
    <fill>
      <patternFill patternType="solid">
        <fgColor rgb="FFFFF9E6"/>
      </patternFill>
    </fill>
    <fill>
      <patternFill patternType="solid">
        <fgColor rgb="FFEAF2F8"/>
      </patternFill>
    </fill>
    <fill>
      <patternFill patternType="solid">
        <fgColor theme="0"/>
      </patternFill>
    </fill>
    <fill>
      <patternFill patternType="solid">
        <fgColor rgb="FFFFF8DD"/>
      </patternFill>
    </fill>
    <fill>
      <patternFill patternType="solid">
        <fgColor rgb="FFEAF2F8"/>
      </patternFill>
    </fill>
    <fill>
      <patternFill patternType="solid">
        <fgColor rgb="FF1C6A80"/>
      </patternFill>
    </fill>
    <fill>
      <patternFill patternType="solid">
        <fgColor rgb="FFE6F3F7"/>
      </patternFill>
    </fill>
    <fill>
      <patternFill patternType="solid">
        <fgColor rgb="FFFFF7D6"/>
      </patternFill>
    </fill>
    <fill>
      <patternFill patternType="solid">
        <fgColor rgb="FF0F5366"/>
      </patternFill>
    </fill>
    <fill>
      <patternFill patternType="solid">
        <fgColor rgb="FFFFFBEA"/>
      </patternFill>
    </fill>
    <fill>
      <patternFill patternType="solid">
        <fgColor rgb="FFDDF0FF"/>
      </patternFill>
    </fill>
    <fill>
      <patternFill patternType="solid">
        <fgColor rgb="FF175B72"/>
      </patternFill>
    </fill>
    <fill>
      <patternFill patternType="solid">
        <fgColor rgb="FFE8F4F4"/>
      </patternFill>
    </fill>
    <fill>
      <patternFill patternType="solid">
        <fgColor rgb="FFF6F1DA"/>
      </patternFill>
    </fill>
    <fill>
      <patternFill patternType="solid">
        <fgColor rgb="FF0F3F50"/>
      </patternFill>
    </fill>
    <fill>
      <patternFill patternType="solid">
        <fgColor rgb="FFFFFDF0"/>
      </patternFill>
    </fill>
    <fill>
      <patternFill patternType="solid">
        <fgColor rgb="FFF5F3FF"/>
      </patternFill>
    </fill>
    <fill>
      <patternFill patternType="solid">
        <fgColor rgb="FFFFF7ED"/>
      </patternFill>
    </fill>
    <fill>
      <patternFill patternType="solid">
        <fgColor rgb="FFE2E8F0"/>
      </patternFill>
    </fill>
    <fill>
      <patternFill patternType="solid">
        <fgColor rgb="FFE8F4F4"/>
        <bgColor indexed="64"/>
      </patternFill>
    </fill>
    <fill>
      <patternFill patternType="solid">
        <fgColor rgb="FFFFFDF0"/>
        <bgColor indexed="64"/>
      </patternFill>
    </fill>
    <fill>
      <patternFill patternType="solid">
        <fgColor rgb="FFF8FAFC"/>
      </patternFill>
    </fill>
    <fill>
      <patternFill patternType="solid">
        <fgColor rgb="FFEFF6FF"/>
      </patternFill>
    </fill>
    <fill>
      <patternFill patternType="solid">
        <fgColor rgb="FFDBEAFE"/>
      </patternFill>
    </fill>
    <fill>
      <patternFill patternType="solid">
        <fgColor rgb="FFFEF2F2"/>
      </patternFill>
    </fill>
    <fill>
      <patternFill patternType="solid">
        <fgColor rgb="FFF1F5F9"/>
      </patternFill>
    </fill>
    <fill>
      <patternFill patternType="solid">
        <fgColor rgb="FFFFFCED"/>
      </patternFill>
    </fill>
    <fill>
      <patternFill patternType="solid">
        <fgColor rgb="FF155E75"/>
      </patternFill>
    </fill>
    <fill>
      <patternFill patternType="solid">
        <fgColor theme="4" tint="0.59999389629810485"/>
        <bgColor indexed="64"/>
      </patternFill>
    </fill>
    <fill>
      <patternFill patternType="solid">
        <fgColor theme="3" tint="0.89999084444715716"/>
        <bgColor indexed="64"/>
      </patternFill>
    </fill>
  </fills>
  <borders count="38">
    <border>
      <left/>
      <right/>
      <top/>
      <bottom/>
      <diagonal/>
    </border>
    <border>
      <left/>
      <right/>
      <top/>
      <bottom style="thin">
        <color rgb="FFD3C584"/>
      </bottom>
      <diagonal/>
    </border>
    <border>
      <left style="thin">
        <color rgb="FFD9E2E7"/>
      </left>
      <right/>
      <top style="thin">
        <color rgb="FFD9E2E7"/>
      </top>
      <bottom style="thin">
        <color rgb="FFD9E2E7"/>
      </bottom>
      <diagonal/>
    </border>
    <border>
      <left/>
      <right/>
      <top style="thin">
        <color rgb="FFD9E2E7"/>
      </top>
      <bottom style="thin">
        <color rgb="FFD9E2E7"/>
      </bottom>
      <diagonal/>
    </border>
    <border>
      <left/>
      <right style="thin">
        <color rgb="FFD9E2E7"/>
      </right>
      <top style="thin">
        <color rgb="FFD9E2E7"/>
      </top>
      <bottom style="thin">
        <color rgb="FFD9E2E7"/>
      </bottom>
      <diagonal/>
    </border>
    <border>
      <left style="thin">
        <color rgb="FFD9E2E7"/>
      </left>
      <right/>
      <top style="thin">
        <color rgb="FFD9E2E7"/>
      </top>
      <bottom/>
      <diagonal/>
    </border>
    <border>
      <left/>
      <right/>
      <top style="thin">
        <color rgb="FFD9E2E7"/>
      </top>
      <bottom/>
      <diagonal/>
    </border>
    <border>
      <left/>
      <right style="thin">
        <color rgb="FFD9E2E7"/>
      </right>
      <top style="thin">
        <color rgb="FFD9E2E7"/>
      </top>
      <bottom/>
      <diagonal/>
    </border>
    <border>
      <left style="thin">
        <color rgb="FFD9E2E7"/>
      </left>
      <right/>
      <top/>
      <bottom/>
      <diagonal/>
    </border>
    <border>
      <left/>
      <right style="thin">
        <color rgb="FFD9E2E7"/>
      </right>
      <top/>
      <bottom/>
      <diagonal/>
    </border>
    <border>
      <left style="thin">
        <color rgb="FFD9E2E7"/>
      </left>
      <right/>
      <top/>
      <bottom style="thin">
        <color rgb="FFD9E2E7"/>
      </bottom>
      <diagonal/>
    </border>
    <border>
      <left/>
      <right/>
      <top/>
      <bottom style="thin">
        <color rgb="FFD9E2E7"/>
      </bottom>
      <diagonal/>
    </border>
    <border>
      <left/>
      <right style="thin">
        <color rgb="FFD9E2E7"/>
      </right>
      <top/>
      <bottom style="thin">
        <color rgb="FFD9E2E7"/>
      </bottom>
      <diagonal/>
    </border>
    <border>
      <left/>
      <right style="thin">
        <color rgb="FFD9E2E7"/>
      </right>
      <top/>
      <bottom/>
      <diagonal/>
    </border>
    <border>
      <left style="thin">
        <color theme="0"/>
      </left>
      <right style="thin">
        <color theme="0"/>
      </right>
      <top style="thin">
        <color theme="0"/>
      </top>
      <bottom style="thin">
        <color theme="0"/>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style="thin">
        <color rgb="FFD9E2E7"/>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D9E2E7"/>
      </left>
      <right/>
      <top style="medium">
        <color rgb="FF475569"/>
      </top>
      <bottom style="thin">
        <color rgb="FF94A3B8"/>
      </bottom>
      <diagonal/>
    </border>
    <border>
      <left/>
      <right/>
      <top style="medium">
        <color rgb="FF475569"/>
      </top>
      <bottom style="thin">
        <color rgb="FF94A3B8"/>
      </bottom>
      <diagonal/>
    </border>
    <border>
      <left/>
      <right style="thin">
        <color rgb="FFD9E2E7"/>
      </right>
      <top style="medium">
        <color rgb="FF475569"/>
      </top>
      <bottom style="thin">
        <color rgb="FF94A3B8"/>
      </bottom>
      <diagonal/>
    </border>
    <border>
      <left/>
      <right/>
      <top style="medium">
        <color rgb="FF475569"/>
      </top>
      <bottom style="thin">
        <color rgb="FF93C5FD"/>
      </bottom>
      <diagonal/>
    </border>
    <border>
      <left/>
      <right style="thin">
        <color rgb="FFBAE6FD"/>
      </right>
      <top/>
      <bottom style="thin">
        <color rgb="FFBAE6FD"/>
      </bottom>
      <diagonal/>
    </border>
    <border>
      <left/>
      <right/>
      <top/>
      <bottom style="thin">
        <color rgb="FFBAE6FD"/>
      </bottom>
      <diagonal/>
    </border>
    <border>
      <left style="thin">
        <color rgb="FFBAE6FD"/>
      </left>
      <right/>
      <top/>
      <bottom style="thin">
        <color rgb="FFBAE6FD"/>
      </bottom>
      <diagonal/>
    </border>
    <border>
      <left/>
      <right style="thin">
        <color rgb="FFBAE6FD"/>
      </right>
      <top/>
      <bottom/>
      <diagonal/>
    </border>
    <border>
      <left style="thin">
        <color rgb="FFBAE6FD"/>
      </left>
      <right/>
      <top/>
      <bottom/>
      <diagonal/>
    </border>
    <border>
      <left/>
      <right style="thin">
        <color rgb="FFBAE6FD"/>
      </right>
      <top style="thin">
        <color rgb="FFBAE6FD"/>
      </top>
      <bottom/>
      <diagonal/>
    </border>
    <border>
      <left/>
      <right/>
      <top style="thin">
        <color rgb="FFBAE6FD"/>
      </top>
      <bottom/>
      <diagonal/>
    </border>
    <border>
      <left style="thin">
        <color rgb="FFBAE6FD"/>
      </left>
      <right/>
      <top style="thin">
        <color rgb="FFBAE6FD"/>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right/>
      <top/>
      <bottom style="thin">
        <color rgb="FFCBD5E1"/>
      </bottom>
      <diagonal/>
    </border>
    <border>
      <left/>
      <right/>
      <top style="thin">
        <color rgb="FFCBD5E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3">
    <xf numFmtId="0" fontId="0" fillId="0" borderId="0" xfId="0"/>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6" borderId="6"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5" fillId="6" borderId="12" xfId="0" applyFont="1" applyFill="1" applyBorder="1" applyAlignment="1">
      <alignment vertical="center" wrapText="1"/>
    </xf>
    <xf numFmtId="0" fontId="5" fillId="7" borderId="6" xfId="0" applyFont="1" applyFill="1" applyBorder="1" applyAlignment="1">
      <alignment vertical="center" wrapText="1"/>
    </xf>
    <xf numFmtId="0" fontId="5" fillId="7" borderId="0" xfId="0" applyFont="1" applyFill="1" applyAlignment="1">
      <alignment vertical="center" wrapText="1"/>
    </xf>
    <xf numFmtId="0" fontId="5" fillId="7" borderId="11" xfId="0" applyFont="1" applyFill="1" applyBorder="1" applyAlignment="1">
      <alignment vertical="center" wrapText="1"/>
    </xf>
    <xf numFmtId="164" fontId="5" fillId="7" borderId="6" xfId="0" applyNumberFormat="1" applyFont="1" applyFill="1" applyBorder="1" applyAlignment="1">
      <alignment vertical="center" wrapText="1"/>
    </xf>
    <xf numFmtId="164" fontId="5" fillId="7" borderId="0" xfId="0" applyNumberFormat="1" applyFont="1" applyFill="1" applyAlignment="1">
      <alignment vertical="center" wrapText="1"/>
    </xf>
    <xf numFmtId="164" fontId="5" fillId="7" borderId="11" xfId="0" applyNumberFormat="1" applyFont="1" applyFill="1" applyBorder="1" applyAlignment="1">
      <alignment vertical="center" wrapText="1"/>
    </xf>
    <xf numFmtId="3" fontId="5" fillId="6" borderId="6" xfId="0" applyNumberFormat="1" applyFont="1" applyFill="1" applyBorder="1" applyAlignment="1">
      <alignment vertical="center" wrapText="1"/>
    </xf>
    <xf numFmtId="3" fontId="5" fillId="6" borderId="0" xfId="0" applyNumberFormat="1" applyFont="1" applyFill="1" applyAlignment="1">
      <alignment vertical="center" wrapText="1"/>
    </xf>
    <xf numFmtId="3" fontId="5" fillId="6" borderId="11" xfId="0" applyNumberFormat="1" applyFont="1" applyFill="1" applyBorder="1" applyAlignment="1">
      <alignment vertical="center" wrapText="1"/>
    </xf>
    <xf numFmtId="3" fontId="5" fillId="7" borderId="6" xfId="0" applyNumberFormat="1" applyFont="1" applyFill="1" applyBorder="1" applyAlignment="1">
      <alignment vertical="center" wrapText="1"/>
    </xf>
    <xf numFmtId="3" fontId="5" fillId="7" borderId="0" xfId="0" applyNumberFormat="1" applyFont="1" applyFill="1" applyAlignment="1">
      <alignment vertical="center" wrapText="1"/>
    </xf>
    <xf numFmtId="3" fontId="5" fillId="7" borderId="11" xfId="0" applyNumberFormat="1" applyFont="1" applyFill="1" applyBorder="1" applyAlignment="1">
      <alignment vertical="center" wrapText="1"/>
    </xf>
    <xf numFmtId="165" fontId="5" fillId="6" borderId="6" xfId="0" applyNumberFormat="1" applyFont="1" applyFill="1" applyBorder="1" applyAlignment="1">
      <alignment vertical="center" wrapText="1"/>
    </xf>
    <xf numFmtId="165" fontId="5" fillId="6" borderId="0" xfId="0" applyNumberFormat="1" applyFont="1" applyFill="1" applyAlignment="1">
      <alignment vertical="center" wrapText="1"/>
    </xf>
    <xf numFmtId="165" fontId="5" fillId="6" borderId="11" xfId="0" applyNumberFormat="1" applyFont="1" applyFill="1" applyBorder="1" applyAlignment="1">
      <alignment vertical="center" wrapText="1"/>
    </xf>
    <xf numFmtId="9" fontId="5" fillId="8" borderId="6" xfId="0" applyNumberFormat="1" applyFont="1" applyFill="1" applyBorder="1" applyAlignment="1">
      <alignment vertical="center" wrapText="1"/>
    </xf>
    <xf numFmtId="9" fontId="5" fillId="8" borderId="0" xfId="0" applyNumberFormat="1" applyFont="1" applyFill="1" applyAlignment="1">
      <alignment vertical="center" wrapText="1"/>
    </xf>
    <xf numFmtId="9" fontId="5" fillId="8" borderId="11" xfId="0" applyNumberFormat="1" applyFont="1" applyFill="1" applyBorder="1" applyAlignment="1">
      <alignment vertical="center" wrapText="1"/>
    </xf>
    <xf numFmtId="9" fontId="5" fillId="8" borderId="7" xfId="0" applyNumberFormat="1" applyFont="1" applyFill="1" applyBorder="1" applyAlignment="1">
      <alignment vertical="center" wrapText="1"/>
    </xf>
    <xf numFmtId="9" fontId="5" fillId="8" borderId="9" xfId="0" applyNumberFormat="1" applyFont="1" applyFill="1" applyBorder="1" applyAlignment="1">
      <alignment vertical="center" wrapText="1"/>
    </xf>
    <xf numFmtId="9" fontId="5" fillId="8" borderId="12" xfId="0" applyNumberFormat="1" applyFont="1" applyFill="1" applyBorder="1" applyAlignment="1">
      <alignment vertical="center" wrapText="1"/>
    </xf>
    <xf numFmtId="49" fontId="5" fillId="7" borderId="5" xfId="0" applyNumberFormat="1" applyFont="1" applyFill="1" applyBorder="1" applyAlignment="1">
      <alignment vertical="center" wrapText="1"/>
    </xf>
    <xf numFmtId="49" fontId="5" fillId="7" borderId="8" xfId="0" applyNumberFormat="1" applyFont="1" applyFill="1" applyBorder="1" applyAlignment="1">
      <alignment vertical="center" wrapText="1"/>
    </xf>
    <xf numFmtId="49" fontId="5" fillId="7" borderId="10" xfId="0" applyNumberFormat="1" applyFont="1" applyFill="1" applyBorder="1" applyAlignment="1">
      <alignment vertical="center" wrapText="1"/>
    </xf>
    <xf numFmtId="0" fontId="5" fillId="7" borderId="7" xfId="0" applyFont="1" applyFill="1" applyBorder="1" applyAlignment="1">
      <alignment vertical="center" wrapText="1"/>
    </xf>
    <xf numFmtId="0" fontId="5" fillId="7" borderId="9" xfId="0" applyFont="1" applyFill="1" applyBorder="1" applyAlignment="1">
      <alignment vertical="center" wrapText="1"/>
    </xf>
    <xf numFmtId="0" fontId="5" fillId="7" borderId="12" xfId="0" applyFont="1" applyFill="1" applyBorder="1" applyAlignment="1">
      <alignment vertical="center" wrapText="1"/>
    </xf>
    <xf numFmtId="3" fontId="5" fillId="8" borderId="6" xfId="0" applyNumberFormat="1" applyFont="1" applyFill="1" applyBorder="1" applyAlignment="1">
      <alignment vertical="center" wrapText="1"/>
    </xf>
    <xf numFmtId="3" fontId="5" fillId="8" borderId="0" xfId="0" applyNumberFormat="1" applyFont="1" applyFill="1" applyAlignment="1">
      <alignment vertical="center" wrapText="1"/>
    </xf>
    <xf numFmtId="3" fontId="5" fillId="8" borderId="11" xfId="0" applyNumberFormat="1" applyFont="1" applyFill="1" applyBorder="1" applyAlignment="1">
      <alignment vertical="center" wrapText="1"/>
    </xf>
    <xf numFmtId="49" fontId="5" fillId="7" borderId="6" xfId="0" applyNumberFormat="1" applyFont="1" applyFill="1" applyBorder="1" applyAlignment="1">
      <alignment vertical="center" wrapText="1"/>
    </xf>
    <xf numFmtId="49" fontId="5" fillId="7" borderId="0" xfId="0" applyNumberFormat="1" applyFont="1" applyFill="1" applyAlignment="1">
      <alignment vertical="center" wrapText="1"/>
    </xf>
    <xf numFmtId="49" fontId="5" fillId="7" borderId="11" xfId="0" applyNumberFormat="1" applyFont="1" applyFill="1" applyBorder="1" applyAlignment="1">
      <alignment vertical="center" wrapText="1"/>
    </xf>
    <xf numFmtId="0" fontId="6" fillId="9" borderId="3" xfId="0" applyFont="1" applyFill="1" applyBorder="1" applyAlignment="1">
      <alignment horizontal="center" vertical="center" wrapText="1"/>
    </xf>
    <xf numFmtId="0" fontId="7" fillId="10" borderId="6" xfId="0" applyFont="1" applyFill="1" applyBorder="1" applyAlignment="1">
      <alignment wrapText="1"/>
    </xf>
    <xf numFmtId="0" fontId="7" fillId="10" borderId="0" xfId="0" applyFont="1" applyFill="1" applyAlignment="1">
      <alignment wrapText="1"/>
    </xf>
    <xf numFmtId="0" fontId="6" fillId="9" borderId="4" xfId="0" applyFont="1" applyFill="1" applyBorder="1" applyAlignment="1">
      <alignment horizontal="center" vertical="center" wrapText="1"/>
    </xf>
    <xf numFmtId="9" fontId="7" fillId="11" borderId="7" xfId="0" applyNumberFormat="1" applyFont="1" applyFill="1" applyBorder="1" applyAlignment="1">
      <alignment wrapText="1"/>
    </xf>
    <xf numFmtId="9" fontId="7" fillId="11" borderId="9" xfId="0" applyNumberFormat="1" applyFont="1" applyFill="1" applyBorder="1" applyAlignment="1">
      <alignment wrapText="1"/>
    </xf>
    <xf numFmtId="9" fontId="7" fillId="11" borderId="12" xfId="0" applyNumberFormat="1" applyFont="1" applyFill="1" applyBorder="1" applyAlignment="1">
      <alignment wrapText="1"/>
    </xf>
    <xf numFmtId="0" fontId="8" fillId="13" borderId="0" xfId="0" applyFont="1" applyFill="1"/>
    <xf numFmtId="0" fontId="8" fillId="12" borderId="0" xfId="0" applyFont="1" applyFill="1"/>
    <xf numFmtId="0" fontId="8" fillId="14" borderId="0" xfId="0" applyFont="1" applyFill="1"/>
    <xf numFmtId="0" fontId="8" fillId="0" borderId="0" xfId="0" applyFont="1"/>
    <xf numFmtId="0" fontId="5" fillId="8" borderId="6" xfId="0" applyFont="1" applyFill="1" applyBorder="1" applyAlignment="1">
      <alignment vertical="center" wrapText="1"/>
    </xf>
    <xf numFmtId="0" fontId="5" fillId="8" borderId="0" xfId="0" applyFont="1" applyFill="1" applyAlignment="1">
      <alignment vertical="center" wrapText="1"/>
    </xf>
    <xf numFmtId="0" fontId="5" fillId="8" borderId="11" xfId="0" applyFont="1" applyFill="1" applyBorder="1" applyAlignment="1">
      <alignment vertical="center" wrapText="1"/>
    </xf>
    <xf numFmtId="0" fontId="12" fillId="18" borderId="0" xfId="0" applyFont="1" applyFill="1" applyAlignment="1">
      <alignment horizontal="center" vertical="center" wrapText="1"/>
    </xf>
    <xf numFmtId="0" fontId="5" fillId="19" borderId="0" xfId="0" applyFont="1" applyFill="1" applyAlignment="1">
      <alignment horizontal="center" vertical="center" wrapText="1"/>
    </xf>
    <xf numFmtId="0" fontId="5" fillId="19" borderId="0" xfId="0" applyFont="1" applyFill="1" applyAlignment="1">
      <alignment vertical="center" wrapText="1"/>
    </xf>
    <xf numFmtId="1" fontId="5" fillId="19" borderId="0" xfId="0" applyNumberFormat="1" applyFont="1" applyFill="1" applyAlignment="1">
      <alignment horizontal="center" vertical="center" wrapText="1"/>
    </xf>
    <xf numFmtId="166" fontId="5" fillId="19" borderId="0" xfId="0" applyNumberFormat="1" applyFont="1" applyFill="1" applyAlignment="1">
      <alignment vertical="center" wrapText="1"/>
    </xf>
    <xf numFmtId="166" fontId="5" fillId="20" borderId="0" xfId="0" applyNumberFormat="1" applyFont="1" applyFill="1" applyAlignment="1">
      <alignment horizontal="center" vertical="center" wrapText="1"/>
    </xf>
    <xf numFmtId="10" fontId="5" fillId="20" borderId="0" xfId="0" applyNumberFormat="1" applyFont="1" applyFill="1" applyAlignment="1">
      <alignment horizontal="center" vertical="center" wrapText="1"/>
    </xf>
    <xf numFmtId="164" fontId="5" fillId="19" borderId="0" xfId="0" applyNumberFormat="1" applyFont="1" applyFill="1" applyAlignment="1">
      <alignment horizontal="center" vertical="center" wrapText="1"/>
    </xf>
    <xf numFmtId="0" fontId="0" fillId="0" borderId="0" xfId="0" applyAlignment="1">
      <alignment vertical="center"/>
    </xf>
    <xf numFmtId="0" fontId="4" fillId="5" borderId="3" xfId="0" applyFont="1" applyFill="1" applyBorder="1" applyAlignment="1">
      <alignment vertical="center" wrapText="1"/>
    </xf>
    <xf numFmtId="9" fontId="5" fillId="8" borderId="13" xfId="0" applyNumberFormat="1" applyFont="1" applyFill="1" applyBorder="1" applyAlignment="1">
      <alignment vertical="center" wrapText="1"/>
    </xf>
    <xf numFmtId="0" fontId="0" fillId="25" borderId="0" xfId="0" applyFill="1" applyAlignment="1">
      <alignment vertical="top" wrapText="1"/>
    </xf>
    <xf numFmtId="0" fontId="0" fillId="26" borderId="0" xfId="0" applyFill="1" applyAlignment="1">
      <alignment vertical="top" wrapText="1"/>
    </xf>
    <xf numFmtId="0" fontId="0" fillId="27" borderId="0" xfId="0" applyFill="1" applyAlignment="1">
      <alignment vertical="top" wrapText="1"/>
    </xf>
    <xf numFmtId="0" fontId="0" fillId="22" borderId="0" xfId="0" applyFill="1" applyAlignment="1">
      <alignment vertical="top" wrapText="1"/>
    </xf>
    <xf numFmtId="0" fontId="16" fillId="28" borderId="0" xfId="0" applyFont="1" applyFill="1"/>
    <xf numFmtId="1" fontId="0" fillId="22" borderId="0" xfId="0" applyNumberFormat="1" applyFill="1" applyAlignment="1">
      <alignment vertical="top" wrapText="1"/>
    </xf>
    <xf numFmtId="1" fontId="0" fillId="25" borderId="0" xfId="0" applyNumberFormat="1" applyFill="1" applyAlignment="1">
      <alignment vertical="top" wrapText="1"/>
    </xf>
    <xf numFmtId="9" fontId="7" fillId="11" borderId="13" xfId="0" applyNumberFormat="1" applyFont="1" applyFill="1" applyBorder="1" applyAlignment="1">
      <alignment wrapText="1"/>
    </xf>
    <xf numFmtId="165" fontId="5" fillId="7" borderId="6" xfId="0" applyNumberFormat="1" applyFont="1" applyFill="1" applyBorder="1" applyAlignment="1">
      <alignment vertical="center" wrapText="1"/>
    </xf>
    <xf numFmtId="165" fontId="5" fillId="7" borderId="0" xfId="0" applyNumberFormat="1" applyFont="1" applyFill="1" applyAlignment="1">
      <alignment vertical="center" wrapText="1"/>
    </xf>
    <xf numFmtId="165" fontId="5" fillId="7" borderId="11" xfId="0" applyNumberFormat="1" applyFont="1" applyFill="1" applyBorder="1" applyAlignment="1">
      <alignment vertical="center" wrapText="1"/>
    </xf>
    <xf numFmtId="165" fontId="8" fillId="13" borderId="0" xfId="0" applyNumberFormat="1" applyFont="1" applyFill="1"/>
    <xf numFmtId="167" fontId="6" fillId="9" borderId="3" xfId="0" applyNumberFormat="1" applyFont="1" applyFill="1" applyBorder="1" applyAlignment="1">
      <alignment horizontal="center" vertical="center" wrapText="1"/>
    </xf>
    <xf numFmtId="167" fontId="7" fillId="11" borderId="6" xfId="0" applyNumberFormat="1" applyFont="1" applyFill="1" applyBorder="1" applyAlignment="1">
      <alignment wrapText="1"/>
    </xf>
    <xf numFmtId="167" fontId="7" fillId="11" borderId="0" xfId="0" applyNumberFormat="1" applyFont="1" applyFill="1" applyAlignment="1">
      <alignment wrapText="1"/>
    </xf>
    <xf numFmtId="167" fontId="8" fillId="14" borderId="0" xfId="0" applyNumberFormat="1" applyFont="1" applyFill="1"/>
    <xf numFmtId="167" fontId="0" fillId="0" borderId="0" xfId="0" applyNumberFormat="1"/>
    <xf numFmtId="0" fontId="0" fillId="25" borderId="0" xfId="0" quotePrefix="1" applyFill="1" applyAlignment="1">
      <alignment vertical="top" wrapText="1"/>
    </xf>
    <xf numFmtId="0" fontId="0" fillId="29" borderId="0" xfId="0" applyFill="1" applyAlignment="1">
      <alignment vertical="top" wrapText="1"/>
    </xf>
    <xf numFmtId="1" fontId="0" fillId="29" borderId="0" xfId="0" applyNumberFormat="1" applyFill="1" applyAlignment="1">
      <alignment vertical="top" wrapText="1"/>
    </xf>
    <xf numFmtId="0" fontId="0" fillId="30" borderId="0" xfId="0" applyFill="1" applyAlignment="1">
      <alignment vertical="top" wrapText="1"/>
    </xf>
    <xf numFmtId="0" fontId="6" fillId="24" borderId="14" xfId="0" applyFont="1" applyFill="1" applyBorder="1" applyAlignment="1">
      <alignment horizontal="center" vertical="center" wrapText="1"/>
    </xf>
    <xf numFmtId="0" fontId="0" fillId="0" borderId="14" xfId="0" applyBorder="1"/>
    <xf numFmtId="0" fontId="13" fillId="21" borderId="0" xfId="0" applyFont="1" applyFill="1" applyAlignment="1">
      <alignment vertical="center"/>
    </xf>
    <xf numFmtId="0" fontId="22" fillId="24" borderId="15" xfId="0" applyFont="1" applyFill="1" applyBorder="1" applyAlignment="1">
      <alignment horizontal="center" vertical="center" wrapText="1"/>
    </xf>
    <xf numFmtId="0" fontId="22" fillId="24" borderId="16" xfId="0" applyFont="1" applyFill="1" applyBorder="1" applyAlignment="1">
      <alignment horizontal="center" vertical="center" wrapText="1"/>
    </xf>
    <xf numFmtId="0" fontId="22" fillId="24" borderId="17" xfId="0" applyFont="1" applyFill="1" applyBorder="1" applyAlignment="1">
      <alignment horizontal="center" vertical="center" wrapText="1"/>
    </xf>
    <xf numFmtId="0" fontId="13" fillId="24" borderId="16" xfId="0" applyFont="1" applyFill="1" applyBorder="1" applyAlignment="1">
      <alignment horizontal="center" vertical="center" wrapText="1"/>
    </xf>
    <xf numFmtId="0" fontId="13" fillId="24" borderId="18" xfId="0" applyFont="1" applyFill="1" applyBorder="1" applyAlignment="1">
      <alignment horizontal="center" vertical="center" wrapText="1"/>
    </xf>
    <xf numFmtId="49" fontId="5" fillId="31" borderId="5" xfId="0" applyNumberFormat="1" applyFont="1" applyFill="1" applyBorder="1" applyAlignment="1">
      <alignment vertical="center" wrapText="1"/>
    </xf>
    <xf numFmtId="0" fontId="5" fillId="31" borderId="6" xfId="0" applyFont="1" applyFill="1" applyBorder="1" applyAlignment="1">
      <alignment vertical="center" wrapText="1"/>
    </xf>
    <xf numFmtId="3" fontId="5" fillId="32" borderId="6" xfId="0" applyNumberFormat="1" applyFont="1" applyFill="1" applyBorder="1" applyAlignment="1">
      <alignment vertical="center" wrapText="1"/>
    </xf>
    <xf numFmtId="3" fontId="5" fillId="33" borderId="6" xfId="0" applyNumberFormat="1" applyFont="1" applyFill="1" applyBorder="1" applyAlignment="1">
      <alignment vertical="center" wrapText="1"/>
    </xf>
    <xf numFmtId="3" fontId="5" fillId="27" borderId="7" xfId="0" applyNumberFormat="1" applyFont="1" applyFill="1" applyBorder="1" applyAlignment="1">
      <alignment vertical="center" wrapText="1"/>
    </xf>
    <xf numFmtId="3" fontId="0" fillId="34" borderId="0" xfId="0" applyNumberFormat="1" applyFill="1" applyAlignment="1">
      <alignment vertical="center" wrapText="1"/>
    </xf>
    <xf numFmtId="1" fontId="0" fillId="31" borderId="0" xfId="0" applyNumberFormat="1" applyFill="1" applyAlignment="1">
      <alignment vertical="center" wrapText="1"/>
    </xf>
    <xf numFmtId="0" fontId="0" fillId="31" borderId="0" xfId="0" applyFill="1" applyAlignment="1">
      <alignment vertical="center" wrapText="1"/>
    </xf>
    <xf numFmtId="164" fontId="0" fillId="31" borderId="0" xfId="0" applyNumberFormat="1" applyFill="1" applyAlignment="1">
      <alignment vertical="center" wrapText="1"/>
    </xf>
    <xf numFmtId="49" fontId="5" fillId="31" borderId="8" xfId="0" applyNumberFormat="1" applyFont="1" applyFill="1" applyBorder="1" applyAlignment="1">
      <alignment vertical="center" wrapText="1"/>
    </xf>
    <xf numFmtId="0" fontId="5" fillId="31" borderId="0" xfId="0" applyFont="1" applyFill="1" applyAlignment="1">
      <alignment vertical="center" wrapText="1"/>
    </xf>
    <xf numFmtId="3" fontId="5" fillId="32" borderId="0" xfId="0" applyNumberFormat="1" applyFont="1" applyFill="1" applyAlignment="1">
      <alignment vertical="center" wrapText="1"/>
    </xf>
    <xf numFmtId="3" fontId="5" fillId="33" borderId="0" xfId="0" applyNumberFormat="1" applyFont="1" applyFill="1" applyAlignment="1">
      <alignment vertical="center" wrapText="1"/>
    </xf>
    <xf numFmtId="3" fontId="5" fillId="27" borderId="13" xfId="0" applyNumberFormat="1" applyFont="1" applyFill="1" applyBorder="1" applyAlignment="1">
      <alignment vertical="center" wrapText="1"/>
    </xf>
    <xf numFmtId="49" fontId="23" fillId="28" borderId="19" xfId="0" applyNumberFormat="1" applyFont="1" applyFill="1" applyBorder="1" applyAlignment="1">
      <alignment vertical="center" wrapText="1"/>
    </xf>
    <xf numFmtId="0" fontId="23" fillId="28" borderId="20" xfId="0" applyFont="1" applyFill="1" applyBorder="1" applyAlignment="1">
      <alignment vertical="center" wrapText="1"/>
    </xf>
    <xf numFmtId="3" fontId="23" fillId="28" borderId="20" xfId="0" applyNumberFormat="1" applyFont="1" applyFill="1" applyBorder="1" applyAlignment="1">
      <alignment vertical="center" wrapText="1"/>
    </xf>
    <xf numFmtId="3" fontId="23" fillId="28" borderId="21" xfId="0" applyNumberFormat="1" applyFont="1" applyFill="1" applyBorder="1" applyAlignment="1">
      <alignment vertical="center" wrapText="1"/>
    </xf>
    <xf numFmtId="3" fontId="24" fillId="28" borderId="20" xfId="0" applyNumberFormat="1" applyFont="1" applyFill="1" applyBorder="1" applyAlignment="1">
      <alignment vertical="center" wrapText="1"/>
    </xf>
    <xf numFmtId="1" fontId="24" fillId="28" borderId="20" xfId="0" applyNumberFormat="1" applyFont="1" applyFill="1" applyBorder="1" applyAlignment="1">
      <alignment vertical="center" wrapText="1"/>
    </xf>
    <xf numFmtId="0" fontId="24" fillId="28" borderId="20" xfId="0" applyFont="1" applyFill="1" applyBorder="1" applyAlignment="1">
      <alignment vertical="center" wrapText="1"/>
    </xf>
    <xf numFmtId="164" fontId="24" fillId="28" borderId="20" xfId="0" applyNumberFormat="1" applyFont="1" applyFill="1" applyBorder="1" applyAlignment="1">
      <alignment vertical="center" wrapText="1"/>
    </xf>
    <xf numFmtId="49" fontId="5" fillId="13" borderId="8" xfId="0" applyNumberFormat="1" applyFont="1" applyFill="1" applyBorder="1" applyAlignment="1">
      <alignment vertical="center" wrapText="1"/>
    </xf>
    <xf numFmtId="0" fontId="5" fillId="13" borderId="0" xfId="0" applyFont="1" applyFill="1" applyAlignment="1">
      <alignment vertical="center" wrapText="1"/>
    </xf>
    <xf numFmtId="3" fontId="5" fillId="13" borderId="0" xfId="0" applyNumberFormat="1" applyFont="1" applyFill="1" applyAlignment="1">
      <alignment vertical="center" wrapText="1"/>
    </xf>
    <xf numFmtId="164" fontId="5" fillId="13" borderId="0" xfId="0" applyNumberFormat="1" applyFont="1" applyFill="1" applyAlignment="1">
      <alignment vertical="center" wrapText="1"/>
    </xf>
    <xf numFmtId="0" fontId="5" fillId="6" borderId="13" xfId="0" applyFont="1" applyFill="1" applyBorder="1" applyAlignment="1">
      <alignment vertical="center" wrapText="1"/>
    </xf>
    <xf numFmtId="49" fontId="5" fillId="13" borderId="10" xfId="0" applyNumberFormat="1" applyFont="1" applyFill="1" applyBorder="1" applyAlignment="1">
      <alignment vertical="center" wrapText="1"/>
    </xf>
    <xf numFmtId="0" fontId="5" fillId="13" borderId="11" xfId="0" applyFont="1" applyFill="1" applyBorder="1" applyAlignment="1">
      <alignment vertical="center" wrapText="1"/>
    </xf>
    <xf numFmtId="3" fontId="5" fillId="13" borderId="11" xfId="0" applyNumberFormat="1" applyFont="1" applyFill="1" applyBorder="1" applyAlignment="1">
      <alignment vertical="center" wrapText="1"/>
    </xf>
    <xf numFmtId="164" fontId="5" fillId="13" borderId="11" xfId="0" applyNumberFormat="1" applyFont="1" applyFill="1" applyBorder="1" applyAlignment="1">
      <alignment vertical="center" wrapText="1"/>
    </xf>
    <xf numFmtId="49" fontId="22" fillId="21" borderId="8" xfId="0" applyNumberFormat="1" applyFont="1" applyFill="1" applyBorder="1" applyAlignment="1">
      <alignment vertical="center" wrapText="1"/>
    </xf>
    <xf numFmtId="0" fontId="22" fillId="21" borderId="0" xfId="0" applyFont="1" applyFill="1" applyAlignment="1">
      <alignment vertical="center" wrapText="1"/>
    </xf>
    <xf numFmtId="3" fontId="22" fillId="21" borderId="0" xfId="0" applyNumberFormat="1" applyFont="1" applyFill="1" applyAlignment="1">
      <alignment vertical="center" wrapText="1"/>
    </xf>
    <xf numFmtId="164" fontId="22" fillId="21" borderId="0" xfId="0" applyNumberFormat="1" applyFont="1" applyFill="1" applyAlignment="1">
      <alignment vertical="center" wrapText="1"/>
    </xf>
    <xf numFmtId="0" fontId="22" fillId="21" borderId="13" xfId="0" applyFont="1" applyFill="1" applyBorder="1" applyAlignment="1">
      <alignment vertical="center" wrapText="1"/>
    </xf>
    <xf numFmtId="49" fontId="22" fillId="24" borderId="15" xfId="0" applyNumberFormat="1" applyFont="1" applyFill="1" applyBorder="1" applyAlignment="1">
      <alignment horizontal="center" vertical="center" wrapText="1"/>
    </xf>
    <xf numFmtId="0" fontId="22" fillId="24" borderId="18" xfId="0" applyFont="1" applyFill="1" applyBorder="1" applyAlignment="1">
      <alignment horizontal="center" vertical="center" wrapText="1"/>
    </xf>
    <xf numFmtId="3" fontId="22" fillId="24" borderId="16" xfId="0" applyNumberFormat="1" applyFont="1" applyFill="1" applyBorder="1" applyAlignment="1">
      <alignment horizontal="center" vertical="center" wrapText="1"/>
    </xf>
    <xf numFmtId="164" fontId="22" fillId="24" borderId="16" xfId="0" applyNumberFormat="1" applyFont="1" applyFill="1" applyBorder="1" applyAlignment="1">
      <alignment horizontal="center" vertical="center" wrapText="1"/>
    </xf>
    <xf numFmtId="49" fontId="5" fillId="31" borderId="8" xfId="0" applyNumberFormat="1" applyFont="1" applyFill="1" applyBorder="1" applyAlignment="1">
      <alignment vertical="top" wrapText="1"/>
    </xf>
    <xf numFmtId="0" fontId="5" fillId="31" borderId="0" xfId="0" applyFont="1" applyFill="1" applyAlignment="1">
      <alignment vertical="top" wrapText="1"/>
    </xf>
    <xf numFmtId="3" fontId="5" fillId="31" borderId="0" xfId="0" applyNumberFormat="1" applyFont="1" applyFill="1" applyAlignment="1">
      <alignment vertical="top" wrapText="1"/>
    </xf>
    <xf numFmtId="164" fontId="5" fillId="31" borderId="0" xfId="0" applyNumberFormat="1" applyFont="1" applyFill="1" applyAlignment="1">
      <alignment vertical="top" wrapText="1"/>
    </xf>
    <xf numFmtId="0" fontId="5" fillId="31" borderId="13" xfId="0" applyFont="1" applyFill="1" applyBorder="1" applyAlignment="1">
      <alignment vertical="top" wrapText="1"/>
    </xf>
    <xf numFmtId="0" fontId="0" fillId="31" borderId="0" xfId="0" applyFill="1" applyAlignment="1">
      <alignment vertical="top" wrapText="1"/>
    </xf>
    <xf numFmtId="3" fontId="16" fillId="35" borderId="0" xfId="0" applyNumberFormat="1" applyFont="1" applyFill="1" applyAlignment="1">
      <alignment horizontal="right" vertical="center"/>
    </xf>
    <xf numFmtId="0" fontId="16" fillId="35" borderId="0" xfId="0" applyFont="1" applyFill="1" applyAlignment="1">
      <alignment vertical="center"/>
    </xf>
    <xf numFmtId="0" fontId="26" fillId="33" borderId="22" xfId="0" applyFont="1" applyFill="1" applyBorder="1" applyAlignment="1">
      <alignment vertical="center"/>
    </xf>
    <xf numFmtId="3" fontId="26" fillId="33" borderId="22" xfId="0" applyNumberFormat="1" applyFont="1" applyFill="1" applyBorder="1" applyAlignment="1">
      <alignment horizontal="right" vertical="center"/>
    </xf>
    <xf numFmtId="3" fontId="0" fillId="0" borderId="0" xfId="0" applyNumberFormat="1" applyAlignment="1">
      <alignment horizontal="right"/>
    </xf>
    <xf numFmtId="0" fontId="27" fillId="36" borderId="23" xfId="0" applyFont="1" applyFill="1" applyBorder="1" applyAlignment="1">
      <alignment vertical="center" wrapText="1"/>
    </xf>
    <xf numFmtId="0" fontId="27" fillId="36" borderId="24" xfId="0" applyFont="1" applyFill="1" applyBorder="1" applyAlignment="1">
      <alignment vertical="center" wrapText="1"/>
    </xf>
    <xf numFmtId="3" fontId="27" fillId="36" borderId="24" xfId="0" applyNumberFormat="1" applyFont="1" applyFill="1" applyBorder="1" applyAlignment="1">
      <alignment horizontal="right" vertical="center"/>
    </xf>
    <xf numFmtId="0" fontId="27" fillId="36" borderId="24" xfId="0" applyFont="1" applyFill="1" applyBorder="1" applyAlignment="1">
      <alignment horizontal="center" vertical="center"/>
    </xf>
    <xf numFmtId="0" fontId="27" fillId="36" borderId="25" xfId="0" applyFont="1" applyFill="1" applyBorder="1" applyAlignment="1">
      <alignment horizontal="center" vertical="center"/>
    </xf>
    <xf numFmtId="0" fontId="27" fillId="36" borderId="26" xfId="0" applyFont="1" applyFill="1" applyBorder="1" applyAlignment="1">
      <alignment vertical="center" wrapText="1"/>
    </xf>
    <xf numFmtId="0" fontId="27" fillId="36" borderId="0" xfId="0" applyFont="1" applyFill="1" applyAlignment="1">
      <alignment vertical="center" wrapText="1"/>
    </xf>
    <xf numFmtId="3" fontId="27" fillId="36" borderId="0" xfId="0" applyNumberFormat="1" applyFont="1" applyFill="1" applyAlignment="1">
      <alignment horizontal="right" vertical="center"/>
    </xf>
    <xf numFmtId="0" fontId="27" fillId="36" borderId="0" xfId="0" applyFont="1" applyFill="1" applyAlignment="1">
      <alignment horizontal="center" vertical="center"/>
    </xf>
    <xf numFmtId="0" fontId="27" fillId="36" borderId="27" xfId="0" applyFont="1" applyFill="1" applyBorder="1" applyAlignment="1">
      <alignment horizontal="center" vertical="center"/>
    </xf>
    <xf numFmtId="0" fontId="27" fillId="36" borderId="28" xfId="0" applyFont="1" applyFill="1" applyBorder="1" applyAlignment="1">
      <alignment vertical="center" wrapText="1"/>
    </xf>
    <xf numFmtId="0" fontId="27" fillId="36" borderId="29" xfId="0" applyFont="1" applyFill="1" applyBorder="1" applyAlignment="1">
      <alignment vertical="center" wrapText="1"/>
    </xf>
    <xf numFmtId="3" fontId="27" fillId="36" borderId="29" xfId="0" applyNumberFormat="1" applyFont="1" applyFill="1" applyBorder="1" applyAlignment="1">
      <alignment horizontal="right" vertical="center"/>
    </xf>
    <xf numFmtId="0" fontId="27" fillId="36" borderId="29" xfId="0" applyFont="1" applyFill="1" applyBorder="1" applyAlignment="1">
      <alignment horizontal="center" vertical="center"/>
    </xf>
    <xf numFmtId="0" fontId="27" fillId="36" borderId="30" xfId="0" applyFont="1" applyFill="1" applyBorder="1" applyAlignment="1">
      <alignment horizontal="center" vertical="center"/>
    </xf>
    <xf numFmtId="0" fontId="28" fillId="37" borderId="31" xfId="0" applyFont="1" applyFill="1" applyBorder="1" applyAlignment="1">
      <alignment horizontal="center" vertical="center" wrapText="1"/>
    </xf>
    <xf numFmtId="0" fontId="28" fillId="37" borderId="32" xfId="0" applyFont="1" applyFill="1" applyBorder="1" applyAlignment="1">
      <alignment horizontal="center" vertical="center" wrapText="1"/>
    </xf>
    <xf numFmtId="0" fontId="28" fillId="37" borderId="33" xfId="0" applyFont="1" applyFill="1" applyBorder="1" applyAlignment="1">
      <alignment horizontal="center" vertical="center" wrapText="1"/>
    </xf>
    <xf numFmtId="10" fontId="16" fillId="35" borderId="34" xfId="0" applyNumberFormat="1" applyFont="1" applyFill="1" applyBorder="1" applyAlignment="1">
      <alignment vertical="center"/>
    </xf>
    <xf numFmtId="0" fontId="16" fillId="35" borderId="34" xfId="0" applyFont="1" applyFill="1" applyBorder="1" applyAlignment="1">
      <alignment vertical="center"/>
    </xf>
    <xf numFmtId="2" fontId="16" fillId="35" borderId="0" xfId="0" applyNumberFormat="1" applyFont="1" applyFill="1" applyAlignment="1">
      <alignment vertical="center"/>
    </xf>
    <xf numFmtId="2" fontId="16" fillId="35" borderId="35" xfId="0" applyNumberFormat="1" applyFont="1" applyFill="1" applyBorder="1" applyAlignment="1">
      <alignment vertical="center"/>
    </xf>
    <xf numFmtId="0" fontId="16" fillId="35" borderId="35" xfId="0" applyFont="1" applyFill="1" applyBorder="1" applyAlignment="1">
      <alignment vertical="center"/>
    </xf>
    <xf numFmtId="0" fontId="26" fillId="33" borderId="0" xfId="0" applyFont="1" applyFill="1" applyAlignment="1">
      <alignment vertical="center"/>
    </xf>
    <xf numFmtId="10" fontId="27" fillId="36" borderId="24" xfId="0" applyNumberFormat="1" applyFont="1" applyFill="1" applyBorder="1" applyAlignment="1">
      <alignment horizontal="center" vertical="center"/>
    </xf>
    <xf numFmtId="2" fontId="27" fillId="36" borderId="24" xfId="0" applyNumberFormat="1" applyFont="1" applyFill="1" applyBorder="1" applyAlignment="1">
      <alignment horizontal="center" vertical="center"/>
    </xf>
    <xf numFmtId="10" fontId="27" fillId="36" borderId="0" xfId="0" applyNumberFormat="1" applyFont="1" applyFill="1" applyAlignment="1">
      <alignment horizontal="center" vertical="center"/>
    </xf>
    <xf numFmtId="2" fontId="27" fillId="36" borderId="0" xfId="0" applyNumberFormat="1" applyFont="1" applyFill="1" applyAlignment="1">
      <alignment horizontal="center" vertical="center"/>
    </xf>
    <xf numFmtId="10" fontId="27" fillId="36" borderId="29" xfId="0" applyNumberFormat="1" applyFont="1" applyFill="1" applyBorder="1" applyAlignment="1">
      <alignment horizontal="center" vertical="center"/>
    </xf>
    <xf numFmtId="2" fontId="27" fillId="36" borderId="29" xfId="0" applyNumberFormat="1" applyFont="1" applyFill="1" applyBorder="1" applyAlignment="1">
      <alignment horizontal="center" vertical="center"/>
    </xf>
    <xf numFmtId="165" fontId="0" fillId="0" borderId="0" xfId="0" applyNumberFormat="1"/>
    <xf numFmtId="165" fontId="27" fillId="36" borderId="24" xfId="0" applyNumberFormat="1" applyFont="1" applyFill="1" applyBorder="1" applyAlignment="1">
      <alignment horizontal="center" vertical="center"/>
    </xf>
    <xf numFmtId="14" fontId="0" fillId="25" borderId="0" xfId="0" applyNumberFormat="1" applyFill="1" applyAlignment="1">
      <alignment vertical="top" wrapText="1"/>
    </xf>
    <xf numFmtId="0" fontId="0" fillId="38" borderId="0" xfId="0" applyFill="1"/>
    <xf numFmtId="0" fontId="0" fillId="0" borderId="0" xfId="0" applyAlignment="1">
      <alignment vertical="top" wrapText="1"/>
    </xf>
    <xf numFmtId="1" fontId="0" fillId="0" borderId="0" xfId="0" applyNumberFormat="1" applyAlignment="1">
      <alignment vertical="top" wrapText="1"/>
    </xf>
    <xf numFmtId="14" fontId="0" fillId="0" borderId="0" xfId="0" applyNumberFormat="1" applyAlignment="1">
      <alignment vertical="top" wrapText="1"/>
    </xf>
    <xf numFmtId="0" fontId="0" fillId="0" borderId="0" xfId="0" quotePrefix="1" applyAlignment="1">
      <alignment vertical="top" wrapText="1"/>
    </xf>
    <xf numFmtId="3" fontId="5" fillId="13" borderId="6" xfId="0" applyNumberFormat="1" applyFont="1" applyFill="1" applyBorder="1" applyAlignment="1">
      <alignment vertical="center" wrapText="1"/>
    </xf>
    <xf numFmtId="0" fontId="9" fillId="15" borderId="0" xfId="0" applyFont="1" applyFill="1" applyAlignment="1">
      <alignment horizontal="left" vertical="center" wrapText="1"/>
    </xf>
    <xf numFmtId="0" fontId="9" fillId="15" borderId="0" xfId="0" applyFont="1" applyFill="1" applyAlignment="1">
      <alignment vertical="center"/>
    </xf>
    <xf numFmtId="0" fontId="10" fillId="16" borderId="0" xfId="0" applyFont="1" applyFill="1" applyAlignment="1">
      <alignment horizontal="left" vertical="center" wrapText="1"/>
    </xf>
    <xf numFmtId="0" fontId="10" fillId="16" borderId="0" xfId="0" applyFont="1" applyFill="1" applyAlignment="1">
      <alignment vertical="center" wrapText="1"/>
    </xf>
    <xf numFmtId="0" fontId="11" fillId="17" borderId="1" xfId="0" applyFont="1" applyFill="1" applyBorder="1" applyAlignment="1">
      <alignment horizontal="left" vertical="center" wrapText="1"/>
    </xf>
    <xf numFmtId="0" fontId="11" fillId="17" borderId="0" xfId="0" applyFont="1" applyFill="1" applyAlignment="1">
      <alignment vertical="center" wrapText="1"/>
    </xf>
    <xf numFmtId="0" fontId="1" fillId="2" borderId="0" xfId="0" applyFont="1" applyFill="1" applyAlignment="1">
      <alignment horizontal="left" vertical="center"/>
    </xf>
    <xf numFmtId="0" fontId="0" fillId="0" borderId="0" xfId="0"/>
    <xf numFmtId="0" fontId="2" fillId="3" borderId="0" xfId="0" applyFont="1" applyFill="1" applyAlignment="1">
      <alignment horizontal="left" vertical="center" wrapText="1"/>
    </xf>
    <xf numFmtId="0" fontId="3" fillId="4" borderId="1" xfId="0" applyFont="1" applyFill="1" applyBorder="1" applyAlignment="1">
      <alignment horizontal="left" vertical="center" wrapText="1"/>
    </xf>
    <xf numFmtId="0" fontId="0" fillId="0" borderId="0" xfId="0" applyAlignment="1">
      <alignment wrapText="1"/>
    </xf>
    <xf numFmtId="0" fontId="1" fillId="21" borderId="0" xfId="0" applyFont="1" applyFill="1" applyAlignment="1">
      <alignment horizontal="left" vertical="center"/>
    </xf>
    <xf numFmtId="0" fontId="13" fillId="21" borderId="0" xfId="0" applyFont="1" applyFill="1" applyAlignment="1">
      <alignment vertical="center"/>
    </xf>
    <xf numFmtId="0" fontId="2" fillId="22" borderId="0" xfId="0" applyFont="1" applyFill="1" applyAlignment="1">
      <alignment horizontal="left" vertical="center" wrapText="1"/>
    </xf>
    <xf numFmtId="0" fontId="14" fillId="22" borderId="0" xfId="0" applyFont="1" applyFill="1" applyAlignment="1">
      <alignment vertical="center" wrapText="1"/>
    </xf>
    <xf numFmtId="0" fontId="20" fillId="27" borderId="1" xfId="0" applyFont="1" applyFill="1" applyBorder="1" applyAlignment="1">
      <alignment horizontal="left" vertical="center" wrapText="1"/>
    </xf>
    <xf numFmtId="0" fontId="21" fillId="27" borderId="0" xfId="0" applyFont="1" applyFill="1" applyAlignment="1">
      <alignment vertical="center" wrapText="1"/>
    </xf>
    <xf numFmtId="0" fontId="14" fillId="22" borderId="0" xfId="0" applyFont="1" applyFill="1" applyAlignment="1">
      <alignment wrapText="1"/>
    </xf>
    <xf numFmtId="0" fontId="15" fillId="23" borderId="0" xfId="0" applyFont="1" applyFill="1" applyAlignment="1">
      <alignment wrapText="1"/>
    </xf>
    <xf numFmtId="0" fontId="16" fillId="35" borderId="0" xfId="0" applyFont="1" applyFill="1" applyAlignment="1">
      <alignment vertical="center"/>
    </xf>
    <xf numFmtId="3" fontId="16" fillId="35" borderId="0" xfId="0" applyNumberFormat="1" applyFont="1" applyFill="1" applyAlignment="1">
      <alignment horizontal="right" vertical="center"/>
    </xf>
    <xf numFmtId="0" fontId="25" fillId="27" borderId="0" xfId="0" applyFont="1" applyFill="1" applyAlignment="1">
      <alignment vertical="center" wrapText="1"/>
    </xf>
    <xf numFmtId="0" fontId="9" fillId="21" borderId="0" xfId="0" applyFont="1" applyFill="1" applyAlignment="1">
      <alignment horizontal="left" vertical="center"/>
    </xf>
    <xf numFmtId="0" fontId="30" fillId="31" borderId="0" xfId="0" applyFont="1" applyFill="1" applyAlignment="1">
      <alignment vertical="center" wrapText="1"/>
    </xf>
    <xf numFmtId="0" fontId="29" fillId="17" borderId="0" xfId="0" applyFont="1" applyFill="1" applyAlignment="1">
      <alignment vertical="center" wrapText="1"/>
    </xf>
    <xf numFmtId="0" fontId="26" fillId="33" borderId="22" xfId="0" applyFont="1" applyFill="1" applyBorder="1" applyAlignment="1">
      <alignment vertical="center"/>
    </xf>
    <xf numFmtId="0" fontId="16" fillId="35" borderId="34" xfId="0" applyFont="1" applyFill="1" applyBorder="1" applyAlignment="1">
      <alignment vertical="center"/>
    </xf>
    <xf numFmtId="0" fontId="26" fillId="33" borderId="0" xfId="0" applyFont="1" applyFill="1" applyAlignment="1">
      <alignment vertical="center"/>
    </xf>
    <xf numFmtId="0" fontId="16" fillId="35" borderId="35" xfId="0" applyFont="1" applyFill="1" applyBorder="1" applyAlignment="1">
      <alignment vertical="center"/>
    </xf>
    <xf numFmtId="0" fontId="27" fillId="36" borderId="36" xfId="0" applyFont="1" applyFill="1" applyBorder="1" applyAlignment="1">
      <alignment horizontal="center" vertical="center"/>
    </xf>
    <xf numFmtId="2" fontId="27" fillId="36" borderId="36" xfId="0" applyNumberFormat="1" applyFont="1" applyFill="1" applyBorder="1" applyAlignment="1">
      <alignment horizontal="center" vertical="center"/>
    </xf>
    <xf numFmtId="1" fontId="27" fillId="36" borderId="36" xfId="0" applyNumberFormat="1" applyFont="1" applyFill="1" applyBorder="1" applyAlignment="1">
      <alignment horizontal="center" vertical="center"/>
    </xf>
    <xf numFmtId="0" fontId="27" fillId="36" borderId="36" xfId="0" applyFont="1" applyFill="1" applyBorder="1" applyAlignment="1">
      <alignment vertical="center" wrapText="1"/>
    </xf>
    <xf numFmtId="0" fontId="27" fillId="39" borderId="36" xfId="0" applyFont="1" applyFill="1" applyBorder="1" applyAlignment="1">
      <alignment horizontal="center" vertical="center"/>
    </xf>
    <xf numFmtId="2" fontId="27" fillId="39" borderId="36" xfId="0" applyNumberFormat="1" applyFont="1" applyFill="1" applyBorder="1" applyAlignment="1">
      <alignment horizontal="center" vertical="center"/>
    </xf>
    <xf numFmtId="1" fontId="27" fillId="39" borderId="36" xfId="0" quotePrefix="1" applyNumberFormat="1" applyFont="1" applyFill="1" applyBorder="1" applyAlignment="1">
      <alignment horizontal="center" vertical="center"/>
    </xf>
    <xf numFmtId="0" fontId="27" fillId="39" borderId="36" xfId="0" applyFont="1" applyFill="1" applyBorder="1" applyAlignment="1">
      <alignment vertical="center" wrapText="1"/>
    </xf>
    <xf numFmtId="0" fontId="0" fillId="39" borderId="37" xfId="0" applyFill="1" applyBorder="1"/>
    <xf numFmtId="0" fontId="0" fillId="39" borderId="36" xfId="0" applyFill="1" applyBorder="1"/>
    <xf numFmtId="0" fontId="27" fillId="36" borderId="36" xfId="0" applyFont="1" applyFill="1" applyBorder="1" applyAlignment="1">
      <alignment horizontal="center" vertical="center" wrapText="1"/>
    </xf>
    <xf numFmtId="1" fontId="27" fillId="36" borderId="36" xfId="0" quotePrefix="1" applyNumberFormat="1" applyFont="1" applyFill="1" applyBorder="1" applyAlignment="1">
      <alignment horizontal="center" vertical="center"/>
    </xf>
    <xf numFmtId="0" fontId="0" fillId="0" borderId="37" xfId="0" applyBorder="1"/>
    <xf numFmtId="0" fontId="0" fillId="0" borderId="36" xfId="0" applyBorder="1"/>
    <xf numFmtId="0" fontId="27" fillId="39" borderId="36" xfId="0" applyFont="1" applyFill="1" applyBorder="1" applyAlignment="1">
      <alignment horizontal="center" vertical="center" wrapText="1"/>
    </xf>
    <xf numFmtId="1" fontId="27" fillId="39" borderId="36" xfId="0" applyNumberFormat="1" applyFont="1" applyFill="1" applyBorder="1" applyAlignment="1">
      <alignment horizontal="center" vertical="center"/>
    </xf>
    <xf numFmtId="168" fontId="27" fillId="39" borderId="36" xfId="0" applyNumberFormat="1" applyFont="1" applyFill="1" applyBorder="1" applyAlignment="1">
      <alignment horizontal="center" vertical="center"/>
    </xf>
    <xf numFmtId="0" fontId="0" fillId="39" borderId="0" xfId="0" applyFill="1"/>
    <xf numFmtId="0" fontId="26" fillId="33" borderId="34" xfId="0" applyFont="1" applyFill="1" applyBorder="1" applyAlignment="1">
      <alignment vertical="center"/>
    </xf>
  </cellXfs>
  <cellStyles count="1">
    <cellStyle name="Normal" xfId="0" builtinId="0"/>
  </cellStyles>
  <dxfs count="42">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E40AF"/>
      </font>
      <fill>
        <patternFill patternType="solid">
          <bgColor rgb="FFDBEAFE"/>
        </patternFill>
      </fill>
    </dxf>
    <dxf>
      <font>
        <b/>
        <color rgb="FF9A3412"/>
      </font>
      <fill>
        <patternFill patternType="solid">
          <bgColor rgb="FFFFEDD5"/>
        </patternFill>
      </fill>
    </dxf>
    <dxf>
      <font>
        <b/>
        <color rgb="FF166534"/>
      </font>
      <fill>
        <patternFill patternType="solid">
          <bgColor rgb="FFDCFCE7"/>
        </patternFill>
      </fill>
    </dxf>
    <dxf>
      <font>
        <b/>
        <color rgb="FF92400E"/>
      </font>
      <fill>
        <patternFill>
          <bgColor rgb="FFFEF3C7"/>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border>
        <bottom style="thin">
          <color theme="0"/>
        </bottom>
      </border>
    </dxf>
    <dxf>
      <border diagonalUp="0" diagonalDown="0">
        <left style="thin">
          <color theme="0"/>
        </left>
        <right style="thin">
          <color theme="0"/>
        </right>
        <top/>
        <bottom/>
        <vertical style="thin">
          <color theme="0"/>
        </vertical>
        <horizontal style="thin">
          <color theme="0"/>
        </horizontal>
      </border>
    </dxf>
    <dxf>
      <numFmt numFmtId="167" formatCode="[$-421]dd\ mmmm\ yyyy;@"/>
    </dxf>
    <dxf>
      <numFmt numFmtId="165" formatCode="0.000000"/>
    </dxf>
  </dxfs>
  <tableStyles count="0" defaultTableStyle="TableStyleMedium2" defaultPivotStyle="PivotStyleLight16"/>
  <colors>
    <mruColors>
      <color rgb="FFFFFDF0"/>
      <color rgb="FFE8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blPerumahan" displayName="TblPerumahan" ref="A5:AD361">
  <autoFilter ref="A5:AD361" xr:uid="{00000000-000C-0000-FFFF-FFFF00000000}"/>
  <tableColumns count="30">
    <tableColumn id="1" xr3:uid="{00000000-0010-0000-0000-000001000000}" name="ID_PERUMAHAN*"/>
    <tableColumn id="2" xr3:uid="{00000000-0010-0000-0000-000002000000}" name="NAMA_PERUMAHAN*"/>
    <tableColumn id="3" xr3:uid="{00000000-0010-0000-0000-000003000000}" name="KATEGORI"/>
    <tableColumn id="4" xr3:uid="{00000000-0010-0000-0000-000004000000}" name="KECAMATAN*"/>
    <tableColumn id="5" xr3:uid="{00000000-0010-0000-0000-000005000000}" name="KELURAHAN*"/>
    <tableColumn id="6" xr3:uid="{00000000-0010-0000-0000-000006000000}" name="ALAMAT"/>
    <tableColumn id="7" xr3:uid="{00000000-0010-0000-0000-000007000000}" name="PENGEMBANG"/>
    <tableColumn id="8" xr3:uid="{00000000-0010-0000-0000-000008000000}" name="DIREKTUR/PELAKSANA"/>
    <tableColumn id="9" xr3:uid="{00000000-0010-0000-0000-000009000000}" name="ASOSIASI"/>
    <tableColumn id="10" xr3:uid="{00000000-0010-0000-0000-00000A000000}" name="TAHUN_SITEPLAN"/>
    <tableColumn id="11" xr3:uid="{00000000-0010-0000-0000-00000B000000}" name="JUMLAH_SITEPLAN"/>
    <tableColumn id="12" xr3:uid="{00000000-0010-0000-0000-00000C000000}" name="JUMLAH_TERBANGUN"/>
    <tableColumn id="13" xr3:uid="{00000000-0010-0000-0000-00000D000000}" name="JUMLAH_TERHUNI"/>
    <tableColumn id="14" xr3:uid="{00000000-0010-0000-0000-00000E000000}" name="STATUS_PSU*"/>
    <tableColumn id="15" xr3:uid="{00000000-0010-0000-0000-00000F000000}" name="TAHUN_SERAH_TERIMA_PSU"/>
    <tableColumn id="16" xr3:uid="{00000000-0010-0000-0000-000010000000}" name="LUAS_RTH_M2"/>
    <tableColumn id="17" xr3:uid="{00000000-0010-0000-0000-000011000000}" name="STATUS_RTH"/>
    <tableColumn id="18" xr3:uid="{00000000-0010-0000-0000-000012000000}" name="STATUS_JALAN"/>
    <tableColumn id="19" xr3:uid="{00000000-0010-0000-0000-000013000000}" name="STATUS_PENGEMBANG"/>
    <tableColumn id="20" xr3:uid="{00000000-0010-0000-0000-000014000000}" name="STATUS_RAWAN_BANJIR"/>
    <tableColumn id="21" xr3:uid="{00000000-0010-0000-0000-000015000000}" name="CATATAN"/>
    <tableColumn id="22" xr3:uid="{00000000-0010-0000-0000-000016000000}" name="LATITUDE" dataDxfId="41"/>
    <tableColumn id="23" xr3:uid="{00000000-0010-0000-0000-000017000000}" name="LONGITUDE"/>
    <tableColumn id="24" xr3:uid="{00000000-0010-0000-0000-000018000000}" name="TAHUN_DATA*"/>
    <tableColumn id="25" xr3:uid="{00000000-0010-0000-0000-000019000000}" name="SUMBER_DATA*"/>
    <tableColumn id="26" xr3:uid="{00000000-0010-0000-0000-00001A000000}" name="STATUS_VERIFIKASI*"/>
    <tableColumn id="27" xr3:uid="{00000000-0010-0000-0000-00001B000000}" name="TANGGAL_UPDATE*" dataDxfId="40"/>
    <tableColumn id="28" xr3:uid="{00000000-0010-0000-0000-00001C000000}" name="OPERATOR*"/>
    <tableColumn id="29" xr3:uid="{00000000-0010-0000-0000-00001D000000}" name="PERSEN_TERBANGUN"/>
    <tableColumn id="30" xr3:uid="{00000000-0010-0000-0000-00001E000000}" name="PERSEN_TERHUN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7F6987-559C-4378-A9DD-F227C5CAF8F9}" name="TblBacklogKecamatan3" displayName="TblBacklogKecamatan3" ref="A5:R13">
  <tableColumns count="18">
    <tableColumn id="1" xr3:uid="{7F7D5802-F50B-47FA-94A6-79F22D36F73D}" name="ID_BACKLOG*"/>
    <tableColumn id="2" xr3:uid="{3C9DC969-6058-427E-A1C8-328CB076213C}" name="TINGKAT_WILAYAH*"/>
    <tableColumn id="3" xr3:uid="{A63671D3-CC99-45F3-83E4-1533AE1D2068}" name="KECAMATAN/WILAYAH*"/>
    <tableColumn id="4" xr3:uid="{4A219639-BB9C-486F-85DE-25D73C855B9D}" name="JUMLAH_KK*"/>
    <tableColumn id="5" xr3:uid="{F9579E42-96E1-446C-A4EF-93251B71DFEC}" name="MILIK_SENDIRI*"/>
    <tableColumn id="6" xr3:uid="{3E776080-88D1-45AE-9E11-F7BDA45C248C}" name="SEWA_KONTRAK*"/>
    <tableColumn id="7" xr3:uid="{D20D380D-4B7F-47D0-BE89-81E28811B0A4}" name="MENUMPANG_BEBAS_SEWA*"/>
    <tableColumn id="8" xr3:uid="{548A3307-5BCD-4A20-BC50-1BF12B737420}" name="RUMAH_DINAS*"/>
    <tableColumn id="9" xr3:uid="{045DD24B-2432-4381-A837-5D432DCBB990}" name="LAINNYA*"/>
    <tableColumn id="10" xr3:uid="{30DF9B06-C4E2-4C98-9B4B-363F6BA1B16D}" name="UNIT_HUNIAN_TERDATA"/>
    <tableColumn id="11" xr3:uid="{C4C5EA31-78A4-4ADC-82CF-D423DDA6BEE4}" name="BACKLOG_KEPEMILIKAN"/>
    <tableColumn id="12" xr3:uid="{D9741ACA-D229-4906-BD40-3BB5F7592EC5}" name="BACKLOG_HUNIAN"/>
    <tableColumn id="13" xr3:uid="{4DD63946-4E10-4A96-817C-F138127EC6F1}" name="TAHUN_DATA*"/>
    <tableColumn id="14" xr3:uid="{2E998902-3EB1-4D6C-90B8-F7A69D58D57D}" name="SUMBER_DATA*"/>
    <tableColumn id="15" xr3:uid="{DEBBDAB0-1B6E-46C9-985C-BADF537FE896}" name="STATUS_VERIFIKASI*"/>
    <tableColumn id="16" xr3:uid="{8ADA4B9B-E45B-4D02-A91F-68267FA9CCB3}" name="TANGGAL_UPDATE*"/>
    <tableColumn id="17" xr3:uid="{F4986223-118D-496E-A9E7-84C61D74E1F8}" name="OPERATOR*"/>
    <tableColumn id="18" xr3:uid="{70C9BA58-D130-43CB-8AE7-BA5BC9857A5A}" name="KETERANG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TLHRLH" displayName="TblRTLHRLH" ref="A5:K55">
  <tableColumns count="11">
    <tableColumn id="1" xr3:uid="{00000000-0010-0000-0200-000001000000}" name="ID_REKAP*"/>
    <tableColumn id="2" xr3:uid="{00000000-0010-0000-0200-000002000000}" name="KECAMATAN*"/>
    <tableColumn id="3" xr3:uid="{00000000-0010-0000-0200-000003000000}" name="JUMLAH_RUMAH*"/>
    <tableColumn id="4" xr3:uid="{00000000-0010-0000-0200-000004000000}" name="RTLH*"/>
    <tableColumn id="5" xr3:uid="{00000000-0010-0000-0200-000005000000}" name="RLH"/>
    <tableColumn id="6" xr3:uid="{00000000-0010-0000-0200-000006000000}" name="PERSENTASE_RTLH"/>
    <tableColumn id="7" xr3:uid="{00000000-0010-0000-0200-000007000000}" name="TAHUN_DATA*"/>
    <tableColumn id="8" xr3:uid="{00000000-0010-0000-0200-000008000000}" name="SUMBER_DATA*"/>
    <tableColumn id="9" xr3:uid="{00000000-0010-0000-0200-000009000000}" name="STATUS_VERIFIKASI*"/>
    <tableColumn id="10" xr3:uid="{00000000-0010-0000-0200-00000A000000}" name="TANGGAL_UPDATE*"/>
    <tableColumn id="11" xr3:uid="{00000000-0010-0000-0200-00000B000000}" name="OPERAT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954FC-3982-4528-8A29-DE392C11D10D}" name="TblRTLHIndividu2" displayName="TblRTLHIndividu2" ref="A5:BF289" headerRowDxfId="39" headerRowBorderDxfId="38">
  <sortState xmlns:xlrd2="http://schemas.microsoft.com/office/spreadsheetml/2017/richdata2" ref="A6:BF289">
    <sortCondition ref="A6"/>
  </sortState>
  <tableColumns count="58">
    <tableColumn id="1" xr3:uid="{50A5325F-9CDD-4AA5-B99D-E8D85A964E49}" name="ID_RTLH*"/>
    <tableColumn id="2" xr3:uid="{0BFD5228-A5D5-4BBA-B5D0-29DFE6F82CAF}" name="NAMA_KEPALA_KELUARGA*"/>
    <tableColumn id="3" xr3:uid="{174A6FA1-E7DC-4537-82DE-6BB22A8B3F56}" name="NIK"/>
    <tableColumn id="4" xr3:uid="{4DFE4B34-AD83-4FBF-8708-0651068E0390}" name="NO_KK"/>
    <tableColumn id="5" xr3:uid="{7C33112D-4035-41EB-AC49-EBCA5F6C0352}" name="ALAMAT*"/>
    <tableColumn id="6" xr3:uid="{A103E878-AE06-43E7-8771-797EEC3D3166}" name="KELURAHAN*"/>
    <tableColumn id="7" xr3:uid="{811A4474-B26D-48EB-B841-66A678CDD82D}" name="KECAMATAN*"/>
    <tableColumn id="8" xr3:uid="{7D797439-B050-4A8E-8B1D-E652365AF28E}" name="JENIS_USULAN*"/>
    <tableColumn id="9" xr3:uid="{540965FC-B65F-47DD-8002-714C8A1C4D6A}" name="CATATAN_VERIFIKASI*"/>
    <tableColumn id="10" xr3:uid="{098FB8B6-1324-4A71-854B-8738EE7D281C}" name="TIPE_KONSTRUKSI_RUMAH*"/>
    <tableColumn id="11" xr3:uid="{F8BEAD54-8E6A-44E1-B507-FD163D2CC440}" name="MATERIAL_ATAP"/>
    <tableColumn id="12" xr3:uid="{80387464-3FC4-4EC9-96C7-9F0B31E73621}" name="KONDISI_ATAP"/>
    <tableColumn id="13" xr3:uid="{B595FB88-4853-4ED0-A7C8-81B8C92FAE6D}" name="MATERIAL_DINDING"/>
    <tableColumn id="14" xr3:uid="{6BF1DE6A-FFC9-4ABF-A4EF-4BDC73F86DC0}" name="KONDISI_DINDING"/>
    <tableColumn id="15" xr3:uid="{D0B1EF6D-4F40-41D3-8621-DAD724CB389B}" name="MATERIAL_LANTAI"/>
    <tableColumn id="16" xr3:uid="{3B7EF79E-D717-4927-8308-2C5FCED08DAD}" name="KONDISI_LANTAI"/>
    <tableColumn id="17" xr3:uid="{1A5BCB44-8FF8-49EF-BA27-CF78FA4B9857}" name="STATUS_MBR*" dataDxfId="37"/>
    <tableColumn id="18" xr3:uid="{87150178-4EDB-4AD7-8CF1-40D42CE5D161}" name="RENTAN_LANSIA*" dataDxfId="36"/>
    <tableColumn id="19" xr3:uid="{B0DB39C7-11DA-47A7-9AC4-A90CCE10CE2B}" name="RENTAN_DISABILITAS*" dataDxfId="35"/>
    <tableColumn id="20" xr3:uid="{C4A70515-B1AF-4F29-A8AD-C5BA67C4C29E}" name="RENTAN_KEPALA_KELUARGA_PEREMPUAN*" dataDxfId="34"/>
    <tableColumn id="21" xr3:uid="{178CA43F-97A2-4CDF-9E72-3286F7C03E82}" name="RENTAN_BALITA*" dataDxfId="33"/>
    <tableColumn id="22" xr3:uid="{ED3E9D21-191E-4986-B2E2-72A7314ECB14}" name="RENTAN_KETERGANTUNGAN_TINGGI*" dataDxfId="32"/>
    <tableColumn id="23" xr3:uid="{CC088685-63AF-4289-BA4C-402759191666}" name="CATATAN_KERENTANAN_PENGHUNI"/>
    <tableColumn id="24" xr3:uid="{263EBDC8-D390-4B46-A921-9C43C72D752B}" name="FAKTOR_KERENTANAN_TERPILIH" dataDxfId="31">
      <calculatedColumnFormula>IF(COUNTIF(R6:V6,"Belum Dinilai")&gt;0,"Belum Dinilai",IF(COUNTIF(R6:V6,"Ya")=0,"Tidak ada faktor rentan",IF(R6="Ya","Lansia; ","")&amp;IF(S6="Ya","Penyandang disabilitas; ","")&amp;IF(T6="Ya","Kepala keluarga perempuan; ","")&amp;IF(U6="Ya","Balita; ","")&amp;IF(V6="Ya","Anggota keluarga dengan ketergantungan tinggi; ","")))</calculatedColumnFormula>
    </tableColumn>
    <tableColumn id="25" xr3:uid="{26AD714E-74DB-4CD3-AA65-F22F95BA8EB2}" name="TINGKAT_KERENTANAN_PENGHUNI" dataDxfId="30">
      <calculatedColumnFormula>IF(COUNTIF(R6:V6,"Belum Dinilai")&gt;0,"Belum Dinilai",IF(COUNTIF(R6:V6,"Ya")=0,"Tidak Ada Faktor Rentan",IF(COUNTIF(R6:V6,"Ya")=1,"1 Faktor Rentan","2 atau Lebih Faktor Rentan")))</calculatedColumnFormula>
    </tableColumn>
    <tableColumn id="26" xr3:uid="{AE6C0F4D-F797-4E6E-9443-50835488A9C0}" name="SKOR_MBR" dataDxfId="29">
      <calculatedColumnFormula>IF(OR(Q6="",Q6="Belum Dinilai"),"",IF(Q6="Terverifikasi DTKS/P3KE/MBR",10,IF(Q6="Diusulkan, Belum Terverifikasi",5,0)))</calculatedColumnFormula>
    </tableColumn>
    <tableColumn id="27" xr3:uid="{FEF98D34-8976-4F06-94FB-3B500F1FD969}" name="SKOR_FAKTOR_RENTAN" dataDxfId="28">
      <calculatedColumnFormula>IF(COUNTIF(R6:V6,"Belum Dinilai")&gt;0,"",IF(COUNTIF(R6:V6,"Ya")=0,0,IF(COUNTIF(R6:V6,"Ya")=1,5,10)))</calculatedColumnFormula>
    </tableColumn>
    <tableColumn id="28" xr3:uid="{B665D4B9-59B8-47A8-B372-F603C3C42E26}" name="SKOR_KERENTANAN" dataDxfId="27">
      <calculatedColumnFormula>IF(OR(Z6="",AA6=""),"",Z6+AA6)</calculatedColumnFormula>
    </tableColumn>
    <tableColumn id="29" xr3:uid="{0E2503F8-6C3A-4B01-9126-8234109A0A2F}" name="RISIKO_BANGUNAN_BERPOTENSI_ROBOH*"/>
    <tableColumn id="30" xr3:uid="{8799CDAD-361E-4444-BCDD-A18F93B15B3F}" name="RISIKO_BEKAS_KEBAKARAN_TIDAK_AMAN*"/>
    <tableColumn id="31" xr3:uid="{4CFBC551-C9FC-41F2-AB7D-A7CF4B0FC3D4}" name="RISIKO_ATAP_DINDING_HAMPIR_RUNTUH*"/>
    <tableColumn id="32" xr3:uid="{6071FD33-88EE-40B3-A3CC-E3F7B534DCD5}" name="RISIKO_GENANGAN_MEMBAHAYAKAN*"/>
    <tableColumn id="33" xr3:uid="{C90BF84C-8E17-44BD-8B63-2FE0ED0322EB}" name="RISIKO_STRUKTUR_TIDAK_STABIL*"/>
    <tableColumn id="34" xr3:uid="{2D9F6417-AB22-455A-B262-A149950B208F}" name="RISIKO_INSTALASI_LISTRIK_BERBAHAYA*"/>
    <tableColumn id="35" xr3:uid="{C0F6641B-F0DB-4FE0-B954-D8F223431DF3}" name="RISIKO_KOMPONEN_LEPAS_LAPUK*"/>
    <tableColumn id="36" xr3:uid="{DC670058-42F3-4B7D-9AAF-E523579F34A5}" name="RISIKO_AKSES_EVAKUASI_TERBATAS*"/>
    <tableColumn id="37" xr3:uid="{FC282360-1D3F-4F6E-87CD-40E72072C210}" name="RISIKO_LOKASI_RAWAN_BENCANA*"/>
    <tableColumn id="38" xr3:uid="{65D4B71C-4906-4123-91E1-71D2290079B8}" name="RISIKO_LAINNYA"/>
    <tableColumn id="39" xr3:uid="{9E7D04C8-D526-4C67-B29A-D0B5E5CF333C}" name="TINGKAT_RISIKO_LAINNYA"/>
    <tableColumn id="40" xr3:uid="{0A7A517A-B205-40E1-9F55-384A9370DF83}" name="FAKTOR_RISIKO_TERPILIH" dataDxfId="26">
      <calculatedColumnFormula>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calculatedColumnFormula>
    </tableColumn>
    <tableColumn id="41" xr3:uid="{57460768-0370-4DFA-A58C-70AA9DED4DAE}" name="TINGKAT_RISIKO_KESELAMATAN" dataDxfId="25">
      <calculatedColumnFormula>IF(AR6="","Belum Dinilai",IF(AR6=10,"Risiko Tinggi/Darurat",IF(AR6=5,"Risiko Sedang","Tidak Ada Risiko Khusus")))</calculatedColumnFormula>
    </tableColumn>
    <tableColumn id="42" xr3:uid="{7C3DB1BF-DF91-4210-85C3-C9303E64EA7C}" name="CATATAN_RISIKO_KESELAMATAN"/>
    <tableColumn id="43" xr3:uid="{264025E8-3F02-4A53-B5F4-5FFDA1879771}" name="SKOR_TEKNIS">
      <calculatedColumnFormula>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calculatedColumnFormula>
    </tableColumn>
    <tableColumn id="44" xr3:uid="{69141C3E-4D37-498D-814A-7491997360D1}" name="SKOR_RISIKO">
      <calculatedColumnFormula>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calculatedColumnFormula>
    </tableColumn>
    <tableColumn id="45" xr3:uid="{06328A64-D996-482D-80AA-EFFF1A6A4271}" name="SKOR_PRIORITAS">
      <calculatedColumnFormula>IF(OR(AQ6="",AB6="",AR6=""),"",AQ6+AB6+AR6)</calculatedColumnFormula>
    </tableColumn>
    <tableColumn id="46" xr3:uid="{7C928179-8AF0-4012-A5E3-F673DBA2FA23}" name="TINGKAT_PRIORITAS">
      <calculatedColumnFormula>IF(AS6="","Belum Dapat Ditentukan",IF(AS6&gt;=80,"Sangat Tinggi",IF(OR(AO6="Risiko Tinggi/Darurat",(IF(L6="Rusak Berat",1,0)+IF(L6="Tidak Ada/Terbuka",1,0)+IF(N6="Rusak Berat",1,0)+IF(N6="Tidak Ada/Terbuka",1,0)+IF(P6="Rusak Berat",1,0)+IF(P6="Tidak Layak",1,0))&gt;=2),"Tinggi",IF(AS6&gt;=65,"Tinggi",IF(AS6&gt;=50,"Sedang","Rendah")))))</calculatedColumnFormula>
    </tableColumn>
    <tableColumn id="47" xr3:uid="{4EA3B4D2-0417-44DD-80F8-45B261164EEF}" name="STATUS_ADMINISTRASI*"/>
    <tableColumn id="48" xr3:uid="{D13F0AD9-3EDC-4071-A5B8-409DD6B89359}" name="STATUS_VERIFIKASI*"/>
    <tableColumn id="49" xr3:uid="{71056CA3-B29D-45C4-B2A4-74E67E1D083F}" name="STATUS_PENANGANAN*"/>
    <tableColumn id="50" xr3:uid="{336ABB79-0584-4081-857A-7735B1BAE1FE}" name="SUMBER_DANA"/>
    <tableColumn id="51" xr3:uid="{BCE65ADC-11DC-4B55-9614-DD81C83A9F8B}" name="TAHUN_PENANGANAN"/>
    <tableColumn id="52" xr3:uid="{7F5A70DE-C9D2-47EA-9F31-F6F2518F6D5B}" name="STATUS_KEPEMILIKAN_TANAH"/>
    <tableColumn id="53" xr3:uid="{04397D0A-204C-4CEC-A29A-E2FE7849F223}" name="NOMOR_HP"/>
    <tableColumn id="54" xr3:uid="{B3DFD3CE-DCBD-4D9E-AAC5-95B4AADA269C}" name="TANGGAL_SURVEI"/>
    <tableColumn id="55" xr3:uid="{68C5A31A-1C50-4959-99C7-EE134EE4A6C3}" name="TAHUN_DATA*"/>
    <tableColumn id="56" xr3:uid="{270808C0-510E-491B-889F-9943F535DD3C}" name="SUMBER_DATA*"/>
    <tableColumn id="57" xr3:uid="{46BDBE3C-6A63-48E9-BB12-A99F2B448E36}" name="TANGGAL_UPDATE*"/>
    <tableColumn id="58" xr3:uid="{042AD67E-4B6F-4B72-935A-4CC43C3470E9}" name="OPERATO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RusunawaUnit" displayName="TblRusunawaUnit" ref="A5:N205">
  <tableColumns count="14">
    <tableColumn id="1" xr3:uid="{00000000-0010-0000-0300-000001000000}" name="ID_UNIT*"/>
    <tableColumn id="2" xr3:uid="{00000000-0010-0000-0300-000002000000}" name="NAMA_RUSUNAWA*"/>
    <tableColumn id="3" xr3:uid="{00000000-0010-0000-0300-000003000000}" name="BLOK*"/>
    <tableColumn id="4" xr3:uid="{00000000-0010-0000-0300-000004000000}" name="LANTAI*"/>
    <tableColumn id="5" xr3:uid="{00000000-0010-0000-0300-000005000000}" name="NOMOR_UNIT*"/>
    <tableColumn id="6" xr3:uid="{00000000-0010-0000-0300-000006000000}" name="TIPE_UNIT"/>
    <tableColumn id="7" xr3:uid="{00000000-0010-0000-0300-000007000000}" name="STATUS_UNIT*"/>
    <tableColumn id="8" xr3:uid="{00000000-0010-0000-0300-000008000000}" name="KONDISI_UNIT*"/>
    <tableColumn id="9" xr3:uid="{00000000-0010-0000-0300-000009000000}" name="KETERANGAN"/>
    <tableColumn id="10" xr3:uid="{00000000-0010-0000-0300-00000A000000}" name="TAHUN_DATA*"/>
    <tableColumn id="11" xr3:uid="{00000000-0010-0000-0300-00000B000000}" name="SUMBER_DATA*"/>
    <tableColumn id="12" xr3:uid="{00000000-0010-0000-0300-00000C000000}" name="STATUS_VERIFIKASI*"/>
    <tableColumn id="13" xr3:uid="{00000000-0010-0000-0300-00000D000000}" name="TANGGAL_UPDATE*"/>
    <tableColumn id="14" xr3:uid="{00000000-0010-0000-0300-00000E000000}" name="OPER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blRusunawaRetribusi2" displayName="TblRusunawaRetribusi2" ref="A5:M105">
  <tableColumns count="13">
    <tableColumn id="1" xr3:uid="{00000000-0010-0000-0400-000001000000}" name="ID_RETRIBUSI*"/>
    <tableColumn id="2" xr3:uid="{00000000-0010-0000-0400-000002000000}" name="NAMA_RUSUNAWA*"/>
    <tableColumn id="3" xr3:uid="{00000000-0010-0000-0400-000003000000}" name="TAHUN*"/>
    <tableColumn id="4" xr3:uid="{00000000-0010-0000-0400-000004000000}" name="BULAN*"/>
    <tableColumn id="5" xr3:uid="{00000000-0010-0000-0400-000005000000}" name="TARGET_TAHUNAN*"/>
    <tableColumn id="6" xr3:uid="{00000000-0010-0000-0400-000006000000}" name="REALISASI*"/>
    <tableColumn id="7" xr3:uid="{00000000-0010-0000-0400-000007000000}" name="REALISASI_KUMULATIF"/>
    <tableColumn id="8" xr3:uid="{00000000-0010-0000-0400-000008000000}" name="CAPAIAN_PERSEN"/>
    <tableColumn id="9" xr3:uid="{00000000-0010-0000-0400-000009000000}" name="STATUS_VERIFIKASI*"/>
    <tableColumn id="10" xr3:uid="{00000000-0010-0000-0400-00000A000000}" name="SUMBER_DATA*"/>
    <tableColumn id="11" xr3:uid="{00000000-0010-0000-0400-00000B000000}" name="TANGGAL_UPDATE*"/>
    <tableColumn id="12" xr3:uid="{00000000-0010-0000-0400-00000C000000}" name="OPERATOR*"/>
    <tableColumn id="13" xr3:uid="{00000000-0010-0000-0400-00000D000000}" name="CATAT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blRusunawaSarpras" displayName="TblRusunawaSarpras" ref="A5:N155">
  <tableColumns count="14">
    <tableColumn id="1" xr3:uid="{00000000-0010-0000-0500-000001000000}" name="ID_SARPRAS*"/>
    <tableColumn id="2" xr3:uid="{00000000-0010-0000-0500-000002000000}" name="NAMA_RUSUNAWA*"/>
    <tableColumn id="3" xr3:uid="{00000000-0010-0000-0500-000003000000}" name="KOMPONEN*"/>
    <tableColumn id="4" xr3:uid="{00000000-0010-0000-0500-000004000000}" name="LOKASI"/>
    <tableColumn id="5" xr3:uid="{00000000-0010-0000-0500-000005000000}" name="KONDISI*"/>
    <tableColumn id="6" xr3:uid="{00000000-0010-0000-0500-000006000000}" name="PRIORITAS*"/>
    <tableColumn id="7" xr3:uid="{00000000-0010-0000-0500-000007000000}" name="TINDAK_LANJUT*"/>
    <tableColumn id="8" xr3:uid="{00000000-0010-0000-0500-000008000000}" name="STATUS_TINDAK_LANJUT*"/>
    <tableColumn id="9" xr3:uid="{00000000-0010-0000-0500-000009000000}" name="TANGGAL_PEMERIKSAAN*"/>
    <tableColumn id="10" xr3:uid="{00000000-0010-0000-0500-00000A000000}" name="TAHUN_DATA*"/>
    <tableColumn id="11" xr3:uid="{00000000-0010-0000-0500-00000B000000}" name="SUMBER_DATA*"/>
    <tableColumn id="12" xr3:uid="{00000000-0010-0000-0500-00000C000000}" name="STATUS_VERIFIKASI*"/>
    <tableColumn id="13" xr3:uid="{00000000-0010-0000-0500-00000D000000}" name="TANGGAL_UPDATE*"/>
    <tableColumn id="14" xr3:uid="{00000000-0010-0000-0500-00000E000000}" name="OPERAT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61"/>
  <sheetViews>
    <sheetView workbookViewId="0">
      <pane xSplit="2" ySplit="3" topLeftCell="C262" activePane="bottomRight" state="frozen"/>
      <selection pane="topRight" activeCell="C1" sqref="C1"/>
      <selection pane="bottomLeft" activeCell="A4" sqref="A4"/>
      <selection pane="bottomRight" activeCell="A296" sqref="A296"/>
    </sheetView>
  </sheetViews>
  <sheetFormatPr defaultRowHeight="14"/>
  <cols>
    <col min="1" max="1" width="7.4140625" customWidth="1"/>
    <col min="2" max="2" width="37.83203125" bestFit="1" customWidth="1"/>
    <col min="3" max="3" width="14" customWidth="1"/>
    <col min="4" max="4" width="16" customWidth="1"/>
    <col min="5" max="5" width="18" customWidth="1"/>
    <col min="6" max="6" width="30" customWidth="1"/>
    <col min="7" max="7" width="28" customWidth="1"/>
    <col min="8" max="8" width="26" customWidth="1"/>
    <col min="9" max="9" width="24" customWidth="1"/>
    <col min="10" max="10" width="17" customWidth="1"/>
    <col min="11" max="11" width="14.25" bestFit="1" customWidth="1"/>
    <col min="12" max="12" width="19" bestFit="1" customWidth="1"/>
    <col min="13" max="13" width="15.75" bestFit="1" customWidth="1"/>
    <col min="14" max="14" width="17.4140625" bestFit="1" customWidth="1"/>
    <col min="15" max="15" width="19.1640625" bestFit="1" customWidth="1"/>
    <col min="16" max="16" width="12.6640625" bestFit="1" customWidth="1"/>
    <col min="17" max="17" width="16.6640625" bestFit="1" customWidth="1"/>
    <col min="18" max="18" width="24" customWidth="1"/>
    <col min="19" max="19" width="25" customWidth="1"/>
    <col min="20" max="20" width="31" customWidth="1"/>
    <col min="21" max="21" width="32" customWidth="1"/>
    <col min="22" max="22" width="17.25" customWidth="1"/>
    <col min="23" max="26" width="18" customWidth="1"/>
    <col min="27" max="27" width="18" style="82" customWidth="1"/>
    <col min="28" max="30" width="18" customWidth="1"/>
  </cols>
  <sheetData>
    <row r="1" spans="1:30" ht="23">
      <c r="A1" s="191" t="s">
        <v>0</v>
      </c>
      <c r="B1" s="191"/>
      <c r="C1" s="191"/>
      <c r="D1" s="191"/>
      <c r="E1" s="191"/>
      <c r="F1" s="191"/>
      <c r="G1" s="191"/>
      <c r="H1" s="191"/>
      <c r="I1" s="191"/>
      <c r="J1" s="191"/>
      <c r="K1" s="191"/>
      <c r="L1" s="191"/>
      <c r="M1" s="191"/>
      <c r="N1" s="191"/>
      <c r="O1" s="191"/>
      <c r="P1" s="191"/>
      <c r="Q1" s="191"/>
      <c r="R1" s="191"/>
      <c r="S1" s="191"/>
      <c r="T1" s="191"/>
      <c r="U1" s="191"/>
      <c r="V1" s="191"/>
      <c r="W1" s="191"/>
      <c r="X1" s="191"/>
      <c r="Y1" s="191"/>
      <c r="Z1" s="192"/>
      <c r="AA1" s="192"/>
      <c r="AB1" s="192"/>
      <c r="AC1" s="192"/>
      <c r="AD1" s="192"/>
    </row>
    <row r="2" spans="1:30">
      <c r="A2" s="193" t="s">
        <v>1</v>
      </c>
      <c r="B2" s="193"/>
      <c r="C2" s="193"/>
      <c r="D2" s="193"/>
      <c r="E2" s="193"/>
      <c r="F2" s="193"/>
      <c r="G2" s="193"/>
      <c r="H2" s="193"/>
      <c r="I2" s="193"/>
      <c r="J2" s="193"/>
      <c r="K2" s="193"/>
      <c r="L2" s="193"/>
      <c r="M2" s="193"/>
      <c r="N2" s="193"/>
      <c r="O2" s="193"/>
      <c r="P2" s="193"/>
      <c r="Q2" s="193"/>
      <c r="R2" s="193"/>
      <c r="S2" s="193"/>
      <c r="T2" s="193"/>
      <c r="U2" s="193"/>
      <c r="V2" s="193"/>
      <c r="W2" s="193"/>
      <c r="X2" s="193"/>
      <c r="Y2" s="193"/>
      <c r="Z2" s="192"/>
      <c r="AA2" s="192"/>
      <c r="AB2" s="192"/>
      <c r="AC2" s="192"/>
      <c r="AD2" s="192"/>
    </row>
    <row r="3" spans="1:30">
      <c r="A3" s="194" t="s">
        <v>2</v>
      </c>
      <c r="B3" s="194"/>
      <c r="C3" s="194"/>
      <c r="D3" s="194"/>
      <c r="E3" s="194"/>
      <c r="F3" s="194"/>
      <c r="G3" s="194"/>
      <c r="H3" s="194"/>
      <c r="I3" s="194"/>
      <c r="J3" s="194"/>
      <c r="K3" s="194"/>
      <c r="L3" s="194"/>
      <c r="M3" s="194"/>
      <c r="N3" s="194"/>
      <c r="O3" s="194"/>
      <c r="P3" s="194"/>
      <c r="Q3" s="194"/>
      <c r="R3" s="194"/>
      <c r="S3" s="194"/>
      <c r="T3" s="194"/>
      <c r="U3" s="194"/>
      <c r="V3" s="194"/>
      <c r="W3" s="194"/>
      <c r="X3" s="194"/>
      <c r="Y3" s="194"/>
      <c r="Z3" s="195"/>
      <c r="AA3" s="195"/>
      <c r="AB3" s="195"/>
      <c r="AC3" s="195"/>
      <c r="AD3" s="195"/>
    </row>
    <row r="5" spans="1:30" ht="39">
      <c r="A5" s="1"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3" t="s">
        <v>27</v>
      </c>
      <c r="Z5" s="41" t="s">
        <v>28</v>
      </c>
      <c r="AA5" s="78" t="s">
        <v>29</v>
      </c>
      <c r="AB5" s="44" t="s">
        <v>30</v>
      </c>
      <c r="AC5" t="s">
        <v>31</v>
      </c>
      <c r="AD5" t="s">
        <v>32</v>
      </c>
    </row>
    <row r="6" spans="1:30">
      <c r="A6" s="29">
        <v>1</v>
      </c>
      <c r="B6" s="8" t="s">
        <v>33</v>
      </c>
      <c r="C6" s="4" t="s">
        <v>34</v>
      </c>
      <c r="D6" s="8" t="s">
        <v>35</v>
      </c>
      <c r="E6" s="8" t="s">
        <v>36</v>
      </c>
      <c r="F6" s="4" t="s">
        <v>37</v>
      </c>
      <c r="G6" s="4" t="s">
        <v>38</v>
      </c>
      <c r="H6" s="14" t="s">
        <v>39</v>
      </c>
      <c r="I6" s="14" t="s">
        <v>40</v>
      </c>
      <c r="J6" s="4">
        <v>2019</v>
      </c>
      <c r="K6" s="14">
        <v>54</v>
      </c>
      <c r="L6" s="8">
        <v>54</v>
      </c>
      <c r="M6" s="14">
        <v>54</v>
      </c>
      <c r="N6" s="14" t="s">
        <v>48</v>
      </c>
      <c r="O6" s="4">
        <v>2026</v>
      </c>
      <c r="P6" s="4"/>
      <c r="Q6" s="20" t="s">
        <v>43</v>
      </c>
      <c r="R6" s="20"/>
      <c r="S6" s="17"/>
      <c r="T6" s="8" t="s">
        <v>44</v>
      </c>
      <c r="U6" s="8"/>
      <c r="V6" s="74">
        <v>-2.0965340000000001</v>
      </c>
      <c r="W6" s="8">
        <v>106.07686699999999</v>
      </c>
      <c r="X6" s="52">
        <v>2025</v>
      </c>
      <c r="Y6" s="26"/>
      <c r="Z6" s="42" t="s">
        <v>857</v>
      </c>
      <c r="AA6" s="79">
        <v>46220</v>
      </c>
      <c r="AB6" s="45"/>
      <c r="AC6">
        <f t="shared" ref="AC6:AC51" si="0">IF(A6="","",IFERROR(L6/K6,0))</f>
        <v>1</v>
      </c>
      <c r="AD6">
        <f t="shared" ref="AD6:AD51" si="1">IF(A6="","",IFERROR(M6/L6,0))</f>
        <v>1</v>
      </c>
    </row>
    <row r="7" spans="1:30">
      <c r="A7" s="30">
        <v>2</v>
      </c>
      <c r="B7" s="9" t="s">
        <v>45</v>
      </c>
      <c r="C7" s="5" t="s">
        <v>34</v>
      </c>
      <c r="D7" s="9" t="s">
        <v>35</v>
      </c>
      <c r="E7" s="9" t="s">
        <v>46</v>
      </c>
      <c r="F7" s="5" t="s">
        <v>47</v>
      </c>
      <c r="G7" s="5" t="s">
        <v>38</v>
      </c>
      <c r="H7" s="15" t="s">
        <v>39</v>
      </c>
      <c r="I7" s="15" t="s">
        <v>40</v>
      </c>
      <c r="J7" s="5">
        <v>2023</v>
      </c>
      <c r="K7" s="15">
        <v>46</v>
      </c>
      <c r="L7" s="9">
        <v>40</v>
      </c>
      <c r="M7" s="15">
        <v>40</v>
      </c>
      <c r="N7" s="15" t="s">
        <v>48</v>
      </c>
      <c r="O7" s="5">
        <v>2025</v>
      </c>
      <c r="P7" s="5"/>
      <c r="Q7" s="21" t="s">
        <v>43</v>
      </c>
      <c r="R7" s="21"/>
      <c r="S7" s="18"/>
      <c r="T7" s="9"/>
      <c r="U7" s="9"/>
      <c r="V7" s="75">
        <v>-2.1163816999999998</v>
      </c>
      <c r="W7" s="9">
        <v>106.06782029999999</v>
      </c>
      <c r="X7" s="52">
        <v>2025</v>
      </c>
      <c r="Y7" s="26"/>
      <c r="Z7" s="42" t="s">
        <v>857</v>
      </c>
      <c r="AA7" s="79">
        <v>46220</v>
      </c>
      <c r="AB7" s="46"/>
      <c r="AC7">
        <f t="shared" si="0"/>
        <v>0.86956521739130432</v>
      </c>
      <c r="AD7">
        <f t="shared" si="1"/>
        <v>1</v>
      </c>
    </row>
    <row r="8" spans="1:30">
      <c r="A8" s="29">
        <v>3</v>
      </c>
      <c r="B8" s="9" t="s">
        <v>49</v>
      </c>
      <c r="C8" s="5" t="s">
        <v>34</v>
      </c>
      <c r="D8" s="9" t="s">
        <v>35</v>
      </c>
      <c r="E8" s="9" t="s">
        <v>46</v>
      </c>
      <c r="F8" s="5" t="s">
        <v>47</v>
      </c>
      <c r="G8" s="5" t="s">
        <v>38</v>
      </c>
      <c r="H8" s="15" t="s">
        <v>39</v>
      </c>
      <c r="I8" s="15" t="s">
        <v>40</v>
      </c>
      <c r="J8" s="5">
        <v>2020</v>
      </c>
      <c r="K8" s="15">
        <v>52</v>
      </c>
      <c r="L8" s="9">
        <v>52</v>
      </c>
      <c r="M8" s="15">
        <v>52</v>
      </c>
      <c r="N8" s="15" t="s">
        <v>48</v>
      </c>
      <c r="O8" s="5">
        <v>2025</v>
      </c>
      <c r="P8" s="5"/>
      <c r="Q8" s="21" t="s">
        <v>43</v>
      </c>
      <c r="R8" s="21"/>
      <c r="S8" s="18"/>
      <c r="T8" s="9"/>
      <c r="U8" s="9"/>
      <c r="V8" s="75">
        <v>-2.1144223000000002</v>
      </c>
      <c r="W8" s="9">
        <v>106.06633170000001</v>
      </c>
      <c r="X8" s="52">
        <v>2025</v>
      </c>
      <c r="Y8" s="26"/>
      <c r="Z8" s="42" t="s">
        <v>857</v>
      </c>
      <c r="AA8" s="79">
        <v>46220</v>
      </c>
      <c r="AB8" s="46"/>
      <c r="AC8">
        <f t="shared" si="0"/>
        <v>1</v>
      </c>
      <c r="AD8">
        <f t="shared" si="1"/>
        <v>1</v>
      </c>
    </row>
    <row r="9" spans="1:30">
      <c r="A9" s="30">
        <v>4</v>
      </c>
      <c r="B9" s="9" t="s">
        <v>50</v>
      </c>
      <c r="C9" s="5" t="s">
        <v>34</v>
      </c>
      <c r="D9" s="9" t="s">
        <v>35</v>
      </c>
      <c r="E9" s="9" t="s">
        <v>36</v>
      </c>
      <c r="F9" s="5" t="s">
        <v>51</v>
      </c>
      <c r="G9" s="5" t="s">
        <v>42</v>
      </c>
      <c r="H9" s="15" t="s">
        <v>52</v>
      </c>
      <c r="I9" s="15" t="s">
        <v>42</v>
      </c>
      <c r="J9" s="5">
        <v>2016</v>
      </c>
      <c r="K9" s="15">
        <v>41</v>
      </c>
      <c r="L9" s="9">
        <v>41</v>
      </c>
      <c r="M9" s="15">
        <v>41</v>
      </c>
      <c r="N9" s="15" t="s">
        <v>41</v>
      </c>
      <c r="O9" s="5" t="s">
        <v>42</v>
      </c>
      <c r="P9" s="5"/>
      <c r="Q9" s="21" t="s">
        <v>43</v>
      </c>
      <c r="R9" s="21"/>
      <c r="S9" s="18"/>
      <c r="T9" s="9"/>
      <c r="U9" s="9"/>
      <c r="V9" s="75">
        <v>-2.1202549999999998</v>
      </c>
      <c r="W9" s="9">
        <v>106.07257199999999</v>
      </c>
      <c r="X9" s="53"/>
      <c r="Y9" s="27"/>
      <c r="Z9" s="43"/>
      <c r="AA9" s="80"/>
      <c r="AB9" s="46"/>
      <c r="AC9">
        <f t="shared" si="0"/>
        <v>1</v>
      </c>
      <c r="AD9">
        <f t="shared" si="1"/>
        <v>1</v>
      </c>
    </row>
    <row r="10" spans="1:30">
      <c r="A10" s="29">
        <v>5</v>
      </c>
      <c r="B10" s="9" t="s">
        <v>53</v>
      </c>
      <c r="C10" s="5" t="s">
        <v>34</v>
      </c>
      <c r="D10" s="9" t="s">
        <v>35</v>
      </c>
      <c r="E10" s="9" t="s">
        <v>36</v>
      </c>
      <c r="F10" s="5" t="s">
        <v>54</v>
      </c>
      <c r="G10" s="5" t="s">
        <v>42</v>
      </c>
      <c r="H10" s="15" t="s">
        <v>42</v>
      </c>
      <c r="I10" s="15" t="s">
        <v>42</v>
      </c>
      <c r="J10" s="5">
        <v>2015</v>
      </c>
      <c r="K10" s="15">
        <v>37</v>
      </c>
      <c r="L10" s="9">
        <v>37</v>
      </c>
      <c r="M10" s="15">
        <v>37</v>
      </c>
      <c r="N10" s="15" t="s">
        <v>41</v>
      </c>
      <c r="O10" s="5" t="s">
        <v>42</v>
      </c>
      <c r="P10" s="5"/>
      <c r="Q10" s="21" t="s">
        <v>43</v>
      </c>
      <c r="R10" s="21" t="s">
        <v>55</v>
      </c>
      <c r="S10" s="18"/>
      <c r="T10" s="9"/>
      <c r="U10" s="9"/>
      <c r="V10" s="75">
        <v>-2.094214</v>
      </c>
      <c r="W10" s="9">
        <v>106.0800655</v>
      </c>
      <c r="X10" s="53"/>
      <c r="Y10" s="27"/>
      <c r="Z10" s="43"/>
      <c r="AA10" s="80"/>
      <c r="AB10" s="46"/>
      <c r="AC10">
        <f t="shared" si="0"/>
        <v>1</v>
      </c>
      <c r="AD10">
        <f t="shared" si="1"/>
        <v>1</v>
      </c>
    </row>
    <row r="11" spans="1:30">
      <c r="A11" s="30">
        <v>6</v>
      </c>
      <c r="B11" s="9" t="s">
        <v>56</v>
      </c>
      <c r="C11" s="5" t="s">
        <v>34</v>
      </c>
      <c r="D11" s="9" t="s">
        <v>35</v>
      </c>
      <c r="E11" s="9" t="s">
        <v>46</v>
      </c>
      <c r="F11" s="5" t="s">
        <v>47</v>
      </c>
      <c r="G11" s="5" t="s">
        <v>57</v>
      </c>
      <c r="H11" s="15" t="s">
        <v>58</v>
      </c>
      <c r="I11" s="15" t="s">
        <v>40</v>
      </c>
      <c r="J11" s="5">
        <v>2023</v>
      </c>
      <c r="K11" s="15">
        <v>80</v>
      </c>
      <c r="L11" s="9">
        <v>25</v>
      </c>
      <c r="M11" s="15">
        <v>0</v>
      </c>
      <c r="N11" s="15" t="s">
        <v>41</v>
      </c>
      <c r="O11" s="5" t="s">
        <v>42</v>
      </c>
      <c r="P11" s="5"/>
      <c r="Q11" s="21" t="s">
        <v>43</v>
      </c>
      <c r="R11" s="21"/>
      <c r="S11" s="18"/>
      <c r="T11" s="9"/>
      <c r="U11" s="9"/>
      <c r="V11" s="75">
        <v>-2.1142946999999999</v>
      </c>
      <c r="W11" s="9">
        <v>106.0637443</v>
      </c>
      <c r="X11" s="53"/>
      <c r="Y11" s="27"/>
      <c r="Z11" s="43"/>
      <c r="AA11" s="80"/>
      <c r="AB11" s="46"/>
      <c r="AC11">
        <f t="shared" si="0"/>
        <v>0.3125</v>
      </c>
      <c r="AD11">
        <f t="shared" si="1"/>
        <v>0</v>
      </c>
    </row>
    <row r="12" spans="1:30" ht="25">
      <c r="A12" s="29">
        <v>7</v>
      </c>
      <c r="B12" s="9" t="s">
        <v>59</v>
      </c>
      <c r="C12" s="5" t="s">
        <v>34</v>
      </c>
      <c r="D12" s="9" t="s">
        <v>60</v>
      </c>
      <c r="E12" s="9" t="s">
        <v>61</v>
      </c>
      <c r="F12" s="5" t="s">
        <v>62</v>
      </c>
      <c r="G12" s="5" t="s">
        <v>63</v>
      </c>
      <c r="H12" s="15" t="s">
        <v>64</v>
      </c>
      <c r="I12" s="15" t="s">
        <v>65</v>
      </c>
      <c r="J12" s="5">
        <v>2015</v>
      </c>
      <c r="K12" s="15">
        <v>36</v>
      </c>
      <c r="L12" s="9">
        <v>36</v>
      </c>
      <c r="M12" s="15">
        <v>36</v>
      </c>
      <c r="N12" s="15" t="s">
        <v>41</v>
      </c>
      <c r="O12" s="5" t="s">
        <v>42</v>
      </c>
      <c r="P12" s="5"/>
      <c r="Q12" s="21" t="s">
        <v>43</v>
      </c>
      <c r="R12" s="21" t="s">
        <v>55</v>
      </c>
      <c r="S12" s="18"/>
      <c r="T12" s="9"/>
      <c r="U12" s="9"/>
      <c r="V12" s="75">
        <v>-2.1036899</v>
      </c>
      <c r="W12" s="9">
        <v>106.0958978</v>
      </c>
      <c r="X12" s="53"/>
      <c r="Y12" s="27"/>
      <c r="Z12" s="43"/>
      <c r="AA12" s="80"/>
      <c r="AB12" s="46"/>
      <c r="AC12">
        <f t="shared" si="0"/>
        <v>1</v>
      </c>
      <c r="AD12">
        <f t="shared" si="1"/>
        <v>1</v>
      </c>
    </row>
    <row r="13" spans="1:30" ht="25">
      <c r="A13" s="30">
        <v>8</v>
      </c>
      <c r="B13" s="9" t="s">
        <v>66</v>
      </c>
      <c r="C13" s="5" t="s">
        <v>34</v>
      </c>
      <c r="D13" s="9" t="s">
        <v>60</v>
      </c>
      <c r="E13" s="9" t="s">
        <v>67</v>
      </c>
      <c r="F13" s="5" t="s">
        <v>68</v>
      </c>
      <c r="G13" s="5" t="s">
        <v>63</v>
      </c>
      <c r="H13" s="15" t="s">
        <v>64</v>
      </c>
      <c r="I13" s="15" t="s">
        <v>65</v>
      </c>
      <c r="J13" s="5">
        <v>2018</v>
      </c>
      <c r="K13" s="15">
        <v>22</v>
      </c>
      <c r="L13" s="9">
        <v>22</v>
      </c>
      <c r="M13" s="15">
        <v>22</v>
      </c>
      <c r="N13" s="15" t="s">
        <v>41</v>
      </c>
      <c r="O13" s="5" t="s">
        <v>42</v>
      </c>
      <c r="P13" s="5"/>
      <c r="Q13" s="21" t="s">
        <v>43</v>
      </c>
      <c r="R13" s="21"/>
      <c r="S13" s="18"/>
      <c r="T13" s="9"/>
      <c r="U13" s="9"/>
      <c r="V13" s="75">
        <v>-2.1060007000000001</v>
      </c>
      <c r="W13" s="9">
        <v>106.10589899999999</v>
      </c>
      <c r="X13" s="53"/>
      <c r="Y13" s="27"/>
      <c r="Z13" s="43"/>
      <c r="AA13" s="80"/>
      <c r="AB13" s="46"/>
      <c r="AC13">
        <f t="shared" si="0"/>
        <v>1</v>
      </c>
      <c r="AD13">
        <f t="shared" si="1"/>
        <v>1</v>
      </c>
    </row>
    <row r="14" spans="1:30" ht="25">
      <c r="A14" s="29">
        <v>9</v>
      </c>
      <c r="B14" s="9" t="s">
        <v>69</v>
      </c>
      <c r="C14" s="5" t="s">
        <v>34</v>
      </c>
      <c r="D14" s="9" t="s">
        <v>60</v>
      </c>
      <c r="E14" s="9" t="s">
        <v>70</v>
      </c>
      <c r="F14" s="5" t="s">
        <v>71</v>
      </c>
      <c r="G14" s="5" t="s">
        <v>63</v>
      </c>
      <c r="H14" s="15" t="s">
        <v>64</v>
      </c>
      <c r="I14" s="15" t="s">
        <v>65</v>
      </c>
      <c r="J14" s="5">
        <v>2019</v>
      </c>
      <c r="K14" s="15">
        <v>45</v>
      </c>
      <c r="L14" s="9">
        <v>45</v>
      </c>
      <c r="M14" s="15">
        <v>45</v>
      </c>
      <c r="N14" s="15" t="s">
        <v>48</v>
      </c>
      <c r="O14" s="5">
        <v>2020</v>
      </c>
      <c r="P14" s="5"/>
      <c r="Q14" s="21" t="s">
        <v>72</v>
      </c>
      <c r="R14" s="21"/>
      <c r="S14" s="18"/>
      <c r="T14" s="9"/>
      <c r="U14" s="9"/>
      <c r="V14" s="75">
        <v>-2.0904376</v>
      </c>
      <c r="W14" s="9">
        <v>106.09290710000001</v>
      </c>
      <c r="X14" s="53"/>
      <c r="Y14" s="27"/>
      <c r="Z14" s="43"/>
      <c r="AA14" s="80"/>
      <c r="AB14" s="46"/>
      <c r="AC14">
        <f t="shared" si="0"/>
        <v>1</v>
      </c>
      <c r="AD14">
        <f t="shared" si="1"/>
        <v>1</v>
      </c>
    </row>
    <row r="15" spans="1:30" ht="25">
      <c r="A15" s="30">
        <v>10</v>
      </c>
      <c r="B15" s="9" t="s">
        <v>73</v>
      </c>
      <c r="C15" s="5" t="s">
        <v>34</v>
      </c>
      <c r="D15" s="9" t="s">
        <v>35</v>
      </c>
      <c r="E15" s="9" t="s">
        <v>36</v>
      </c>
      <c r="F15" s="5" t="s">
        <v>74</v>
      </c>
      <c r="G15" s="5" t="s">
        <v>63</v>
      </c>
      <c r="H15" s="15" t="s">
        <v>64</v>
      </c>
      <c r="I15" s="15" t="s">
        <v>65</v>
      </c>
      <c r="J15" s="5">
        <v>2020</v>
      </c>
      <c r="K15" s="15">
        <v>75</v>
      </c>
      <c r="L15" s="9">
        <v>75</v>
      </c>
      <c r="M15" s="15">
        <v>75</v>
      </c>
      <c r="N15" s="15" t="s">
        <v>41</v>
      </c>
      <c r="O15" s="5" t="s">
        <v>42</v>
      </c>
      <c r="P15" s="5"/>
      <c r="Q15" s="21" t="s">
        <v>75</v>
      </c>
      <c r="R15" s="21" t="s">
        <v>55</v>
      </c>
      <c r="S15" s="18"/>
      <c r="T15" s="9" t="s">
        <v>44</v>
      </c>
      <c r="U15" s="9"/>
      <c r="V15" s="75">
        <v>-2.100133</v>
      </c>
      <c r="W15" s="9">
        <v>106.07501499999999</v>
      </c>
      <c r="X15" s="53"/>
      <c r="Y15" s="27"/>
      <c r="Z15" s="43"/>
      <c r="AA15" s="80"/>
      <c r="AB15" s="46"/>
      <c r="AC15">
        <f t="shared" si="0"/>
        <v>1</v>
      </c>
      <c r="AD15">
        <f t="shared" si="1"/>
        <v>1</v>
      </c>
    </row>
    <row r="16" spans="1:30" ht="25">
      <c r="A16" s="29">
        <v>11</v>
      </c>
      <c r="B16" s="9" t="s">
        <v>76</v>
      </c>
      <c r="C16" s="5" t="s">
        <v>34</v>
      </c>
      <c r="D16" s="9" t="s">
        <v>35</v>
      </c>
      <c r="E16" s="9" t="s">
        <v>36</v>
      </c>
      <c r="F16" s="5" t="s">
        <v>77</v>
      </c>
      <c r="G16" s="5" t="s">
        <v>63</v>
      </c>
      <c r="H16" s="15" t="s">
        <v>64</v>
      </c>
      <c r="I16" s="15" t="s">
        <v>65</v>
      </c>
      <c r="J16" s="5">
        <v>2022</v>
      </c>
      <c r="K16" s="15">
        <v>51</v>
      </c>
      <c r="L16" s="9">
        <v>51</v>
      </c>
      <c r="M16" s="15">
        <v>51</v>
      </c>
      <c r="N16" s="15" t="s">
        <v>41</v>
      </c>
      <c r="O16" s="5" t="s">
        <v>42</v>
      </c>
      <c r="P16" s="5"/>
      <c r="Q16" s="21" t="s">
        <v>43</v>
      </c>
      <c r="R16" s="21"/>
      <c r="S16" s="18"/>
      <c r="T16" s="9"/>
      <c r="U16" s="9"/>
      <c r="V16" s="75">
        <v>-2.1091386999999999</v>
      </c>
      <c r="W16" s="9">
        <v>106.0656738</v>
      </c>
      <c r="X16" s="53"/>
      <c r="Y16" s="27"/>
      <c r="Z16" s="43"/>
      <c r="AA16" s="80"/>
      <c r="AB16" s="46"/>
      <c r="AC16">
        <f t="shared" si="0"/>
        <v>1</v>
      </c>
      <c r="AD16">
        <f t="shared" si="1"/>
        <v>1</v>
      </c>
    </row>
    <row r="17" spans="1:30" ht="25">
      <c r="A17" s="30">
        <v>12</v>
      </c>
      <c r="B17" s="9" t="s">
        <v>78</v>
      </c>
      <c r="C17" s="5" t="s">
        <v>34</v>
      </c>
      <c r="D17" s="9" t="s">
        <v>60</v>
      </c>
      <c r="E17" s="9" t="s">
        <v>70</v>
      </c>
      <c r="F17" s="5" t="s">
        <v>79</v>
      </c>
      <c r="G17" s="5" t="s">
        <v>63</v>
      </c>
      <c r="H17" s="15" t="s">
        <v>64</v>
      </c>
      <c r="I17" s="15" t="s">
        <v>65</v>
      </c>
      <c r="J17" s="5">
        <v>2023</v>
      </c>
      <c r="K17" s="15">
        <v>84</v>
      </c>
      <c r="L17" s="9">
        <v>51</v>
      </c>
      <c r="M17" s="15">
        <v>38</v>
      </c>
      <c r="N17" s="15" t="s">
        <v>41</v>
      </c>
      <c r="O17" s="5" t="s">
        <v>42</v>
      </c>
      <c r="P17" s="5"/>
      <c r="Q17" s="21" t="s">
        <v>43</v>
      </c>
      <c r="R17" s="21"/>
      <c r="S17" s="18"/>
      <c r="T17" s="9" t="s">
        <v>44</v>
      </c>
      <c r="U17" s="9"/>
      <c r="V17" s="75">
        <v>-2.0843104000000001</v>
      </c>
      <c r="W17" s="9">
        <v>106.09608110000001</v>
      </c>
      <c r="X17" s="53"/>
      <c r="Y17" s="27"/>
      <c r="Z17" s="43"/>
      <c r="AA17" s="80"/>
      <c r="AB17" s="46"/>
      <c r="AC17">
        <f t="shared" si="0"/>
        <v>0.6071428571428571</v>
      </c>
      <c r="AD17">
        <f t="shared" si="1"/>
        <v>0.74509803921568629</v>
      </c>
    </row>
    <row r="18" spans="1:30">
      <c r="A18" s="29">
        <v>13</v>
      </c>
      <c r="B18" s="9" t="s">
        <v>80</v>
      </c>
      <c r="C18" s="5" t="s">
        <v>34</v>
      </c>
      <c r="D18" s="9" t="s">
        <v>81</v>
      </c>
      <c r="E18" s="9" t="s">
        <v>82</v>
      </c>
      <c r="F18" s="5" t="s">
        <v>83</v>
      </c>
      <c r="G18" s="5" t="s">
        <v>84</v>
      </c>
      <c r="H18" s="15" t="s">
        <v>85</v>
      </c>
      <c r="I18" s="15" t="s">
        <v>86</v>
      </c>
      <c r="J18" s="5">
        <v>2022</v>
      </c>
      <c r="K18" s="15">
        <v>112</v>
      </c>
      <c r="L18" s="9">
        <v>109</v>
      </c>
      <c r="M18" s="15">
        <v>109</v>
      </c>
      <c r="N18" s="15" t="s">
        <v>41</v>
      </c>
      <c r="O18" s="5" t="s">
        <v>42</v>
      </c>
      <c r="P18" s="5"/>
      <c r="Q18" s="21" t="s">
        <v>43</v>
      </c>
      <c r="R18" s="21"/>
      <c r="S18" s="18"/>
      <c r="T18" s="9" t="s">
        <v>44</v>
      </c>
      <c r="U18" s="9"/>
      <c r="V18" s="75">
        <v>-2.1291820000000001</v>
      </c>
      <c r="W18" s="9">
        <v>106.14707799999999</v>
      </c>
      <c r="X18" s="53"/>
      <c r="Y18" s="27"/>
      <c r="Z18" s="43"/>
      <c r="AA18" s="80"/>
      <c r="AB18" s="46"/>
      <c r="AC18">
        <f t="shared" si="0"/>
        <v>0.9732142857142857</v>
      </c>
      <c r="AD18">
        <f t="shared" si="1"/>
        <v>1</v>
      </c>
    </row>
    <row r="19" spans="1:30">
      <c r="A19" s="30">
        <v>14</v>
      </c>
      <c r="B19" s="9" t="s">
        <v>87</v>
      </c>
      <c r="C19" s="5" t="s">
        <v>34</v>
      </c>
      <c r="D19" s="9" t="s">
        <v>81</v>
      </c>
      <c r="E19" s="9" t="s">
        <v>82</v>
      </c>
      <c r="F19" s="5" t="s">
        <v>83</v>
      </c>
      <c r="G19" s="5" t="s">
        <v>84</v>
      </c>
      <c r="H19" s="15" t="s">
        <v>85</v>
      </c>
      <c r="I19" s="15" t="s">
        <v>86</v>
      </c>
      <c r="J19" s="5">
        <v>2023</v>
      </c>
      <c r="K19" s="15">
        <v>41</v>
      </c>
      <c r="L19" s="9">
        <v>37</v>
      </c>
      <c r="M19" s="15">
        <v>37</v>
      </c>
      <c r="N19" s="15" t="s">
        <v>41</v>
      </c>
      <c r="O19" s="5" t="s">
        <v>42</v>
      </c>
      <c r="P19" s="5"/>
      <c r="Q19" s="21" t="s">
        <v>43</v>
      </c>
      <c r="R19" s="21" t="s">
        <v>88</v>
      </c>
      <c r="S19" s="18"/>
      <c r="T19" s="9" t="s">
        <v>44</v>
      </c>
      <c r="U19" s="9"/>
      <c r="V19" s="75">
        <v>-2.1291820000000001</v>
      </c>
      <c r="W19" s="9">
        <v>106.14707900000001</v>
      </c>
      <c r="X19" s="53"/>
      <c r="Y19" s="27"/>
      <c r="Z19" s="43"/>
      <c r="AA19" s="80"/>
      <c r="AB19" s="46"/>
      <c r="AC19">
        <f t="shared" si="0"/>
        <v>0.90243902439024393</v>
      </c>
      <c r="AD19">
        <f t="shared" si="1"/>
        <v>1</v>
      </c>
    </row>
    <row r="20" spans="1:30" ht="25">
      <c r="A20" s="29">
        <v>15</v>
      </c>
      <c r="B20" s="9" t="s">
        <v>89</v>
      </c>
      <c r="C20" s="5" t="s">
        <v>90</v>
      </c>
      <c r="D20" s="9" t="s">
        <v>60</v>
      </c>
      <c r="E20" s="9" t="s">
        <v>91</v>
      </c>
      <c r="F20" s="5" t="s">
        <v>92</v>
      </c>
      <c r="G20" s="5" t="s">
        <v>84</v>
      </c>
      <c r="H20" s="15" t="s">
        <v>85</v>
      </c>
      <c r="I20" s="15" t="s">
        <v>86</v>
      </c>
      <c r="J20" s="5">
        <v>2022</v>
      </c>
      <c r="K20" s="15">
        <v>107</v>
      </c>
      <c r="L20" s="9">
        <v>90</v>
      </c>
      <c r="M20" s="15">
        <v>0</v>
      </c>
      <c r="N20" s="15" t="s">
        <v>41</v>
      </c>
      <c r="O20" s="5" t="s">
        <v>42</v>
      </c>
      <c r="P20" s="5"/>
      <c r="Q20" s="21" t="s">
        <v>43</v>
      </c>
      <c r="R20" s="21" t="s">
        <v>88</v>
      </c>
      <c r="S20" s="18"/>
      <c r="T20" s="9" t="s">
        <v>44</v>
      </c>
      <c r="U20" s="9"/>
      <c r="V20" s="75">
        <v>-2.0851687000000001</v>
      </c>
      <c r="W20" s="9">
        <v>106.1168948</v>
      </c>
      <c r="X20" s="53"/>
      <c r="Y20" s="27"/>
      <c r="Z20" s="43"/>
      <c r="AA20" s="80"/>
      <c r="AB20" s="46"/>
      <c r="AC20">
        <f t="shared" si="0"/>
        <v>0.84112149532710279</v>
      </c>
      <c r="AD20">
        <f t="shared" si="1"/>
        <v>0</v>
      </c>
    </row>
    <row r="21" spans="1:30">
      <c r="A21" s="30">
        <v>16</v>
      </c>
      <c r="B21" s="9" t="s">
        <v>93</v>
      </c>
      <c r="C21" s="5" t="s">
        <v>34</v>
      </c>
      <c r="D21" s="9" t="s">
        <v>60</v>
      </c>
      <c r="E21" s="9" t="s">
        <v>91</v>
      </c>
      <c r="F21" s="5" t="s">
        <v>92</v>
      </c>
      <c r="G21" s="5" t="s">
        <v>84</v>
      </c>
      <c r="H21" s="15" t="s">
        <v>85</v>
      </c>
      <c r="I21" s="15" t="s">
        <v>86</v>
      </c>
      <c r="J21" s="5">
        <v>2023</v>
      </c>
      <c r="K21" s="15">
        <v>24</v>
      </c>
      <c r="L21" s="9">
        <v>0</v>
      </c>
      <c r="M21" s="15">
        <v>0</v>
      </c>
      <c r="N21" s="15" t="s">
        <v>41</v>
      </c>
      <c r="O21" s="5" t="s">
        <v>42</v>
      </c>
      <c r="P21" s="5"/>
      <c r="Q21" s="21" t="s">
        <v>43</v>
      </c>
      <c r="R21" s="21" t="s">
        <v>88</v>
      </c>
      <c r="S21" s="18"/>
      <c r="T21" s="9" t="s">
        <v>44</v>
      </c>
      <c r="U21" s="9"/>
      <c r="V21" s="75">
        <v>-2.0851687000000001</v>
      </c>
      <c r="W21" s="9">
        <v>106.11689490000001</v>
      </c>
      <c r="X21" s="53"/>
      <c r="Y21" s="27"/>
      <c r="Z21" s="43"/>
      <c r="AA21" s="80"/>
      <c r="AB21" s="46"/>
      <c r="AC21">
        <f t="shared" si="0"/>
        <v>0</v>
      </c>
      <c r="AD21">
        <f t="shared" si="1"/>
        <v>0</v>
      </c>
    </row>
    <row r="22" spans="1:30">
      <c r="A22" s="29">
        <v>17</v>
      </c>
      <c r="B22" s="9" t="s">
        <v>94</v>
      </c>
      <c r="C22" s="5" t="s">
        <v>34</v>
      </c>
      <c r="D22" s="9" t="s">
        <v>81</v>
      </c>
      <c r="E22" s="9" t="s">
        <v>95</v>
      </c>
      <c r="F22" s="5" t="s">
        <v>96</v>
      </c>
      <c r="G22" s="5" t="s">
        <v>84</v>
      </c>
      <c r="H22" s="15" t="s">
        <v>85</v>
      </c>
      <c r="I22" s="15" t="s">
        <v>86</v>
      </c>
      <c r="J22" s="5">
        <v>2023</v>
      </c>
      <c r="K22" s="15">
        <v>144</v>
      </c>
      <c r="L22" s="9">
        <v>8</v>
      </c>
      <c r="M22" s="15">
        <v>6</v>
      </c>
      <c r="N22" s="15" t="s">
        <v>41</v>
      </c>
      <c r="O22" s="5" t="s">
        <v>42</v>
      </c>
      <c r="P22" s="5"/>
      <c r="Q22" s="21" t="s">
        <v>43</v>
      </c>
      <c r="R22" s="21" t="s">
        <v>88</v>
      </c>
      <c r="S22" s="18"/>
      <c r="T22" s="9"/>
      <c r="U22" s="9"/>
      <c r="V22" s="75">
        <v>-2.1510370000000001</v>
      </c>
      <c r="W22" s="9">
        <v>106.1741657</v>
      </c>
      <c r="X22" s="53"/>
      <c r="Y22" s="27"/>
      <c r="Z22" s="43"/>
      <c r="AA22" s="80"/>
      <c r="AB22" s="46"/>
      <c r="AC22">
        <f t="shared" si="0"/>
        <v>5.5555555555555552E-2</v>
      </c>
      <c r="AD22">
        <f t="shared" si="1"/>
        <v>0.75</v>
      </c>
    </row>
    <row r="23" spans="1:30">
      <c r="A23" s="30">
        <v>18</v>
      </c>
      <c r="B23" s="9" t="s">
        <v>97</v>
      </c>
      <c r="C23" s="5" t="s">
        <v>34</v>
      </c>
      <c r="D23" s="9" t="s">
        <v>81</v>
      </c>
      <c r="E23" s="9" t="s">
        <v>95</v>
      </c>
      <c r="F23" s="5" t="s">
        <v>96</v>
      </c>
      <c r="G23" s="5" t="s">
        <v>84</v>
      </c>
      <c r="H23" s="15" t="s">
        <v>85</v>
      </c>
      <c r="I23" s="15" t="s">
        <v>86</v>
      </c>
      <c r="J23" s="5">
        <v>2023</v>
      </c>
      <c r="K23" s="15">
        <v>82</v>
      </c>
      <c r="L23" s="9">
        <v>0</v>
      </c>
      <c r="M23" s="15">
        <v>0</v>
      </c>
      <c r="N23" s="15" t="s">
        <v>41</v>
      </c>
      <c r="O23" s="5" t="s">
        <v>42</v>
      </c>
      <c r="P23" s="5"/>
      <c r="Q23" s="21" t="s">
        <v>43</v>
      </c>
      <c r="R23" s="21" t="s">
        <v>88</v>
      </c>
      <c r="S23" s="18"/>
      <c r="T23" s="9"/>
      <c r="U23" s="9"/>
      <c r="V23" s="75">
        <v>-2.1510370000000001</v>
      </c>
      <c r="W23" s="9">
        <v>106.1741657</v>
      </c>
      <c r="X23" s="53"/>
      <c r="Y23" s="27"/>
      <c r="Z23" s="43"/>
      <c r="AA23" s="80"/>
      <c r="AB23" s="46"/>
      <c r="AC23">
        <f t="shared" si="0"/>
        <v>0</v>
      </c>
      <c r="AD23">
        <f t="shared" si="1"/>
        <v>0</v>
      </c>
    </row>
    <row r="24" spans="1:30" ht="25">
      <c r="A24" s="29">
        <v>19</v>
      </c>
      <c r="B24" s="9" t="s">
        <v>98</v>
      </c>
      <c r="C24" s="5" t="s">
        <v>34</v>
      </c>
      <c r="D24" s="9" t="s">
        <v>99</v>
      </c>
      <c r="E24" s="9" t="s">
        <v>100</v>
      </c>
      <c r="F24" s="5" t="s">
        <v>101</v>
      </c>
      <c r="G24" s="5" t="s">
        <v>102</v>
      </c>
      <c r="H24" s="15" t="s">
        <v>42</v>
      </c>
      <c r="I24" s="15" t="s">
        <v>42</v>
      </c>
      <c r="J24" s="5">
        <v>2023</v>
      </c>
      <c r="K24" s="15">
        <v>34</v>
      </c>
      <c r="L24" s="9">
        <v>11</v>
      </c>
      <c r="M24" s="15">
        <v>0</v>
      </c>
      <c r="N24" s="15" t="s">
        <v>41</v>
      </c>
      <c r="O24" s="5" t="s">
        <v>42</v>
      </c>
      <c r="P24" s="5"/>
      <c r="Q24" s="21" t="s">
        <v>43</v>
      </c>
      <c r="R24" s="21"/>
      <c r="S24" s="18"/>
      <c r="T24" s="9"/>
      <c r="U24" s="9"/>
      <c r="V24" s="75">
        <v>-2.1040527</v>
      </c>
      <c r="W24" s="9">
        <v>106.13135629999999</v>
      </c>
      <c r="X24" s="53"/>
      <c r="Y24" s="27"/>
      <c r="Z24" s="43"/>
      <c r="AA24" s="80"/>
      <c r="AB24" s="46"/>
      <c r="AC24">
        <f t="shared" si="0"/>
        <v>0.3235294117647059</v>
      </c>
      <c r="AD24">
        <f t="shared" si="1"/>
        <v>0</v>
      </c>
    </row>
    <row r="25" spans="1:30" ht="25">
      <c r="A25" s="30">
        <v>20</v>
      </c>
      <c r="B25" s="9" t="s">
        <v>103</v>
      </c>
      <c r="C25" s="5" t="s">
        <v>34</v>
      </c>
      <c r="D25" s="9" t="s">
        <v>35</v>
      </c>
      <c r="E25" s="9" t="s">
        <v>36</v>
      </c>
      <c r="F25" s="5" t="s">
        <v>104</v>
      </c>
      <c r="G25" s="5" t="s">
        <v>105</v>
      </c>
      <c r="H25" s="15" t="s">
        <v>106</v>
      </c>
      <c r="I25" s="15" t="s">
        <v>86</v>
      </c>
      <c r="J25" s="5">
        <v>2017</v>
      </c>
      <c r="K25" s="15">
        <v>75</v>
      </c>
      <c r="L25" s="9">
        <v>75</v>
      </c>
      <c r="M25" s="15">
        <v>75</v>
      </c>
      <c r="N25" s="15" t="s">
        <v>41</v>
      </c>
      <c r="O25" s="5" t="s">
        <v>42</v>
      </c>
      <c r="P25" s="5"/>
      <c r="Q25" s="21" t="s">
        <v>43</v>
      </c>
      <c r="R25" s="21"/>
      <c r="S25" s="18"/>
      <c r="T25" s="9"/>
      <c r="U25" s="9"/>
      <c r="V25" s="75">
        <v>-2.1027433000000002</v>
      </c>
      <c r="W25" s="9">
        <v>106.0581504</v>
      </c>
      <c r="X25" s="53"/>
      <c r="Y25" s="27"/>
      <c r="Z25" s="43"/>
      <c r="AA25" s="80"/>
      <c r="AB25" s="46"/>
      <c r="AC25">
        <f t="shared" si="0"/>
        <v>1</v>
      </c>
      <c r="AD25">
        <f t="shared" si="1"/>
        <v>1</v>
      </c>
    </row>
    <row r="26" spans="1:30" ht="25">
      <c r="A26" s="29">
        <v>21</v>
      </c>
      <c r="B26" s="9" t="s">
        <v>107</v>
      </c>
      <c r="C26" s="5" t="s">
        <v>34</v>
      </c>
      <c r="D26" s="9" t="s">
        <v>35</v>
      </c>
      <c r="E26" s="9" t="s">
        <v>36</v>
      </c>
      <c r="F26" s="5" t="s">
        <v>104</v>
      </c>
      <c r="G26" s="5" t="s">
        <v>105</v>
      </c>
      <c r="H26" s="15" t="s">
        <v>106</v>
      </c>
      <c r="I26" s="15" t="s">
        <v>86</v>
      </c>
      <c r="J26" s="5">
        <v>2018</v>
      </c>
      <c r="K26" s="15">
        <v>42</v>
      </c>
      <c r="L26" s="9">
        <v>28</v>
      </c>
      <c r="M26" s="15">
        <v>28</v>
      </c>
      <c r="N26" s="15" t="s">
        <v>41</v>
      </c>
      <c r="O26" s="5" t="s">
        <v>42</v>
      </c>
      <c r="P26" s="5"/>
      <c r="Q26" s="21" t="s">
        <v>43</v>
      </c>
      <c r="R26" s="21"/>
      <c r="S26" s="18"/>
      <c r="T26" s="9"/>
      <c r="U26" s="9"/>
      <c r="V26" s="75">
        <v>-2.1027433000000002</v>
      </c>
      <c r="W26" s="9">
        <v>106.0581504</v>
      </c>
      <c r="X26" s="53"/>
      <c r="Y26" s="27"/>
      <c r="Z26" s="43"/>
      <c r="AA26" s="80"/>
      <c r="AB26" s="46"/>
      <c r="AC26">
        <f t="shared" si="0"/>
        <v>0.66666666666666663</v>
      </c>
      <c r="AD26">
        <f t="shared" si="1"/>
        <v>1</v>
      </c>
    </row>
    <row r="27" spans="1:30">
      <c r="A27" s="30">
        <v>22</v>
      </c>
      <c r="B27" s="9" t="s">
        <v>108</v>
      </c>
      <c r="C27" s="5" t="s">
        <v>34</v>
      </c>
      <c r="D27" s="9" t="s">
        <v>35</v>
      </c>
      <c r="E27" s="9" t="s">
        <v>36</v>
      </c>
      <c r="F27" s="5" t="s">
        <v>109</v>
      </c>
      <c r="G27" s="5" t="s">
        <v>110</v>
      </c>
      <c r="H27" s="15" t="s">
        <v>111</v>
      </c>
      <c r="I27" s="15" t="s">
        <v>112</v>
      </c>
      <c r="J27" s="5">
        <v>2020</v>
      </c>
      <c r="K27" s="15">
        <v>33</v>
      </c>
      <c r="L27" s="9">
        <v>33</v>
      </c>
      <c r="M27" s="15">
        <v>31</v>
      </c>
      <c r="N27" s="15" t="s">
        <v>48</v>
      </c>
      <c r="O27" s="5">
        <v>2023</v>
      </c>
      <c r="P27" s="5"/>
      <c r="Q27" s="21" t="s">
        <v>43</v>
      </c>
      <c r="R27" s="21" t="s">
        <v>113</v>
      </c>
      <c r="S27" s="18"/>
      <c r="T27" s="9"/>
      <c r="U27" s="9"/>
      <c r="V27" s="75">
        <v>-2.1046360000000002</v>
      </c>
      <c r="W27" s="9">
        <v>106.08262999999999</v>
      </c>
      <c r="X27" s="53"/>
      <c r="Y27" s="27"/>
      <c r="Z27" s="43"/>
      <c r="AA27" s="80"/>
      <c r="AB27" s="46"/>
      <c r="AC27">
        <f t="shared" si="0"/>
        <v>1</v>
      </c>
      <c r="AD27">
        <f t="shared" si="1"/>
        <v>0.93939393939393945</v>
      </c>
    </row>
    <row r="28" spans="1:30">
      <c r="A28" s="29">
        <v>23</v>
      </c>
      <c r="B28" s="9" t="s">
        <v>114</v>
      </c>
      <c r="C28" s="5" t="s">
        <v>34</v>
      </c>
      <c r="D28" s="9" t="s">
        <v>35</v>
      </c>
      <c r="E28" s="9" t="s">
        <v>46</v>
      </c>
      <c r="F28" s="5" t="s">
        <v>42</v>
      </c>
      <c r="G28" s="5" t="s">
        <v>110</v>
      </c>
      <c r="H28" s="15" t="s">
        <v>111</v>
      </c>
      <c r="I28" s="15" t="s">
        <v>112</v>
      </c>
      <c r="J28" s="5">
        <v>2023</v>
      </c>
      <c r="K28" s="15">
        <v>46</v>
      </c>
      <c r="L28" s="9">
        <v>46</v>
      </c>
      <c r="M28" s="15">
        <v>39</v>
      </c>
      <c r="N28" s="15" t="s">
        <v>48</v>
      </c>
      <c r="O28" s="5">
        <v>2024</v>
      </c>
      <c r="P28" s="5"/>
      <c r="Q28" s="21" t="s">
        <v>43</v>
      </c>
      <c r="R28" s="21"/>
      <c r="S28" s="18"/>
      <c r="T28" s="9"/>
      <c r="U28" s="9"/>
      <c r="V28" s="75">
        <v>-2.1201479999999999</v>
      </c>
      <c r="W28" s="9">
        <v>106.068039</v>
      </c>
      <c r="X28" s="53"/>
      <c r="Y28" s="27"/>
      <c r="Z28" s="43"/>
      <c r="AA28" s="80"/>
      <c r="AB28" s="46"/>
      <c r="AC28">
        <f t="shared" si="0"/>
        <v>1</v>
      </c>
      <c r="AD28">
        <f t="shared" si="1"/>
        <v>0.84782608695652173</v>
      </c>
    </row>
    <row r="29" spans="1:30">
      <c r="A29" s="30">
        <v>24</v>
      </c>
      <c r="B29" s="9" t="s">
        <v>115</v>
      </c>
      <c r="C29" s="5" t="s">
        <v>34</v>
      </c>
      <c r="D29" s="9" t="s">
        <v>60</v>
      </c>
      <c r="E29" s="9" t="s">
        <v>70</v>
      </c>
      <c r="F29" s="5" t="s">
        <v>116</v>
      </c>
      <c r="G29" s="5" t="s">
        <v>110</v>
      </c>
      <c r="H29" s="15" t="s">
        <v>111</v>
      </c>
      <c r="I29" s="15" t="s">
        <v>112</v>
      </c>
      <c r="J29" s="5">
        <v>2023</v>
      </c>
      <c r="K29" s="15">
        <v>57</v>
      </c>
      <c r="L29" s="9">
        <v>57</v>
      </c>
      <c r="M29" s="15">
        <v>57</v>
      </c>
      <c r="N29" s="15" t="s">
        <v>48</v>
      </c>
      <c r="O29" s="5">
        <v>2026</v>
      </c>
      <c r="P29" s="5"/>
      <c r="Q29" s="21" t="s">
        <v>43</v>
      </c>
      <c r="R29" s="21"/>
      <c r="S29" s="18"/>
      <c r="T29" s="9"/>
      <c r="U29" s="9"/>
      <c r="V29" s="75">
        <v>-2.0965927</v>
      </c>
      <c r="W29" s="9">
        <v>106.0855923</v>
      </c>
      <c r="X29" s="53"/>
      <c r="Y29" s="27"/>
      <c r="Z29" s="43"/>
      <c r="AA29" s="80"/>
      <c r="AB29" s="46"/>
      <c r="AC29">
        <f t="shared" si="0"/>
        <v>1</v>
      </c>
      <c r="AD29">
        <f t="shared" si="1"/>
        <v>1</v>
      </c>
    </row>
    <row r="30" spans="1:30">
      <c r="A30" s="29">
        <v>25</v>
      </c>
      <c r="B30" s="9" t="s">
        <v>117</v>
      </c>
      <c r="C30" s="5" t="s">
        <v>34</v>
      </c>
      <c r="D30" s="9" t="s">
        <v>60</v>
      </c>
      <c r="E30" s="9" t="s">
        <v>61</v>
      </c>
      <c r="F30" s="5" t="s">
        <v>118</v>
      </c>
      <c r="G30" s="5" t="s">
        <v>110</v>
      </c>
      <c r="H30" s="15" t="s">
        <v>111</v>
      </c>
      <c r="I30" s="15" t="s">
        <v>112</v>
      </c>
      <c r="J30" s="5">
        <v>2024</v>
      </c>
      <c r="K30" s="15">
        <v>37</v>
      </c>
      <c r="L30" s="9">
        <v>37</v>
      </c>
      <c r="M30" s="15">
        <v>37</v>
      </c>
      <c r="N30" s="15" t="s">
        <v>48</v>
      </c>
      <c r="O30" s="5">
        <v>2026</v>
      </c>
      <c r="P30" s="5"/>
      <c r="Q30" s="21" t="s">
        <v>43</v>
      </c>
      <c r="R30" s="21"/>
      <c r="S30" s="18"/>
      <c r="T30" s="9"/>
      <c r="U30" s="9"/>
      <c r="V30" s="75">
        <v>-2.0999433999999999</v>
      </c>
      <c r="W30" s="9">
        <v>106.09478319999999</v>
      </c>
      <c r="X30" s="53"/>
      <c r="Y30" s="27"/>
      <c r="Z30" s="43"/>
      <c r="AA30" s="80"/>
      <c r="AB30" s="46"/>
      <c r="AC30">
        <f t="shared" si="0"/>
        <v>1</v>
      </c>
      <c r="AD30">
        <f t="shared" si="1"/>
        <v>1</v>
      </c>
    </row>
    <row r="31" spans="1:30">
      <c r="A31" s="30">
        <v>26</v>
      </c>
      <c r="B31" s="9" t="s">
        <v>119</v>
      </c>
      <c r="C31" s="5" t="s">
        <v>34</v>
      </c>
      <c r="D31" s="9" t="s">
        <v>35</v>
      </c>
      <c r="E31" s="9" t="s">
        <v>36</v>
      </c>
      <c r="F31" s="5" t="s">
        <v>120</v>
      </c>
      <c r="G31" s="5" t="s">
        <v>110</v>
      </c>
      <c r="H31" s="15" t="s">
        <v>111</v>
      </c>
      <c r="I31" s="15" t="s">
        <v>112</v>
      </c>
      <c r="J31" s="5">
        <v>2025</v>
      </c>
      <c r="K31" s="15">
        <v>51</v>
      </c>
      <c r="L31" s="9">
        <v>33</v>
      </c>
      <c r="M31" s="15">
        <v>25</v>
      </c>
      <c r="N31" s="15" t="s">
        <v>41</v>
      </c>
      <c r="O31" s="5" t="s">
        <v>42</v>
      </c>
      <c r="P31" s="5"/>
      <c r="Q31" s="21" t="s">
        <v>43</v>
      </c>
      <c r="R31" s="21" t="s">
        <v>88</v>
      </c>
      <c r="S31" s="18"/>
      <c r="T31" s="9"/>
      <c r="U31" s="9"/>
      <c r="V31" s="75"/>
      <c r="W31" s="9"/>
      <c r="X31" s="53"/>
      <c r="Y31" s="27"/>
      <c r="Z31" s="43"/>
      <c r="AA31" s="80"/>
      <c r="AB31" s="46"/>
      <c r="AC31">
        <f t="shared" si="0"/>
        <v>0.6470588235294118</v>
      </c>
      <c r="AD31">
        <f t="shared" si="1"/>
        <v>0.75757575757575757</v>
      </c>
    </row>
    <row r="32" spans="1:30">
      <c r="A32" s="29">
        <v>27</v>
      </c>
      <c r="B32" s="9" t="s">
        <v>121</v>
      </c>
      <c r="C32" s="5" t="s">
        <v>34</v>
      </c>
      <c r="D32" s="9" t="s">
        <v>81</v>
      </c>
      <c r="E32" s="9" t="s">
        <v>122</v>
      </c>
      <c r="F32" s="5" t="s">
        <v>123</v>
      </c>
      <c r="G32" s="5" t="s">
        <v>124</v>
      </c>
      <c r="H32" s="15" t="s">
        <v>125</v>
      </c>
      <c r="I32" s="15" t="s">
        <v>40</v>
      </c>
      <c r="J32" s="5">
        <v>2020</v>
      </c>
      <c r="K32" s="15">
        <v>71</v>
      </c>
      <c r="L32" s="9">
        <v>71</v>
      </c>
      <c r="M32" s="15">
        <v>71</v>
      </c>
      <c r="N32" s="15" t="s">
        <v>48</v>
      </c>
      <c r="O32" s="5">
        <v>2024</v>
      </c>
      <c r="P32" s="5"/>
      <c r="Q32" s="21" t="s">
        <v>43</v>
      </c>
      <c r="R32" s="21"/>
      <c r="S32" s="18"/>
      <c r="T32" s="9"/>
      <c r="U32" s="9"/>
      <c r="V32" s="75">
        <v>-2.1265749999999999</v>
      </c>
      <c r="W32" s="9">
        <v>106.16171900000001</v>
      </c>
      <c r="X32" s="53"/>
      <c r="Y32" s="27"/>
      <c r="Z32" s="43"/>
      <c r="AA32" s="80"/>
      <c r="AB32" s="46"/>
      <c r="AC32">
        <f t="shared" si="0"/>
        <v>1</v>
      </c>
      <c r="AD32">
        <f t="shared" si="1"/>
        <v>1</v>
      </c>
    </row>
    <row r="33" spans="1:30">
      <c r="A33" s="30">
        <v>28</v>
      </c>
      <c r="B33" s="9" t="s">
        <v>126</v>
      </c>
      <c r="C33" s="5" t="s">
        <v>34</v>
      </c>
      <c r="D33" s="9" t="s">
        <v>81</v>
      </c>
      <c r="E33" s="9" t="s">
        <v>122</v>
      </c>
      <c r="F33" s="5" t="s">
        <v>127</v>
      </c>
      <c r="G33" s="5" t="s">
        <v>124</v>
      </c>
      <c r="H33" s="15" t="s">
        <v>125</v>
      </c>
      <c r="I33" s="15" t="s">
        <v>40</v>
      </c>
      <c r="J33" s="5">
        <v>2022</v>
      </c>
      <c r="K33" s="15">
        <v>48</v>
      </c>
      <c r="L33" s="9">
        <v>48</v>
      </c>
      <c r="M33" s="15">
        <v>44</v>
      </c>
      <c r="N33" s="15" t="s">
        <v>48</v>
      </c>
      <c r="O33" s="5">
        <v>2024</v>
      </c>
      <c r="P33" s="5"/>
      <c r="Q33" s="21" t="s">
        <v>43</v>
      </c>
      <c r="R33" s="21"/>
      <c r="S33" s="18"/>
      <c r="T33" s="9"/>
      <c r="U33" s="9"/>
      <c r="V33" s="75">
        <v>-2.1265160000000001</v>
      </c>
      <c r="W33" s="9">
        <v>106.162347</v>
      </c>
      <c r="X33" s="53"/>
      <c r="Y33" s="27"/>
      <c r="Z33" s="43"/>
      <c r="AA33" s="80"/>
      <c r="AB33" s="46"/>
      <c r="AC33">
        <f t="shared" si="0"/>
        <v>1</v>
      </c>
      <c r="AD33">
        <f t="shared" si="1"/>
        <v>0.91666666666666663</v>
      </c>
    </row>
    <row r="34" spans="1:30">
      <c r="A34" s="29">
        <v>29</v>
      </c>
      <c r="B34" s="9" t="s">
        <v>128</v>
      </c>
      <c r="C34" s="5" t="s">
        <v>34</v>
      </c>
      <c r="D34" s="9" t="s">
        <v>81</v>
      </c>
      <c r="E34" s="9" t="s">
        <v>122</v>
      </c>
      <c r="F34" s="5" t="s">
        <v>129</v>
      </c>
      <c r="G34" s="5" t="s">
        <v>124</v>
      </c>
      <c r="H34" s="15" t="s">
        <v>125</v>
      </c>
      <c r="I34" s="15" t="s">
        <v>40</v>
      </c>
      <c r="J34" s="5">
        <v>2022</v>
      </c>
      <c r="K34" s="15">
        <v>42</v>
      </c>
      <c r="L34" s="9">
        <v>42</v>
      </c>
      <c r="M34" s="15">
        <v>37</v>
      </c>
      <c r="N34" s="15" t="s">
        <v>48</v>
      </c>
      <c r="O34" s="5">
        <v>2024</v>
      </c>
      <c r="P34" s="5"/>
      <c r="Q34" s="21" t="s">
        <v>43</v>
      </c>
      <c r="R34" s="21"/>
      <c r="S34" s="18"/>
      <c r="T34" s="9"/>
      <c r="U34" s="9"/>
      <c r="V34" s="75">
        <v>-2.1265869999999998</v>
      </c>
      <c r="W34" s="9">
        <v>106.163877</v>
      </c>
      <c r="X34" s="53"/>
      <c r="Y34" s="27"/>
      <c r="Z34" s="43"/>
      <c r="AA34" s="80"/>
      <c r="AB34" s="46"/>
      <c r="AC34">
        <f t="shared" si="0"/>
        <v>1</v>
      </c>
      <c r="AD34">
        <f t="shared" si="1"/>
        <v>0.88095238095238093</v>
      </c>
    </row>
    <row r="35" spans="1:30">
      <c r="A35" s="30">
        <v>30</v>
      </c>
      <c r="B35" s="9" t="s">
        <v>130</v>
      </c>
      <c r="C35" s="5" t="s">
        <v>34</v>
      </c>
      <c r="D35" s="9" t="s">
        <v>81</v>
      </c>
      <c r="E35" s="9" t="s">
        <v>122</v>
      </c>
      <c r="F35" s="5" t="s">
        <v>129</v>
      </c>
      <c r="G35" s="5" t="s">
        <v>124</v>
      </c>
      <c r="H35" s="15" t="s">
        <v>125</v>
      </c>
      <c r="I35" s="15" t="s">
        <v>40</v>
      </c>
      <c r="J35" s="5">
        <v>2023</v>
      </c>
      <c r="K35" s="15">
        <v>118</v>
      </c>
      <c r="L35" s="9">
        <v>114</v>
      </c>
      <c r="M35" s="15">
        <v>114</v>
      </c>
      <c r="N35" s="15" t="s">
        <v>41</v>
      </c>
      <c r="O35" s="5" t="s">
        <v>42</v>
      </c>
      <c r="P35" s="5"/>
      <c r="Q35" s="21" t="s">
        <v>43</v>
      </c>
      <c r="R35" s="21" t="s">
        <v>88</v>
      </c>
      <c r="S35" s="18"/>
      <c r="T35" s="9"/>
      <c r="U35" s="9"/>
      <c r="V35" s="75">
        <v>-2.1284293000000001</v>
      </c>
      <c r="W35" s="9">
        <v>106.1647957</v>
      </c>
      <c r="X35" s="53"/>
      <c r="Y35" s="27"/>
      <c r="Z35" s="43"/>
      <c r="AA35" s="80"/>
      <c r="AB35" s="46"/>
      <c r="AC35">
        <f t="shared" si="0"/>
        <v>0.96610169491525422</v>
      </c>
      <c r="AD35">
        <f t="shared" si="1"/>
        <v>1</v>
      </c>
    </row>
    <row r="36" spans="1:30">
      <c r="A36" s="29">
        <v>31</v>
      </c>
      <c r="B36" s="9" t="s">
        <v>131</v>
      </c>
      <c r="C36" s="5" t="s">
        <v>34</v>
      </c>
      <c r="D36" s="9" t="s">
        <v>35</v>
      </c>
      <c r="E36" s="9" t="s">
        <v>36</v>
      </c>
      <c r="F36" s="5" t="s">
        <v>132</v>
      </c>
      <c r="G36" s="5" t="s">
        <v>133</v>
      </c>
      <c r="H36" s="15" t="s">
        <v>134</v>
      </c>
      <c r="I36" s="15" t="s">
        <v>86</v>
      </c>
      <c r="J36" s="5">
        <v>2021</v>
      </c>
      <c r="K36" s="15">
        <v>37</v>
      </c>
      <c r="L36" s="9">
        <v>37</v>
      </c>
      <c r="M36" s="15">
        <v>37</v>
      </c>
      <c r="N36" s="15" t="s">
        <v>41</v>
      </c>
      <c r="O36" s="5" t="s">
        <v>42</v>
      </c>
      <c r="P36" s="5"/>
      <c r="Q36" s="21" t="s">
        <v>43</v>
      </c>
      <c r="R36" s="21"/>
      <c r="S36" s="18"/>
      <c r="T36" s="9" t="s">
        <v>44</v>
      </c>
      <c r="U36" s="9"/>
      <c r="V36" s="75">
        <v>-2.0998827000000002</v>
      </c>
      <c r="W36" s="9">
        <v>106.07701280000001</v>
      </c>
      <c r="X36" s="53"/>
      <c r="Y36" s="27"/>
      <c r="Z36" s="43"/>
      <c r="AA36" s="80"/>
      <c r="AB36" s="46"/>
      <c r="AC36">
        <f t="shared" si="0"/>
        <v>1</v>
      </c>
      <c r="AD36">
        <f t="shared" si="1"/>
        <v>1</v>
      </c>
    </row>
    <row r="37" spans="1:30">
      <c r="A37" s="30">
        <v>32</v>
      </c>
      <c r="B37" s="9" t="s">
        <v>135</v>
      </c>
      <c r="C37" s="5" t="s">
        <v>34</v>
      </c>
      <c r="D37" s="9" t="s">
        <v>35</v>
      </c>
      <c r="E37" s="9" t="s">
        <v>136</v>
      </c>
      <c r="F37" s="5" t="s">
        <v>137</v>
      </c>
      <c r="G37" s="5" t="s">
        <v>42</v>
      </c>
      <c r="H37" s="15" t="s">
        <v>42</v>
      </c>
      <c r="I37" s="15" t="s">
        <v>42</v>
      </c>
      <c r="J37" s="5">
        <v>2019</v>
      </c>
      <c r="K37" s="15">
        <v>7</v>
      </c>
      <c r="L37" s="9">
        <v>7</v>
      </c>
      <c r="M37" s="15">
        <v>7</v>
      </c>
      <c r="N37" s="15" t="s">
        <v>41</v>
      </c>
      <c r="O37" s="5" t="s">
        <v>42</v>
      </c>
      <c r="P37" s="5"/>
      <c r="Q37" s="21" t="s">
        <v>43</v>
      </c>
      <c r="R37" s="21"/>
      <c r="S37" s="18"/>
      <c r="T37" s="9"/>
      <c r="U37" s="9"/>
      <c r="V37" s="75">
        <v>-2.1064750000000001</v>
      </c>
      <c r="W37" s="9">
        <v>106.09184</v>
      </c>
      <c r="X37" s="53"/>
      <c r="Y37" s="27"/>
      <c r="Z37" s="43"/>
      <c r="AA37" s="80"/>
      <c r="AB37" s="46"/>
      <c r="AC37">
        <f t="shared" si="0"/>
        <v>1</v>
      </c>
      <c r="AD37">
        <f t="shared" si="1"/>
        <v>1</v>
      </c>
    </row>
    <row r="38" spans="1:30">
      <c r="A38" s="29">
        <v>33</v>
      </c>
      <c r="B38" s="9" t="s">
        <v>138</v>
      </c>
      <c r="C38" s="5" t="s">
        <v>34</v>
      </c>
      <c r="D38" s="9" t="s">
        <v>35</v>
      </c>
      <c r="E38" s="9" t="s">
        <v>36</v>
      </c>
      <c r="F38" s="5" t="s">
        <v>139</v>
      </c>
      <c r="G38" s="5" t="s">
        <v>140</v>
      </c>
      <c r="H38" s="15" t="s">
        <v>141</v>
      </c>
      <c r="I38" s="15" t="s">
        <v>86</v>
      </c>
      <c r="J38" s="5">
        <v>2021</v>
      </c>
      <c r="K38" s="15">
        <v>81</v>
      </c>
      <c r="L38" s="9">
        <v>81</v>
      </c>
      <c r="M38" s="15">
        <v>81</v>
      </c>
      <c r="N38" s="15" t="s">
        <v>48</v>
      </c>
      <c r="O38" s="5">
        <v>2025</v>
      </c>
      <c r="P38" s="5"/>
      <c r="Q38" s="21" t="s">
        <v>43</v>
      </c>
      <c r="R38" s="21"/>
      <c r="S38" s="18"/>
      <c r="T38" s="9"/>
      <c r="U38" s="9"/>
      <c r="V38" s="75">
        <v>-2.1070612</v>
      </c>
      <c r="W38" s="9">
        <v>106.0869773</v>
      </c>
      <c r="X38" s="53"/>
      <c r="Y38" s="27"/>
      <c r="Z38" s="43"/>
      <c r="AA38" s="80"/>
      <c r="AB38" s="46"/>
      <c r="AC38">
        <f t="shared" si="0"/>
        <v>1</v>
      </c>
      <c r="AD38">
        <f t="shared" si="1"/>
        <v>1</v>
      </c>
    </row>
    <row r="39" spans="1:30">
      <c r="A39" s="30">
        <v>34</v>
      </c>
      <c r="B39" s="9" t="s">
        <v>142</v>
      </c>
      <c r="C39" s="5" t="s">
        <v>34</v>
      </c>
      <c r="D39" s="9" t="s">
        <v>35</v>
      </c>
      <c r="E39" s="9" t="s">
        <v>36</v>
      </c>
      <c r="F39" s="5" t="s">
        <v>143</v>
      </c>
      <c r="G39" s="5" t="s">
        <v>140</v>
      </c>
      <c r="H39" s="15" t="s">
        <v>141</v>
      </c>
      <c r="I39" s="15" t="s">
        <v>86</v>
      </c>
      <c r="J39" s="5">
        <v>2022</v>
      </c>
      <c r="K39" s="15">
        <v>102</v>
      </c>
      <c r="L39" s="9">
        <v>102</v>
      </c>
      <c r="M39" s="15">
        <v>102</v>
      </c>
      <c r="N39" s="15" t="s">
        <v>48</v>
      </c>
      <c r="O39" s="5">
        <v>2025</v>
      </c>
      <c r="P39" s="5"/>
      <c r="Q39" s="21" t="s">
        <v>43</v>
      </c>
      <c r="R39" s="21"/>
      <c r="S39" s="18"/>
      <c r="T39" s="9"/>
      <c r="U39" s="9"/>
      <c r="V39" s="75">
        <v>-2.105553</v>
      </c>
      <c r="W39" s="9">
        <v>106.078391</v>
      </c>
      <c r="X39" s="53"/>
      <c r="Y39" s="27"/>
      <c r="Z39" s="43"/>
      <c r="AA39" s="80"/>
      <c r="AB39" s="46"/>
      <c r="AC39">
        <f t="shared" si="0"/>
        <v>1</v>
      </c>
      <c r="AD39">
        <f t="shared" si="1"/>
        <v>1</v>
      </c>
    </row>
    <row r="40" spans="1:30">
      <c r="A40" s="29">
        <v>35</v>
      </c>
      <c r="B40" s="9" t="s">
        <v>144</v>
      </c>
      <c r="C40" s="5" t="s">
        <v>34</v>
      </c>
      <c r="D40" s="9" t="s">
        <v>35</v>
      </c>
      <c r="E40" s="9" t="s">
        <v>36</v>
      </c>
      <c r="F40" s="5" t="s">
        <v>145</v>
      </c>
      <c r="G40" s="5" t="s">
        <v>140</v>
      </c>
      <c r="H40" s="15" t="s">
        <v>141</v>
      </c>
      <c r="I40" s="15" t="s">
        <v>86</v>
      </c>
      <c r="J40" s="5">
        <v>2025</v>
      </c>
      <c r="K40" s="15">
        <v>40</v>
      </c>
      <c r="L40" s="9">
        <v>30</v>
      </c>
      <c r="M40" s="15">
        <v>30</v>
      </c>
      <c r="N40" s="15" t="s">
        <v>41</v>
      </c>
      <c r="O40" s="5" t="s">
        <v>42</v>
      </c>
      <c r="P40" s="5"/>
      <c r="Q40" s="21" t="s">
        <v>43</v>
      </c>
      <c r="R40" s="21" t="s">
        <v>88</v>
      </c>
      <c r="S40" s="18"/>
      <c r="T40" s="9"/>
      <c r="U40" s="9"/>
      <c r="V40" s="75">
        <v>-2.1048140000000002</v>
      </c>
      <c r="W40" s="9">
        <v>106.07858899999999</v>
      </c>
      <c r="X40" s="53"/>
      <c r="Y40" s="27"/>
      <c r="Z40" s="43"/>
      <c r="AA40" s="80"/>
      <c r="AB40" s="46"/>
      <c r="AC40">
        <f t="shared" si="0"/>
        <v>0.75</v>
      </c>
      <c r="AD40">
        <f t="shared" si="1"/>
        <v>1</v>
      </c>
    </row>
    <row r="41" spans="1:30">
      <c r="A41" s="30">
        <v>36</v>
      </c>
      <c r="B41" s="9" t="s">
        <v>146</v>
      </c>
      <c r="C41" s="5" t="s">
        <v>34</v>
      </c>
      <c r="D41" s="9" t="s">
        <v>35</v>
      </c>
      <c r="E41" s="9" t="s">
        <v>36</v>
      </c>
      <c r="F41" s="5" t="s">
        <v>147</v>
      </c>
      <c r="G41" s="5" t="s">
        <v>148</v>
      </c>
      <c r="H41" s="15" t="s">
        <v>149</v>
      </c>
      <c r="I41" s="15" t="s">
        <v>86</v>
      </c>
      <c r="J41" s="5">
        <v>2021</v>
      </c>
      <c r="K41" s="15">
        <v>115</v>
      </c>
      <c r="L41" s="9">
        <v>115</v>
      </c>
      <c r="M41" s="15">
        <v>115</v>
      </c>
      <c r="N41" s="15" t="s">
        <v>41</v>
      </c>
      <c r="O41" s="5" t="s">
        <v>42</v>
      </c>
      <c r="P41" s="5"/>
      <c r="Q41" s="21" t="s">
        <v>43</v>
      </c>
      <c r="R41" s="21"/>
      <c r="S41" s="18"/>
      <c r="T41" s="9"/>
      <c r="U41" s="9"/>
      <c r="V41" s="75">
        <v>-2.1149461000000001</v>
      </c>
      <c r="W41" s="9">
        <v>106.0729504</v>
      </c>
      <c r="X41" s="53"/>
      <c r="Y41" s="27"/>
      <c r="Z41" s="43"/>
      <c r="AA41" s="80"/>
      <c r="AB41" s="46"/>
      <c r="AC41">
        <f t="shared" si="0"/>
        <v>1</v>
      </c>
      <c r="AD41">
        <f t="shared" si="1"/>
        <v>1</v>
      </c>
    </row>
    <row r="42" spans="1:30">
      <c r="A42" s="29">
        <v>37</v>
      </c>
      <c r="B42" s="9" t="s">
        <v>150</v>
      </c>
      <c r="C42" s="5" t="s">
        <v>34</v>
      </c>
      <c r="D42" s="9" t="s">
        <v>35</v>
      </c>
      <c r="E42" s="9" t="s">
        <v>36</v>
      </c>
      <c r="F42" s="5" t="s">
        <v>147</v>
      </c>
      <c r="G42" s="5" t="s">
        <v>148</v>
      </c>
      <c r="H42" s="15" t="s">
        <v>149</v>
      </c>
      <c r="I42" s="15" t="s">
        <v>86</v>
      </c>
      <c r="J42" s="5">
        <v>2023</v>
      </c>
      <c r="K42" s="15">
        <v>36</v>
      </c>
      <c r="L42" s="9">
        <v>36</v>
      </c>
      <c r="M42" s="15">
        <v>36</v>
      </c>
      <c r="N42" s="15" t="s">
        <v>41</v>
      </c>
      <c r="O42" s="5" t="s">
        <v>42</v>
      </c>
      <c r="P42" s="5"/>
      <c r="Q42" s="21" t="s">
        <v>43</v>
      </c>
      <c r="R42" s="21"/>
      <c r="S42" s="18"/>
      <c r="T42" s="9"/>
      <c r="U42" s="9"/>
      <c r="V42" s="75">
        <v>-2.1140292999999999</v>
      </c>
      <c r="W42" s="9">
        <v>106.0734587</v>
      </c>
      <c r="X42" s="53"/>
      <c r="Y42" s="27"/>
      <c r="Z42" s="43"/>
      <c r="AA42" s="80"/>
      <c r="AB42" s="46"/>
      <c r="AC42">
        <f t="shared" si="0"/>
        <v>1</v>
      </c>
      <c r="AD42">
        <f t="shared" si="1"/>
        <v>1</v>
      </c>
    </row>
    <row r="43" spans="1:30">
      <c r="A43" s="30">
        <v>38</v>
      </c>
      <c r="B43" s="9" t="s">
        <v>151</v>
      </c>
      <c r="C43" s="5" t="s">
        <v>34</v>
      </c>
      <c r="D43" s="9" t="s">
        <v>35</v>
      </c>
      <c r="E43" s="9" t="s">
        <v>36</v>
      </c>
      <c r="F43" s="5" t="s">
        <v>104</v>
      </c>
      <c r="G43" s="5" t="s">
        <v>148</v>
      </c>
      <c r="H43" s="15" t="s">
        <v>149</v>
      </c>
      <c r="I43" s="15" t="s">
        <v>86</v>
      </c>
      <c r="J43" s="5">
        <v>2024</v>
      </c>
      <c r="K43" s="15">
        <v>92</v>
      </c>
      <c r="L43" s="9">
        <v>0</v>
      </c>
      <c r="M43" s="15">
        <v>0</v>
      </c>
      <c r="N43" s="15" t="s">
        <v>41</v>
      </c>
      <c r="O43" s="5" t="s">
        <v>42</v>
      </c>
      <c r="P43" s="5"/>
      <c r="Q43" s="21" t="s">
        <v>43</v>
      </c>
      <c r="R43" s="21"/>
      <c r="S43" s="18"/>
      <c r="T43" s="9"/>
      <c r="U43" s="9"/>
      <c r="V43" s="75">
        <v>-2.1030522999999999</v>
      </c>
      <c r="W43" s="9">
        <v>106.0597731</v>
      </c>
      <c r="X43" s="53"/>
      <c r="Y43" s="27"/>
      <c r="Z43" s="43"/>
      <c r="AA43" s="80"/>
      <c r="AB43" s="46"/>
      <c r="AC43">
        <f t="shared" si="0"/>
        <v>0</v>
      </c>
      <c r="AD43">
        <f t="shared" si="1"/>
        <v>0</v>
      </c>
    </row>
    <row r="44" spans="1:30">
      <c r="A44" s="29">
        <v>39</v>
      </c>
      <c r="B44" s="9" t="s">
        <v>152</v>
      </c>
      <c r="C44" s="5" t="s">
        <v>34</v>
      </c>
      <c r="D44" s="9" t="s">
        <v>35</v>
      </c>
      <c r="E44" s="9" t="s">
        <v>36</v>
      </c>
      <c r="F44" s="5" t="s">
        <v>104</v>
      </c>
      <c r="G44" s="5" t="s">
        <v>148</v>
      </c>
      <c r="H44" s="15" t="s">
        <v>149</v>
      </c>
      <c r="I44" s="15" t="s">
        <v>86</v>
      </c>
      <c r="J44" s="5">
        <v>2024</v>
      </c>
      <c r="K44" s="15">
        <v>136</v>
      </c>
      <c r="L44" s="9">
        <v>34</v>
      </c>
      <c r="M44" s="15">
        <v>10</v>
      </c>
      <c r="N44" s="15" t="s">
        <v>41</v>
      </c>
      <c r="O44" s="5" t="s">
        <v>42</v>
      </c>
      <c r="P44" s="5"/>
      <c r="Q44" s="21" t="s">
        <v>43</v>
      </c>
      <c r="R44" s="21"/>
      <c r="S44" s="18"/>
      <c r="T44" s="9"/>
      <c r="U44" s="9"/>
      <c r="V44" s="75">
        <v>-2.1030522999999999</v>
      </c>
      <c r="W44" s="9">
        <v>106.0597731</v>
      </c>
      <c r="X44" s="53"/>
      <c r="Y44" s="27"/>
      <c r="Z44" s="43"/>
      <c r="AA44" s="80"/>
      <c r="AB44" s="46"/>
      <c r="AC44">
        <f t="shared" si="0"/>
        <v>0.25</v>
      </c>
      <c r="AD44">
        <f t="shared" si="1"/>
        <v>0.29411764705882354</v>
      </c>
    </row>
    <row r="45" spans="1:30">
      <c r="A45" s="30">
        <v>40</v>
      </c>
      <c r="B45" s="9" t="s">
        <v>153</v>
      </c>
      <c r="C45" s="5" t="s">
        <v>34</v>
      </c>
      <c r="D45" s="9" t="s">
        <v>60</v>
      </c>
      <c r="E45" s="9" t="s">
        <v>91</v>
      </c>
      <c r="F45" s="5" t="s">
        <v>154</v>
      </c>
      <c r="G45" s="5" t="s">
        <v>155</v>
      </c>
      <c r="H45" s="15" t="s">
        <v>156</v>
      </c>
      <c r="I45" s="15" t="s">
        <v>65</v>
      </c>
      <c r="J45" s="5">
        <v>2017</v>
      </c>
      <c r="K45" s="15">
        <v>138</v>
      </c>
      <c r="L45" s="9">
        <v>132</v>
      </c>
      <c r="M45" s="15">
        <v>122</v>
      </c>
      <c r="N45" s="15" t="s">
        <v>48</v>
      </c>
      <c r="O45" s="5">
        <v>2022</v>
      </c>
      <c r="P45" s="5"/>
      <c r="Q45" s="21" t="s">
        <v>43</v>
      </c>
      <c r="R45" s="21" t="s">
        <v>113</v>
      </c>
      <c r="S45" s="18"/>
      <c r="T45" s="9"/>
      <c r="U45" s="9"/>
      <c r="V45" s="75">
        <v>-2.0896949999999999</v>
      </c>
      <c r="W45" s="9">
        <v>106.10564100000001</v>
      </c>
      <c r="X45" s="53"/>
      <c r="Y45" s="27"/>
      <c r="Z45" s="43"/>
      <c r="AA45" s="80"/>
      <c r="AB45" s="46"/>
      <c r="AC45">
        <f t="shared" si="0"/>
        <v>0.95652173913043481</v>
      </c>
      <c r="AD45">
        <f t="shared" si="1"/>
        <v>0.9242424242424242</v>
      </c>
    </row>
    <row r="46" spans="1:30">
      <c r="A46" s="29">
        <v>41</v>
      </c>
      <c r="B46" s="9" t="s">
        <v>157</v>
      </c>
      <c r="C46" s="5" t="s">
        <v>34</v>
      </c>
      <c r="D46" s="9" t="s">
        <v>60</v>
      </c>
      <c r="E46" s="9" t="s">
        <v>70</v>
      </c>
      <c r="F46" s="5" t="s">
        <v>79</v>
      </c>
      <c r="G46" s="5" t="s">
        <v>42</v>
      </c>
      <c r="H46" s="15" t="s">
        <v>42</v>
      </c>
      <c r="I46" s="15" t="s">
        <v>42</v>
      </c>
      <c r="J46" s="5">
        <v>2017</v>
      </c>
      <c r="K46" s="15">
        <v>50</v>
      </c>
      <c r="L46" s="9">
        <v>50</v>
      </c>
      <c r="M46" s="15">
        <v>50</v>
      </c>
      <c r="N46" s="15" t="s">
        <v>41</v>
      </c>
      <c r="O46" s="5" t="s">
        <v>42</v>
      </c>
      <c r="P46" s="5"/>
      <c r="Q46" s="21" t="s">
        <v>43</v>
      </c>
      <c r="R46" s="21"/>
      <c r="S46" s="18"/>
      <c r="T46" s="9"/>
      <c r="U46" s="9"/>
      <c r="V46" s="75">
        <v>-2.084692</v>
      </c>
      <c r="W46" s="9">
        <v>106.09772599999999</v>
      </c>
      <c r="X46" s="53"/>
      <c r="Y46" s="27"/>
      <c r="Z46" s="43"/>
      <c r="AA46" s="80"/>
      <c r="AB46" s="46"/>
      <c r="AC46">
        <f t="shared" si="0"/>
        <v>1</v>
      </c>
      <c r="AD46">
        <f t="shared" si="1"/>
        <v>1</v>
      </c>
    </row>
    <row r="47" spans="1:30">
      <c r="A47" s="30">
        <v>42</v>
      </c>
      <c r="B47" s="9" t="s">
        <v>158</v>
      </c>
      <c r="C47" s="5" t="s">
        <v>34</v>
      </c>
      <c r="D47" s="9" t="s">
        <v>81</v>
      </c>
      <c r="E47" s="9" t="s">
        <v>95</v>
      </c>
      <c r="F47" s="5" t="s">
        <v>159</v>
      </c>
      <c r="G47" s="5" t="s">
        <v>160</v>
      </c>
      <c r="H47" s="15" t="s">
        <v>161</v>
      </c>
      <c r="I47" s="15" t="s">
        <v>86</v>
      </c>
      <c r="J47" s="5">
        <v>2019</v>
      </c>
      <c r="K47" s="15">
        <v>228</v>
      </c>
      <c r="L47" s="9">
        <v>140</v>
      </c>
      <c r="M47" s="15">
        <v>140</v>
      </c>
      <c r="N47" s="15" t="s">
        <v>41</v>
      </c>
      <c r="O47" s="5" t="s">
        <v>42</v>
      </c>
      <c r="P47" s="5"/>
      <c r="Q47" s="21" t="s">
        <v>43</v>
      </c>
      <c r="R47" s="21"/>
      <c r="S47" s="18"/>
      <c r="T47" s="9"/>
      <c r="U47" s="9"/>
      <c r="V47" s="75">
        <v>-2.1513855</v>
      </c>
      <c r="W47" s="9">
        <v>106.1672731</v>
      </c>
      <c r="X47" s="53"/>
      <c r="Y47" s="27"/>
      <c r="Z47" s="43"/>
      <c r="AA47" s="80"/>
      <c r="AB47" s="46"/>
      <c r="AC47">
        <f t="shared" si="0"/>
        <v>0.61403508771929827</v>
      </c>
      <c r="AD47">
        <f t="shared" si="1"/>
        <v>1</v>
      </c>
    </row>
    <row r="48" spans="1:30">
      <c r="A48" s="29">
        <v>43</v>
      </c>
      <c r="B48" s="9" t="s">
        <v>162</v>
      </c>
      <c r="C48" s="5" t="s">
        <v>34</v>
      </c>
      <c r="D48" s="9" t="s">
        <v>81</v>
      </c>
      <c r="E48" s="9" t="s">
        <v>95</v>
      </c>
      <c r="F48" s="5" t="s">
        <v>163</v>
      </c>
      <c r="G48" s="5" t="s">
        <v>164</v>
      </c>
      <c r="H48" s="15" t="s">
        <v>165</v>
      </c>
      <c r="I48" s="15" t="s">
        <v>166</v>
      </c>
      <c r="J48" s="5">
        <v>2021</v>
      </c>
      <c r="K48" s="15">
        <v>46</v>
      </c>
      <c r="L48" s="9">
        <v>46</v>
      </c>
      <c r="M48" s="15">
        <v>46</v>
      </c>
      <c r="N48" s="15" t="s">
        <v>48</v>
      </c>
      <c r="O48" s="5">
        <v>2025</v>
      </c>
      <c r="P48" s="5"/>
      <c r="Q48" s="21" t="s">
        <v>43</v>
      </c>
      <c r="R48" s="21"/>
      <c r="S48" s="18"/>
      <c r="T48" s="9"/>
      <c r="U48" s="9"/>
      <c r="V48" s="75">
        <v>-2.1406580000000002</v>
      </c>
      <c r="W48" s="9">
        <v>106.167591</v>
      </c>
      <c r="X48" s="53"/>
      <c r="Y48" s="27"/>
      <c r="Z48" s="43"/>
      <c r="AA48" s="80"/>
      <c r="AB48" s="46"/>
      <c r="AC48">
        <f t="shared" si="0"/>
        <v>1</v>
      </c>
      <c r="AD48">
        <f t="shared" si="1"/>
        <v>1</v>
      </c>
    </row>
    <row r="49" spans="1:30">
      <c r="A49" s="30">
        <v>44</v>
      </c>
      <c r="B49" s="9" t="s">
        <v>167</v>
      </c>
      <c r="C49" s="5" t="s">
        <v>34</v>
      </c>
      <c r="D49" s="9" t="s">
        <v>60</v>
      </c>
      <c r="E49" s="9" t="s">
        <v>70</v>
      </c>
      <c r="F49" s="5" t="s">
        <v>168</v>
      </c>
      <c r="G49" s="5" t="s">
        <v>164</v>
      </c>
      <c r="H49" s="15" t="s">
        <v>165</v>
      </c>
      <c r="I49" s="15" t="s">
        <v>166</v>
      </c>
      <c r="J49" s="5">
        <v>2025</v>
      </c>
      <c r="K49" s="15">
        <v>42</v>
      </c>
      <c r="L49" s="9">
        <v>42</v>
      </c>
      <c r="M49" s="15">
        <v>42</v>
      </c>
      <c r="N49" s="15" t="s">
        <v>41</v>
      </c>
      <c r="O49" s="5" t="s">
        <v>42</v>
      </c>
      <c r="P49" s="5"/>
      <c r="Q49" s="21" t="s">
        <v>43</v>
      </c>
      <c r="R49" s="21"/>
      <c r="S49" s="18"/>
      <c r="T49" s="9"/>
      <c r="U49" s="9"/>
      <c r="V49" s="75"/>
      <c r="W49" s="9"/>
      <c r="X49" s="53"/>
      <c r="Y49" s="27"/>
      <c r="Z49" s="43"/>
      <c r="AA49" s="80"/>
      <c r="AB49" s="46"/>
      <c r="AC49">
        <f t="shared" si="0"/>
        <v>1</v>
      </c>
      <c r="AD49">
        <f t="shared" si="1"/>
        <v>1</v>
      </c>
    </row>
    <row r="50" spans="1:30">
      <c r="A50" s="29">
        <v>45</v>
      </c>
      <c r="B50" s="9" t="s">
        <v>169</v>
      </c>
      <c r="C50" s="5" t="s">
        <v>170</v>
      </c>
      <c r="D50" s="9" t="s">
        <v>35</v>
      </c>
      <c r="E50" s="9" t="s">
        <v>36</v>
      </c>
      <c r="F50" s="5" t="s">
        <v>171</v>
      </c>
      <c r="G50" s="5" t="s">
        <v>42</v>
      </c>
      <c r="H50" s="15" t="s">
        <v>42</v>
      </c>
      <c r="I50" s="15" t="s">
        <v>42</v>
      </c>
      <c r="J50" s="5">
        <v>2015</v>
      </c>
      <c r="K50" s="15">
        <v>34</v>
      </c>
      <c r="L50" s="9">
        <v>4</v>
      </c>
      <c r="M50" s="15">
        <v>4</v>
      </c>
      <c r="N50" s="15" t="s">
        <v>41</v>
      </c>
      <c r="O50" s="5" t="s">
        <v>42</v>
      </c>
      <c r="P50" s="5"/>
      <c r="Q50" s="21" t="s">
        <v>72</v>
      </c>
      <c r="R50" s="21"/>
      <c r="S50" s="18"/>
      <c r="T50" s="9"/>
      <c r="U50" s="9"/>
      <c r="V50" s="75">
        <v>-2.1156009</v>
      </c>
      <c r="W50" s="9">
        <v>106.0769555</v>
      </c>
      <c r="X50" s="53"/>
      <c r="Y50" s="27"/>
      <c r="Z50" s="43"/>
      <c r="AA50" s="80"/>
      <c r="AB50" s="46"/>
      <c r="AC50">
        <f t="shared" si="0"/>
        <v>0.11764705882352941</v>
      </c>
      <c r="AD50">
        <f t="shared" si="1"/>
        <v>1</v>
      </c>
    </row>
    <row r="51" spans="1:30">
      <c r="A51" s="30">
        <v>46</v>
      </c>
      <c r="B51" s="9" t="s">
        <v>172</v>
      </c>
      <c r="C51" s="5" t="s">
        <v>34</v>
      </c>
      <c r="D51" s="9" t="s">
        <v>60</v>
      </c>
      <c r="E51" s="9" t="s">
        <v>91</v>
      </c>
      <c r="F51" s="5" t="s">
        <v>154</v>
      </c>
      <c r="G51" s="5" t="s">
        <v>173</v>
      </c>
      <c r="H51" s="15" t="s">
        <v>174</v>
      </c>
      <c r="I51" s="15" t="s">
        <v>166</v>
      </c>
      <c r="J51" s="5">
        <v>2019</v>
      </c>
      <c r="K51" s="15">
        <v>71</v>
      </c>
      <c r="L51" s="9">
        <v>12</v>
      </c>
      <c r="M51" s="15">
        <v>7</v>
      </c>
      <c r="N51" s="15" t="s">
        <v>41</v>
      </c>
      <c r="O51" s="5" t="s">
        <v>42</v>
      </c>
      <c r="P51" s="5"/>
      <c r="Q51" s="21" t="s">
        <v>43</v>
      </c>
      <c r="R51" s="21" t="s">
        <v>88</v>
      </c>
      <c r="S51" s="18"/>
      <c r="T51" s="9"/>
      <c r="U51" s="9"/>
      <c r="V51" s="75">
        <v>-2.0902853000000001</v>
      </c>
      <c r="W51" s="9">
        <v>106.1002032</v>
      </c>
      <c r="X51" s="53"/>
      <c r="Y51" s="27"/>
      <c r="Z51" s="43"/>
      <c r="AA51" s="80"/>
      <c r="AB51" s="46"/>
      <c r="AC51">
        <f t="shared" si="0"/>
        <v>0.16901408450704225</v>
      </c>
      <c r="AD51">
        <f t="shared" si="1"/>
        <v>0.58333333333333337</v>
      </c>
    </row>
    <row r="52" spans="1:30">
      <c r="A52" s="29">
        <v>47</v>
      </c>
      <c r="B52" s="9" t="s">
        <v>1877</v>
      </c>
      <c r="C52" s="5" t="s">
        <v>34</v>
      </c>
      <c r="D52" s="9" t="s">
        <v>35</v>
      </c>
      <c r="E52" s="9" t="s">
        <v>136</v>
      </c>
      <c r="F52" s="5" t="s">
        <v>1878</v>
      </c>
      <c r="G52" s="5" t="s">
        <v>1879</v>
      </c>
      <c r="H52" s="15" t="s">
        <v>1880</v>
      </c>
      <c r="I52" s="15"/>
      <c r="J52" s="5">
        <v>2026</v>
      </c>
      <c r="K52" s="15">
        <v>43</v>
      </c>
      <c r="L52" s="9">
        <v>0</v>
      </c>
      <c r="M52" s="15">
        <v>0</v>
      </c>
      <c r="N52" s="15" t="s">
        <v>41</v>
      </c>
      <c r="O52" s="5" t="s">
        <v>42</v>
      </c>
      <c r="P52" s="5"/>
      <c r="Q52" s="21" t="s">
        <v>72</v>
      </c>
      <c r="R52" s="21" t="s">
        <v>88</v>
      </c>
      <c r="S52" s="18"/>
      <c r="T52" s="9"/>
      <c r="U52" s="9"/>
      <c r="V52" s="75"/>
      <c r="W52" s="9"/>
      <c r="X52" s="53"/>
      <c r="Y52" s="65"/>
      <c r="Z52" s="43"/>
      <c r="AA52" s="80"/>
      <c r="AB52" s="73"/>
    </row>
    <row r="53" spans="1:30">
      <c r="A53" s="30">
        <v>48</v>
      </c>
      <c r="B53" s="9" t="s">
        <v>175</v>
      </c>
      <c r="C53" s="5" t="s">
        <v>170</v>
      </c>
      <c r="D53" s="9" t="s">
        <v>35</v>
      </c>
      <c r="E53" s="9" t="s">
        <v>136</v>
      </c>
      <c r="F53" s="5" t="s">
        <v>176</v>
      </c>
      <c r="G53" s="5" t="s">
        <v>155</v>
      </c>
      <c r="H53" s="15" t="s">
        <v>177</v>
      </c>
      <c r="I53" s="15" t="s">
        <v>65</v>
      </c>
      <c r="J53" s="5">
        <v>2014</v>
      </c>
      <c r="K53" s="15">
        <v>43</v>
      </c>
      <c r="L53" s="9">
        <v>43</v>
      </c>
      <c r="M53" s="15">
        <v>43</v>
      </c>
      <c r="N53" s="15" t="s">
        <v>41</v>
      </c>
      <c r="O53" s="5" t="s">
        <v>42</v>
      </c>
      <c r="P53" s="5"/>
      <c r="Q53" s="21" t="s">
        <v>43</v>
      </c>
      <c r="R53" s="21"/>
      <c r="S53" s="18" t="s">
        <v>178</v>
      </c>
      <c r="T53" s="9"/>
      <c r="U53" s="9"/>
      <c r="V53" s="75">
        <v>-2.1100943999999999</v>
      </c>
      <c r="W53" s="9">
        <v>106.0959122</v>
      </c>
      <c r="X53" s="53"/>
      <c r="Y53" s="27"/>
      <c r="Z53" s="43"/>
      <c r="AA53" s="80"/>
      <c r="AB53" s="46"/>
      <c r="AC53">
        <f t="shared" ref="AC53:AC84" si="2">IF(A53="","",IFERROR(L53/K53,0))</f>
        <v>1</v>
      </c>
      <c r="AD53">
        <f t="shared" ref="AD53:AD84" si="3">IF(A53="","",IFERROR(M53/L53,0))</f>
        <v>1</v>
      </c>
    </row>
    <row r="54" spans="1:30">
      <c r="A54" s="29">
        <v>49</v>
      </c>
      <c r="B54" s="9" t="s">
        <v>179</v>
      </c>
      <c r="C54" s="5" t="s">
        <v>170</v>
      </c>
      <c r="D54" s="9" t="s">
        <v>35</v>
      </c>
      <c r="E54" s="9" t="s">
        <v>136</v>
      </c>
      <c r="F54" s="5" t="s">
        <v>180</v>
      </c>
      <c r="G54" s="5" t="s">
        <v>155</v>
      </c>
      <c r="H54" s="15" t="s">
        <v>177</v>
      </c>
      <c r="I54" s="15" t="s">
        <v>65</v>
      </c>
      <c r="J54" s="5">
        <v>2015</v>
      </c>
      <c r="K54" s="15">
        <v>15</v>
      </c>
      <c r="L54" s="9">
        <v>15</v>
      </c>
      <c r="M54" s="15">
        <v>9</v>
      </c>
      <c r="N54" s="15" t="s">
        <v>41</v>
      </c>
      <c r="O54" s="5" t="s">
        <v>42</v>
      </c>
      <c r="P54" s="5"/>
      <c r="Q54" s="21" t="s">
        <v>43</v>
      </c>
      <c r="R54" s="21"/>
      <c r="S54" s="18" t="s">
        <v>178</v>
      </c>
      <c r="T54" s="9"/>
      <c r="U54" s="9"/>
      <c r="V54" s="75">
        <v>-2.1096020000000002</v>
      </c>
      <c r="W54" s="9">
        <v>106.09485599999999</v>
      </c>
      <c r="X54" s="53"/>
      <c r="Y54" s="27"/>
      <c r="Z54" s="43"/>
      <c r="AA54" s="80"/>
      <c r="AB54" s="46"/>
      <c r="AC54">
        <f t="shared" si="2"/>
        <v>1</v>
      </c>
      <c r="AD54">
        <f t="shared" si="3"/>
        <v>0.6</v>
      </c>
    </row>
    <row r="55" spans="1:30">
      <c r="A55" s="30">
        <v>50</v>
      </c>
      <c r="B55" s="9" t="s">
        <v>181</v>
      </c>
      <c r="C55" s="5" t="s">
        <v>34</v>
      </c>
      <c r="D55" s="9" t="s">
        <v>35</v>
      </c>
      <c r="E55" s="9" t="s">
        <v>136</v>
      </c>
      <c r="F55" s="5" t="s">
        <v>182</v>
      </c>
      <c r="G55" s="5" t="s">
        <v>155</v>
      </c>
      <c r="H55" s="15" t="s">
        <v>177</v>
      </c>
      <c r="I55" s="15" t="s">
        <v>65</v>
      </c>
      <c r="J55" s="5">
        <v>2016</v>
      </c>
      <c r="K55" s="15">
        <v>86</v>
      </c>
      <c r="L55" s="9">
        <v>86</v>
      </c>
      <c r="M55" s="15">
        <v>86</v>
      </c>
      <c r="N55" s="15" t="s">
        <v>41</v>
      </c>
      <c r="O55" s="5" t="s">
        <v>42</v>
      </c>
      <c r="P55" s="5"/>
      <c r="Q55" s="21" t="s">
        <v>43</v>
      </c>
      <c r="R55" s="21" t="s">
        <v>247</v>
      </c>
      <c r="S55" s="18" t="s">
        <v>178</v>
      </c>
      <c r="T55" s="9"/>
      <c r="U55" s="9"/>
      <c r="V55" s="75">
        <v>-2.107672</v>
      </c>
      <c r="W55" s="9">
        <v>106.092901</v>
      </c>
      <c r="X55" s="53"/>
      <c r="Y55" s="27"/>
      <c r="Z55" s="43"/>
      <c r="AA55" s="80"/>
      <c r="AB55" s="46"/>
      <c r="AC55">
        <f t="shared" si="2"/>
        <v>1</v>
      </c>
      <c r="AD55">
        <f t="shared" si="3"/>
        <v>1</v>
      </c>
    </row>
    <row r="56" spans="1:30">
      <c r="A56" s="29">
        <v>51</v>
      </c>
      <c r="B56" s="9" t="s">
        <v>183</v>
      </c>
      <c r="C56" s="5" t="s">
        <v>34</v>
      </c>
      <c r="D56" s="9" t="s">
        <v>35</v>
      </c>
      <c r="E56" s="9" t="s">
        <v>184</v>
      </c>
      <c r="F56" s="5" t="s">
        <v>185</v>
      </c>
      <c r="G56" s="5" t="s">
        <v>155</v>
      </c>
      <c r="H56" s="15" t="s">
        <v>177</v>
      </c>
      <c r="I56" s="15" t="s">
        <v>65</v>
      </c>
      <c r="J56" s="5">
        <v>2017</v>
      </c>
      <c r="K56" s="15">
        <v>95</v>
      </c>
      <c r="L56" s="9">
        <v>95</v>
      </c>
      <c r="M56" s="15">
        <v>95</v>
      </c>
      <c r="N56" s="15" t="s">
        <v>41</v>
      </c>
      <c r="O56" s="5" t="s">
        <v>42</v>
      </c>
      <c r="P56" s="5"/>
      <c r="Q56" s="21" t="s">
        <v>75</v>
      </c>
      <c r="R56" s="21" t="s">
        <v>247</v>
      </c>
      <c r="S56" s="18" t="s">
        <v>178</v>
      </c>
      <c r="T56" s="9"/>
      <c r="U56" s="9"/>
      <c r="V56" s="75">
        <v>-2.1058629999999998</v>
      </c>
      <c r="W56" s="9">
        <v>106.089313</v>
      </c>
      <c r="X56" s="53"/>
      <c r="Y56" s="27"/>
      <c r="Z56" s="43"/>
      <c r="AA56" s="80"/>
      <c r="AB56" s="46"/>
      <c r="AC56">
        <f t="shared" si="2"/>
        <v>1</v>
      </c>
      <c r="AD56">
        <f t="shared" si="3"/>
        <v>1</v>
      </c>
    </row>
    <row r="57" spans="1:30">
      <c r="A57" s="30">
        <v>52</v>
      </c>
      <c r="B57" s="9" t="s">
        <v>186</v>
      </c>
      <c r="C57" s="5" t="s">
        <v>170</v>
      </c>
      <c r="D57" s="9" t="s">
        <v>81</v>
      </c>
      <c r="E57" s="9" t="s">
        <v>82</v>
      </c>
      <c r="F57" s="5" t="s">
        <v>187</v>
      </c>
      <c r="G57" s="5" t="s">
        <v>42</v>
      </c>
      <c r="H57" s="15" t="s">
        <v>42</v>
      </c>
      <c r="I57" s="15" t="s">
        <v>42</v>
      </c>
      <c r="J57" s="5" t="s">
        <v>42</v>
      </c>
      <c r="K57" s="15">
        <v>0</v>
      </c>
      <c r="L57" s="9">
        <v>0</v>
      </c>
      <c r="M57" s="15">
        <v>0</v>
      </c>
      <c r="N57" s="15" t="s">
        <v>41</v>
      </c>
      <c r="O57" s="5" t="s">
        <v>42</v>
      </c>
      <c r="P57" s="5"/>
      <c r="Q57" s="21" t="s">
        <v>72</v>
      </c>
      <c r="R57" s="21"/>
      <c r="S57" s="18"/>
      <c r="T57" s="9"/>
      <c r="U57" s="9"/>
      <c r="V57" s="75">
        <v>-2.1422300000000001</v>
      </c>
      <c r="W57" s="9">
        <v>106.135379</v>
      </c>
      <c r="X57" s="53"/>
      <c r="Y57" s="27"/>
      <c r="Z57" s="43"/>
      <c r="AA57" s="80"/>
      <c r="AB57" s="46"/>
      <c r="AC57">
        <f t="shared" si="2"/>
        <v>0</v>
      </c>
      <c r="AD57">
        <f t="shared" si="3"/>
        <v>0</v>
      </c>
    </row>
    <row r="58" spans="1:30">
      <c r="A58" s="29">
        <v>53</v>
      </c>
      <c r="B58" s="9" t="s">
        <v>188</v>
      </c>
      <c r="C58" s="5" t="s">
        <v>34</v>
      </c>
      <c r="D58" s="9" t="s">
        <v>35</v>
      </c>
      <c r="E58" s="9" t="s">
        <v>184</v>
      </c>
      <c r="F58" s="5" t="s">
        <v>62</v>
      </c>
      <c r="G58" s="5" t="s">
        <v>42</v>
      </c>
      <c r="H58" s="15" t="s">
        <v>189</v>
      </c>
      <c r="I58" s="15" t="s">
        <v>42</v>
      </c>
      <c r="J58" s="5">
        <v>2017</v>
      </c>
      <c r="K58" s="15">
        <v>10</v>
      </c>
      <c r="L58" s="9">
        <v>6</v>
      </c>
      <c r="M58" s="15">
        <v>6</v>
      </c>
      <c r="N58" s="15" t="s">
        <v>41</v>
      </c>
      <c r="O58" s="5" t="s">
        <v>42</v>
      </c>
      <c r="P58" s="5"/>
      <c r="Q58" s="21" t="s">
        <v>43</v>
      </c>
      <c r="R58" s="21"/>
      <c r="S58" s="18"/>
      <c r="T58" s="9"/>
      <c r="U58" s="9"/>
      <c r="V58" s="75">
        <v>-2.1050179999999998</v>
      </c>
      <c r="W58" s="9">
        <v>106.089422</v>
      </c>
      <c r="X58" s="53"/>
      <c r="Y58" s="27"/>
      <c r="Z58" s="43"/>
      <c r="AA58" s="80"/>
      <c r="AB58" s="46"/>
      <c r="AC58">
        <f t="shared" si="2"/>
        <v>0.6</v>
      </c>
      <c r="AD58">
        <f t="shared" si="3"/>
        <v>1</v>
      </c>
    </row>
    <row r="59" spans="1:30">
      <c r="A59" s="30">
        <v>54</v>
      </c>
      <c r="B59" s="9" t="s">
        <v>190</v>
      </c>
      <c r="C59" s="5" t="s">
        <v>170</v>
      </c>
      <c r="D59" s="9" t="s">
        <v>35</v>
      </c>
      <c r="E59" s="9" t="s">
        <v>184</v>
      </c>
      <c r="F59" s="5" t="s">
        <v>191</v>
      </c>
      <c r="G59" s="5" t="s">
        <v>42</v>
      </c>
      <c r="H59" s="15" t="s">
        <v>42</v>
      </c>
      <c r="I59" s="15" t="s">
        <v>42</v>
      </c>
      <c r="J59" s="5" t="s">
        <v>42</v>
      </c>
      <c r="K59" s="15">
        <v>0</v>
      </c>
      <c r="L59" s="9">
        <v>0</v>
      </c>
      <c r="M59" s="15">
        <v>0</v>
      </c>
      <c r="N59" s="15" t="s">
        <v>41</v>
      </c>
      <c r="O59" s="5" t="s">
        <v>42</v>
      </c>
      <c r="P59" s="5"/>
      <c r="Q59" s="21" t="s">
        <v>43</v>
      </c>
      <c r="R59" s="21"/>
      <c r="S59" s="18"/>
      <c r="T59" s="9"/>
      <c r="U59" s="9"/>
      <c r="V59" s="75">
        <v>-2.1097991</v>
      </c>
      <c r="W59" s="9">
        <v>106.0891817</v>
      </c>
      <c r="X59" s="53"/>
      <c r="Y59" s="27"/>
      <c r="Z59" s="43"/>
      <c r="AA59" s="80"/>
      <c r="AB59" s="46"/>
      <c r="AC59">
        <f t="shared" si="2"/>
        <v>0</v>
      </c>
      <c r="AD59">
        <f t="shared" si="3"/>
        <v>0</v>
      </c>
    </row>
    <row r="60" spans="1:30">
      <c r="A60" s="29">
        <v>55</v>
      </c>
      <c r="B60" s="9" t="s">
        <v>192</v>
      </c>
      <c r="C60" s="5" t="s">
        <v>34</v>
      </c>
      <c r="D60" s="9" t="s">
        <v>35</v>
      </c>
      <c r="E60" s="9" t="s">
        <v>184</v>
      </c>
      <c r="F60" s="5" t="s">
        <v>193</v>
      </c>
      <c r="G60" s="5" t="s">
        <v>194</v>
      </c>
      <c r="H60" s="15" t="s">
        <v>195</v>
      </c>
      <c r="I60" s="15" t="s">
        <v>196</v>
      </c>
      <c r="J60" s="5">
        <v>2017</v>
      </c>
      <c r="K60" s="15">
        <v>77</v>
      </c>
      <c r="L60" s="9">
        <v>65</v>
      </c>
      <c r="M60" s="15">
        <v>61</v>
      </c>
      <c r="N60" s="15" t="s">
        <v>48</v>
      </c>
      <c r="O60" s="5">
        <v>2020</v>
      </c>
      <c r="P60" s="5"/>
      <c r="Q60" s="21" t="s">
        <v>43</v>
      </c>
      <c r="R60" s="21"/>
      <c r="S60" s="18"/>
      <c r="T60" s="9"/>
      <c r="U60" s="9"/>
      <c r="V60" s="75">
        <v>-2.11145</v>
      </c>
      <c r="W60" s="9">
        <v>106.088959</v>
      </c>
      <c r="X60" s="53"/>
      <c r="Y60" s="27"/>
      <c r="Z60" s="43"/>
      <c r="AA60" s="80"/>
      <c r="AB60" s="46"/>
      <c r="AC60">
        <f t="shared" si="2"/>
        <v>0.8441558441558441</v>
      </c>
      <c r="AD60">
        <f t="shared" si="3"/>
        <v>0.93846153846153846</v>
      </c>
    </row>
    <row r="61" spans="1:30">
      <c r="A61" s="30">
        <v>56</v>
      </c>
      <c r="B61" s="9" t="s">
        <v>197</v>
      </c>
      <c r="C61" s="5" t="s">
        <v>34</v>
      </c>
      <c r="D61" s="9" t="s">
        <v>35</v>
      </c>
      <c r="E61" s="9" t="s">
        <v>36</v>
      </c>
      <c r="F61" s="5" t="s">
        <v>104</v>
      </c>
      <c r="G61" s="5" t="s">
        <v>198</v>
      </c>
      <c r="H61" s="15" t="s">
        <v>199</v>
      </c>
      <c r="I61" s="15" t="s">
        <v>86</v>
      </c>
      <c r="J61" s="5">
        <v>2018</v>
      </c>
      <c r="K61" s="15">
        <v>119</v>
      </c>
      <c r="L61" s="9">
        <v>44</v>
      </c>
      <c r="M61" s="15">
        <v>44</v>
      </c>
      <c r="N61" s="15" t="s">
        <v>41</v>
      </c>
      <c r="O61" s="5" t="s">
        <v>42</v>
      </c>
      <c r="P61" s="5"/>
      <c r="Q61" s="21" t="s">
        <v>72</v>
      </c>
      <c r="R61" s="21"/>
      <c r="S61" s="18"/>
      <c r="T61" s="9"/>
      <c r="U61" s="9"/>
      <c r="V61" s="75">
        <v>-2.1020436</v>
      </c>
      <c r="W61" s="9">
        <v>106.04731630000001</v>
      </c>
      <c r="X61" s="53"/>
      <c r="Y61" s="27"/>
      <c r="Z61" s="43"/>
      <c r="AA61" s="80"/>
      <c r="AB61" s="46"/>
      <c r="AC61">
        <f t="shared" si="2"/>
        <v>0.36974789915966388</v>
      </c>
      <c r="AD61">
        <f t="shared" si="3"/>
        <v>1</v>
      </c>
    </row>
    <row r="62" spans="1:30">
      <c r="A62" s="29">
        <v>57</v>
      </c>
      <c r="B62" s="9" t="s">
        <v>200</v>
      </c>
      <c r="C62" s="5" t="s">
        <v>34</v>
      </c>
      <c r="D62" s="9" t="s">
        <v>35</v>
      </c>
      <c r="E62" s="9" t="s">
        <v>36</v>
      </c>
      <c r="F62" s="5" t="s">
        <v>104</v>
      </c>
      <c r="G62" s="5" t="s">
        <v>198</v>
      </c>
      <c r="H62" s="15" t="s">
        <v>199</v>
      </c>
      <c r="I62" s="15" t="s">
        <v>86</v>
      </c>
      <c r="J62" s="5">
        <v>2018</v>
      </c>
      <c r="K62" s="15">
        <v>131</v>
      </c>
      <c r="L62" s="9">
        <v>37</v>
      </c>
      <c r="M62" s="15">
        <v>37</v>
      </c>
      <c r="N62" s="15" t="s">
        <v>41</v>
      </c>
      <c r="O62" s="5" t="s">
        <v>42</v>
      </c>
      <c r="P62" s="5"/>
      <c r="Q62" s="21" t="s">
        <v>43</v>
      </c>
      <c r="R62" s="21"/>
      <c r="S62" s="18"/>
      <c r="T62" s="9"/>
      <c r="U62" s="9"/>
      <c r="V62" s="75">
        <v>-2.1020436</v>
      </c>
      <c r="W62" s="9">
        <v>106.0473164</v>
      </c>
      <c r="X62" s="53"/>
      <c r="Y62" s="27"/>
      <c r="Z62" s="43"/>
      <c r="AA62" s="80"/>
      <c r="AB62" s="46"/>
      <c r="AC62">
        <f t="shared" si="2"/>
        <v>0.28244274809160308</v>
      </c>
      <c r="AD62">
        <f t="shared" si="3"/>
        <v>1</v>
      </c>
    </row>
    <row r="63" spans="1:30">
      <c r="A63" s="30">
        <v>58</v>
      </c>
      <c r="B63" s="9" t="s">
        <v>201</v>
      </c>
      <c r="C63" s="5" t="s">
        <v>34</v>
      </c>
      <c r="D63" s="9" t="s">
        <v>81</v>
      </c>
      <c r="E63" s="9" t="s">
        <v>202</v>
      </c>
      <c r="F63" s="5" t="s">
        <v>42</v>
      </c>
      <c r="G63" s="5" t="s">
        <v>203</v>
      </c>
      <c r="H63" s="15" t="s">
        <v>204</v>
      </c>
      <c r="I63" s="15" t="s">
        <v>42</v>
      </c>
      <c r="J63" s="5">
        <v>2018</v>
      </c>
      <c r="K63" s="15">
        <v>70</v>
      </c>
      <c r="L63" s="9">
        <v>0</v>
      </c>
      <c r="M63" s="15">
        <v>0</v>
      </c>
      <c r="N63" s="15" t="s">
        <v>41</v>
      </c>
      <c r="O63" s="5" t="s">
        <v>42</v>
      </c>
      <c r="P63" s="5"/>
      <c r="Q63" s="21" t="s">
        <v>43</v>
      </c>
      <c r="R63" s="21"/>
      <c r="S63" s="18"/>
      <c r="T63" s="9"/>
      <c r="U63" s="9"/>
      <c r="V63" s="75"/>
      <c r="W63" s="9"/>
      <c r="X63" s="53"/>
      <c r="Y63" s="27"/>
      <c r="Z63" s="43"/>
      <c r="AA63" s="80"/>
      <c r="AB63" s="46"/>
      <c r="AC63">
        <f t="shared" si="2"/>
        <v>0</v>
      </c>
      <c r="AD63">
        <f t="shared" si="3"/>
        <v>0</v>
      </c>
    </row>
    <row r="64" spans="1:30">
      <c r="A64" s="29">
        <v>59</v>
      </c>
      <c r="B64" s="9" t="s">
        <v>205</v>
      </c>
      <c r="C64" s="5" t="s">
        <v>34</v>
      </c>
      <c r="D64" s="9" t="s">
        <v>35</v>
      </c>
      <c r="E64" s="9" t="s">
        <v>36</v>
      </c>
      <c r="F64" s="5" t="s">
        <v>143</v>
      </c>
      <c r="G64" s="5" t="s">
        <v>206</v>
      </c>
      <c r="H64" s="15" t="s">
        <v>207</v>
      </c>
      <c r="I64" s="15" t="s">
        <v>86</v>
      </c>
      <c r="J64" s="5">
        <v>2019</v>
      </c>
      <c r="K64" s="15">
        <v>199</v>
      </c>
      <c r="L64" s="9">
        <v>150</v>
      </c>
      <c r="M64" s="15">
        <v>140</v>
      </c>
      <c r="N64" s="15" t="s">
        <v>41</v>
      </c>
      <c r="O64" s="5" t="s">
        <v>42</v>
      </c>
      <c r="P64" s="5"/>
      <c r="Q64" s="21" t="s">
        <v>43</v>
      </c>
      <c r="R64" s="21"/>
      <c r="S64" s="18"/>
      <c r="T64" s="9" t="s">
        <v>44</v>
      </c>
      <c r="U64" s="9"/>
      <c r="V64" s="75">
        <v>-2.1043018</v>
      </c>
      <c r="W64" s="9">
        <v>106.0806498</v>
      </c>
      <c r="X64" s="53"/>
      <c r="Y64" s="27"/>
      <c r="Z64" s="43"/>
      <c r="AA64" s="80"/>
      <c r="AB64" s="46"/>
      <c r="AC64">
        <f t="shared" si="2"/>
        <v>0.75376884422110557</v>
      </c>
      <c r="AD64">
        <f t="shared" si="3"/>
        <v>0.93333333333333335</v>
      </c>
    </row>
    <row r="65" spans="1:30">
      <c r="A65" s="30">
        <v>60</v>
      </c>
      <c r="B65" s="9" t="s">
        <v>208</v>
      </c>
      <c r="C65" s="5" t="s">
        <v>34</v>
      </c>
      <c r="D65" s="9" t="s">
        <v>60</v>
      </c>
      <c r="E65" s="9" t="s">
        <v>91</v>
      </c>
      <c r="F65" s="5" t="s">
        <v>209</v>
      </c>
      <c r="G65" s="5" t="s">
        <v>210</v>
      </c>
      <c r="H65" s="15" t="s">
        <v>211</v>
      </c>
      <c r="I65" s="15" t="s">
        <v>112</v>
      </c>
      <c r="J65" s="5">
        <v>2017</v>
      </c>
      <c r="K65" s="15">
        <v>150</v>
      </c>
      <c r="L65" s="9">
        <v>42</v>
      </c>
      <c r="M65" s="15">
        <v>42</v>
      </c>
      <c r="N65" s="15" t="s">
        <v>41</v>
      </c>
      <c r="O65" s="5" t="s">
        <v>42</v>
      </c>
      <c r="P65" s="5"/>
      <c r="Q65" s="21" t="s">
        <v>43</v>
      </c>
      <c r="R65" s="21"/>
      <c r="S65" s="18"/>
      <c r="T65" s="9"/>
      <c r="U65" s="9"/>
      <c r="V65" s="75">
        <v>-2.0780973399999998</v>
      </c>
      <c r="W65" s="9">
        <v>106.1239751</v>
      </c>
      <c r="X65" s="53"/>
      <c r="Y65" s="27"/>
      <c r="Z65" s="43"/>
      <c r="AA65" s="80"/>
      <c r="AB65" s="46"/>
      <c r="AC65">
        <f t="shared" si="2"/>
        <v>0.28000000000000003</v>
      </c>
      <c r="AD65">
        <f t="shared" si="3"/>
        <v>1</v>
      </c>
    </row>
    <row r="66" spans="1:30">
      <c r="A66" s="29">
        <v>61</v>
      </c>
      <c r="B66" s="9" t="s">
        <v>212</v>
      </c>
      <c r="C66" s="5" t="s">
        <v>34</v>
      </c>
      <c r="D66" s="9" t="s">
        <v>99</v>
      </c>
      <c r="E66" s="9" t="s">
        <v>213</v>
      </c>
      <c r="F66" s="5" t="s">
        <v>214</v>
      </c>
      <c r="G66" s="5" t="s">
        <v>215</v>
      </c>
      <c r="H66" s="15" t="s">
        <v>216</v>
      </c>
      <c r="I66" s="15" t="s">
        <v>112</v>
      </c>
      <c r="J66" s="5">
        <v>2024</v>
      </c>
      <c r="K66" s="15">
        <v>39</v>
      </c>
      <c r="L66" s="9">
        <v>34</v>
      </c>
      <c r="M66" s="15">
        <v>29</v>
      </c>
      <c r="N66" s="15" t="s">
        <v>41</v>
      </c>
      <c r="O66" s="5" t="s">
        <v>42</v>
      </c>
      <c r="P66" s="5"/>
      <c r="Q66" s="21" t="s">
        <v>43</v>
      </c>
      <c r="R66" s="21"/>
      <c r="S66" s="18"/>
      <c r="T66" s="9"/>
      <c r="U66" s="9"/>
      <c r="V66" s="75">
        <v>-2.0876017</v>
      </c>
      <c r="W66" s="9">
        <v>106.12235029999999</v>
      </c>
      <c r="X66" s="53"/>
      <c r="Y66" s="27"/>
      <c r="Z66" s="43"/>
      <c r="AA66" s="80"/>
      <c r="AB66" s="46"/>
      <c r="AC66">
        <f t="shared" si="2"/>
        <v>0.87179487179487181</v>
      </c>
      <c r="AD66">
        <f t="shared" si="3"/>
        <v>0.8529411764705882</v>
      </c>
    </row>
    <row r="67" spans="1:30">
      <c r="A67" s="30">
        <v>62</v>
      </c>
      <c r="B67" s="9" t="s">
        <v>217</v>
      </c>
      <c r="C67" s="5" t="s">
        <v>34</v>
      </c>
      <c r="D67" s="9" t="s">
        <v>81</v>
      </c>
      <c r="E67" s="9" t="s">
        <v>95</v>
      </c>
      <c r="F67" s="5" t="s">
        <v>96</v>
      </c>
      <c r="G67" s="5" t="s">
        <v>215</v>
      </c>
      <c r="H67" s="15" t="s">
        <v>216</v>
      </c>
      <c r="I67" s="15" t="s">
        <v>112</v>
      </c>
      <c r="J67" s="5">
        <v>2020</v>
      </c>
      <c r="K67" s="15">
        <v>70</v>
      </c>
      <c r="L67" s="9">
        <v>70</v>
      </c>
      <c r="M67" s="15">
        <v>70</v>
      </c>
      <c r="N67" s="15" t="s">
        <v>41</v>
      </c>
      <c r="O67" s="5" t="s">
        <v>42</v>
      </c>
      <c r="P67" s="5"/>
      <c r="Q67" s="21" t="s">
        <v>43</v>
      </c>
      <c r="R67" s="21"/>
      <c r="S67" s="18"/>
      <c r="T67" s="9"/>
      <c r="U67" s="9"/>
      <c r="V67" s="75">
        <v>-2.1467825</v>
      </c>
      <c r="W67" s="9">
        <v>106.16664129999999</v>
      </c>
      <c r="X67" s="53"/>
      <c r="Y67" s="27"/>
      <c r="Z67" s="43"/>
      <c r="AA67" s="80"/>
      <c r="AB67" s="46"/>
      <c r="AC67">
        <f t="shared" si="2"/>
        <v>1</v>
      </c>
      <c r="AD67">
        <f t="shared" si="3"/>
        <v>1</v>
      </c>
    </row>
    <row r="68" spans="1:30">
      <c r="A68" s="29">
        <v>63</v>
      </c>
      <c r="B68" s="9" t="s">
        <v>218</v>
      </c>
      <c r="C68" s="5" t="s">
        <v>34</v>
      </c>
      <c r="D68" s="9" t="s">
        <v>35</v>
      </c>
      <c r="E68" s="9" t="s">
        <v>36</v>
      </c>
      <c r="F68" s="5" t="s">
        <v>143</v>
      </c>
      <c r="G68" s="5" t="s">
        <v>215</v>
      </c>
      <c r="H68" s="15" t="s">
        <v>216</v>
      </c>
      <c r="I68" s="15" t="s">
        <v>112</v>
      </c>
      <c r="J68" s="5">
        <v>2016</v>
      </c>
      <c r="K68" s="15">
        <v>22</v>
      </c>
      <c r="L68" s="9">
        <v>22</v>
      </c>
      <c r="M68" s="15">
        <v>22</v>
      </c>
      <c r="N68" s="15" t="s">
        <v>41</v>
      </c>
      <c r="O68" s="5" t="s">
        <v>42</v>
      </c>
      <c r="P68" s="5"/>
      <c r="Q68" s="21" t="s">
        <v>43</v>
      </c>
      <c r="R68" s="21" t="s">
        <v>88</v>
      </c>
      <c r="S68" s="18"/>
      <c r="T68" s="9"/>
      <c r="U68" s="9"/>
      <c r="V68" s="75">
        <v>-2.107863</v>
      </c>
      <c r="W68" s="9">
        <v>106.084007</v>
      </c>
      <c r="X68" s="53"/>
      <c r="Y68" s="27"/>
      <c r="Z68" s="43"/>
      <c r="AA68" s="80"/>
      <c r="AB68" s="46"/>
      <c r="AC68">
        <f t="shared" si="2"/>
        <v>1</v>
      </c>
      <c r="AD68">
        <f t="shared" si="3"/>
        <v>1</v>
      </c>
    </row>
    <row r="69" spans="1:30">
      <c r="A69" s="30">
        <v>64</v>
      </c>
      <c r="B69" s="9" t="s">
        <v>219</v>
      </c>
      <c r="C69" s="5" t="s">
        <v>34</v>
      </c>
      <c r="D69" s="9" t="s">
        <v>35</v>
      </c>
      <c r="E69" s="9" t="s">
        <v>36</v>
      </c>
      <c r="F69" s="5" t="s">
        <v>54</v>
      </c>
      <c r="G69" s="5" t="s">
        <v>215</v>
      </c>
      <c r="H69" s="15" t="s">
        <v>216</v>
      </c>
      <c r="I69" s="15" t="s">
        <v>112</v>
      </c>
      <c r="J69" s="5">
        <v>2016</v>
      </c>
      <c r="K69" s="15">
        <v>35</v>
      </c>
      <c r="L69" s="9">
        <v>35</v>
      </c>
      <c r="M69" s="15">
        <v>35</v>
      </c>
      <c r="N69" s="15" t="s">
        <v>41</v>
      </c>
      <c r="O69" s="5" t="s">
        <v>42</v>
      </c>
      <c r="P69" s="5"/>
      <c r="Q69" s="21" t="s">
        <v>43</v>
      </c>
      <c r="R69" s="21" t="s">
        <v>88</v>
      </c>
      <c r="S69" s="18"/>
      <c r="T69" s="9"/>
      <c r="U69" s="9"/>
      <c r="V69" s="75">
        <v>-2.0983489999999998</v>
      </c>
      <c r="W69" s="9">
        <v>106.080001</v>
      </c>
      <c r="X69" s="53"/>
      <c r="Y69" s="27"/>
      <c r="Z69" s="43"/>
      <c r="AA69" s="80"/>
      <c r="AB69" s="46"/>
      <c r="AC69">
        <f t="shared" si="2"/>
        <v>1</v>
      </c>
      <c r="AD69">
        <f t="shared" si="3"/>
        <v>1</v>
      </c>
    </row>
    <row r="70" spans="1:30">
      <c r="A70" s="29">
        <v>65</v>
      </c>
      <c r="B70" s="9" t="s">
        <v>220</v>
      </c>
      <c r="C70" s="5" t="s">
        <v>34</v>
      </c>
      <c r="D70" s="9" t="s">
        <v>35</v>
      </c>
      <c r="E70" s="9" t="s">
        <v>36</v>
      </c>
      <c r="F70" s="5" t="s">
        <v>54</v>
      </c>
      <c r="G70" s="5" t="s">
        <v>215</v>
      </c>
      <c r="H70" s="15" t="s">
        <v>216</v>
      </c>
      <c r="I70" s="15" t="s">
        <v>112</v>
      </c>
      <c r="J70" s="5">
        <v>2016</v>
      </c>
      <c r="K70" s="15">
        <v>32</v>
      </c>
      <c r="L70" s="9">
        <v>32</v>
      </c>
      <c r="M70" s="15">
        <v>32</v>
      </c>
      <c r="N70" s="15" t="s">
        <v>41</v>
      </c>
      <c r="O70" s="5" t="s">
        <v>42</v>
      </c>
      <c r="P70" s="5"/>
      <c r="Q70" s="21" t="s">
        <v>43</v>
      </c>
      <c r="R70" s="21" t="s">
        <v>88</v>
      </c>
      <c r="S70" s="18"/>
      <c r="T70" s="9"/>
      <c r="U70" s="9"/>
      <c r="V70" s="75">
        <v>-2.0990563</v>
      </c>
      <c r="W70" s="9">
        <v>106.0800362</v>
      </c>
      <c r="X70" s="53"/>
      <c r="Y70" s="27"/>
      <c r="Z70" s="43"/>
      <c r="AA70" s="80"/>
      <c r="AB70" s="46"/>
      <c r="AC70">
        <f t="shared" si="2"/>
        <v>1</v>
      </c>
      <c r="AD70">
        <f t="shared" si="3"/>
        <v>1</v>
      </c>
    </row>
    <row r="71" spans="1:30">
      <c r="A71" s="30">
        <v>66</v>
      </c>
      <c r="B71" s="9" t="s">
        <v>221</v>
      </c>
      <c r="C71" s="5" t="s">
        <v>34</v>
      </c>
      <c r="D71" s="9" t="s">
        <v>35</v>
      </c>
      <c r="E71" s="9" t="s">
        <v>36</v>
      </c>
      <c r="F71" s="5" t="s">
        <v>54</v>
      </c>
      <c r="G71" s="5" t="s">
        <v>215</v>
      </c>
      <c r="H71" s="15" t="s">
        <v>216</v>
      </c>
      <c r="I71" s="15" t="s">
        <v>112</v>
      </c>
      <c r="J71" s="5">
        <v>2017</v>
      </c>
      <c r="K71" s="15">
        <v>21</v>
      </c>
      <c r="L71" s="9">
        <v>21</v>
      </c>
      <c r="M71" s="15">
        <v>21</v>
      </c>
      <c r="N71" s="15" t="s">
        <v>41</v>
      </c>
      <c r="O71" s="5" t="s">
        <v>42</v>
      </c>
      <c r="P71" s="5"/>
      <c r="Q71" s="21" t="s">
        <v>43</v>
      </c>
      <c r="R71" s="21" t="s">
        <v>88</v>
      </c>
      <c r="S71" s="18"/>
      <c r="T71" s="9"/>
      <c r="U71" s="9"/>
      <c r="V71" s="75">
        <v>-2.099672</v>
      </c>
      <c r="W71" s="9">
        <v>106.080805</v>
      </c>
      <c r="X71" s="53"/>
      <c r="Y71" s="27"/>
      <c r="Z71" s="43"/>
      <c r="AA71" s="80"/>
      <c r="AB71" s="46"/>
      <c r="AC71">
        <f t="shared" si="2"/>
        <v>1</v>
      </c>
      <c r="AD71">
        <f t="shared" si="3"/>
        <v>1</v>
      </c>
    </row>
    <row r="72" spans="1:30">
      <c r="A72" s="29">
        <v>67</v>
      </c>
      <c r="B72" s="9" t="s">
        <v>222</v>
      </c>
      <c r="C72" s="5" t="s">
        <v>34</v>
      </c>
      <c r="D72" s="9" t="s">
        <v>35</v>
      </c>
      <c r="E72" s="9" t="s">
        <v>184</v>
      </c>
      <c r="F72" s="5" t="s">
        <v>185</v>
      </c>
      <c r="G72" s="5" t="s">
        <v>223</v>
      </c>
      <c r="H72" s="15" t="s">
        <v>224</v>
      </c>
      <c r="I72" s="15" t="s">
        <v>112</v>
      </c>
      <c r="J72" s="5">
        <v>2018</v>
      </c>
      <c r="K72" s="15">
        <v>85</v>
      </c>
      <c r="L72" s="9">
        <v>85</v>
      </c>
      <c r="M72" s="15">
        <v>85</v>
      </c>
      <c r="N72" s="15" t="s">
        <v>41</v>
      </c>
      <c r="O72" s="5" t="s">
        <v>42</v>
      </c>
      <c r="P72" s="5"/>
      <c r="Q72" s="21" t="s">
        <v>72</v>
      </c>
      <c r="R72" s="21" t="s">
        <v>88</v>
      </c>
      <c r="S72" s="18"/>
      <c r="T72" s="9"/>
      <c r="U72" s="9"/>
      <c r="V72" s="75">
        <v>-2.1105010000000002</v>
      </c>
      <c r="W72" s="9">
        <v>106.088167</v>
      </c>
      <c r="X72" s="53"/>
      <c r="Y72" s="27"/>
      <c r="Z72" s="43"/>
      <c r="AA72" s="80"/>
      <c r="AB72" s="46"/>
      <c r="AC72">
        <f t="shared" si="2"/>
        <v>1</v>
      </c>
      <c r="AD72">
        <f t="shared" si="3"/>
        <v>1</v>
      </c>
    </row>
    <row r="73" spans="1:30">
      <c r="A73" s="30">
        <v>68</v>
      </c>
      <c r="B73" s="9" t="s">
        <v>225</v>
      </c>
      <c r="C73" s="5" t="s">
        <v>34</v>
      </c>
      <c r="D73" s="9" t="s">
        <v>35</v>
      </c>
      <c r="E73" s="9" t="s">
        <v>184</v>
      </c>
      <c r="F73" s="5" t="s">
        <v>185</v>
      </c>
      <c r="G73" s="5" t="s">
        <v>223</v>
      </c>
      <c r="H73" s="15" t="s">
        <v>224</v>
      </c>
      <c r="I73" s="15" t="s">
        <v>112</v>
      </c>
      <c r="J73" s="5">
        <v>2018</v>
      </c>
      <c r="K73" s="15">
        <v>80</v>
      </c>
      <c r="L73" s="9">
        <v>80</v>
      </c>
      <c r="M73" s="15">
        <v>80</v>
      </c>
      <c r="N73" s="15" t="s">
        <v>41</v>
      </c>
      <c r="O73" s="5" t="s">
        <v>42</v>
      </c>
      <c r="P73" s="5"/>
      <c r="Q73" s="21" t="s">
        <v>43</v>
      </c>
      <c r="R73" s="21" t="s">
        <v>88</v>
      </c>
      <c r="S73" s="18"/>
      <c r="T73" s="9"/>
      <c r="U73" s="9"/>
      <c r="V73" s="75">
        <v>-2.1059435</v>
      </c>
      <c r="W73" s="9">
        <v>106.0873139</v>
      </c>
      <c r="X73" s="53"/>
      <c r="Y73" s="27"/>
      <c r="Z73" s="43"/>
      <c r="AA73" s="80"/>
      <c r="AB73" s="46"/>
      <c r="AC73">
        <f t="shared" si="2"/>
        <v>1</v>
      </c>
      <c r="AD73">
        <f t="shared" si="3"/>
        <v>1</v>
      </c>
    </row>
    <row r="74" spans="1:30">
      <c r="A74" s="29">
        <v>69</v>
      </c>
      <c r="B74" s="9" t="s">
        <v>226</v>
      </c>
      <c r="C74" s="5" t="s">
        <v>34</v>
      </c>
      <c r="D74" s="9" t="s">
        <v>35</v>
      </c>
      <c r="E74" s="9" t="s">
        <v>136</v>
      </c>
      <c r="F74" s="5" t="s">
        <v>227</v>
      </c>
      <c r="G74" s="5" t="s">
        <v>215</v>
      </c>
      <c r="H74" s="15" t="s">
        <v>216</v>
      </c>
      <c r="I74" s="15" t="s">
        <v>112</v>
      </c>
      <c r="J74" s="5">
        <v>2018</v>
      </c>
      <c r="K74" s="15">
        <v>18</v>
      </c>
      <c r="L74" s="9">
        <v>18</v>
      </c>
      <c r="M74" s="15">
        <v>18</v>
      </c>
      <c r="N74" s="15" t="s">
        <v>41</v>
      </c>
      <c r="O74" s="5" t="s">
        <v>42</v>
      </c>
      <c r="P74" s="5"/>
      <c r="Q74" s="21" t="s">
        <v>43</v>
      </c>
      <c r="R74" s="21" t="s">
        <v>88</v>
      </c>
      <c r="S74" s="18"/>
      <c r="T74" s="9"/>
      <c r="U74" s="9"/>
      <c r="V74" s="75">
        <v>-2.1110685</v>
      </c>
      <c r="W74" s="9">
        <v>106.0932651</v>
      </c>
      <c r="X74" s="53"/>
      <c r="Y74" s="27"/>
      <c r="Z74" s="43"/>
      <c r="AA74" s="80"/>
      <c r="AB74" s="46"/>
      <c r="AC74">
        <f t="shared" si="2"/>
        <v>1</v>
      </c>
      <c r="AD74">
        <f t="shared" si="3"/>
        <v>1</v>
      </c>
    </row>
    <row r="75" spans="1:30">
      <c r="A75" s="30">
        <v>70</v>
      </c>
      <c r="B75" s="9" t="s">
        <v>228</v>
      </c>
      <c r="C75" s="5" t="s">
        <v>34</v>
      </c>
      <c r="D75" s="9" t="s">
        <v>60</v>
      </c>
      <c r="E75" s="9" t="s">
        <v>91</v>
      </c>
      <c r="F75" s="5" t="s">
        <v>229</v>
      </c>
      <c r="G75" s="5" t="s">
        <v>215</v>
      </c>
      <c r="H75" s="15" t="s">
        <v>216</v>
      </c>
      <c r="I75" s="15" t="s">
        <v>112</v>
      </c>
      <c r="J75" s="5">
        <v>2018</v>
      </c>
      <c r="K75" s="15">
        <v>32</v>
      </c>
      <c r="L75" s="9">
        <v>32</v>
      </c>
      <c r="M75" s="15">
        <v>32</v>
      </c>
      <c r="N75" s="15" t="s">
        <v>41</v>
      </c>
      <c r="O75" s="5" t="s">
        <v>42</v>
      </c>
      <c r="P75" s="5"/>
      <c r="Q75" s="21" t="s">
        <v>43</v>
      </c>
      <c r="R75" s="21"/>
      <c r="S75" s="18"/>
      <c r="T75" s="9"/>
      <c r="U75" s="9"/>
      <c r="V75" s="75">
        <v>-2.094849</v>
      </c>
      <c r="W75" s="9">
        <v>106.098916</v>
      </c>
      <c r="X75" s="53"/>
      <c r="Y75" s="27"/>
      <c r="Z75" s="43"/>
      <c r="AA75" s="80"/>
      <c r="AB75" s="46"/>
      <c r="AC75">
        <f t="shared" si="2"/>
        <v>1</v>
      </c>
      <c r="AD75">
        <f t="shared" si="3"/>
        <v>1</v>
      </c>
    </row>
    <row r="76" spans="1:30">
      <c r="A76" s="29">
        <v>71</v>
      </c>
      <c r="B76" s="9" t="s">
        <v>230</v>
      </c>
      <c r="C76" s="5" t="s">
        <v>34</v>
      </c>
      <c r="D76" s="9" t="s">
        <v>60</v>
      </c>
      <c r="E76" s="9" t="s">
        <v>70</v>
      </c>
      <c r="F76" s="5" t="s">
        <v>168</v>
      </c>
      <c r="G76" s="5" t="s">
        <v>215</v>
      </c>
      <c r="H76" s="15" t="s">
        <v>216</v>
      </c>
      <c r="I76" s="15" t="s">
        <v>112</v>
      </c>
      <c r="J76" s="5">
        <v>2018</v>
      </c>
      <c r="K76" s="15">
        <v>72</v>
      </c>
      <c r="L76" s="9">
        <v>72</v>
      </c>
      <c r="M76" s="15">
        <v>72</v>
      </c>
      <c r="N76" s="15" t="s">
        <v>41</v>
      </c>
      <c r="O76" s="5" t="s">
        <v>42</v>
      </c>
      <c r="P76" s="5"/>
      <c r="Q76" s="21" t="s">
        <v>43</v>
      </c>
      <c r="R76" s="21"/>
      <c r="S76" s="18"/>
      <c r="T76" s="9"/>
      <c r="U76" s="9"/>
      <c r="V76" s="75">
        <v>-2.1015929999999998</v>
      </c>
      <c r="W76" s="9">
        <v>106.096616</v>
      </c>
      <c r="X76" s="53"/>
      <c r="Y76" s="27"/>
      <c r="Z76" s="43"/>
      <c r="AA76" s="80"/>
      <c r="AB76" s="46"/>
      <c r="AC76">
        <f t="shared" si="2"/>
        <v>1</v>
      </c>
      <c r="AD76">
        <f t="shared" si="3"/>
        <v>1</v>
      </c>
    </row>
    <row r="77" spans="1:30">
      <c r="A77" s="30">
        <v>72</v>
      </c>
      <c r="B77" s="9" t="s">
        <v>231</v>
      </c>
      <c r="C77" s="5" t="s">
        <v>34</v>
      </c>
      <c r="D77" s="9" t="s">
        <v>35</v>
      </c>
      <c r="E77" s="9" t="s">
        <v>36</v>
      </c>
      <c r="F77" s="5" t="s">
        <v>232</v>
      </c>
      <c r="G77" s="5" t="s">
        <v>215</v>
      </c>
      <c r="H77" s="15" t="s">
        <v>216</v>
      </c>
      <c r="I77" s="15" t="s">
        <v>112</v>
      </c>
      <c r="J77" s="5">
        <v>2018</v>
      </c>
      <c r="K77" s="15">
        <v>83</v>
      </c>
      <c r="L77" s="9">
        <v>83</v>
      </c>
      <c r="M77" s="15">
        <v>0</v>
      </c>
      <c r="N77" s="15" t="s">
        <v>41</v>
      </c>
      <c r="O77" s="5" t="s">
        <v>42</v>
      </c>
      <c r="P77" s="5"/>
      <c r="Q77" s="21" t="s">
        <v>43</v>
      </c>
      <c r="R77" s="21"/>
      <c r="S77" s="18"/>
      <c r="T77" s="9"/>
      <c r="U77" s="9"/>
      <c r="V77" s="75">
        <v>-2.1018757099999998</v>
      </c>
      <c r="W77" s="9">
        <v>106.0948856</v>
      </c>
      <c r="X77" s="53"/>
      <c r="Y77" s="27"/>
      <c r="Z77" s="43"/>
      <c r="AA77" s="80"/>
      <c r="AB77" s="46"/>
      <c r="AC77">
        <f t="shared" si="2"/>
        <v>1</v>
      </c>
      <c r="AD77">
        <f t="shared" si="3"/>
        <v>0</v>
      </c>
    </row>
    <row r="78" spans="1:30">
      <c r="A78" s="29">
        <v>73</v>
      </c>
      <c r="B78" s="9" t="s">
        <v>233</v>
      </c>
      <c r="C78" s="5" t="s">
        <v>34</v>
      </c>
      <c r="D78" s="9" t="s">
        <v>35</v>
      </c>
      <c r="E78" s="9" t="s">
        <v>36</v>
      </c>
      <c r="F78" s="5" t="s">
        <v>234</v>
      </c>
      <c r="G78" s="5" t="s">
        <v>215</v>
      </c>
      <c r="H78" s="15" t="s">
        <v>216</v>
      </c>
      <c r="I78" s="15" t="s">
        <v>112</v>
      </c>
      <c r="J78" s="5">
        <v>2018</v>
      </c>
      <c r="K78" s="15">
        <v>16</v>
      </c>
      <c r="L78" s="9">
        <v>16</v>
      </c>
      <c r="M78" s="15">
        <v>16</v>
      </c>
      <c r="N78" s="15" t="s">
        <v>41</v>
      </c>
      <c r="O78" s="5" t="s">
        <v>42</v>
      </c>
      <c r="P78" s="5"/>
      <c r="Q78" s="21" t="s">
        <v>43</v>
      </c>
      <c r="R78" s="21"/>
      <c r="S78" s="18"/>
      <c r="T78" s="9"/>
      <c r="U78" s="9"/>
      <c r="V78" s="75">
        <v>-2.1027453999999999</v>
      </c>
      <c r="W78" s="9">
        <v>106.08195600000001</v>
      </c>
      <c r="X78" s="53"/>
      <c r="Y78" s="27"/>
      <c r="Z78" s="43"/>
      <c r="AA78" s="80"/>
      <c r="AB78" s="46"/>
      <c r="AC78">
        <f t="shared" si="2"/>
        <v>1</v>
      </c>
      <c r="AD78">
        <f t="shared" si="3"/>
        <v>1</v>
      </c>
    </row>
    <row r="79" spans="1:30">
      <c r="A79" s="30">
        <v>74</v>
      </c>
      <c r="B79" s="9" t="s">
        <v>235</v>
      </c>
      <c r="C79" s="5" t="s">
        <v>34</v>
      </c>
      <c r="D79" s="9" t="s">
        <v>60</v>
      </c>
      <c r="E79" s="9" t="s">
        <v>70</v>
      </c>
      <c r="F79" s="5" t="s">
        <v>236</v>
      </c>
      <c r="G79" s="5" t="s">
        <v>237</v>
      </c>
      <c r="H79" s="15" t="s">
        <v>216</v>
      </c>
      <c r="I79" s="15" t="s">
        <v>112</v>
      </c>
      <c r="J79" s="5">
        <v>2021</v>
      </c>
      <c r="K79" s="15">
        <v>48</v>
      </c>
      <c r="L79" s="9">
        <v>48</v>
      </c>
      <c r="M79" s="15">
        <v>48</v>
      </c>
      <c r="N79" s="15" t="s">
        <v>41</v>
      </c>
      <c r="O79" s="5" t="s">
        <v>42</v>
      </c>
      <c r="P79" s="5"/>
      <c r="Q79" s="21" t="s">
        <v>43</v>
      </c>
      <c r="R79" s="21"/>
      <c r="S79" s="18"/>
      <c r="T79" s="9"/>
      <c r="U79" s="9"/>
      <c r="V79" s="75">
        <v>-2.0908709999999999</v>
      </c>
      <c r="W79" s="9">
        <v>106.095277</v>
      </c>
      <c r="X79" s="53"/>
      <c r="Y79" s="27"/>
      <c r="Z79" s="43"/>
      <c r="AA79" s="80"/>
      <c r="AB79" s="46"/>
      <c r="AC79">
        <f t="shared" si="2"/>
        <v>1</v>
      </c>
      <c r="AD79">
        <f t="shared" si="3"/>
        <v>1</v>
      </c>
    </row>
    <row r="80" spans="1:30">
      <c r="A80" s="29">
        <v>75</v>
      </c>
      <c r="B80" s="9" t="s">
        <v>238</v>
      </c>
      <c r="C80" s="5" t="s">
        <v>34</v>
      </c>
      <c r="D80" s="9" t="s">
        <v>60</v>
      </c>
      <c r="E80" s="9" t="s">
        <v>70</v>
      </c>
      <c r="F80" s="5" t="s">
        <v>229</v>
      </c>
      <c r="G80" s="5" t="s">
        <v>237</v>
      </c>
      <c r="H80" s="15" t="s">
        <v>216</v>
      </c>
      <c r="I80" s="15" t="s">
        <v>112</v>
      </c>
      <c r="J80" s="5">
        <v>2019</v>
      </c>
      <c r="K80" s="15">
        <v>66</v>
      </c>
      <c r="L80" s="9">
        <v>66</v>
      </c>
      <c r="M80" s="15">
        <v>66</v>
      </c>
      <c r="N80" s="15" t="s">
        <v>41</v>
      </c>
      <c r="O80" s="5" t="s">
        <v>42</v>
      </c>
      <c r="P80" s="5"/>
      <c r="Q80" s="21" t="s">
        <v>43</v>
      </c>
      <c r="R80" s="21"/>
      <c r="S80" s="18"/>
      <c r="T80" s="9"/>
      <c r="U80" s="9"/>
      <c r="V80" s="75">
        <v>-2.091539</v>
      </c>
      <c r="W80" s="9">
        <v>106.094336</v>
      </c>
      <c r="X80" s="53"/>
      <c r="Y80" s="27"/>
      <c r="Z80" s="43"/>
      <c r="AA80" s="80"/>
      <c r="AB80" s="46"/>
      <c r="AC80">
        <f t="shared" si="2"/>
        <v>1</v>
      </c>
      <c r="AD80">
        <f t="shared" si="3"/>
        <v>1</v>
      </c>
    </row>
    <row r="81" spans="1:30">
      <c r="A81" s="30">
        <v>76</v>
      </c>
      <c r="B81" s="9" t="s">
        <v>239</v>
      </c>
      <c r="C81" s="5" t="s">
        <v>34</v>
      </c>
      <c r="D81" s="9" t="s">
        <v>35</v>
      </c>
      <c r="E81" s="9" t="s">
        <v>36</v>
      </c>
      <c r="F81" s="5" t="s">
        <v>42</v>
      </c>
      <c r="G81" s="5" t="s">
        <v>215</v>
      </c>
      <c r="H81" s="15" t="s">
        <v>216</v>
      </c>
      <c r="I81" s="15" t="s">
        <v>112</v>
      </c>
      <c r="J81" s="5">
        <v>2022</v>
      </c>
      <c r="K81" s="15">
        <v>49</v>
      </c>
      <c r="L81" s="9">
        <v>49</v>
      </c>
      <c r="M81" s="15">
        <v>49</v>
      </c>
      <c r="N81" s="15" t="s">
        <v>41</v>
      </c>
      <c r="O81" s="5" t="s">
        <v>42</v>
      </c>
      <c r="P81" s="5"/>
      <c r="Q81" s="21" t="s">
        <v>43</v>
      </c>
      <c r="R81" s="21"/>
      <c r="S81" s="18"/>
      <c r="T81" s="9"/>
      <c r="U81" s="9"/>
      <c r="V81" s="75">
        <v>-2.1189081000000001</v>
      </c>
      <c r="W81" s="9">
        <v>106.08377350000001</v>
      </c>
      <c r="X81" s="53"/>
      <c r="Y81" s="27"/>
      <c r="Z81" s="43"/>
      <c r="AA81" s="80"/>
      <c r="AB81" s="46"/>
      <c r="AC81">
        <f t="shared" si="2"/>
        <v>1</v>
      </c>
      <c r="AD81">
        <f t="shared" si="3"/>
        <v>1</v>
      </c>
    </row>
    <row r="82" spans="1:30">
      <c r="A82" s="29">
        <v>77</v>
      </c>
      <c r="B82" s="9" t="s">
        <v>240</v>
      </c>
      <c r="C82" s="5" t="s">
        <v>34</v>
      </c>
      <c r="D82" s="9" t="s">
        <v>35</v>
      </c>
      <c r="E82" s="9" t="s">
        <v>36</v>
      </c>
      <c r="F82" s="5" t="s">
        <v>241</v>
      </c>
      <c r="G82" s="5" t="s">
        <v>215</v>
      </c>
      <c r="H82" s="15" t="s">
        <v>216</v>
      </c>
      <c r="I82" s="15" t="s">
        <v>112</v>
      </c>
      <c r="J82" s="5">
        <v>2022</v>
      </c>
      <c r="K82" s="15">
        <v>132</v>
      </c>
      <c r="L82" s="9">
        <v>132</v>
      </c>
      <c r="M82" s="15">
        <v>132</v>
      </c>
      <c r="N82" s="15" t="s">
        <v>41</v>
      </c>
      <c r="O82" s="5" t="s">
        <v>42</v>
      </c>
      <c r="P82" s="5"/>
      <c r="Q82" s="21" t="s">
        <v>43</v>
      </c>
      <c r="R82" s="21"/>
      <c r="S82" s="18"/>
      <c r="T82" s="9"/>
      <c r="U82" s="9"/>
      <c r="V82" s="75">
        <v>-2.1064370000000001</v>
      </c>
      <c r="W82" s="9">
        <v>106.083372</v>
      </c>
      <c r="X82" s="53"/>
      <c r="Y82" s="27"/>
      <c r="Z82" s="43"/>
      <c r="AA82" s="80"/>
      <c r="AB82" s="46"/>
      <c r="AC82">
        <f t="shared" si="2"/>
        <v>1</v>
      </c>
      <c r="AD82">
        <f t="shared" si="3"/>
        <v>1</v>
      </c>
    </row>
    <row r="83" spans="1:30">
      <c r="A83" s="30">
        <v>78</v>
      </c>
      <c r="B83" s="9" t="s">
        <v>242</v>
      </c>
      <c r="C83" s="5" t="s">
        <v>34</v>
      </c>
      <c r="D83" s="9" t="s">
        <v>60</v>
      </c>
      <c r="E83" s="9" t="s">
        <v>70</v>
      </c>
      <c r="F83" s="5" t="s">
        <v>243</v>
      </c>
      <c r="G83" s="5" t="s">
        <v>215</v>
      </c>
      <c r="H83" s="15" t="s">
        <v>216</v>
      </c>
      <c r="I83" s="15" t="s">
        <v>112</v>
      </c>
      <c r="J83" s="5">
        <v>2023</v>
      </c>
      <c r="K83" s="15">
        <v>38</v>
      </c>
      <c r="L83" s="9">
        <v>38</v>
      </c>
      <c r="M83" s="15">
        <v>38</v>
      </c>
      <c r="N83" s="15" t="s">
        <v>41</v>
      </c>
      <c r="O83" s="5" t="s">
        <v>42</v>
      </c>
      <c r="P83" s="5"/>
      <c r="Q83" s="21" t="s">
        <v>43</v>
      </c>
      <c r="R83" s="21"/>
      <c r="S83" s="18"/>
      <c r="T83" s="9"/>
      <c r="U83" s="9"/>
      <c r="V83" s="75">
        <v>-2.0986220000000002</v>
      </c>
      <c r="W83" s="9">
        <v>106.08407010000001</v>
      </c>
      <c r="X83" s="53"/>
      <c r="Y83" s="27"/>
      <c r="Z83" s="43"/>
      <c r="AA83" s="80"/>
      <c r="AB83" s="46"/>
      <c r="AC83">
        <f t="shared" si="2"/>
        <v>1</v>
      </c>
      <c r="AD83">
        <f t="shared" si="3"/>
        <v>1</v>
      </c>
    </row>
    <row r="84" spans="1:30">
      <c r="A84" s="29">
        <v>79</v>
      </c>
      <c r="B84" s="9" t="s">
        <v>244</v>
      </c>
      <c r="C84" s="5" t="s">
        <v>34</v>
      </c>
      <c r="D84" s="9" t="s">
        <v>35</v>
      </c>
      <c r="E84" s="9" t="s">
        <v>36</v>
      </c>
      <c r="F84" s="5" t="s">
        <v>116</v>
      </c>
      <c r="G84" s="5" t="s">
        <v>245</v>
      </c>
      <c r="H84" s="15" t="s">
        <v>246</v>
      </c>
      <c r="I84" s="15" t="s">
        <v>86</v>
      </c>
      <c r="J84" s="5">
        <v>2019</v>
      </c>
      <c r="K84" s="15">
        <v>83</v>
      </c>
      <c r="L84" s="9">
        <v>83</v>
      </c>
      <c r="M84" s="15">
        <v>79</v>
      </c>
      <c r="N84" s="15" t="s">
        <v>48</v>
      </c>
      <c r="O84" s="5">
        <v>2022</v>
      </c>
      <c r="P84" s="5"/>
      <c r="Q84" s="21" t="s">
        <v>43</v>
      </c>
      <c r="R84" s="21" t="s">
        <v>247</v>
      </c>
      <c r="S84" s="18"/>
      <c r="T84" s="9"/>
      <c r="U84" s="9"/>
      <c r="V84" s="75">
        <v>-2.0963539999999998</v>
      </c>
      <c r="W84" s="9">
        <v>106.08517500000001</v>
      </c>
      <c r="X84" s="53"/>
      <c r="Y84" s="27"/>
      <c r="Z84" s="43"/>
      <c r="AA84" s="80"/>
      <c r="AB84" s="46"/>
      <c r="AC84">
        <f t="shared" si="2"/>
        <v>1</v>
      </c>
      <c r="AD84">
        <f t="shared" si="3"/>
        <v>0.95180722891566261</v>
      </c>
    </row>
    <row r="85" spans="1:30">
      <c r="A85" s="30">
        <v>80</v>
      </c>
      <c r="B85" s="9" t="s">
        <v>248</v>
      </c>
      <c r="C85" s="5" t="s">
        <v>34</v>
      </c>
      <c r="D85" s="9" t="s">
        <v>35</v>
      </c>
      <c r="E85" s="9" t="s">
        <v>46</v>
      </c>
      <c r="F85" s="5" t="s">
        <v>249</v>
      </c>
      <c r="G85" s="5" t="s">
        <v>245</v>
      </c>
      <c r="H85" s="15" t="s">
        <v>246</v>
      </c>
      <c r="I85" s="15" t="s">
        <v>86</v>
      </c>
      <c r="J85" s="5">
        <v>2022</v>
      </c>
      <c r="K85" s="15">
        <v>97</v>
      </c>
      <c r="L85" s="9">
        <v>97</v>
      </c>
      <c r="M85" s="15">
        <v>97</v>
      </c>
      <c r="N85" s="15" t="s">
        <v>41</v>
      </c>
      <c r="O85" s="5" t="s">
        <v>42</v>
      </c>
      <c r="P85" s="5"/>
      <c r="Q85" s="21" t="s">
        <v>75</v>
      </c>
      <c r="R85" s="21"/>
      <c r="S85" s="18"/>
      <c r="T85" s="9"/>
      <c r="U85" s="9"/>
      <c r="V85" s="75">
        <v>-2.1202122999999999</v>
      </c>
      <c r="W85" s="9">
        <v>106.0750427</v>
      </c>
      <c r="X85" s="53"/>
      <c r="Y85" s="27"/>
      <c r="Z85" s="43"/>
      <c r="AA85" s="80"/>
      <c r="AB85" s="46"/>
      <c r="AC85">
        <f t="shared" ref="AC85:AC107" si="4">IF(A85="","",IFERROR(L85/K85,0))</f>
        <v>1</v>
      </c>
      <c r="AD85">
        <f t="shared" ref="AD85:AD107" si="5">IF(A85="","",IFERROR(M85/L85,0))</f>
        <v>1</v>
      </c>
    </row>
    <row r="86" spans="1:30">
      <c r="A86" s="29">
        <v>81</v>
      </c>
      <c r="B86" s="9" t="s">
        <v>250</v>
      </c>
      <c r="C86" s="5" t="s">
        <v>34</v>
      </c>
      <c r="D86" s="9" t="s">
        <v>60</v>
      </c>
      <c r="E86" s="9" t="s">
        <v>70</v>
      </c>
      <c r="F86" s="5" t="s">
        <v>236</v>
      </c>
      <c r="G86" s="5" t="s">
        <v>245</v>
      </c>
      <c r="H86" s="15" t="s">
        <v>246</v>
      </c>
      <c r="I86" s="15" t="s">
        <v>86</v>
      </c>
      <c r="J86" s="5">
        <v>2023</v>
      </c>
      <c r="K86" s="15">
        <v>97</v>
      </c>
      <c r="L86" s="9">
        <v>97</v>
      </c>
      <c r="M86" s="15">
        <v>97</v>
      </c>
      <c r="N86" s="15" t="s">
        <v>48</v>
      </c>
      <c r="O86" s="5">
        <v>2025</v>
      </c>
      <c r="P86" s="5"/>
      <c r="Q86" s="21" t="s">
        <v>43</v>
      </c>
      <c r="R86" s="21"/>
      <c r="S86" s="18"/>
      <c r="T86" s="9"/>
      <c r="U86" s="9"/>
      <c r="V86" s="75">
        <v>-2.0932569999999999</v>
      </c>
      <c r="W86" s="9">
        <v>106.09328499999999</v>
      </c>
      <c r="X86" s="53"/>
      <c r="Y86" s="27"/>
      <c r="Z86" s="43"/>
      <c r="AA86" s="80"/>
      <c r="AB86" s="46"/>
      <c r="AC86">
        <f t="shared" si="4"/>
        <v>1</v>
      </c>
      <c r="AD86">
        <f t="shared" si="5"/>
        <v>1</v>
      </c>
    </row>
    <row r="87" spans="1:30">
      <c r="A87" s="30">
        <v>82</v>
      </c>
      <c r="B87" s="9" t="s">
        <v>251</v>
      </c>
      <c r="C87" s="5" t="s">
        <v>34</v>
      </c>
      <c r="D87" s="9" t="s">
        <v>60</v>
      </c>
      <c r="E87" s="9" t="s">
        <v>70</v>
      </c>
      <c r="F87" s="5" t="s">
        <v>236</v>
      </c>
      <c r="G87" s="5" t="s">
        <v>245</v>
      </c>
      <c r="H87" s="15" t="s">
        <v>246</v>
      </c>
      <c r="I87" s="15" t="s">
        <v>86</v>
      </c>
      <c r="J87" s="5">
        <v>2024</v>
      </c>
      <c r="K87" s="15">
        <v>128</v>
      </c>
      <c r="L87" s="9">
        <v>128</v>
      </c>
      <c r="M87" s="15">
        <v>128</v>
      </c>
      <c r="N87" s="15" t="s">
        <v>41</v>
      </c>
      <c r="O87" s="5" t="s">
        <v>42</v>
      </c>
      <c r="P87" s="5"/>
      <c r="Q87" s="21" t="s">
        <v>43</v>
      </c>
      <c r="R87" s="21" t="s">
        <v>88</v>
      </c>
      <c r="S87" s="18"/>
      <c r="T87" s="9"/>
      <c r="U87" s="9"/>
      <c r="V87" s="75">
        <v>-2.0918890000000001</v>
      </c>
      <c r="W87" s="9">
        <v>106.09471600000001</v>
      </c>
      <c r="X87" s="53"/>
      <c r="Y87" s="27"/>
      <c r="Z87" s="43"/>
      <c r="AA87" s="80"/>
      <c r="AB87" s="46"/>
      <c r="AC87">
        <f t="shared" si="4"/>
        <v>1</v>
      </c>
      <c r="AD87">
        <f t="shared" si="5"/>
        <v>1</v>
      </c>
    </row>
    <row r="88" spans="1:30">
      <c r="A88" s="29">
        <v>83</v>
      </c>
      <c r="B88" s="9" t="s">
        <v>252</v>
      </c>
      <c r="C88" s="5" t="s">
        <v>34</v>
      </c>
      <c r="D88" s="9" t="s">
        <v>81</v>
      </c>
      <c r="E88" s="9" t="s">
        <v>202</v>
      </c>
      <c r="F88" s="5" t="s">
        <v>253</v>
      </c>
      <c r="G88" s="5" t="s">
        <v>254</v>
      </c>
      <c r="H88" s="15" t="s">
        <v>255</v>
      </c>
      <c r="I88" s="15" t="s">
        <v>42</v>
      </c>
      <c r="J88" s="5">
        <v>2017</v>
      </c>
      <c r="K88" s="15">
        <v>48</v>
      </c>
      <c r="L88" s="9">
        <v>48</v>
      </c>
      <c r="M88" s="15">
        <v>48</v>
      </c>
      <c r="N88" s="15" t="s">
        <v>41</v>
      </c>
      <c r="O88" s="5" t="s">
        <v>42</v>
      </c>
      <c r="P88" s="5"/>
      <c r="Q88" s="21" t="s">
        <v>43</v>
      </c>
      <c r="R88" s="21"/>
      <c r="S88" s="18"/>
      <c r="T88" s="9"/>
      <c r="U88" s="9"/>
      <c r="V88" s="75"/>
      <c r="W88" s="9"/>
      <c r="X88" s="53"/>
      <c r="Y88" s="27"/>
      <c r="Z88" s="43"/>
      <c r="AA88" s="80"/>
      <c r="AB88" s="46"/>
      <c r="AC88">
        <f t="shared" si="4"/>
        <v>1</v>
      </c>
      <c r="AD88">
        <f t="shared" si="5"/>
        <v>1</v>
      </c>
    </row>
    <row r="89" spans="1:30">
      <c r="A89" s="30">
        <v>84</v>
      </c>
      <c r="B89" s="9" t="s">
        <v>256</v>
      </c>
      <c r="C89" s="5" t="s">
        <v>34</v>
      </c>
      <c r="D89" s="9" t="s">
        <v>35</v>
      </c>
      <c r="E89" s="9" t="s">
        <v>136</v>
      </c>
      <c r="F89" s="5" t="s">
        <v>137</v>
      </c>
      <c r="G89" s="5" t="s">
        <v>42</v>
      </c>
      <c r="H89" s="15" t="s">
        <v>42</v>
      </c>
      <c r="I89" s="15" t="s">
        <v>42</v>
      </c>
      <c r="J89" s="5" t="s">
        <v>42</v>
      </c>
      <c r="K89" s="15">
        <v>12</v>
      </c>
      <c r="L89" s="9">
        <v>12</v>
      </c>
      <c r="M89" s="15">
        <v>12</v>
      </c>
      <c r="N89" s="15" t="s">
        <v>41</v>
      </c>
      <c r="O89" s="5" t="s">
        <v>42</v>
      </c>
      <c r="P89" s="5"/>
      <c r="Q89" s="21" t="s">
        <v>43</v>
      </c>
      <c r="R89" s="21"/>
      <c r="S89" s="18"/>
      <c r="T89" s="9"/>
      <c r="U89" s="9"/>
      <c r="V89" s="75">
        <v>-2.106166</v>
      </c>
      <c r="W89" s="9">
        <v>106.092079</v>
      </c>
      <c r="X89" s="53"/>
      <c r="Y89" s="27"/>
      <c r="Z89" s="43"/>
      <c r="AA89" s="80"/>
      <c r="AB89" s="46"/>
      <c r="AC89">
        <f t="shared" si="4"/>
        <v>1</v>
      </c>
      <c r="AD89">
        <f t="shared" si="5"/>
        <v>1</v>
      </c>
    </row>
    <row r="90" spans="1:30">
      <c r="A90" s="29">
        <v>85</v>
      </c>
      <c r="B90" s="9" t="s">
        <v>257</v>
      </c>
      <c r="C90" s="5" t="s">
        <v>170</v>
      </c>
      <c r="D90" s="9" t="s">
        <v>81</v>
      </c>
      <c r="E90" s="9" t="s">
        <v>202</v>
      </c>
      <c r="F90" s="5" t="s">
        <v>258</v>
      </c>
      <c r="G90" s="5" t="s">
        <v>259</v>
      </c>
      <c r="H90" s="15" t="s">
        <v>42</v>
      </c>
      <c r="I90" s="15" t="s">
        <v>42</v>
      </c>
      <c r="J90" s="5">
        <v>2019</v>
      </c>
      <c r="K90" s="15">
        <v>339</v>
      </c>
      <c r="L90" s="9">
        <v>239</v>
      </c>
      <c r="M90" s="15">
        <v>134</v>
      </c>
      <c r="N90" s="15" t="s">
        <v>41</v>
      </c>
      <c r="O90" s="5" t="s">
        <v>42</v>
      </c>
      <c r="P90" s="5"/>
      <c r="Q90" s="21" t="s">
        <v>72</v>
      </c>
      <c r="R90" s="21"/>
      <c r="S90" s="18"/>
      <c r="T90" s="9"/>
      <c r="U90" s="9"/>
      <c r="V90" s="75">
        <v>-2.1276793999999999</v>
      </c>
      <c r="W90" s="9">
        <v>106.1520824</v>
      </c>
      <c r="X90" s="53"/>
      <c r="Y90" s="27"/>
      <c r="Z90" s="43"/>
      <c r="AA90" s="80"/>
      <c r="AB90" s="46"/>
      <c r="AC90">
        <f t="shared" si="4"/>
        <v>0.70501474926253682</v>
      </c>
      <c r="AD90">
        <f t="shared" si="5"/>
        <v>0.56066945606694563</v>
      </c>
    </row>
    <row r="91" spans="1:30">
      <c r="A91" s="30">
        <v>86</v>
      </c>
      <c r="B91" s="9" t="s">
        <v>1895</v>
      </c>
      <c r="C91" s="5" t="s">
        <v>170</v>
      </c>
      <c r="D91" s="9" t="s">
        <v>35</v>
      </c>
      <c r="E91" s="9" t="s">
        <v>184</v>
      </c>
      <c r="F91" s="5" t="s">
        <v>104</v>
      </c>
      <c r="G91" s="5" t="s">
        <v>309</v>
      </c>
      <c r="H91" s="15" t="s">
        <v>310</v>
      </c>
      <c r="I91" s="15" t="s">
        <v>86</v>
      </c>
      <c r="J91" s="5">
        <v>2021</v>
      </c>
      <c r="K91" s="15">
        <v>20</v>
      </c>
      <c r="L91" s="9">
        <v>16</v>
      </c>
      <c r="M91" s="15">
        <v>16</v>
      </c>
      <c r="N91" s="15" t="s">
        <v>41</v>
      </c>
      <c r="O91" s="5" t="s">
        <v>42</v>
      </c>
      <c r="P91" s="5"/>
      <c r="Q91" s="21" t="s">
        <v>43</v>
      </c>
      <c r="R91" s="21"/>
      <c r="S91" s="18"/>
      <c r="T91" s="9"/>
      <c r="U91" s="9"/>
      <c r="V91" s="75">
        <v>-2.1150597000000002</v>
      </c>
      <c r="W91" s="9">
        <v>106.08923830000001</v>
      </c>
      <c r="X91" s="53"/>
      <c r="Y91" s="27"/>
      <c r="Z91" s="43"/>
      <c r="AA91" s="80"/>
      <c r="AB91" s="46"/>
      <c r="AC91">
        <f t="shared" si="4"/>
        <v>0.8</v>
      </c>
      <c r="AD91">
        <f t="shared" si="5"/>
        <v>1</v>
      </c>
    </row>
    <row r="92" spans="1:30" ht="25">
      <c r="A92" s="29">
        <v>87</v>
      </c>
      <c r="B92" s="9" t="s">
        <v>260</v>
      </c>
      <c r="C92" s="5" t="s">
        <v>90</v>
      </c>
      <c r="D92" s="9" t="s">
        <v>81</v>
      </c>
      <c r="E92" s="9" t="s">
        <v>82</v>
      </c>
      <c r="F92" s="5" t="s">
        <v>261</v>
      </c>
      <c r="G92" s="5" t="s">
        <v>262</v>
      </c>
      <c r="H92" s="15" t="s">
        <v>85</v>
      </c>
      <c r="I92" s="15" t="s">
        <v>86</v>
      </c>
      <c r="J92" s="5">
        <v>2018</v>
      </c>
      <c r="K92" s="15">
        <v>168</v>
      </c>
      <c r="L92" s="9">
        <v>168</v>
      </c>
      <c r="M92" s="15">
        <v>157</v>
      </c>
      <c r="N92" s="15" t="s">
        <v>48</v>
      </c>
      <c r="O92" s="5">
        <v>2020</v>
      </c>
      <c r="P92" s="5"/>
      <c r="Q92" s="21" t="s">
        <v>72</v>
      </c>
      <c r="R92" s="21"/>
      <c r="S92" s="18"/>
      <c r="T92" s="9"/>
      <c r="U92" s="9"/>
      <c r="V92" s="75">
        <v>-2.1409722000000002</v>
      </c>
      <c r="W92" s="9">
        <v>106.1375556</v>
      </c>
      <c r="X92" s="53"/>
      <c r="Y92" s="27"/>
      <c r="Z92" s="43"/>
      <c r="AA92" s="80"/>
      <c r="AB92" s="46"/>
      <c r="AC92">
        <f t="shared" si="4"/>
        <v>1</v>
      </c>
      <c r="AD92">
        <f t="shared" si="5"/>
        <v>0.93452380952380953</v>
      </c>
    </row>
    <row r="93" spans="1:30">
      <c r="A93" s="30">
        <v>88</v>
      </c>
      <c r="B93" s="9" t="s">
        <v>263</v>
      </c>
      <c r="C93" s="5" t="s">
        <v>34</v>
      </c>
      <c r="D93" s="9" t="s">
        <v>81</v>
      </c>
      <c r="E93" s="9" t="s">
        <v>122</v>
      </c>
      <c r="F93" s="5" t="s">
        <v>163</v>
      </c>
      <c r="G93" s="5" t="s">
        <v>262</v>
      </c>
      <c r="H93" s="15" t="s">
        <v>85</v>
      </c>
      <c r="I93" s="15" t="s">
        <v>86</v>
      </c>
      <c r="J93" s="5">
        <v>2016</v>
      </c>
      <c r="K93" s="15">
        <v>147</v>
      </c>
      <c r="L93" s="9">
        <v>147</v>
      </c>
      <c r="M93" s="15">
        <v>147</v>
      </c>
      <c r="N93" s="15" t="s">
        <v>48</v>
      </c>
      <c r="O93" s="5">
        <v>2020</v>
      </c>
      <c r="P93" s="5"/>
      <c r="Q93" s="21" t="s">
        <v>72</v>
      </c>
      <c r="R93" s="21" t="s">
        <v>55</v>
      </c>
      <c r="S93" s="18"/>
      <c r="T93" s="9"/>
      <c r="U93" s="9"/>
      <c r="V93" s="75">
        <v>-2.1399853000000002</v>
      </c>
      <c r="W93" s="9">
        <v>106.165569</v>
      </c>
      <c r="X93" s="53"/>
      <c r="Y93" s="27"/>
      <c r="Z93" s="43"/>
      <c r="AA93" s="80"/>
      <c r="AB93" s="46"/>
      <c r="AC93">
        <f t="shared" si="4"/>
        <v>1</v>
      </c>
      <c r="AD93">
        <f t="shared" si="5"/>
        <v>1</v>
      </c>
    </row>
    <row r="94" spans="1:30">
      <c r="A94" s="29">
        <v>89</v>
      </c>
      <c r="B94" s="9" t="s">
        <v>264</v>
      </c>
      <c r="C94" s="5" t="s">
        <v>34</v>
      </c>
      <c r="D94" s="9" t="s">
        <v>81</v>
      </c>
      <c r="E94" s="9" t="s">
        <v>122</v>
      </c>
      <c r="F94" s="5" t="s">
        <v>163</v>
      </c>
      <c r="G94" s="5" t="s">
        <v>262</v>
      </c>
      <c r="H94" s="15" t="s">
        <v>85</v>
      </c>
      <c r="I94" s="15" t="s">
        <v>86</v>
      </c>
      <c r="J94" s="5">
        <v>2020</v>
      </c>
      <c r="K94" s="15">
        <v>43</v>
      </c>
      <c r="L94" s="9">
        <v>43</v>
      </c>
      <c r="M94" s="15">
        <v>36</v>
      </c>
      <c r="N94" s="15" t="s">
        <v>48</v>
      </c>
      <c r="O94" s="5">
        <v>2021</v>
      </c>
      <c r="P94" s="5"/>
      <c r="Q94" s="21" t="s">
        <v>72</v>
      </c>
      <c r="R94" s="21" t="s">
        <v>55</v>
      </c>
      <c r="S94" s="18"/>
      <c r="T94" s="9" t="s">
        <v>44</v>
      </c>
      <c r="U94" s="9"/>
      <c r="V94" s="75">
        <v>-2.1399853000000002</v>
      </c>
      <c r="W94" s="9">
        <v>106.1655691</v>
      </c>
      <c r="X94" s="53"/>
      <c r="Y94" s="27"/>
      <c r="Z94" s="43"/>
      <c r="AA94" s="80"/>
      <c r="AB94" s="46"/>
      <c r="AC94">
        <f t="shared" si="4"/>
        <v>1</v>
      </c>
      <c r="AD94">
        <f t="shared" si="5"/>
        <v>0.83720930232558144</v>
      </c>
    </row>
    <row r="95" spans="1:30">
      <c r="A95" s="30">
        <v>90</v>
      </c>
      <c r="B95" s="9" t="s">
        <v>265</v>
      </c>
      <c r="C95" s="5" t="s">
        <v>34</v>
      </c>
      <c r="D95" s="9" t="s">
        <v>60</v>
      </c>
      <c r="E95" s="9" t="s">
        <v>266</v>
      </c>
      <c r="F95" s="5" t="s">
        <v>267</v>
      </c>
      <c r="G95" s="5" t="s">
        <v>268</v>
      </c>
      <c r="H95" s="15" t="s">
        <v>85</v>
      </c>
      <c r="I95" s="15" t="s">
        <v>86</v>
      </c>
      <c r="J95" s="5">
        <v>2021</v>
      </c>
      <c r="K95" s="15">
        <v>92</v>
      </c>
      <c r="L95" s="9">
        <v>92</v>
      </c>
      <c r="M95" s="15">
        <v>92</v>
      </c>
      <c r="N95" s="15" t="s">
        <v>41</v>
      </c>
      <c r="O95" s="5" t="s">
        <v>42</v>
      </c>
      <c r="P95" s="5"/>
      <c r="Q95" s="21" t="s">
        <v>43</v>
      </c>
      <c r="R95" s="21"/>
      <c r="S95" s="18"/>
      <c r="T95" s="9" t="s">
        <v>44</v>
      </c>
      <c r="U95" s="9"/>
      <c r="V95" s="75">
        <v>-2.0881560000000001</v>
      </c>
      <c r="W95" s="9">
        <v>106.11421300000001</v>
      </c>
      <c r="X95" s="53"/>
      <c r="Y95" s="27"/>
      <c r="Z95" s="43"/>
      <c r="AA95" s="80"/>
      <c r="AB95" s="46"/>
      <c r="AC95">
        <f t="shared" si="4"/>
        <v>1</v>
      </c>
      <c r="AD95">
        <f t="shared" si="5"/>
        <v>1</v>
      </c>
    </row>
    <row r="96" spans="1:30">
      <c r="A96" s="29">
        <v>91</v>
      </c>
      <c r="B96" s="9" t="s">
        <v>269</v>
      </c>
      <c r="C96" s="5" t="s">
        <v>34</v>
      </c>
      <c r="D96" s="9" t="s">
        <v>60</v>
      </c>
      <c r="E96" s="9" t="s">
        <v>266</v>
      </c>
      <c r="F96" s="5" t="s">
        <v>267</v>
      </c>
      <c r="G96" s="5" t="s">
        <v>268</v>
      </c>
      <c r="H96" s="15" t="s">
        <v>85</v>
      </c>
      <c r="I96" s="15" t="s">
        <v>86</v>
      </c>
      <c r="J96" s="5">
        <v>2024</v>
      </c>
      <c r="K96" s="15">
        <v>69</v>
      </c>
      <c r="L96" s="9">
        <v>0</v>
      </c>
      <c r="M96" s="15">
        <v>0</v>
      </c>
      <c r="N96" s="15" t="s">
        <v>41</v>
      </c>
      <c r="O96" s="5" t="s">
        <v>42</v>
      </c>
      <c r="P96" s="5"/>
      <c r="Q96" s="21" t="s">
        <v>43</v>
      </c>
      <c r="R96" s="21"/>
      <c r="S96" s="18"/>
      <c r="T96" s="9"/>
      <c r="U96" s="9"/>
      <c r="V96" s="75">
        <v>-2.0873370000000002</v>
      </c>
      <c r="W96" s="9">
        <v>106.115123</v>
      </c>
      <c r="X96" s="53"/>
      <c r="Y96" s="27"/>
      <c r="Z96" s="43"/>
      <c r="AA96" s="80"/>
      <c r="AB96" s="46"/>
      <c r="AC96">
        <f t="shared" si="4"/>
        <v>0</v>
      </c>
      <c r="AD96">
        <f t="shared" si="5"/>
        <v>0</v>
      </c>
    </row>
    <row r="97" spans="1:30">
      <c r="A97" s="30">
        <v>92</v>
      </c>
      <c r="B97" s="9" t="s">
        <v>270</v>
      </c>
      <c r="C97" s="5" t="s">
        <v>34</v>
      </c>
      <c r="D97" s="9" t="s">
        <v>81</v>
      </c>
      <c r="E97" s="9" t="s">
        <v>122</v>
      </c>
      <c r="F97" s="5" t="s">
        <v>129</v>
      </c>
      <c r="G97" s="5" t="s">
        <v>262</v>
      </c>
      <c r="H97" s="15" t="s">
        <v>85</v>
      </c>
      <c r="I97" s="15" t="s">
        <v>86</v>
      </c>
      <c r="J97" s="5">
        <v>2019</v>
      </c>
      <c r="K97" s="15">
        <v>98</v>
      </c>
      <c r="L97" s="9">
        <v>90</v>
      </c>
      <c r="M97" s="15">
        <v>84</v>
      </c>
      <c r="N97" s="15" t="s">
        <v>48</v>
      </c>
      <c r="O97" s="5">
        <v>2021</v>
      </c>
      <c r="P97" s="5"/>
      <c r="Q97" s="21" t="s">
        <v>43</v>
      </c>
      <c r="R97" s="21"/>
      <c r="S97" s="18"/>
      <c r="T97" s="9"/>
      <c r="U97" s="9"/>
      <c r="V97" s="75">
        <v>-2.1327805999999998</v>
      </c>
      <c r="W97" s="9">
        <v>106.16383949999999</v>
      </c>
      <c r="X97" s="53"/>
      <c r="Y97" s="27"/>
      <c r="Z97" s="43"/>
      <c r="AA97" s="80"/>
      <c r="AB97" s="46"/>
      <c r="AC97">
        <f t="shared" si="4"/>
        <v>0.91836734693877553</v>
      </c>
      <c r="AD97">
        <f t="shared" si="5"/>
        <v>0.93333333333333335</v>
      </c>
    </row>
    <row r="98" spans="1:30">
      <c r="A98" s="29">
        <v>93</v>
      </c>
      <c r="B98" s="9" t="s">
        <v>271</v>
      </c>
      <c r="C98" s="5" t="s">
        <v>34</v>
      </c>
      <c r="D98" s="9" t="s">
        <v>81</v>
      </c>
      <c r="E98" s="9" t="s">
        <v>122</v>
      </c>
      <c r="F98" s="5" t="s">
        <v>129</v>
      </c>
      <c r="G98" s="5" t="s">
        <v>262</v>
      </c>
      <c r="H98" s="15" t="s">
        <v>85</v>
      </c>
      <c r="I98" s="15" t="s">
        <v>86</v>
      </c>
      <c r="J98" s="5">
        <v>2019</v>
      </c>
      <c r="K98" s="15">
        <v>139</v>
      </c>
      <c r="L98" s="9">
        <v>139</v>
      </c>
      <c r="M98" s="15">
        <v>136</v>
      </c>
      <c r="N98" s="15" t="s">
        <v>48</v>
      </c>
      <c r="O98" s="5">
        <v>2023</v>
      </c>
      <c r="P98" s="5"/>
      <c r="Q98" s="21" t="s">
        <v>43</v>
      </c>
      <c r="R98" s="21"/>
      <c r="S98" s="18"/>
      <c r="T98" s="9"/>
      <c r="U98" s="9"/>
      <c r="V98" s="75">
        <v>-2.1327805999999998</v>
      </c>
      <c r="W98" s="9">
        <v>106.1638396</v>
      </c>
      <c r="X98" s="53"/>
      <c r="Y98" s="27"/>
      <c r="Z98" s="43"/>
      <c r="AA98" s="80"/>
      <c r="AB98" s="46"/>
      <c r="AC98">
        <f t="shared" si="4"/>
        <v>1</v>
      </c>
      <c r="AD98">
        <f t="shared" si="5"/>
        <v>0.97841726618705038</v>
      </c>
    </row>
    <row r="99" spans="1:30">
      <c r="A99" s="30">
        <v>94</v>
      </c>
      <c r="B99" s="9" t="s">
        <v>272</v>
      </c>
      <c r="C99" s="5" t="s">
        <v>34</v>
      </c>
      <c r="D99" s="9" t="s">
        <v>35</v>
      </c>
      <c r="E99" s="9" t="s">
        <v>36</v>
      </c>
      <c r="F99" s="5" t="s">
        <v>54</v>
      </c>
      <c r="G99" s="5" t="s">
        <v>262</v>
      </c>
      <c r="H99" s="15" t="s">
        <v>85</v>
      </c>
      <c r="I99" s="15" t="s">
        <v>86</v>
      </c>
      <c r="J99" s="5">
        <v>2021</v>
      </c>
      <c r="K99" s="15">
        <v>112</v>
      </c>
      <c r="L99" s="9">
        <v>90</v>
      </c>
      <c r="M99" s="15">
        <v>90</v>
      </c>
      <c r="N99" s="15" t="s">
        <v>41</v>
      </c>
      <c r="O99" s="5" t="s">
        <v>42</v>
      </c>
      <c r="P99" s="5"/>
      <c r="Q99" s="21" t="s">
        <v>43</v>
      </c>
      <c r="R99" s="21" t="s">
        <v>88</v>
      </c>
      <c r="S99" s="18"/>
      <c r="T99" s="9" t="s">
        <v>44</v>
      </c>
      <c r="U99" s="9"/>
      <c r="V99" s="75">
        <v>-2.099383</v>
      </c>
      <c r="W99" s="9">
        <v>106.0753648</v>
      </c>
      <c r="X99" s="53"/>
      <c r="Y99" s="27"/>
      <c r="Z99" s="43"/>
      <c r="AA99" s="80"/>
      <c r="AB99" s="46"/>
      <c r="AC99">
        <f t="shared" si="4"/>
        <v>0.8035714285714286</v>
      </c>
      <c r="AD99">
        <f t="shared" si="5"/>
        <v>1</v>
      </c>
    </row>
    <row r="100" spans="1:30">
      <c r="A100" s="29">
        <v>95</v>
      </c>
      <c r="B100" s="9" t="s">
        <v>273</v>
      </c>
      <c r="C100" s="5" t="s">
        <v>34</v>
      </c>
      <c r="D100" s="9" t="s">
        <v>35</v>
      </c>
      <c r="E100" s="9" t="s">
        <v>36</v>
      </c>
      <c r="F100" s="5" t="s">
        <v>274</v>
      </c>
      <c r="G100" s="5" t="s">
        <v>262</v>
      </c>
      <c r="H100" s="15" t="s">
        <v>85</v>
      </c>
      <c r="I100" s="15" t="s">
        <v>86</v>
      </c>
      <c r="J100" s="5">
        <v>2024</v>
      </c>
      <c r="K100" s="15">
        <v>71</v>
      </c>
      <c r="L100" s="9">
        <v>12</v>
      </c>
      <c r="M100" s="15">
        <v>0</v>
      </c>
      <c r="N100" s="15" t="s">
        <v>41</v>
      </c>
      <c r="O100" s="5" t="s">
        <v>42</v>
      </c>
      <c r="P100" s="5"/>
      <c r="Q100" s="21" t="s">
        <v>43</v>
      </c>
      <c r="R100" s="21" t="s">
        <v>88</v>
      </c>
      <c r="S100" s="18"/>
      <c r="T100" s="9" t="s">
        <v>44</v>
      </c>
      <c r="U100" s="9"/>
      <c r="V100" s="75">
        <v>-2.0993406999999999</v>
      </c>
      <c r="W100" s="9">
        <v>106.07502890000001</v>
      </c>
      <c r="X100" s="53"/>
      <c r="Y100" s="27"/>
      <c r="Z100" s="43"/>
      <c r="AA100" s="80"/>
      <c r="AB100" s="46"/>
      <c r="AC100">
        <f t="shared" si="4"/>
        <v>0.16901408450704225</v>
      </c>
      <c r="AD100">
        <f t="shared" si="5"/>
        <v>0</v>
      </c>
    </row>
    <row r="101" spans="1:30">
      <c r="A101" s="30">
        <v>96</v>
      </c>
      <c r="B101" s="9" t="s">
        <v>275</v>
      </c>
      <c r="C101" s="5" t="s">
        <v>34</v>
      </c>
      <c r="D101" s="9" t="s">
        <v>81</v>
      </c>
      <c r="E101" s="9" t="s">
        <v>122</v>
      </c>
      <c r="F101" s="5" t="s">
        <v>276</v>
      </c>
      <c r="G101" s="5" t="s">
        <v>268</v>
      </c>
      <c r="H101" s="15" t="s">
        <v>85</v>
      </c>
      <c r="I101" s="15" t="s">
        <v>86</v>
      </c>
      <c r="J101" s="5">
        <v>2023</v>
      </c>
      <c r="K101" s="15">
        <v>133</v>
      </c>
      <c r="L101" s="9">
        <v>78</v>
      </c>
      <c r="M101" s="15">
        <v>33</v>
      </c>
      <c r="N101" s="15" t="s">
        <v>41</v>
      </c>
      <c r="O101" s="5" t="s">
        <v>42</v>
      </c>
      <c r="P101" s="5"/>
      <c r="Q101" s="21" t="s">
        <v>43</v>
      </c>
      <c r="R101" s="21" t="s">
        <v>88</v>
      </c>
      <c r="S101" s="18"/>
      <c r="T101" s="9"/>
      <c r="U101" s="9"/>
      <c r="V101" s="75">
        <v>-2.1267033</v>
      </c>
      <c r="W101" s="9">
        <v>106.1668955</v>
      </c>
      <c r="X101" s="53"/>
      <c r="Y101" s="27"/>
      <c r="Z101" s="43"/>
      <c r="AA101" s="80"/>
      <c r="AB101" s="46"/>
      <c r="AC101">
        <f t="shared" si="4"/>
        <v>0.5864661654135338</v>
      </c>
      <c r="AD101">
        <f t="shared" si="5"/>
        <v>0.42307692307692307</v>
      </c>
    </row>
    <row r="102" spans="1:30">
      <c r="A102" s="29">
        <v>97</v>
      </c>
      <c r="B102" s="9" t="s">
        <v>277</v>
      </c>
      <c r="C102" s="5" t="s">
        <v>34</v>
      </c>
      <c r="D102" s="9" t="s">
        <v>81</v>
      </c>
      <c r="E102" s="9" t="s">
        <v>122</v>
      </c>
      <c r="F102" s="5" t="s">
        <v>276</v>
      </c>
      <c r="G102" s="5" t="s">
        <v>268</v>
      </c>
      <c r="H102" s="15" t="s">
        <v>85</v>
      </c>
      <c r="I102" s="15" t="s">
        <v>86</v>
      </c>
      <c r="J102" s="5">
        <v>2023</v>
      </c>
      <c r="K102" s="15">
        <v>130</v>
      </c>
      <c r="L102" s="9">
        <v>46</v>
      </c>
      <c r="M102" s="15">
        <v>18</v>
      </c>
      <c r="N102" s="15" t="s">
        <v>41</v>
      </c>
      <c r="O102" s="5" t="s">
        <v>42</v>
      </c>
      <c r="P102" s="5"/>
      <c r="Q102" s="21" t="s">
        <v>43</v>
      </c>
      <c r="R102" s="21" t="s">
        <v>88</v>
      </c>
      <c r="S102" s="18"/>
      <c r="T102" s="9"/>
      <c r="U102" s="9"/>
      <c r="V102" s="75">
        <v>-2.1267033</v>
      </c>
      <c r="W102" s="9">
        <v>106.1668955</v>
      </c>
      <c r="X102" s="53"/>
      <c r="Y102" s="27"/>
      <c r="Z102" s="43"/>
      <c r="AA102" s="80"/>
      <c r="AB102" s="46"/>
      <c r="AC102">
        <f t="shared" si="4"/>
        <v>0.35384615384615387</v>
      </c>
      <c r="AD102">
        <f t="shared" si="5"/>
        <v>0.39130434782608697</v>
      </c>
    </row>
    <row r="103" spans="1:30">
      <c r="A103" s="30">
        <v>98</v>
      </c>
      <c r="B103" s="9" t="s">
        <v>278</v>
      </c>
      <c r="C103" s="5" t="s">
        <v>34</v>
      </c>
      <c r="D103" s="9" t="s">
        <v>35</v>
      </c>
      <c r="E103" s="9" t="s">
        <v>46</v>
      </c>
      <c r="F103" s="5" t="s">
        <v>51</v>
      </c>
      <c r="G103" s="5" t="s">
        <v>38</v>
      </c>
      <c r="H103" s="15" t="s">
        <v>39</v>
      </c>
      <c r="I103" s="15" t="s">
        <v>40</v>
      </c>
      <c r="J103" s="5">
        <v>2016</v>
      </c>
      <c r="K103" s="15">
        <v>31</v>
      </c>
      <c r="L103" s="9">
        <v>31</v>
      </c>
      <c r="M103" s="15">
        <v>31</v>
      </c>
      <c r="N103" s="15" t="s">
        <v>41</v>
      </c>
      <c r="O103" s="5" t="s">
        <v>42</v>
      </c>
      <c r="P103" s="5"/>
      <c r="Q103" s="21" t="s">
        <v>43</v>
      </c>
      <c r="R103" s="21"/>
      <c r="S103" s="18"/>
      <c r="T103" s="9"/>
      <c r="U103" s="9"/>
      <c r="V103" s="75">
        <v>-2.1219239000000001</v>
      </c>
      <c r="W103" s="9">
        <v>106.07392950000001</v>
      </c>
      <c r="X103" s="53"/>
      <c r="Y103" s="27"/>
      <c r="Z103" s="43"/>
      <c r="AA103" s="80"/>
      <c r="AB103" s="46"/>
      <c r="AC103">
        <f t="shared" si="4"/>
        <v>1</v>
      </c>
      <c r="AD103">
        <f t="shared" si="5"/>
        <v>1</v>
      </c>
    </row>
    <row r="104" spans="1:30" ht="25">
      <c r="A104" s="29">
        <v>99</v>
      </c>
      <c r="B104" s="9" t="s">
        <v>279</v>
      </c>
      <c r="C104" s="5" t="s">
        <v>34</v>
      </c>
      <c r="D104" s="9" t="s">
        <v>35</v>
      </c>
      <c r="E104" s="9" t="s">
        <v>46</v>
      </c>
      <c r="F104" s="5" t="s">
        <v>280</v>
      </c>
      <c r="G104" s="5" t="s">
        <v>281</v>
      </c>
      <c r="H104" s="15" t="s">
        <v>282</v>
      </c>
      <c r="I104" s="15" t="s">
        <v>86</v>
      </c>
      <c r="J104" s="5">
        <v>2017</v>
      </c>
      <c r="K104" s="15">
        <v>316</v>
      </c>
      <c r="L104" s="9">
        <v>316</v>
      </c>
      <c r="M104" s="15">
        <v>306</v>
      </c>
      <c r="N104" s="15" t="s">
        <v>48</v>
      </c>
      <c r="O104" s="5">
        <v>2020</v>
      </c>
      <c r="P104" s="5"/>
      <c r="Q104" s="21" t="s">
        <v>72</v>
      </c>
      <c r="R104" s="21"/>
      <c r="S104" s="18"/>
      <c r="T104" s="9"/>
      <c r="U104" s="9"/>
      <c r="V104" s="75">
        <v>-2.1249530000000001</v>
      </c>
      <c r="W104" s="9">
        <v>106.07577000000001</v>
      </c>
      <c r="X104" s="53"/>
      <c r="Y104" s="27"/>
      <c r="Z104" s="43"/>
      <c r="AA104" s="80"/>
      <c r="AB104" s="46"/>
      <c r="AC104">
        <f t="shared" si="4"/>
        <v>1</v>
      </c>
      <c r="AD104">
        <f t="shared" si="5"/>
        <v>0.96835443037974689</v>
      </c>
    </row>
    <row r="105" spans="1:30" ht="25">
      <c r="A105" s="30">
        <v>100</v>
      </c>
      <c r="B105" s="9" t="s">
        <v>283</v>
      </c>
      <c r="C105" s="5" t="s">
        <v>34</v>
      </c>
      <c r="D105" s="9" t="s">
        <v>35</v>
      </c>
      <c r="E105" s="9" t="s">
        <v>46</v>
      </c>
      <c r="F105" s="5" t="s">
        <v>284</v>
      </c>
      <c r="G105" s="5" t="s">
        <v>281</v>
      </c>
      <c r="H105" s="15" t="s">
        <v>282</v>
      </c>
      <c r="I105" s="15" t="s">
        <v>86</v>
      </c>
      <c r="J105" s="5">
        <v>2020</v>
      </c>
      <c r="K105" s="15">
        <v>271</v>
      </c>
      <c r="L105" s="9">
        <v>271</v>
      </c>
      <c r="M105" s="15">
        <v>271</v>
      </c>
      <c r="N105" s="15" t="s">
        <v>41</v>
      </c>
      <c r="O105" s="5" t="s">
        <v>42</v>
      </c>
      <c r="P105" s="5"/>
      <c r="Q105" s="21" t="s">
        <v>43</v>
      </c>
      <c r="R105" s="21"/>
      <c r="S105" s="18"/>
      <c r="T105" s="9"/>
      <c r="U105" s="9"/>
      <c r="V105" s="75">
        <v>-2.1245880000000001</v>
      </c>
      <c r="W105" s="9">
        <v>106.07570800000001</v>
      </c>
      <c r="X105" s="53"/>
      <c r="Y105" s="27"/>
      <c r="Z105" s="43"/>
      <c r="AA105" s="80"/>
      <c r="AB105" s="46"/>
      <c r="AC105">
        <f t="shared" si="4"/>
        <v>1</v>
      </c>
      <c r="AD105">
        <f t="shared" si="5"/>
        <v>1</v>
      </c>
    </row>
    <row r="106" spans="1:30">
      <c r="A106" s="29">
        <v>101</v>
      </c>
      <c r="B106" s="9" t="s">
        <v>285</v>
      </c>
      <c r="C106" s="5" t="s">
        <v>34</v>
      </c>
      <c r="D106" s="9" t="s">
        <v>60</v>
      </c>
      <c r="E106" s="9" t="s">
        <v>70</v>
      </c>
      <c r="F106" s="5" t="s">
        <v>286</v>
      </c>
      <c r="G106" s="5" t="s">
        <v>287</v>
      </c>
      <c r="H106" s="15" t="s">
        <v>288</v>
      </c>
      <c r="I106" s="15" t="s">
        <v>86</v>
      </c>
      <c r="J106" s="5">
        <v>2019</v>
      </c>
      <c r="K106" s="15">
        <v>50</v>
      </c>
      <c r="L106" s="9">
        <v>50</v>
      </c>
      <c r="M106" s="15">
        <v>47</v>
      </c>
      <c r="N106" s="15" t="s">
        <v>48</v>
      </c>
      <c r="O106" s="5">
        <v>2022</v>
      </c>
      <c r="P106" s="5"/>
      <c r="Q106" s="21" t="s">
        <v>43</v>
      </c>
      <c r="R106" s="21" t="s">
        <v>113</v>
      </c>
      <c r="S106" s="18"/>
      <c r="T106" s="9"/>
      <c r="U106" s="9"/>
      <c r="V106" s="75">
        <v>-2.101267</v>
      </c>
      <c r="W106" s="9">
        <v>106.093493</v>
      </c>
      <c r="X106" s="53"/>
      <c r="Y106" s="27"/>
      <c r="Z106" s="43"/>
      <c r="AA106" s="80"/>
      <c r="AB106" s="46"/>
      <c r="AC106">
        <f t="shared" si="4"/>
        <v>1</v>
      </c>
      <c r="AD106">
        <f t="shared" si="5"/>
        <v>0.94</v>
      </c>
    </row>
    <row r="107" spans="1:30">
      <c r="A107" s="30">
        <v>102</v>
      </c>
      <c r="B107" s="9" t="s">
        <v>1899</v>
      </c>
      <c r="C107" s="5" t="s">
        <v>34</v>
      </c>
      <c r="D107" s="9" t="s">
        <v>81</v>
      </c>
      <c r="E107" s="9" t="s">
        <v>289</v>
      </c>
      <c r="F107" s="5" t="s">
        <v>290</v>
      </c>
      <c r="G107" s="5" t="s">
        <v>287</v>
      </c>
      <c r="H107" s="15" t="s">
        <v>288</v>
      </c>
      <c r="I107" s="15" t="s">
        <v>86</v>
      </c>
      <c r="J107" s="5">
        <v>2022</v>
      </c>
      <c r="K107" s="15">
        <v>34</v>
      </c>
      <c r="L107" s="9">
        <v>7</v>
      </c>
      <c r="M107" s="15">
        <v>7</v>
      </c>
      <c r="N107" s="15" t="s">
        <v>41</v>
      </c>
      <c r="O107" s="5" t="s">
        <v>42</v>
      </c>
      <c r="P107" s="5"/>
      <c r="Q107" s="21" t="s">
        <v>43</v>
      </c>
      <c r="R107" s="21" t="s">
        <v>88</v>
      </c>
      <c r="S107" s="18"/>
      <c r="T107" s="9"/>
      <c r="U107" s="9"/>
      <c r="V107" s="75">
        <v>-2.1226183000000001</v>
      </c>
      <c r="W107" s="9">
        <v>106.1419678</v>
      </c>
      <c r="X107" s="53"/>
      <c r="Y107" s="27"/>
      <c r="Z107" s="43"/>
      <c r="AA107" s="80"/>
      <c r="AB107" s="46"/>
      <c r="AC107">
        <f t="shared" si="4"/>
        <v>0.20588235294117646</v>
      </c>
      <c r="AD107">
        <f t="shared" si="5"/>
        <v>1</v>
      </c>
    </row>
    <row r="108" spans="1:30">
      <c r="A108" s="29">
        <v>103</v>
      </c>
      <c r="B108" s="9" t="s">
        <v>1872</v>
      </c>
      <c r="C108" s="5" t="s">
        <v>34</v>
      </c>
      <c r="D108" s="9" t="s">
        <v>35</v>
      </c>
      <c r="E108" s="9" t="s">
        <v>36</v>
      </c>
      <c r="F108" s="5" t="s">
        <v>274</v>
      </c>
      <c r="G108" s="5" t="s">
        <v>287</v>
      </c>
      <c r="H108" s="15" t="s">
        <v>288</v>
      </c>
      <c r="I108" s="15" t="s">
        <v>86</v>
      </c>
      <c r="J108" s="5">
        <v>2025</v>
      </c>
      <c r="K108" s="15">
        <v>92</v>
      </c>
      <c r="L108" s="9">
        <v>2</v>
      </c>
      <c r="M108" s="15">
        <v>0</v>
      </c>
      <c r="N108" s="15" t="s">
        <v>41</v>
      </c>
      <c r="O108" s="5" t="s">
        <v>42</v>
      </c>
      <c r="P108" s="5"/>
      <c r="Q108" s="21" t="s">
        <v>43</v>
      </c>
      <c r="R108" s="21" t="s">
        <v>88</v>
      </c>
      <c r="S108" s="18"/>
      <c r="T108" s="9"/>
      <c r="U108" s="9"/>
      <c r="V108" s="75">
        <v>-2.1023329999999998</v>
      </c>
      <c r="W108" s="9">
        <v>106.073194</v>
      </c>
      <c r="X108" s="53"/>
      <c r="Y108" s="65"/>
      <c r="Z108" s="43"/>
      <c r="AA108" s="80"/>
      <c r="AB108" s="73"/>
    </row>
    <row r="109" spans="1:30" ht="25">
      <c r="A109" s="30">
        <v>104</v>
      </c>
      <c r="B109" s="9" t="s">
        <v>291</v>
      </c>
      <c r="C109" s="5" t="s">
        <v>34</v>
      </c>
      <c r="D109" s="9" t="s">
        <v>81</v>
      </c>
      <c r="E109" s="9" t="s">
        <v>202</v>
      </c>
      <c r="F109" s="5" t="s">
        <v>292</v>
      </c>
      <c r="G109" s="5" t="s">
        <v>281</v>
      </c>
      <c r="H109" s="15" t="s">
        <v>282</v>
      </c>
      <c r="I109" s="15" t="s">
        <v>86</v>
      </c>
      <c r="J109" s="5">
        <v>2018</v>
      </c>
      <c r="K109" s="15">
        <v>46</v>
      </c>
      <c r="L109" s="9">
        <v>46</v>
      </c>
      <c r="M109" s="15">
        <v>46</v>
      </c>
      <c r="N109" s="15" t="s">
        <v>41</v>
      </c>
      <c r="O109" s="5" t="s">
        <v>42</v>
      </c>
      <c r="P109" s="5"/>
      <c r="Q109" s="21" t="s">
        <v>43</v>
      </c>
      <c r="R109" s="21"/>
      <c r="S109" s="18"/>
      <c r="T109" s="9"/>
      <c r="U109" s="9"/>
      <c r="V109" s="75">
        <v>-2.1398174999999999</v>
      </c>
      <c r="W109" s="9">
        <v>106.1503439</v>
      </c>
      <c r="X109" s="53"/>
      <c r="Y109" s="27"/>
      <c r="Z109" s="43"/>
      <c r="AA109" s="80"/>
      <c r="AB109" s="46"/>
      <c r="AC109">
        <f t="shared" ref="AC109:AC114" si="6">IF(A109="","",IFERROR(L109/K109,0))</f>
        <v>1</v>
      </c>
      <c r="AD109">
        <f t="shared" ref="AD109:AD114" si="7">IF(A109="","",IFERROR(M109/L109,0))</f>
        <v>1</v>
      </c>
    </row>
    <row r="110" spans="1:30">
      <c r="A110" s="29">
        <v>105</v>
      </c>
      <c r="B110" s="9" t="s">
        <v>293</v>
      </c>
      <c r="C110" s="5" t="s">
        <v>34</v>
      </c>
      <c r="D110" s="9" t="s">
        <v>60</v>
      </c>
      <c r="E110" s="9" t="s">
        <v>91</v>
      </c>
      <c r="F110" s="5" t="s">
        <v>154</v>
      </c>
      <c r="G110" s="5" t="s">
        <v>294</v>
      </c>
      <c r="H110" s="15" t="s">
        <v>295</v>
      </c>
      <c r="I110" s="15" t="s">
        <v>42</v>
      </c>
      <c r="J110" s="5">
        <v>2017</v>
      </c>
      <c r="K110" s="15">
        <v>72</v>
      </c>
      <c r="L110" s="9">
        <v>12</v>
      </c>
      <c r="M110" s="15">
        <v>12</v>
      </c>
      <c r="N110" s="15" t="s">
        <v>41</v>
      </c>
      <c r="O110" s="5" t="s">
        <v>42</v>
      </c>
      <c r="P110" s="5"/>
      <c r="Q110" s="21" t="s">
        <v>43</v>
      </c>
      <c r="R110" s="21"/>
      <c r="S110" s="18"/>
      <c r="T110" s="9"/>
      <c r="U110" s="9"/>
      <c r="V110" s="75">
        <v>-2.0840390000000002</v>
      </c>
      <c r="W110" s="9">
        <v>106.09747900000001</v>
      </c>
      <c r="X110" s="53"/>
      <c r="Y110" s="27"/>
      <c r="Z110" s="43"/>
      <c r="AA110" s="80"/>
      <c r="AB110" s="46"/>
      <c r="AC110">
        <f t="shared" si="6"/>
        <v>0.16666666666666666</v>
      </c>
      <c r="AD110">
        <f t="shared" si="7"/>
        <v>1</v>
      </c>
    </row>
    <row r="111" spans="1:30">
      <c r="A111" s="30">
        <v>106</v>
      </c>
      <c r="B111" s="9" t="s">
        <v>296</v>
      </c>
      <c r="C111" s="5" t="s">
        <v>34</v>
      </c>
      <c r="D111" s="9" t="s">
        <v>35</v>
      </c>
      <c r="E111" s="9" t="s">
        <v>46</v>
      </c>
      <c r="F111" s="5" t="s">
        <v>171</v>
      </c>
      <c r="G111" s="5" t="s">
        <v>297</v>
      </c>
      <c r="H111" s="15" t="s">
        <v>298</v>
      </c>
      <c r="I111" s="15" t="s">
        <v>112</v>
      </c>
      <c r="J111" s="5">
        <v>2017</v>
      </c>
      <c r="K111" s="15">
        <v>48</v>
      </c>
      <c r="L111" s="9">
        <v>46</v>
      </c>
      <c r="M111" s="15">
        <v>46</v>
      </c>
      <c r="N111" s="15" t="s">
        <v>41</v>
      </c>
      <c r="O111" s="5" t="s">
        <v>42</v>
      </c>
      <c r="P111" s="5"/>
      <c r="Q111" s="21" t="s">
        <v>43</v>
      </c>
      <c r="R111" s="21"/>
      <c r="S111" s="18"/>
      <c r="T111" s="9"/>
      <c r="U111" s="9"/>
      <c r="V111" s="75">
        <v>-2.113772</v>
      </c>
      <c r="W111" s="9">
        <v>106.083653</v>
      </c>
      <c r="X111" s="53"/>
      <c r="Y111" s="27"/>
      <c r="Z111" s="43"/>
      <c r="AA111" s="80"/>
      <c r="AB111" s="46"/>
      <c r="AC111">
        <f t="shared" si="6"/>
        <v>0.95833333333333337</v>
      </c>
      <c r="AD111">
        <f t="shared" si="7"/>
        <v>1</v>
      </c>
    </row>
    <row r="112" spans="1:30">
      <c r="A112" s="29">
        <v>107</v>
      </c>
      <c r="B112" s="9" t="s">
        <v>299</v>
      </c>
      <c r="C112" s="5" t="s">
        <v>34</v>
      </c>
      <c r="D112" s="9" t="s">
        <v>35</v>
      </c>
      <c r="E112" s="9" t="s">
        <v>300</v>
      </c>
      <c r="F112" s="5" t="s">
        <v>301</v>
      </c>
      <c r="G112" s="5" t="s">
        <v>302</v>
      </c>
      <c r="H112" s="15" t="s">
        <v>298</v>
      </c>
      <c r="I112" s="15" t="s">
        <v>112</v>
      </c>
      <c r="J112" s="5">
        <v>2019</v>
      </c>
      <c r="K112" s="15">
        <v>46</v>
      </c>
      <c r="L112" s="9">
        <v>40</v>
      </c>
      <c r="M112" s="15">
        <v>40</v>
      </c>
      <c r="N112" s="15" t="s">
        <v>41</v>
      </c>
      <c r="O112" s="5" t="s">
        <v>42</v>
      </c>
      <c r="P112" s="5"/>
      <c r="Q112" s="21" t="s">
        <v>43</v>
      </c>
      <c r="R112" s="21"/>
      <c r="S112" s="18"/>
      <c r="T112" s="9"/>
      <c r="U112" s="9"/>
      <c r="V112" s="75">
        <v>-2.1185415999999999</v>
      </c>
      <c r="W112" s="9">
        <v>106.0965628</v>
      </c>
      <c r="X112" s="53"/>
      <c r="Y112" s="27"/>
      <c r="Z112" s="43"/>
      <c r="AA112" s="80"/>
      <c r="AB112" s="46"/>
      <c r="AC112">
        <f t="shared" si="6"/>
        <v>0.86956521739130432</v>
      </c>
      <c r="AD112">
        <f t="shared" si="7"/>
        <v>1</v>
      </c>
    </row>
    <row r="113" spans="1:30">
      <c r="A113" s="30">
        <v>108</v>
      </c>
      <c r="B113" s="9" t="s">
        <v>303</v>
      </c>
      <c r="C113" s="5" t="s">
        <v>34</v>
      </c>
      <c r="D113" s="9" t="s">
        <v>304</v>
      </c>
      <c r="E113" s="9" t="s">
        <v>305</v>
      </c>
      <c r="F113" s="5" t="s">
        <v>306</v>
      </c>
      <c r="G113" s="5" t="s">
        <v>42</v>
      </c>
      <c r="H113" s="15" t="s">
        <v>42</v>
      </c>
      <c r="I113" s="15" t="s">
        <v>42</v>
      </c>
      <c r="J113" s="5">
        <v>2019</v>
      </c>
      <c r="K113" s="15">
        <v>5</v>
      </c>
      <c r="L113" s="9">
        <v>5</v>
      </c>
      <c r="M113" s="15">
        <v>5</v>
      </c>
      <c r="N113" s="15" t="s">
        <v>41</v>
      </c>
      <c r="O113" s="5" t="s">
        <v>42</v>
      </c>
      <c r="P113" s="5"/>
      <c r="Q113" s="21" t="s">
        <v>43</v>
      </c>
      <c r="R113" s="21" t="s">
        <v>88</v>
      </c>
      <c r="S113" s="18"/>
      <c r="T113" s="9"/>
      <c r="U113" s="9"/>
      <c r="V113" s="75">
        <v>-2.151332</v>
      </c>
      <c r="W113" s="9">
        <v>106.10645599999999</v>
      </c>
      <c r="X113" s="53"/>
      <c r="Y113" s="27"/>
      <c r="Z113" s="43"/>
      <c r="AA113" s="80"/>
      <c r="AB113" s="46"/>
      <c r="AC113">
        <f t="shared" si="6"/>
        <v>1</v>
      </c>
      <c r="AD113">
        <f t="shared" si="7"/>
        <v>1</v>
      </c>
    </row>
    <row r="114" spans="1:30">
      <c r="A114" s="29">
        <v>109</v>
      </c>
      <c r="B114" s="9" t="s">
        <v>307</v>
      </c>
      <c r="C114" s="5" t="s">
        <v>34</v>
      </c>
      <c r="D114" s="9" t="s">
        <v>60</v>
      </c>
      <c r="E114" s="9" t="s">
        <v>70</v>
      </c>
      <c r="F114" s="5" t="s">
        <v>308</v>
      </c>
      <c r="G114" s="5" t="s">
        <v>309</v>
      </c>
      <c r="H114" s="15" t="s">
        <v>310</v>
      </c>
      <c r="I114" s="15" t="s">
        <v>86</v>
      </c>
      <c r="J114" s="5">
        <v>2023</v>
      </c>
      <c r="K114" s="15">
        <v>59</v>
      </c>
      <c r="L114" s="9">
        <v>53</v>
      </c>
      <c r="M114" s="15">
        <v>53</v>
      </c>
      <c r="N114" s="15" t="s">
        <v>48</v>
      </c>
      <c r="O114" s="5">
        <v>2026</v>
      </c>
      <c r="P114" s="5"/>
      <c r="Q114" s="21" t="s">
        <v>43</v>
      </c>
      <c r="R114" s="21"/>
      <c r="S114" s="18"/>
      <c r="T114" s="9"/>
      <c r="U114" s="9"/>
      <c r="V114" s="75">
        <v>-2.0939874000000001</v>
      </c>
      <c r="W114" s="9">
        <v>106.08669140000001</v>
      </c>
      <c r="X114" s="53"/>
      <c r="Y114" s="27"/>
      <c r="Z114" s="43"/>
      <c r="AA114" s="80"/>
      <c r="AB114" s="46"/>
      <c r="AC114">
        <f t="shared" si="6"/>
        <v>0.89830508474576276</v>
      </c>
      <c r="AD114">
        <f t="shared" si="7"/>
        <v>1</v>
      </c>
    </row>
    <row r="115" spans="1:30">
      <c r="A115" s="30">
        <v>110</v>
      </c>
      <c r="B115" s="9" t="s">
        <v>1881</v>
      </c>
      <c r="C115" s="5" t="s">
        <v>34</v>
      </c>
      <c r="D115" s="9" t="s">
        <v>81</v>
      </c>
      <c r="E115" s="9" t="s">
        <v>122</v>
      </c>
      <c r="F115" s="5" t="s">
        <v>325</v>
      </c>
      <c r="G115" s="5" t="s">
        <v>1882</v>
      </c>
      <c r="H115" s="15" t="s">
        <v>310</v>
      </c>
      <c r="I115" s="15" t="s">
        <v>86</v>
      </c>
      <c r="J115" s="5">
        <v>2026</v>
      </c>
      <c r="K115" s="15">
        <v>59</v>
      </c>
      <c r="L115" s="9">
        <v>0</v>
      </c>
      <c r="M115" s="15">
        <v>0</v>
      </c>
      <c r="N115" s="15" t="s">
        <v>41</v>
      </c>
      <c r="O115" s="5" t="s">
        <v>42</v>
      </c>
      <c r="P115" s="5"/>
      <c r="Q115" s="21" t="s">
        <v>72</v>
      </c>
      <c r="R115" s="21" t="s">
        <v>88</v>
      </c>
      <c r="S115" s="18"/>
      <c r="T115" s="9"/>
      <c r="U115" s="9"/>
      <c r="V115" s="75"/>
      <c r="W115" s="9"/>
      <c r="X115" s="53"/>
      <c r="Y115" s="65"/>
      <c r="Z115" s="43"/>
      <c r="AA115" s="80"/>
      <c r="AB115" s="73"/>
    </row>
    <row r="116" spans="1:30" ht="25">
      <c r="A116" s="29">
        <v>111</v>
      </c>
      <c r="B116" s="9" t="s">
        <v>311</v>
      </c>
      <c r="C116" s="5" t="s">
        <v>170</v>
      </c>
      <c r="D116" s="9" t="s">
        <v>99</v>
      </c>
      <c r="E116" s="9" t="s">
        <v>213</v>
      </c>
      <c r="F116" s="5" t="s">
        <v>312</v>
      </c>
      <c r="G116" s="5" t="s">
        <v>313</v>
      </c>
      <c r="H116" s="15" t="s">
        <v>314</v>
      </c>
      <c r="I116" s="15" t="s">
        <v>40</v>
      </c>
      <c r="J116" s="5">
        <v>2015</v>
      </c>
      <c r="K116" s="15">
        <v>45</v>
      </c>
      <c r="L116" s="9">
        <v>21</v>
      </c>
      <c r="M116" s="15">
        <v>21</v>
      </c>
      <c r="N116" s="15" t="s">
        <v>41</v>
      </c>
      <c r="O116" s="5" t="s">
        <v>42</v>
      </c>
      <c r="P116" s="5"/>
      <c r="Q116" s="21" t="s">
        <v>43</v>
      </c>
      <c r="R116" s="21" t="s">
        <v>88</v>
      </c>
      <c r="S116" s="18"/>
      <c r="T116" s="9"/>
      <c r="U116" s="9"/>
      <c r="V116" s="75">
        <v>-2.0956190000000001</v>
      </c>
      <c r="W116" s="9">
        <v>106.118709</v>
      </c>
      <c r="X116" s="53"/>
      <c r="Y116" s="27"/>
      <c r="Z116" s="43"/>
      <c r="AA116" s="80"/>
      <c r="AB116" s="46"/>
      <c r="AC116">
        <f t="shared" ref="AC116:AC142" si="8">IF(A116="","",IFERROR(L116/K116,0))</f>
        <v>0.46666666666666667</v>
      </c>
      <c r="AD116">
        <f t="shared" ref="AD116:AD142" si="9">IF(A116="","",IFERROR(M116/L116,0))</f>
        <v>1</v>
      </c>
    </row>
    <row r="117" spans="1:30" ht="25">
      <c r="A117" s="30">
        <v>112</v>
      </c>
      <c r="B117" s="9" t="s">
        <v>311</v>
      </c>
      <c r="C117" s="5" t="s">
        <v>34</v>
      </c>
      <c r="D117" s="9" t="s">
        <v>99</v>
      </c>
      <c r="E117" s="9" t="s">
        <v>213</v>
      </c>
      <c r="F117" s="5" t="s">
        <v>312</v>
      </c>
      <c r="G117" s="5" t="s">
        <v>313</v>
      </c>
      <c r="H117" s="15" t="s">
        <v>314</v>
      </c>
      <c r="I117" s="15" t="s">
        <v>40</v>
      </c>
      <c r="J117" s="5">
        <v>2021</v>
      </c>
      <c r="K117" s="15">
        <v>18</v>
      </c>
      <c r="L117" s="9">
        <v>2</v>
      </c>
      <c r="M117" s="15">
        <v>0</v>
      </c>
      <c r="N117" s="15" t="s">
        <v>41</v>
      </c>
      <c r="O117" s="5" t="s">
        <v>42</v>
      </c>
      <c r="P117" s="5"/>
      <c r="Q117" s="21" t="s">
        <v>43</v>
      </c>
      <c r="R117" s="21" t="s">
        <v>88</v>
      </c>
      <c r="S117" s="18"/>
      <c r="T117" s="9"/>
      <c r="U117" s="9"/>
      <c r="V117" s="75">
        <v>-2.0956190000000001</v>
      </c>
      <c r="W117" s="9">
        <v>106.118709</v>
      </c>
      <c r="X117" s="53"/>
      <c r="Y117" s="27"/>
      <c r="Z117" s="43"/>
      <c r="AA117" s="80"/>
      <c r="AB117" s="46"/>
      <c r="AC117">
        <f t="shared" si="8"/>
        <v>0.1111111111111111</v>
      </c>
      <c r="AD117">
        <f t="shared" si="9"/>
        <v>0</v>
      </c>
    </row>
    <row r="118" spans="1:30">
      <c r="A118" s="29">
        <v>113</v>
      </c>
      <c r="B118" s="9" t="s">
        <v>315</v>
      </c>
      <c r="C118" s="5" t="s">
        <v>34</v>
      </c>
      <c r="D118" s="9" t="s">
        <v>35</v>
      </c>
      <c r="E118" s="9" t="s">
        <v>46</v>
      </c>
      <c r="F118" s="5" t="s">
        <v>316</v>
      </c>
      <c r="G118" s="5" t="s">
        <v>140</v>
      </c>
      <c r="H118" s="15" t="s">
        <v>141</v>
      </c>
      <c r="I118" s="15" t="s">
        <v>86</v>
      </c>
      <c r="J118" s="5">
        <v>2024</v>
      </c>
      <c r="K118" s="15">
        <v>62</v>
      </c>
      <c r="L118" s="9">
        <v>62</v>
      </c>
      <c r="M118" s="15">
        <v>62</v>
      </c>
      <c r="N118" s="15" t="s">
        <v>48</v>
      </c>
      <c r="O118" s="5">
        <v>2025</v>
      </c>
      <c r="P118" s="5"/>
      <c r="Q118" s="21" t="s">
        <v>43</v>
      </c>
      <c r="R118" s="21"/>
      <c r="S118" s="18"/>
      <c r="T118" s="9"/>
      <c r="U118" s="9"/>
      <c r="V118" s="75">
        <v>-2.1175193999999999</v>
      </c>
      <c r="W118" s="9">
        <v>106.0815047</v>
      </c>
      <c r="X118" s="53"/>
      <c r="Y118" s="27"/>
      <c r="Z118" s="43"/>
      <c r="AA118" s="80"/>
      <c r="AB118" s="46"/>
      <c r="AC118">
        <f t="shared" si="8"/>
        <v>1</v>
      </c>
      <c r="AD118">
        <f t="shared" si="9"/>
        <v>1</v>
      </c>
    </row>
    <row r="119" spans="1:30" ht="25">
      <c r="A119" s="30">
        <v>114</v>
      </c>
      <c r="B119" s="9" t="s">
        <v>317</v>
      </c>
      <c r="C119" s="5" t="s">
        <v>34</v>
      </c>
      <c r="D119" s="9" t="s">
        <v>35</v>
      </c>
      <c r="E119" s="9" t="s">
        <v>36</v>
      </c>
      <c r="F119" s="5" t="s">
        <v>318</v>
      </c>
      <c r="G119" s="5" t="s">
        <v>319</v>
      </c>
      <c r="H119" s="15" t="s">
        <v>42</v>
      </c>
      <c r="I119" s="15" t="s">
        <v>196</v>
      </c>
      <c r="J119" s="5">
        <v>2018</v>
      </c>
      <c r="K119" s="15">
        <v>40</v>
      </c>
      <c r="L119" s="9">
        <v>22</v>
      </c>
      <c r="M119" s="15">
        <v>22</v>
      </c>
      <c r="N119" s="15" t="s">
        <v>41</v>
      </c>
      <c r="O119" s="5" t="s">
        <v>42</v>
      </c>
      <c r="P119" s="5"/>
      <c r="Q119" s="21" t="s">
        <v>43</v>
      </c>
      <c r="R119" s="21"/>
      <c r="S119" s="18"/>
      <c r="T119" s="9"/>
      <c r="U119" s="9"/>
      <c r="V119" s="75">
        <v>-2.1119620000000001</v>
      </c>
      <c r="W119" s="9">
        <v>106.0839</v>
      </c>
      <c r="X119" s="53"/>
      <c r="Y119" s="27"/>
      <c r="Z119" s="43"/>
      <c r="AA119" s="80"/>
      <c r="AB119" s="46"/>
      <c r="AC119">
        <f t="shared" si="8"/>
        <v>0.55000000000000004</v>
      </c>
      <c r="AD119">
        <f t="shared" si="9"/>
        <v>1</v>
      </c>
    </row>
    <row r="120" spans="1:30">
      <c r="A120" s="29">
        <v>115</v>
      </c>
      <c r="B120" s="9" t="s">
        <v>320</v>
      </c>
      <c r="C120" s="5" t="s">
        <v>34</v>
      </c>
      <c r="D120" s="9" t="s">
        <v>81</v>
      </c>
      <c r="E120" s="9" t="s">
        <v>202</v>
      </c>
      <c r="F120" s="5" t="s">
        <v>321</v>
      </c>
      <c r="G120" s="5" t="s">
        <v>322</v>
      </c>
      <c r="H120" s="15" t="s">
        <v>323</v>
      </c>
      <c r="I120" s="15" t="s">
        <v>112</v>
      </c>
      <c r="J120" s="5">
        <v>2020</v>
      </c>
      <c r="K120" s="15">
        <v>34</v>
      </c>
      <c r="L120" s="9">
        <v>31</v>
      </c>
      <c r="M120" s="15">
        <v>31</v>
      </c>
      <c r="N120" s="15" t="s">
        <v>41</v>
      </c>
      <c r="O120" s="5" t="s">
        <v>42</v>
      </c>
      <c r="P120" s="5"/>
      <c r="Q120" s="21" t="s">
        <v>43</v>
      </c>
      <c r="R120" s="21"/>
      <c r="S120" s="18"/>
      <c r="T120" s="9"/>
      <c r="U120" s="9"/>
      <c r="V120" s="75">
        <v>-2.1443800999999998</v>
      </c>
      <c r="W120" s="9">
        <v>106.1543704</v>
      </c>
      <c r="X120" s="53"/>
      <c r="Y120" s="27"/>
      <c r="Z120" s="43"/>
      <c r="AA120" s="80"/>
      <c r="AB120" s="46"/>
      <c r="AC120">
        <f t="shared" si="8"/>
        <v>0.91176470588235292</v>
      </c>
      <c r="AD120">
        <f t="shared" si="9"/>
        <v>1</v>
      </c>
    </row>
    <row r="121" spans="1:30">
      <c r="A121" s="30">
        <v>116</v>
      </c>
      <c r="B121" s="9" t="s">
        <v>324</v>
      </c>
      <c r="C121" s="5" t="s">
        <v>34</v>
      </c>
      <c r="D121" s="9" t="s">
        <v>81</v>
      </c>
      <c r="E121" s="9" t="s">
        <v>202</v>
      </c>
      <c r="F121" s="5" t="s">
        <v>325</v>
      </c>
      <c r="G121" s="5" t="s">
        <v>322</v>
      </c>
      <c r="H121" s="15" t="s">
        <v>323</v>
      </c>
      <c r="I121" s="15" t="s">
        <v>112</v>
      </c>
      <c r="J121" s="5">
        <v>2021</v>
      </c>
      <c r="K121" s="15">
        <v>45</v>
      </c>
      <c r="L121" s="9">
        <v>45</v>
      </c>
      <c r="M121" s="15">
        <v>45</v>
      </c>
      <c r="N121" s="15" t="s">
        <v>41</v>
      </c>
      <c r="O121" s="5" t="s">
        <v>42</v>
      </c>
      <c r="P121" s="5"/>
      <c r="Q121" s="21" t="s">
        <v>43</v>
      </c>
      <c r="R121" s="21"/>
      <c r="S121" s="18"/>
      <c r="T121" s="9"/>
      <c r="U121" s="9"/>
      <c r="V121" s="75">
        <v>-2.1311974</v>
      </c>
      <c r="W121" s="9">
        <v>106.1576383</v>
      </c>
      <c r="X121" s="53"/>
      <c r="Y121" s="27"/>
      <c r="Z121" s="43"/>
      <c r="AA121" s="80"/>
      <c r="AB121" s="46"/>
      <c r="AC121">
        <f t="shared" si="8"/>
        <v>1</v>
      </c>
      <c r="AD121">
        <f t="shared" si="9"/>
        <v>1</v>
      </c>
    </row>
    <row r="122" spans="1:30">
      <c r="A122" s="29">
        <v>117</v>
      </c>
      <c r="B122" s="9" t="s">
        <v>326</v>
      </c>
      <c r="C122" s="5" t="s">
        <v>34</v>
      </c>
      <c r="D122" s="9" t="s">
        <v>35</v>
      </c>
      <c r="E122" s="9" t="s">
        <v>36</v>
      </c>
      <c r="F122" s="5" t="s">
        <v>62</v>
      </c>
      <c r="G122" s="5" t="s">
        <v>327</v>
      </c>
      <c r="H122" s="15" t="s">
        <v>328</v>
      </c>
      <c r="I122" s="15" t="s">
        <v>112</v>
      </c>
      <c r="J122" s="5">
        <v>2018</v>
      </c>
      <c r="K122" s="15">
        <v>43</v>
      </c>
      <c r="L122" s="9">
        <v>43</v>
      </c>
      <c r="M122" s="15">
        <v>42</v>
      </c>
      <c r="N122" s="15" t="s">
        <v>41</v>
      </c>
      <c r="O122" s="5" t="s">
        <v>42</v>
      </c>
      <c r="P122" s="5"/>
      <c r="Q122" s="21" t="s">
        <v>43</v>
      </c>
      <c r="R122" s="21"/>
      <c r="S122" s="18"/>
      <c r="T122" s="9"/>
      <c r="U122" s="9"/>
      <c r="V122" s="75">
        <v>-2.1098919999999999</v>
      </c>
      <c r="W122" s="9">
        <v>106.085612</v>
      </c>
      <c r="X122" s="53"/>
      <c r="Y122" s="27"/>
      <c r="Z122" s="43"/>
      <c r="AA122" s="80"/>
      <c r="AB122" s="46"/>
      <c r="AC122">
        <f t="shared" si="8"/>
        <v>1</v>
      </c>
      <c r="AD122">
        <f t="shared" si="9"/>
        <v>0.97674418604651159</v>
      </c>
    </row>
    <row r="123" spans="1:30">
      <c r="A123" s="30">
        <v>118</v>
      </c>
      <c r="B123" s="9" t="s">
        <v>329</v>
      </c>
      <c r="C123" s="5" t="s">
        <v>34</v>
      </c>
      <c r="D123" s="9" t="s">
        <v>35</v>
      </c>
      <c r="E123" s="9" t="s">
        <v>46</v>
      </c>
      <c r="F123" s="5" t="s">
        <v>330</v>
      </c>
      <c r="G123" s="5" t="s">
        <v>327</v>
      </c>
      <c r="H123" s="15" t="s">
        <v>328</v>
      </c>
      <c r="I123" s="15" t="s">
        <v>112</v>
      </c>
      <c r="J123" s="5">
        <v>2018</v>
      </c>
      <c r="K123" s="15">
        <v>68</v>
      </c>
      <c r="L123" s="9">
        <v>63</v>
      </c>
      <c r="M123" s="15">
        <v>63</v>
      </c>
      <c r="N123" s="15" t="s">
        <v>41</v>
      </c>
      <c r="O123" s="5" t="s">
        <v>42</v>
      </c>
      <c r="P123" s="5"/>
      <c r="Q123" s="21" t="s">
        <v>43</v>
      </c>
      <c r="R123" s="21"/>
      <c r="S123" s="18"/>
      <c r="T123" s="9"/>
      <c r="U123" s="9"/>
      <c r="V123" s="75">
        <v>-2.1166429999999998</v>
      </c>
      <c r="W123" s="9">
        <v>106.080567</v>
      </c>
      <c r="X123" s="53"/>
      <c r="Y123" s="27"/>
      <c r="Z123" s="43"/>
      <c r="AA123" s="80"/>
      <c r="AB123" s="46"/>
      <c r="AC123">
        <f t="shared" si="8"/>
        <v>0.92647058823529416</v>
      </c>
      <c r="AD123">
        <f t="shared" si="9"/>
        <v>1</v>
      </c>
    </row>
    <row r="124" spans="1:30">
      <c r="A124" s="29">
        <v>119</v>
      </c>
      <c r="B124" s="9" t="s">
        <v>331</v>
      </c>
      <c r="C124" s="5" t="s">
        <v>34</v>
      </c>
      <c r="D124" s="9" t="s">
        <v>35</v>
      </c>
      <c r="E124" s="9" t="s">
        <v>184</v>
      </c>
      <c r="F124" s="5" t="s">
        <v>332</v>
      </c>
      <c r="G124" s="5" t="s">
        <v>327</v>
      </c>
      <c r="H124" s="15" t="s">
        <v>328</v>
      </c>
      <c r="I124" s="15" t="s">
        <v>112</v>
      </c>
      <c r="J124" s="5">
        <v>2017</v>
      </c>
      <c r="K124" s="15">
        <v>32</v>
      </c>
      <c r="L124" s="9">
        <v>15</v>
      </c>
      <c r="M124" s="15">
        <v>15</v>
      </c>
      <c r="N124" s="15" t="s">
        <v>41</v>
      </c>
      <c r="O124" s="5" t="s">
        <v>42</v>
      </c>
      <c r="P124" s="5"/>
      <c r="Q124" s="21" t="s">
        <v>43</v>
      </c>
      <c r="R124" s="21" t="s">
        <v>88</v>
      </c>
      <c r="S124" s="18"/>
      <c r="T124" s="9"/>
      <c r="U124" s="9"/>
      <c r="V124" s="75">
        <v>-2.1169730000000002</v>
      </c>
      <c r="W124" s="9">
        <v>106.090628</v>
      </c>
      <c r="X124" s="53"/>
      <c r="Y124" s="27"/>
      <c r="Z124" s="43"/>
      <c r="AA124" s="80"/>
      <c r="AB124" s="46"/>
      <c r="AC124">
        <f t="shared" si="8"/>
        <v>0.46875</v>
      </c>
      <c r="AD124">
        <f t="shared" si="9"/>
        <v>1</v>
      </c>
    </row>
    <row r="125" spans="1:30">
      <c r="A125" s="30">
        <v>120</v>
      </c>
      <c r="B125" s="9" t="s">
        <v>333</v>
      </c>
      <c r="C125" s="5" t="s">
        <v>34</v>
      </c>
      <c r="D125" s="9" t="s">
        <v>35</v>
      </c>
      <c r="E125" s="9" t="s">
        <v>36</v>
      </c>
      <c r="F125" s="5" t="s">
        <v>334</v>
      </c>
      <c r="G125" s="5" t="s">
        <v>335</v>
      </c>
      <c r="H125" s="15" t="s">
        <v>336</v>
      </c>
      <c r="I125" s="15" t="s">
        <v>112</v>
      </c>
      <c r="J125" s="5">
        <v>2017</v>
      </c>
      <c r="K125" s="15">
        <v>35</v>
      </c>
      <c r="L125" s="9">
        <v>35</v>
      </c>
      <c r="M125" s="15">
        <v>35</v>
      </c>
      <c r="N125" s="15" t="s">
        <v>41</v>
      </c>
      <c r="O125" s="5" t="s">
        <v>42</v>
      </c>
      <c r="P125" s="5"/>
      <c r="Q125" s="21" t="s">
        <v>75</v>
      </c>
      <c r="R125" s="21"/>
      <c r="S125" s="18" t="s">
        <v>178</v>
      </c>
      <c r="T125" s="9"/>
      <c r="U125" s="9"/>
      <c r="V125" s="75">
        <v>-2.1247167</v>
      </c>
      <c r="W125" s="9">
        <v>106.07904379999999</v>
      </c>
      <c r="X125" s="53"/>
      <c r="Y125" s="27"/>
      <c r="Z125" s="43"/>
      <c r="AA125" s="80"/>
      <c r="AB125" s="46"/>
      <c r="AC125">
        <f t="shared" si="8"/>
        <v>1</v>
      </c>
      <c r="AD125">
        <f t="shared" si="9"/>
        <v>1</v>
      </c>
    </row>
    <row r="126" spans="1:30">
      <c r="A126" s="29">
        <v>121</v>
      </c>
      <c r="B126" s="9" t="s">
        <v>337</v>
      </c>
      <c r="C126" s="5" t="s">
        <v>34</v>
      </c>
      <c r="D126" s="9" t="s">
        <v>35</v>
      </c>
      <c r="E126" s="9" t="s">
        <v>36</v>
      </c>
      <c r="F126" s="5" t="s">
        <v>338</v>
      </c>
      <c r="G126" s="5" t="s">
        <v>339</v>
      </c>
      <c r="H126" s="15" t="s">
        <v>336</v>
      </c>
      <c r="I126" s="15" t="s">
        <v>112</v>
      </c>
      <c r="J126" s="5">
        <v>2018</v>
      </c>
      <c r="K126" s="15">
        <v>51</v>
      </c>
      <c r="L126" s="9">
        <v>51</v>
      </c>
      <c r="M126" s="15">
        <v>51</v>
      </c>
      <c r="N126" s="15" t="s">
        <v>41</v>
      </c>
      <c r="O126" s="5" t="s">
        <v>42</v>
      </c>
      <c r="P126" s="5"/>
      <c r="Q126" s="21" t="s">
        <v>75</v>
      </c>
      <c r="R126" s="21"/>
      <c r="S126" s="18" t="s">
        <v>178</v>
      </c>
      <c r="T126" s="9"/>
      <c r="U126" s="9"/>
      <c r="V126" s="75">
        <v>-2.0988720000000001</v>
      </c>
      <c r="W126" s="9">
        <v>106.086156</v>
      </c>
      <c r="X126" s="53"/>
      <c r="Y126" s="27"/>
      <c r="Z126" s="43"/>
      <c r="AA126" s="80"/>
      <c r="AB126" s="46"/>
      <c r="AC126">
        <f t="shared" si="8"/>
        <v>1</v>
      </c>
      <c r="AD126">
        <f t="shared" si="9"/>
        <v>1</v>
      </c>
    </row>
    <row r="127" spans="1:30">
      <c r="A127" s="30">
        <v>122</v>
      </c>
      <c r="B127" s="9" t="s">
        <v>340</v>
      </c>
      <c r="C127" s="5" t="s">
        <v>34</v>
      </c>
      <c r="D127" s="9" t="s">
        <v>35</v>
      </c>
      <c r="E127" s="9" t="s">
        <v>46</v>
      </c>
      <c r="F127" s="5" t="s">
        <v>341</v>
      </c>
      <c r="G127" s="5" t="s">
        <v>339</v>
      </c>
      <c r="H127" s="15" t="s">
        <v>336</v>
      </c>
      <c r="I127" s="15" t="s">
        <v>112</v>
      </c>
      <c r="J127" s="5">
        <v>2019</v>
      </c>
      <c r="K127" s="15">
        <v>29</v>
      </c>
      <c r="L127" s="9">
        <v>29</v>
      </c>
      <c r="M127" s="15">
        <v>29</v>
      </c>
      <c r="N127" s="15" t="s">
        <v>41</v>
      </c>
      <c r="O127" s="5" t="s">
        <v>42</v>
      </c>
      <c r="P127" s="5"/>
      <c r="Q127" s="21" t="s">
        <v>75</v>
      </c>
      <c r="R127" s="21"/>
      <c r="S127" s="18" t="s">
        <v>178</v>
      </c>
      <c r="T127" s="9"/>
      <c r="U127" s="9"/>
      <c r="V127" s="75">
        <v>-2.1160036999999998</v>
      </c>
      <c r="W127" s="9">
        <v>106.0764578</v>
      </c>
      <c r="X127" s="53"/>
      <c r="Y127" s="27"/>
      <c r="Z127" s="43"/>
      <c r="AA127" s="80"/>
      <c r="AB127" s="46"/>
      <c r="AC127">
        <f t="shared" si="8"/>
        <v>1</v>
      </c>
      <c r="AD127">
        <f t="shared" si="9"/>
        <v>1</v>
      </c>
    </row>
    <row r="128" spans="1:30">
      <c r="A128" s="29">
        <v>123</v>
      </c>
      <c r="B128" s="9" t="s">
        <v>342</v>
      </c>
      <c r="C128" s="5" t="s">
        <v>34</v>
      </c>
      <c r="D128" s="9" t="s">
        <v>304</v>
      </c>
      <c r="E128" s="9" t="s">
        <v>343</v>
      </c>
      <c r="F128" s="5" t="s">
        <v>344</v>
      </c>
      <c r="G128" s="5" t="s">
        <v>345</v>
      </c>
      <c r="H128" s="15" t="s">
        <v>346</v>
      </c>
      <c r="I128" s="15" t="s">
        <v>42</v>
      </c>
      <c r="J128" s="5">
        <v>2018</v>
      </c>
      <c r="K128" s="15">
        <v>42</v>
      </c>
      <c r="L128" s="9">
        <v>39</v>
      </c>
      <c r="M128" s="15">
        <v>39</v>
      </c>
      <c r="N128" s="15" t="s">
        <v>41</v>
      </c>
      <c r="O128" s="5" t="s">
        <v>42</v>
      </c>
      <c r="P128" s="5"/>
      <c r="Q128" s="21" t="s">
        <v>43</v>
      </c>
      <c r="R128" s="21"/>
      <c r="S128" s="18"/>
      <c r="T128" s="9"/>
      <c r="U128" s="9"/>
      <c r="V128" s="75"/>
      <c r="W128" s="9"/>
      <c r="X128" s="53"/>
      <c r="Y128" s="27"/>
      <c r="Z128" s="43"/>
      <c r="AA128" s="80"/>
      <c r="AB128" s="46"/>
      <c r="AC128">
        <f t="shared" si="8"/>
        <v>0.9285714285714286</v>
      </c>
      <c r="AD128">
        <f t="shared" si="9"/>
        <v>1</v>
      </c>
    </row>
    <row r="129" spans="1:30">
      <c r="A129" s="30">
        <v>124</v>
      </c>
      <c r="B129" s="9" t="s">
        <v>347</v>
      </c>
      <c r="C129" s="5" t="s">
        <v>34</v>
      </c>
      <c r="D129" s="9" t="s">
        <v>35</v>
      </c>
      <c r="E129" s="9" t="s">
        <v>36</v>
      </c>
      <c r="F129" s="5" t="s">
        <v>348</v>
      </c>
      <c r="G129" s="5" t="s">
        <v>349</v>
      </c>
      <c r="H129" s="15" t="s">
        <v>350</v>
      </c>
      <c r="I129" s="15" t="s">
        <v>42</v>
      </c>
      <c r="J129" s="5">
        <v>2023</v>
      </c>
      <c r="K129" s="15">
        <v>111</v>
      </c>
      <c r="L129" s="9">
        <v>63</v>
      </c>
      <c r="M129" s="15">
        <v>54</v>
      </c>
      <c r="N129" s="15" t="s">
        <v>41</v>
      </c>
      <c r="O129" s="5" t="s">
        <v>42</v>
      </c>
      <c r="P129" s="5"/>
      <c r="Q129" s="21" t="s">
        <v>43</v>
      </c>
      <c r="R129" s="21"/>
      <c r="S129" s="18"/>
      <c r="T129" s="9"/>
      <c r="U129" s="9"/>
      <c r="V129" s="75">
        <v>-2.1040464000000001</v>
      </c>
      <c r="W129" s="9">
        <v>106.0873765</v>
      </c>
      <c r="X129" s="53"/>
      <c r="Y129" s="27"/>
      <c r="Z129" s="43"/>
      <c r="AA129" s="80"/>
      <c r="AB129" s="46"/>
      <c r="AC129">
        <f t="shared" si="8"/>
        <v>0.56756756756756754</v>
      </c>
      <c r="AD129">
        <f t="shared" si="9"/>
        <v>0.8571428571428571</v>
      </c>
    </row>
    <row r="130" spans="1:30">
      <c r="A130" s="29">
        <v>125</v>
      </c>
      <c r="B130" s="9" t="s">
        <v>351</v>
      </c>
      <c r="C130" s="5" t="s">
        <v>34</v>
      </c>
      <c r="D130" s="9" t="s">
        <v>35</v>
      </c>
      <c r="E130" s="9" t="s">
        <v>46</v>
      </c>
      <c r="F130" s="5" t="s">
        <v>352</v>
      </c>
      <c r="G130" s="5" t="s">
        <v>155</v>
      </c>
      <c r="H130" s="15" t="s">
        <v>156</v>
      </c>
      <c r="I130" s="15" t="s">
        <v>65</v>
      </c>
      <c r="J130" s="5">
        <v>2015</v>
      </c>
      <c r="K130" s="15">
        <v>86</v>
      </c>
      <c r="L130" s="9">
        <v>86</v>
      </c>
      <c r="M130" s="15">
        <v>86</v>
      </c>
      <c r="N130" s="15" t="s">
        <v>41</v>
      </c>
      <c r="O130" s="5" t="s">
        <v>42</v>
      </c>
      <c r="P130" s="5"/>
      <c r="Q130" s="21" t="s">
        <v>43</v>
      </c>
      <c r="R130" s="21"/>
      <c r="S130" s="18"/>
      <c r="T130" s="9"/>
      <c r="U130" s="9"/>
      <c r="V130" s="75">
        <v>-2.1243243999999999</v>
      </c>
      <c r="W130" s="9">
        <v>106.07832500000001</v>
      </c>
      <c r="X130" s="53"/>
      <c r="Y130" s="27"/>
      <c r="Z130" s="43"/>
      <c r="AA130" s="80"/>
      <c r="AB130" s="46"/>
      <c r="AC130">
        <f t="shared" si="8"/>
        <v>1</v>
      </c>
      <c r="AD130">
        <f t="shared" si="9"/>
        <v>1</v>
      </c>
    </row>
    <row r="131" spans="1:30">
      <c r="A131" s="30">
        <v>126</v>
      </c>
      <c r="B131" s="9" t="s">
        <v>353</v>
      </c>
      <c r="C131" s="5" t="s">
        <v>34</v>
      </c>
      <c r="D131" s="9" t="s">
        <v>35</v>
      </c>
      <c r="E131" s="9" t="s">
        <v>46</v>
      </c>
      <c r="F131" s="5" t="s">
        <v>171</v>
      </c>
      <c r="G131" s="5" t="s">
        <v>354</v>
      </c>
      <c r="H131" s="15" t="s">
        <v>355</v>
      </c>
      <c r="I131" s="15" t="s">
        <v>112</v>
      </c>
      <c r="J131" s="5">
        <v>2019</v>
      </c>
      <c r="K131" s="15">
        <v>52</v>
      </c>
      <c r="L131" s="9">
        <v>52</v>
      </c>
      <c r="M131" s="15">
        <v>52</v>
      </c>
      <c r="N131" s="15" t="s">
        <v>48</v>
      </c>
      <c r="O131" s="5">
        <v>2023</v>
      </c>
      <c r="P131" s="5"/>
      <c r="Q131" s="21" t="s">
        <v>43</v>
      </c>
      <c r="R131" s="21" t="s">
        <v>113</v>
      </c>
      <c r="S131" s="18"/>
      <c r="T131" s="9"/>
      <c r="U131" s="9"/>
      <c r="V131" s="75">
        <v>-2.1169406</v>
      </c>
      <c r="W131" s="9">
        <v>106.0747703</v>
      </c>
      <c r="X131" s="53"/>
      <c r="Y131" s="27"/>
      <c r="Z131" s="43"/>
      <c r="AA131" s="80"/>
      <c r="AB131" s="46"/>
      <c r="AC131">
        <f t="shared" si="8"/>
        <v>1</v>
      </c>
      <c r="AD131">
        <f t="shared" si="9"/>
        <v>1</v>
      </c>
    </row>
    <row r="132" spans="1:30">
      <c r="A132" s="29">
        <v>127</v>
      </c>
      <c r="B132" s="9" t="s">
        <v>356</v>
      </c>
      <c r="C132" s="5" t="s">
        <v>34</v>
      </c>
      <c r="D132" s="9" t="s">
        <v>60</v>
      </c>
      <c r="E132" s="9" t="s">
        <v>70</v>
      </c>
      <c r="F132" s="5" t="s">
        <v>229</v>
      </c>
      <c r="G132" s="5" t="s">
        <v>38</v>
      </c>
      <c r="H132" s="15" t="s">
        <v>39</v>
      </c>
      <c r="I132" s="15" t="s">
        <v>40</v>
      </c>
      <c r="J132" s="5">
        <v>2025</v>
      </c>
      <c r="K132" s="15">
        <v>43</v>
      </c>
      <c r="L132" s="9">
        <v>32</v>
      </c>
      <c r="M132" s="15">
        <v>32</v>
      </c>
      <c r="N132" s="15" t="s">
        <v>41</v>
      </c>
      <c r="O132" s="5" t="s">
        <v>42</v>
      </c>
      <c r="P132" s="5"/>
      <c r="Q132" s="21" t="s">
        <v>43</v>
      </c>
      <c r="R132" s="21" t="s">
        <v>88</v>
      </c>
      <c r="S132" s="18"/>
      <c r="T132" s="9"/>
      <c r="U132" s="9"/>
      <c r="V132" s="75">
        <v>-2.0889850000000001</v>
      </c>
      <c r="W132" s="9">
        <v>106.096946</v>
      </c>
      <c r="X132" s="53"/>
      <c r="Y132" s="27"/>
      <c r="Z132" s="43"/>
      <c r="AA132" s="80"/>
      <c r="AB132" s="46"/>
      <c r="AC132">
        <f t="shared" si="8"/>
        <v>0.7441860465116279</v>
      </c>
      <c r="AD132">
        <f t="shared" si="9"/>
        <v>1</v>
      </c>
    </row>
    <row r="133" spans="1:30">
      <c r="A133" s="30">
        <v>128</v>
      </c>
      <c r="B133" s="9" t="s">
        <v>357</v>
      </c>
      <c r="C133" s="5" t="s">
        <v>34</v>
      </c>
      <c r="D133" s="9" t="s">
        <v>35</v>
      </c>
      <c r="E133" s="9" t="s">
        <v>46</v>
      </c>
      <c r="F133" s="5" t="s">
        <v>51</v>
      </c>
      <c r="G133" s="5" t="s">
        <v>358</v>
      </c>
      <c r="H133" s="15" t="s">
        <v>359</v>
      </c>
      <c r="I133" s="15" t="s">
        <v>112</v>
      </c>
      <c r="J133" s="5">
        <v>2017</v>
      </c>
      <c r="K133" s="15">
        <v>18</v>
      </c>
      <c r="L133" s="9">
        <v>18</v>
      </c>
      <c r="M133" s="15">
        <v>18</v>
      </c>
      <c r="N133" s="15" t="s">
        <v>41</v>
      </c>
      <c r="O133" s="5" t="s">
        <v>42</v>
      </c>
      <c r="P133" s="5"/>
      <c r="Q133" s="21" t="s">
        <v>43</v>
      </c>
      <c r="R133" s="21"/>
      <c r="S133" s="18"/>
      <c r="T133" s="9"/>
      <c r="U133" s="9"/>
      <c r="V133" s="75">
        <v>-2.1208572000000001</v>
      </c>
      <c r="W133" s="9">
        <v>106.0729011</v>
      </c>
      <c r="X133" s="53"/>
      <c r="Y133" s="27"/>
      <c r="Z133" s="43"/>
      <c r="AA133" s="80"/>
      <c r="AB133" s="46"/>
      <c r="AC133">
        <f t="shared" si="8"/>
        <v>1</v>
      </c>
      <c r="AD133">
        <f t="shared" si="9"/>
        <v>1</v>
      </c>
    </row>
    <row r="134" spans="1:30">
      <c r="A134" s="29">
        <v>129</v>
      </c>
      <c r="B134" s="9" t="s">
        <v>360</v>
      </c>
      <c r="C134" s="5" t="s">
        <v>34</v>
      </c>
      <c r="D134" s="9" t="s">
        <v>35</v>
      </c>
      <c r="E134" s="9" t="s">
        <v>46</v>
      </c>
      <c r="F134" s="5" t="s">
        <v>51</v>
      </c>
      <c r="G134" s="5" t="s">
        <v>358</v>
      </c>
      <c r="H134" s="15" t="s">
        <v>359</v>
      </c>
      <c r="I134" s="15" t="s">
        <v>112</v>
      </c>
      <c r="J134" s="5">
        <v>2017</v>
      </c>
      <c r="K134" s="15">
        <v>137</v>
      </c>
      <c r="L134" s="9">
        <v>90</v>
      </c>
      <c r="M134" s="15">
        <v>60</v>
      </c>
      <c r="N134" s="15" t="s">
        <v>41</v>
      </c>
      <c r="O134" s="5" t="s">
        <v>42</v>
      </c>
      <c r="P134" s="5"/>
      <c r="Q134" s="21" t="s">
        <v>43</v>
      </c>
      <c r="R134" s="21" t="s">
        <v>113</v>
      </c>
      <c r="S134" s="18"/>
      <c r="T134" s="9"/>
      <c r="U134" s="9"/>
      <c r="V134" s="75">
        <v>-2.1191513</v>
      </c>
      <c r="W134" s="9">
        <v>106.0727887</v>
      </c>
      <c r="X134" s="53"/>
      <c r="Y134" s="27"/>
      <c r="Z134" s="43"/>
      <c r="AA134" s="80"/>
      <c r="AB134" s="46"/>
      <c r="AC134">
        <f t="shared" si="8"/>
        <v>0.65693430656934304</v>
      </c>
      <c r="AD134">
        <f t="shared" si="9"/>
        <v>0.66666666666666663</v>
      </c>
    </row>
    <row r="135" spans="1:30">
      <c r="A135" s="30">
        <v>130</v>
      </c>
      <c r="B135" s="9" t="s">
        <v>361</v>
      </c>
      <c r="C135" s="5" t="s">
        <v>34</v>
      </c>
      <c r="D135" s="9" t="s">
        <v>35</v>
      </c>
      <c r="E135" s="9" t="s">
        <v>46</v>
      </c>
      <c r="F135" s="5" t="s">
        <v>362</v>
      </c>
      <c r="G135" s="5" t="s">
        <v>358</v>
      </c>
      <c r="H135" s="15" t="s">
        <v>359</v>
      </c>
      <c r="I135" s="15" t="s">
        <v>112</v>
      </c>
      <c r="J135" s="5">
        <v>2018</v>
      </c>
      <c r="K135" s="15">
        <v>35</v>
      </c>
      <c r="L135" s="9">
        <v>35</v>
      </c>
      <c r="M135" s="15">
        <v>35</v>
      </c>
      <c r="N135" s="15" t="s">
        <v>41</v>
      </c>
      <c r="O135" s="5" t="s">
        <v>42</v>
      </c>
      <c r="P135" s="5"/>
      <c r="Q135" s="21" t="s">
        <v>72</v>
      </c>
      <c r="R135" s="21" t="s">
        <v>88</v>
      </c>
      <c r="S135" s="18"/>
      <c r="T135" s="9"/>
      <c r="U135" s="9"/>
      <c r="V135" s="75"/>
      <c r="W135" s="9"/>
      <c r="X135" s="53"/>
      <c r="Y135" s="27"/>
      <c r="Z135" s="43"/>
      <c r="AA135" s="80"/>
      <c r="AB135" s="46"/>
      <c r="AC135">
        <f t="shared" si="8"/>
        <v>1</v>
      </c>
      <c r="AD135">
        <f t="shared" si="9"/>
        <v>1</v>
      </c>
    </row>
    <row r="136" spans="1:30">
      <c r="A136" s="29">
        <v>131</v>
      </c>
      <c r="B136" s="9" t="s">
        <v>363</v>
      </c>
      <c r="C136" s="5" t="s">
        <v>34</v>
      </c>
      <c r="D136" s="9" t="s">
        <v>60</v>
      </c>
      <c r="E136" s="9" t="s">
        <v>67</v>
      </c>
      <c r="F136" s="5" t="s">
        <v>364</v>
      </c>
      <c r="G136" s="5" t="s">
        <v>365</v>
      </c>
      <c r="H136" s="15" t="s">
        <v>366</v>
      </c>
      <c r="I136" s="15" t="s">
        <v>65</v>
      </c>
      <c r="J136" s="5">
        <v>2017</v>
      </c>
      <c r="K136" s="15">
        <v>44</v>
      </c>
      <c r="L136" s="9">
        <v>34</v>
      </c>
      <c r="M136" s="15">
        <v>34</v>
      </c>
      <c r="N136" s="15" t="s">
        <v>41</v>
      </c>
      <c r="O136" s="5" t="s">
        <v>42</v>
      </c>
      <c r="P136" s="5"/>
      <c r="Q136" s="21" t="s">
        <v>43</v>
      </c>
      <c r="R136" s="21"/>
      <c r="S136" s="18"/>
      <c r="T136" s="9" t="s">
        <v>44</v>
      </c>
      <c r="U136" s="9"/>
      <c r="V136" s="75">
        <v>-2.098071</v>
      </c>
      <c r="W136" s="9">
        <v>106.116671</v>
      </c>
      <c r="X136" s="53"/>
      <c r="Y136" s="27"/>
      <c r="Z136" s="43"/>
      <c r="AA136" s="80"/>
      <c r="AB136" s="46"/>
      <c r="AC136">
        <f t="shared" si="8"/>
        <v>0.77272727272727271</v>
      </c>
      <c r="AD136">
        <f t="shared" si="9"/>
        <v>1</v>
      </c>
    </row>
    <row r="137" spans="1:30">
      <c r="A137" s="30">
        <v>132</v>
      </c>
      <c r="B137" s="9" t="s">
        <v>367</v>
      </c>
      <c r="C137" s="5" t="s">
        <v>34</v>
      </c>
      <c r="D137" s="9" t="s">
        <v>60</v>
      </c>
      <c r="E137" s="9" t="s">
        <v>368</v>
      </c>
      <c r="F137" s="5" t="s">
        <v>369</v>
      </c>
      <c r="G137" s="5" t="s">
        <v>365</v>
      </c>
      <c r="H137" s="15" t="s">
        <v>366</v>
      </c>
      <c r="I137" s="15" t="s">
        <v>65</v>
      </c>
      <c r="J137" s="5">
        <v>2019</v>
      </c>
      <c r="K137" s="15">
        <v>103</v>
      </c>
      <c r="L137" s="9">
        <v>93</v>
      </c>
      <c r="M137" s="15">
        <v>93</v>
      </c>
      <c r="N137" s="15" t="s">
        <v>41</v>
      </c>
      <c r="O137" s="5" t="s">
        <v>42</v>
      </c>
      <c r="P137" s="5"/>
      <c r="Q137" s="21" t="s">
        <v>43</v>
      </c>
      <c r="R137" s="21"/>
      <c r="S137" s="18"/>
      <c r="T137" s="9" t="s">
        <v>44</v>
      </c>
      <c r="U137" s="9"/>
      <c r="V137" s="75">
        <v>-2.101518</v>
      </c>
      <c r="W137" s="9">
        <v>106.11780299999999</v>
      </c>
      <c r="X137" s="53"/>
      <c r="Y137" s="27"/>
      <c r="Z137" s="43"/>
      <c r="AA137" s="80"/>
      <c r="AB137" s="46"/>
      <c r="AC137">
        <f t="shared" si="8"/>
        <v>0.90291262135922334</v>
      </c>
      <c r="AD137">
        <f t="shared" si="9"/>
        <v>1</v>
      </c>
    </row>
    <row r="138" spans="1:30">
      <c r="A138" s="29">
        <v>133</v>
      </c>
      <c r="B138" s="9" t="s">
        <v>370</v>
      </c>
      <c r="C138" s="5" t="s">
        <v>34</v>
      </c>
      <c r="D138" s="9" t="s">
        <v>35</v>
      </c>
      <c r="E138" s="9" t="s">
        <v>36</v>
      </c>
      <c r="F138" s="5" t="s">
        <v>371</v>
      </c>
      <c r="G138" s="5" t="s">
        <v>372</v>
      </c>
      <c r="H138" s="15" t="s">
        <v>373</v>
      </c>
      <c r="I138" s="15" t="s">
        <v>42</v>
      </c>
      <c r="J138" s="5">
        <v>2024</v>
      </c>
      <c r="K138" s="15">
        <v>79</v>
      </c>
      <c r="L138" s="9">
        <v>18</v>
      </c>
      <c r="M138" s="15">
        <v>15</v>
      </c>
      <c r="N138" s="15" t="s">
        <v>41</v>
      </c>
      <c r="O138" s="5" t="s">
        <v>42</v>
      </c>
      <c r="P138" s="5"/>
      <c r="Q138" s="21" t="s">
        <v>43</v>
      </c>
      <c r="R138" s="21" t="s">
        <v>88</v>
      </c>
      <c r="S138" s="18"/>
      <c r="T138" s="9" t="s">
        <v>44</v>
      </c>
      <c r="U138" s="9"/>
      <c r="V138" s="75">
        <v>-2.0988720000000001</v>
      </c>
      <c r="W138" s="9">
        <v>106.0761523</v>
      </c>
      <c r="X138" s="53"/>
      <c r="Y138" s="27"/>
      <c r="Z138" s="43"/>
      <c r="AA138" s="80"/>
      <c r="AB138" s="46"/>
      <c r="AC138">
        <f t="shared" si="8"/>
        <v>0.22784810126582278</v>
      </c>
      <c r="AD138">
        <f t="shared" si="9"/>
        <v>0.83333333333333337</v>
      </c>
    </row>
    <row r="139" spans="1:30">
      <c r="A139" s="30">
        <v>134</v>
      </c>
      <c r="B139" s="9" t="s">
        <v>374</v>
      </c>
      <c r="C139" s="5" t="s">
        <v>34</v>
      </c>
      <c r="D139" s="9" t="s">
        <v>35</v>
      </c>
      <c r="E139" s="9" t="s">
        <v>36</v>
      </c>
      <c r="F139" s="5" t="s">
        <v>371</v>
      </c>
      <c r="G139" s="5" t="s">
        <v>372</v>
      </c>
      <c r="H139" s="15" t="s">
        <v>373</v>
      </c>
      <c r="I139" s="15" t="s">
        <v>42</v>
      </c>
      <c r="J139" s="5">
        <v>2024</v>
      </c>
      <c r="K139" s="15">
        <v>87</v>
      </c>
      <c r="L139" s="9">
        <v>17</v>
      </c>
      <c r="M139" s="15">
        <v>15</v>
      </c>
      <c r="N139" s="15" t="s">
        <v>41</v>
      </c>
      <c r="O139" s="5" t="s">
        <v>42</v>
      </c>
      <c r="P139" s="5"/>
      <c r="Q139" s="21" t="s">
        <v>43</v>
      </c>
      <c r="R139" s="21" t="s">
        <v>88</v>
      </c>
      <c r="S139" s="18"/>
      <c r="T139" s="9" t="s">
        <v>44</v>
      </c>
      <c r="U139" s="9"/>
      <c r="V139" s="75">
        <v>-2.0975619999999999</v>
      </c>
      <c r="W139" s="9">
        <v>106.07432350000001</v>
      </c>
      <c r="X139" s="53"/>
      <c r="Y139" s="27"/>
      <c r="Z139" s="43"/>
      <c r="AA139" s="80"/>
      <c r="AB139" s="46"/>
      <c r="AC139">
        <f t="shared" si="8"/>
        <v>0.19540229885057472</v>
      </c>
      <c r="AD139">
        <f t="shared" si="9"/>
        <v>0.88235294117647056</v>
      </c>
    </row>
    <row r="140" spans="1:30">
      <c r="A140" s="29">
        <v>135</v>
      </c>
      <c r="B140" s="9" t="s">
        <v>375</v>
      </c>
      <c r="C140" s="5" t="s">
        <v>34</v>
      </c>
      <c r="D140" s="9" t="s">
        <v>35</v>
      </c>
      <c r="E140" s="9" t="s">
        <v>36</v>
      </c>
      <c r="F140" s="5" t="s">
        <v>62</v>
      </c>
      <c r="G140" s="5" t="s">
        <v>376</v>
      </c>
      <c r="H140" s="15" t="s">
        <v>42</v>
      </c>
      <c r="I140" s="15" t="s">
        <v>86</v>
      </c>
      <c r="J140" s="5">
        <v>2020</v>
      </c>
      <c r="K140" s="15">
        <v>348</v>
      </c>
      <c r="L140" s="9">
        <v>312</v>
      </c>
      <c r="M140" s="15">
        <v>312</v>
      </c>
      <c r="N140" s="15" t="s">
        <v>41</v>
      </c>
      <c r="O140" s="5" t="s">
        <v>42</v>
      </c>
      <c r="P140" s="5"/>
      <c r="Q140" s="21" t="s">
        <v>43</v>
      </c>
      <c r="R140" s="21"/>
      <c r="S140" s="18"/>
      <c r="T140" s="9" t="s">
        <v>44</v>
      </c>
      <c r="U140" s="9"/>
      <c r="V140" s="75">
        <v>-2.097502</v>
      </c>
      <c r="W140" s="9">
        <v>106.092822</v>
      </c>
      <c r="X140" s="53"/>
      <c r="Y140" s="27"/>
      <c r="Z140" s="43"/>
      <c r="AA140" s="80"/>
      <c r="AB140" s="46"/>
      <c r="AC140">
        <f t="shared" si="8"/>
        <v>0.89655172413793105</v>
      </c>
      <c r="AD140">
        <f t="shared" si="9"/>
        <v>1</v>
      </c>
    </row>
    <row r="141" spans="1:30" ht="25">
      <c r="A141" s="30">
        <v>136</v>
      </c>
      <c r="B141" s="9" t="s">
        <v>377</v>
      </c>
      <c r="C141" s="5" t="s">
        <v>170</v>
      </c>
      <c r="D141" s="9" t="s">
        <v>81</v>
      </c>
      <c r="E141" s="9" t="s">
        <v>122</v>
      </c>
      <c r="F141" s="5" t="s">
        <v>378</v>
      </c>
      <c r="G141" s="5" t="s">
        <v>379</v>
      </c>
      <c r="H141" s="15" t="s">
        <v>380</v>
      </c>
      <c r="I141" s="15" t="s">
        <v>42</v>
      </c>
      <c r="J141" s="5">
        <v>2022</v>
      </c>
      <c r="K141" s="15">
        <v>105</v>
      </c>
      <c r="L141" s="9">
        <v>97</v>
      </c>
      <c r="M141" s="15">
        <v>97</v>
      </c>
      <c r="N141" s="15" t="s">
        <v>41</v>
      </c>
      <c r="O141" s="5" t="s">
        <v>42</v>
      </c>
      <c r="P141" s="5"/>
      <c r="Q141" s="21" t="s">
        <v>43</v>
      </c>
      <c r="R141" s="21" t="s">
        <v>247</v>
      </c>
      <c r="S141" s="18"/>
      <c r="T141" s="9"/>
      <c r="U141" s="9"/>
      <c r="V141" s="75">
        <v>-2.1229969999999998</v>
      </c>
      <c r="W141" s="9">
        <v>106.159896</v>
      </c>
      <c r="X141" s="53"/>
      <c r="Y141" s="27"/>
      <c r="Z141" s="43"/>
      <c r="AA141" s="80"/>
      <c r="AB141" s="46"/>
      <c r="AC141">
        <f t="shared" si="8"/>
        <v>0.92380952380952386</v>
      </c>
      <c r="AD141">
        <f t="shared" si="9"/>
        <v>1</v>
      </c>
    </row>
    <row r="142" spans="1:30" ht="25">
      <c r="A142" s="29">
        <v>137</v>
      </c>
      <c r="B142" s="9" t="s">
        <v>381</v>
      </c>
      <c r="C142" s="5" t="s">
        <v>170</v>
      </c>
      <c r="D142" s="9" t="s">
        <v>81</v>
      </c>
      <c r="E142" s="9" t="s">
        <v>122</v>
      </c>
      <c r="F142" s="5" t="s">
        <v>378</v>
      </c>
      <c r="G142" s="5" t="s">
        <v>379</v>
      </c>
      <c r="H142" s="15" t="s">
        <v>380</v>
      </c>
      <c r="I142" s="15" t="s">
        <v>42</v>
      </c>
      <c r="J142" s="5">
        <v>2023</v>
      </c>
      <c r="K142" s="15">
        <v>82</v>
      </c>
      <c r="L142" s="9">
        <v>43</v>
      </c>
      <c r="M142" s="15">
        <v>43</v>
      </c>
      <c r="N142" s="15" t="s">
        <v>41</v>
      </c>
      <c r="O142" s="5" t="s">
        <v>42</v>
      </c>
      <c r="P142" s="5"/>
      <c r="Q142" s="21" t="s">
        <v>43</v>
      </c>
      <c r="R142" s="21" t="s">
        <v>88</v>
      </c>
      <c r="S142" s="18"/>
      <c r="T142" s="9"/>
      <c r="U142" s="9"/>
      <c r="V142" s="75">
        <v>-2.1229969999999998</v>
      </c>
      <c r="W142" s="9">
        <v>106.159896</v>
      </c>
      <c r="X142" s="53"/>
      <c r="Y142" s="27"/>
      <c r="Z142" s="43"/>
      <c r="AA142" s="80"/>
      <c r="AB142" s="46"/>
      <c r="AC142">
        <f t="shared" si="8"/>
        <v>0.52439024390243905</v>
      </c>
      <c r="AD142">
        <f t="shared" si="9"/>
        <v>1</v>
      </c>
    </row>
    <row r="143" spans="1:30">
      <c r="A143" s="30">
        <v>138</v>
      </c>
      <c r="B143" s="9" t="s">
        <v>382</v>
      </c>
      <c r="C143" s="5" t="s">
        <v>34</v>
      </c>
      <c r="D143" s="9" t="s">
        <v>81</v>
      </c>
      <c r="E143" s="9" t="s">
        <v>202</v>
      </c>
      <c r="F143" s="5" t="s">
        <v>383</v>
      </c>
      <c r="G143" s="5" t="s">
        <v>384</v>
      </c>
      <c r="H143" s="15" t="s">
        <v>385</v>
      </c>
      <c r="I143" s="15" t="s">
        <v>42</v>
      </c>
      <c r="J143" s="5">
        <v>2017</v>
      </c>
      <c r="K143" s="15">
        <v>109</v>
      </c>
      <c r="L143" s="9">
        <v>15</v>
      </c>
      <c r="M143" s="15">
        <v>6</v>
      </c>
      <c r="N143" s="15" t="s">
        <v>41</v>
      </c>
      <c r="O143" s="5" t="s">
        <v>42</v>
      </c>
      <c r="P143" s="5"/>
      <c r="Q143" s="21" t="s">
        <v>43</v>
      </c>
      <c r="R143" s="21"/>
      <c r="S143" s="18"/>
      <c r="T143" s="9"/>
      <c r="U143" s="9"/>
      <c r="V143" s="75">
        <v>-2.1278800000000002</v>
      </c>
      <c r="W143" s="9">
        <v>106.15365199999999</v>
      </c>
      <c r="X143" s="53"/>
      <c r="Y143" s="27"/>
      <c r="Z143" s="43"/>
      <c r="AA143" s="80"/>
      <c r="AB143" s="46"/>
      <c r="AC143">
        <f t="shared" ref="AC143:AC144" si="10">IF(A143="","",IFERROR(L143/K143,0))</f>
        <v>0.13761467889908258</v>
      </c>
      <c r="AD143">
        <f t="shared" ref="AD143:AD144" si="11">IF(A143="","",IFERROR(M143/L143,0))</f>
        <v>0.4</v>
      </c>
    </row>
    <row r="144" spans="1:30">
      <c r="A144" s="29">
        <v>139</v>
      </c>
      <c r="B144" s="9" t="s">
        <v>1873</v>
      </c>
      <c r="C144" s="5" t="s">
        <v>34</v>
      </c>
      <c r="D144" s="9" t="s">
        <v>81</v>
      </c>
      <c r="E144" s="9" t="s">
        <v>122</v>
      </c>
      <c r="F144" s="5" t="s">
        <v>1874</v>
      </c>
      <c r="G144" s="5" t="s">
        <v>1875</v>
      </c>
      <c r="H144" s="15" t="s">
        <v>1876</v>
      </c>
      <c r="I144" s="15" t="s">
        <v>42</v>
      </c>
      <c r="J144" s="5">
        <v>2025</v>
      </c>
      <c r="K144" s="15">
        <v>60</v>
      </c>
      <c r="L144" s="9">
        <v>28</v>
      </c>
      <c r="M144" s="15">
        <v>20</v>
      </c>
      <c r="N144" s="15" t="s">
        <v>41</v>
      </c>
      <c r="O144" s="5" t="s">
        <v>42</v>
      </c>
      <c r="P144" s="5"/>
      <c r="Q144" s="21" t="s">
        <v>72</v>
      </c>
      <c r="R144" s="21" t="s">
        <v>88</v>
      </c>
      <c r="S144" s="18"/>
      <c r="T144" s="9"/>
      <c r="U144" s="9"/>
      <c r="V144" s="75"/>
      <c r="W144" s="9"/>
      <c r="X144" s="53"/>
      <c r="Y144" s="65"/>
      <c r="Z144" s="43"/>
      <c r="AA144" s="80"/>
      <c r="AB144" s="73"/>
      <c r="AC144">
        <f t="shared" si="10"/>
        <v>0.46666666666666667</v>
      </c>
      <c r="AD144">
        <f t="shared" si="11"/>
        <v>0.7142857142857143</v>
      </c>
    </row>
    <row r="145" spans="1:30" ht="25">
      <c r="A145" s="30">
        <v>140</v>
      </c>
      <c r="B145" s="9" t="s">
        <v>386</v>
      </c>
      <c r="C145" s="5" t="s">
        <v>34</v>
      </c>
      <c r="D145" s="9" t="s">
        <v>35</v>
      </c>
      <c r="E145" s="9" t="s">
        <v>36</v>
      </c>
      <c r="F145" s="5" t="s">
        <v>387</v>
      </c>
      <c r="G145" s="5" t="s">
        <v>388</v>
      </c>
      <c r="H145" s="15" t="s">
        <v>42</v>
      </c>
      <c r="I145" s="15" t="s">
        <v>42</v>
      </c>
      <c r="J145" s="5">
        <v>2015</v>
      </c>
      <c r="K145" s="15">
        <v>91</v>
      </c>
      <c r="L145" s="9">
        <v>77</v>
      </c>
      <c r="M145" s="15">
        <v>59</v>
      </c>
      <c r="N145" s="15" t="s">
        <v>41</v>
      </c>
      <c r="O145" s="5" t="s">
        <v>42</v>
      </c>
      <c r="P145" s="5"/>
      <c r="Q145" s="21" t="s">
        <v>43</v>
      </c>
      <c r="R145" s="21" t="s">
        <v>88</v>
      </c>
      <c r="S145" s="18"/>
      <c r="T145" s="9"/>
      <c r="U145" s="9"/>
      <c r="V145" s="75">
        <v>-2.1073993999999998</v>
      </c>
      <c r="W145" s="9">
        <v>106.0614738</v>
      </c>
      <c r="X145" s="53"/>
      <c r="Y145" s="27"/>
      <c r="Z145" s="43"/>
      <c r="AA145" s="80"/>
      <c r="AB145" s="46"/>
      <c r="AC145">
        <f t="shared" ref="AC145:AC163" si="12">IF(A145="","",IFERROR(L145/K145,0))</f>
        <v>0.84615384615384615</v>
      </c>
      <c r="AD145">
        <f t="shared" ref="AD145:AD163" si="13">IF(A145="","",IFERROR(M145/L145,0))</f>
        <v>0.76623376623376627</v>
      </c>
    </row>
    <row r="146" spans="1:30">
      <c r="A146" s="29">
        <v>141</v>
      </c>
      <c r="B146" s="9" t="s">
        <v>389</v>
      </c>
      <c r="C146" s="5" t="s">
        <v>170</v>
      </c>
      <c r="D146" s="9" t="s">
        <v>60</v>
      </c>
      <c r="E146" s="9" t="s">
        <v>91</v>
      </c>
      <c r="F146" s="5" t="s">
        <v>390</v>
      </c>
      <c r="G146" s="5" t="s">
        <v>391</v>
      </c>
      <c r="H146" s="15" t="s">
        <v>392</v>
      </c>
      <c r="I146" s="15" t="s">
        <v>86</v>
      </c>
      <c r="J146" s="5">
        <v>2017</v>
      </c>
      <c r="K146" s="15">
        <v>296</v>
      </c>
      <c r="L146" s="9">
        <v>173</v>
      </c>
      <c r="M146" s="15">
        <v>173</v>
      </c>
      <c r="N146" s="15" t="s">
        <v>41</v>
      </c>
      <c r="O146" s="5" t="s">
        <v>42</v>
      </c>
      <c r="P146" s="5"/>
      <c r="Q146" s="21" t="s">
        <v>72</v>
      </c>
      <c r="R146" s="21"/>
      <c r="S146" s="18"/>
      <c r="T146" s="9"/>
      <c r="U146" s="9"/>
      <c r="V146" s="75">
        <v>-2.0824609999999999</v>
      </c>
      <c r="W146" s="9">
        <v>106.11130199999999</v>
      </c>
      <c r="X146" s="53"/>
      <c r="Y146" s="27"/>
      <c r="Z146" s="43"/>
      <c r="AA146" s="80"/>
      <c r="AB146" s="46"/>
      <c r="AC146">
        <f t="shared" si="12"/>
        <v>0.58445945945945943</v>
      </c>
      <c r="AD146">
        <f t="shared" si="13"/>
        <v>1</v>
      </c>
    </row>
    <row r="147" spans="1:30">
      <c r="A147" s="30">
        <v>142</v>
      </c>
      <c r="B147" s="9" t="s">
        <v>393</v>
      </c>
      <c r="C147" s="5" t="s">
        <v>34</v>
      </c>
      <c r="D147" s="9" t="s">
        <v>35</v>
      </c>
      <c r="E147" s="9" t="s">
        <v>36</v>
      </c>
      <c r="F147" s="5" t="s">
        <v>394</v>
      </c>
      <c r="G147" s="5" t="s">
        <v>42</v>
      </c>
      <c r="H147" s="15" t="s">
        <v>42</v>
      </c>
      <c r="I147" s="15" t="s">
        <v>42</v>
      </c>
      <c r="J147" s="5">
        <v>2017</v>
      </c>
      <c r="K147" s="15">
        <v>119</v>
      </c>
      <c r="L147" s="9">
        <v>119</v>
      </c>
      <c r="M147" s="15">
        <v>0</v>
      </c>
      <c r="N147" s="15" t="s">
        <v>41</v>
      </c>
      <c r="O147" s="5" t="s">
        <v>42</v>
      </c>
      <c r="P147" s="5"/>
      <c r="Q147" s="21" t="s">
        <v>43</v>
      </c>
      <c r="R147" s="21" t="s">
        <v>88</v>
      </c>
      <c r="S147" s="18"/>
      <c r="T147" s="9"/>
      <c r="U147" s="9"/>
      <c r="V147" s="75"/>
      <c r="W147" s="9"/>
      <c r="X147" s="53"/>
      <c r="Y147" s="27"/>
      <c r="Z147" s="43"/>
      <c r="AA147" s="80"/>
      <c r="AB147" s="46"/>
      <c r="AC147">
        <f t="shared" si="12"/>
        <v>1</v>
      </c>
      <c r="AD147">
        <f t="shared" si="13"/>
        <v>0</v>
      </c>
    </row>
    <row r="148" spans="1:30">
      <c r="A148" s="29">
        <v>143</v>
      </c>
      <c r="B148" s="9" t="s">
        <v>395</v>
      </c>
      <c r="C148" s="5" t="s">
        <v>34</v>
      </c>
      <c r="D148" s="9" t="s">
        <v>35</v>
      </c>
      <c r="E148" s="9" t="s">
        <v>36</v>
      </c>
      <c r="F148" s="5" t="s">
        <v>74</v>
      </c>
      <c r="G148" s="5" t="s">
        <v>42</v>
      </c>
      <c r="H148" s="15" t="s">
        <v>42</v>
      </c>
      <c r="I148" s="15" t="s">
        <v>42</v>
      </c>
      <c r="J148" s="5">
        <v>2017</v>
      </c>
      <c r="K148" s="15">
        <v>120</v>
      </c>
      <c r="L148" s="9">
        <v>119</v>
      </c>
      <c r="M148" s="15">
        <v>101</v>
      </c>
      <c r="N148" s="15" t="s">
        <v>41</v>
      </c>
      <c r="O148" s="5" t="s">
        <v>42</v>
      </c>
      <c r="P148" s="5"/>
      <c r="Q148" s="21" t="s">
        <v>43</v>
      </c>
      <c r="R148" s="21"/>
      <c r="S148" s="18"/>
      <c r="T148" s="9"/>
      <c r="U148" s="9"/>
      <c r="V148" s="75">
        <v>-2.0997479999999999</v>
      </c>
      <c r="W148" s="9">
        <v>106.078397</v>
      </c>
      <c r="X148" s="53"/>
      <c r="Y148" s="27"/>
      <c r="Z148" s="43"/>
      <c r="AA148" s="80"/>
      <c r="AB148" s="46"/>
      <c r="AC148">
        <f t="shared" si="12"/>
        <v>0.9916666666666667</v>
      </c>
      <c r="AD148">
        <f t="shared" si="13"/>
        <v>0.84873949579831931</v>
      </c>
    </row>
    <row r="149" spans="1:30">
      <c r="A149" s="30">
        <v>144</v>
      </c>
      <c r="B149" s="9" t="s">
        <v>396</v>
      </c>
      <c r="C149" s="5" t="s">
        <v>170</v>
      </c>
      <c r="D149" s="9" t="s">
        <v>60</v>
      </c>
      <c r="E149" s="9" t="s">
        <v>91</v>
      </c>
      <c r="F149" s="5" t="s">
        <v>390</v>
      </c>
      <c r="G149" s="5" t="s">
        <v>391</v>
      </c>
      <c r="H149" s="15" t="s">
        <v>392</v>
      </c>
      <c r="I149" s="15" t="s">
        <v>86</v>
      </c>
      <c r="J149" s="5" t="s">
        <v>42</v>
      </c>
      <c r="K149" s="15">
        <v>705</v>
      </c>
      <c r="L149" s="9">
        <v>615</v>
      </c>
      <c r="M149" s="15">
        <v>615</v>
      </c>
      <c r="N149" s="15" t="s">
        <v>41</v>
      </c>
      <c r="O149" s="5" t="s">
        <v>42</v>
      </c>
      <c r="P149" s="5"/>
      <c r="Q149" s="21" t="s">
        <v>72</v>
      </c>
      <c r="R149" s="21"/>
      <c r="S149" s="18"/>
      <c r="T149" s="9"/>
      <c r="U149" s="9"/>
      <c r="V149" s="75">
        <v>-2.084654</v>
      </c>
      <c r="W149" s="9">
        <v>106.113918</v>
      </c>
      <c r="X149" s="53"/>
      <c r="Y149" s="27"/>
      <c r="Z149" s="43"/>
      <c r="AA149" s="80"/>
      <c r="AB149" s="46"/>
      <c r="AC149">
        <f t="shared" si="12"/>
        <v>0.87234042553191493</v>
      </c>
      <c r="AD149">
        <f t="shared" si="13"/>
        <v>1</v>
      </c>
    </row>
    <row r="150" spans="1:30">
      <c r="A150" s="29">
        <v>145</v>
      </c>
      <c r="B150" s="9" t="s">
        <v>1896</v>
      </c>
      <c r="C150" s="5" t="s">
        <v>170</v>
      </c>
      <c r="D150" s="9" t="s">
        <v>60</v>
      </c>
      <c r="E150" s="9" t="s">
        <v>368</v>
      </c>
      <c r="F150" s="5" t="s">
        <v>1897</v>
      </c>
      <c r="G150" s="5" t="s">
        <v>477</v>
      </c>
      <c r="H150" s="15" t="s">
        <v>1885</v>
      </c>
      <c r="I150" s="15"/>
      <c r="J150" s="5" t="s">
        <v>42</v>
      </c>
      <c r="K150" s="15">
        <v>47</v>
      </c>
      <c r="L150" s="9">
        <v>47</v>
      </c>
      <c r="M150" s="15">
        <v>47</v>
      </c>
      <c r="N150" s="15" t="s">
        <v>41</v>
      </c>
      <c r="O150" s="5" t="s">
        <v>42</v>
      </c>
      <c r="P150" s="5"/>
      <c r="Q150" s="21" t="s">
        <v>43</v>
      </c>
      <c r="R150" s="21"/>
      <c r="S150" s="18"/>
      <c r="T150" s="9"/>
      <c r="U150" s="9"/>
      <c r="V150" s="75">
        <v>-2.1046779999999998</v>
      </c>
      <c r="W150" s="9">
        <v>106.115516</v>
      </c>
      <c r="X150" s="53"/>
      <c r="Y150" s="65"/>
      <c r="Z150" s="43"/>
      <c r="AA150" s="80"/>
      <c r="AB150" s="73"/>
    </row>
    <row r="151" spans="1:30">
      <c r="A151" s="30">
        <v>146</v>
      </c>
      <c r="B151" s="9" t="s">
        <v>397</v>
      </c>
      <c r="C151" s="5" t="s">
        <v>170</v>
      </c>
      <c r="D151" s="9" t="s">
        <v>81</v>
      </c>
      <c r="E151" s="9" t="s">
        <v>398</v>
      </c>
      <c r="F151" s="5" t="s">
        <v>399</v>
      </c>
      <c r="G151" s="5" t="s">
        <v>400</v>
      </c>
      <c r="H151" s="15" t="s">
        <v>401</v>
      </c>
      <c r="I151" s="15" t="s">
        <v>42</v>
      </c>
      <c r="J151" s="5">
        <v>2024</v>
      </c>
      <c r="K151" s="15">
        <v>237</v>
      </c>
      <c r="L151" s="9">
        <v>0</v>
      </c>
      <c r="M151" s="15">
        <v>0</v>
      </c>
      <c r="N151" s="15" t="s">
        <v>41</v>
      </c>
      <c r="O151" s="5" t="s">
        <v>42</v>
      </c>
      <c r="P151" s="5"/>
      <c r="Q151" s="21" t="s">
        <v>43</v>
      </c>
      <c r="R151" s="21"/>
      <c r="S151" s="18"/>
      <c r="T151" s="9"/>
      <c r="U151" s="9"/>
      <c r="V151" s="75">
        <v>-2.1326553000000001</v>
      </c>
      <c r="W151" s="9">
        <v>106.1247745</v>
      </c>
      <c r="X151" s="53"/>
      <c r="Y151" s="27"/>
      <c r="Z151" s="43"/>
      <c r="AA151" s="80"/>
      <c r="AB151" s="46"/>
      <c r="AC151">
        <f t="shared" si="12"/>
        <v>0</v>
      </c>
      <c r="AD151">
        <f t="shared" si="13"/>
        <v>0</v>
      </c>
    </row>
    <row r="152" spans="1:30" ht="25">
      <c r="A152" s="29">
        <v>147</v>
      </c>
      <c r="B152" s="9" t="s">
        <v>402</v>
      </c>
      <c r="C152" s="5" t="s">
        <v>34</v>
      </c>
      <c r="D152" s="9" t="s">
        <v>35</v>
      </c>
      <c r="E152" s="9" t="s">
        <v>46</v>
      </c>
      <c r="F152" s="5" t="s">
        <v>403</v>
      </c>
      <c r="G152" s="5" t="s">
        <v>404</v>
      </c>
      <c r="H152" s="15" t="s">
        <v>405</v>
      </c>
      <c r="I152" s="15" t="s">
        <v>196</v>
      </c>
      <c r="J152" s="5">
        <v>2025</v>
      </c>
      <c r="K152" s="15">
        <v>64</v>
      </c>
      <c r="L152" s="9">
        <v>0</v>
      </c>
      <c r="M152" s="15">
        <v>0</v>
      </c>
      <c r="N152" s="15" t="s">
        <v>41</v>
      </c>
      <c r="O152" s="5" t="s">
        <v>42</v>
      </c>
      <c r="P152" s="5"/>
      <c r="Q152" s="21" t="s">
        <v>43</v>
      </c>
      <c r="R152" s="21" t="s">
        <v>88</v>
      </c>
      <c r="S152" s="18"/>
      <c r="T152" s="9"/>
      <c r="U152" s="9"/>
      <c r="V152" s="75">
        <v>-2.1277219999999999</v>
      </c>
      <c r="W152" s="9">
        <v>106.083528</v>
      </c>
      <c r="X152" s="53"/>
      <c r="Y152" s="27"/>
      <c r="Z152" s="43"/>
      <c r="AA152" s="80"/>
      <c r="AB152" s="46"/>
      <c r="AC152">
        <f t="shared" si="12"/>
        <v>0</v>
      </c>
      <c r="AD152">
        <f t="shared" si="13"/>
        <v>0</v>
      </c>
    </row>
    <row r="153" spans="1:30" ht="25">
      <c r="A153" s="30">
        <v>148</v>
      </c>
      <c r="B153" s="9" t="s">
        <v>406</v>
      </c>
      <c r="C153" s="5" t="s">
        <v>34</v>
      </c>
      <c r="D153" s="9" t="s">
        <v>35</v>
      </c>
      <c r="E153" s="9" t="s">
        <v>46</v>
      </c>
      <c r="F153" s="5" t="s">
        <v>407</v>
      </c>
      <c r="G153" s="5" t="s">
        <v>408</v>
      </c>
      <c r="H153" s="15" t="s">
        <v>409</v>
      </c>
      <c r="I153" s="15" t="s">
        <v>166</v>
      </c>
      <c r="J153" s="5">
        <v>2017</v>
      </c>
      <c r="K153" s="15">
        <v>74</v>
      </c>
      <c r="L153" s="9">
        <v>74</v>
      </c>
      <c r="M153" s="15">
        <v>74</v>
      </c>
      <c r="N153" s="15" t="s">
        <v>41</v>
      </c>
      <c r="O153" s="5" t="s">
        <v>42</v>
      </c>
      <c r="P153" s="5"/>
      <c r="Q153" s="21" t="s">
        <v>43</v>
      </c>
      <c r="R153" s="21"/>
      <c r="S153" s="18"/>
      <c r="T153" s="9"/>
      <c r="U153" s="9"/>
      <c r="V153" s="75">
        <v>-2.1151049999999998</v>
      </c>
      <c r="W153" s="9">
        <v>106.081965</v>
      </c>
      <c r="X153" s="53"/>
      <c r="Y153" s="27"/>
      <c r="Z153" s="43"/>
      <c r="AA153" s="80"/>
      <c r="AB153" s="46"/>
      <c r="AC153">
        <f t="shared" si="12"/>
        <v>1</v>
      </c>
      <c r="AD153">
        <f t="shared" si="13"/>
        <v>1</v>
      </c>
    </row>
    <row r="154" spans="1:30" ht="25">
      <c r="A154" s="29">
        <v>149</v>
      </c>
      <c r="B154" s="9" t="s">
        <v>410</v>
      </c>
      <c r="C154" s="5" t="s">
        <v>34</v>
      </c>
      <c r="D154" s="9" t="s">
        <v>35</v>
      </c>
      <c r="E154" s="9" t="s">
        <v>46</v>
      </c>
      <c r="F154" s="5" t="s">
        <v>104</v>
      </c>
      <c r="G154" s="5" t="s">
        <v>408</v>
      </c>
      <c r="H154" s="15" t="s">
        <v>409</v>
      </c>
      <c r="I154" s="15" t="s">
        <v>166</v>
      </c>
      <c r="J154" s="5">
        <v>2017</v>
      </c>
      <c r="K154" s="15">
        <v>32</v>
      </c>
      <c r="L154" s="9">
        <v>32</v>
      </c>
      <c r="M154" s="15">
        <v>32</v>
      </c>
      <c r="N154" s="15" t="s">
        <v>41</v>
      </c>
      <c r="O154" s="5" t="s">
        <v>42</v>
      </c>
      <c r="P154" s="5"/>
      <c r="Q154" s="21" t="s">
        <v>72</v>
      </c>
      <c r="R154" s="21" t="s">
        <v>88</v>
      </c>
      <c r="S154" s="18"/>
      <c r="T154" s="9"/>
      <c r="U154" s="9"/>
      <c r="V154" s="75">
        <v>-2.1158537000000002</v>
      </c>
      <c r="W154" s="9">
        <v>106.0816123</v>
      </c>
      <c r="X154" s="53"/>
      <c r="Y154" s="27"/>
      <c r="Z154" s="43"/>
      <c r="AA154" s="80"/>
      <c r="AB154" s="46"/>
      <c r="AC154">
        <f t="shared" si="12"/>
        <v>1</v>
      </c>
      <c r="AD154">
        <f t="shared" si="13"/>
        <v>1</v>
      </c>
    </row>
    <row r="155" spans="1:30" ht="25">
      <c r="A155" s="30">
        <v>150</v>
      </c>
      <c r="B155" s="9" t="s">
        <v>411</v>
      </c>
      <c r="C155" s="5" t="s">
        <v>34</v>
      </c>
      <c r="D155" s="9" t="s">
        <v>35</v>
      </c>
      <c r="E155" s="9" t="s">
        <v>46</v>
      </c>
      <c r="F155" s="5" t="s">
        <v>104</v>
      </c>
      <c r="G155" s="5" t="s">
        <v>408</v>
      </c>
      <c r="H155" s="15" t="s">
        <v>409</v>
      </c>
      <c r="I155" s="15" t="s">
        <v>166</v>
      </c>
      <c r="J155" s="5">
        <v>2018</v>
      </c>
      <c r="K155" s="15">
        <v>80</v>
      </c>
      <c r="L155" s="9">
        <v>58</v>
      </c>
      <c r="M155" s="15">
        <v>35</v>
      </c>
      <c r="N155" s="15" t="s">
        <v>41</v>
      </c>
      <c r="O155" s="5" t="s">
        <v>42</v>
      </c>
      <c r="P155" s="5"/>
      <c r="Q155" s="21" t="s">
        <v>43</v>
      </c>
      <c r="R155" s="21" t="s">
        <v>88</v>
      </c>
      <c r="S155" s="18"/>
      <c r="T155" s="9"/>
      <c r="U155" s="9"/>
      <c r="V155" s="75">
        <v>-2.1149426999999998</v>
      </c>
      <c r="W155" s="9">
        <v>106.08137979999999</v>
      </c>
      <c r="X155" s="53"/>
      <c r="Y155" s="27"/>
      <c r="Z155" s="43"/>
      <c r="AA155" s="80"/>
      <c r="AB155" s="46"/>
      <c r="AC155">
        <f t="shared" si="12"/>
        <v>0.72499999999999998</v>
      </c>
      <c r="AD155">
        <f t="shared" si="13"/>
        <v>0.60344827586206895</v>
      </c>
    </row>
    <row r="156" spans="1:30">
      <c r="A156" s="29">
        <v>151</v>
      </c>
      <c r="B156" s="9" t="s">
        <v>412</v>
      </c>
      <c r="C156" s="5" t="s">
        <v>34</v>
      </c>
      <c r="D156" s="9" t="s">
        <v>81</v>
      </c>
      <c r="E156" s="9" t="s">
        <v>202</v>
      </c>
      <c r="F156" s="5" t="s">
        <v>413</v>
      </c>
      <c r="G156" s="5" t="s">
        <v>414</v>
      </c>
      <c r="H156" s="15" t="s">
        <v>415</v>
      </c>
      <c r="I156" s="15" t="s">
        <v>112</v>
      </c>
      <c r="J156" s="5">
        <v>2017</v>
      </c>
      <c r="K156" s="15">
        <v>47</v>
      </c>
      <c r="L156" s="9">
        <v>47</v>
      </c>
      <c r="M156" s="15">
        <v>47</v>
      </c>
      <c r="N156" s="15" t="s">
        <v>41</v>
      </c>
      <c r="O156" s="5" t="s">
        <v>42</v>
      </c>
      <c r="P156" s="5"/>
      <c r="Q156" s="21" t="s">
        <v>43</v>
      </c>
      <c r="R156" s="21"/>
      <c r="S156" s="18"/>
      <c r="T156" s="9"/>
      <c r="U156" s="9"/>
      <c r="V156" s="75">
        <v>-2.1373600000000001</v>
      </c>
      <c r="W156" s="9">
        <v>106.157115</v>
      </c>
      <c r="X156" s="53"/>
      <c r="Y156" s="27"/>
      <c r="Z156" s="43"/>
      <c r="AA156" s="80"/>
      <c r="AB156" s="46"/>
      <c r="AC156">
        <f t="shared" si="12"/>
        <v>1</v>
      </c>
      <c r="AD156">
        <f t="shared" si="13"/>
        <v>1</v>
      </c>
    </row>
    <row r="157" spans="1:30" ht="25">
      <c r="A157" s="30">
        <v>152</v>
      </c>
      <c r="B157" s="9" t="s">
        <v>416</v>
      </c>
      <c r="C157" s="5" t="s">
        <v>34</v>
      </c>
      <c r="D157" s="9" t="s">
        <v>81</v>
      </c>
      <c r="E157" s="9" t="s">
        <v>202</v>
      </c>
      <c r="F157" s="5" t="s">
        <v>129</v>
      </c>
      <c r="G157" s="5" t="s">
        <v>417</v>
      </c>
      <c r="H157" s="15" t="s">
        <v>415</v>
      </c>
      <c r="I157" s="15" t="s">
        <v>112</v>
      </c>
      <c r="J157" s="5">
        <v>2017</v>
      </c>
      <c r="K157" s="15">
        <v>62</v>
      </c>
      <c r="L157" s="9">
        <v>60</v>
      </c>
      <c r="M157" s="15">
        <v>55</v>
      </c>
      <c r="N157" s="15" t="s">
        <v>41</v>
      </c>
      <c r="O157" s="5" t="s">
        <v>42</v>
      </c>
      <c r="P157" s="5"/>
      <c r="Q157" s="21" t="s">
        <v>43</v>
      </c>
      <c r="R157" s="21"/>
      <c r="S157" s="18"/>
      <c r="T157" s="9"/>
      <c r="U157" s="9"/>
      <c r="V157" s="75">
        <v>-2.1294439999999999</v>
      </c>
      <c r="W157" s="9">
        <v>106.1604487</v>
      </c>
      <c r="X157" s="53"/>
      <c r="Y157" s="27"/>
      <c r="Z157" s="43"/>
      <c r="AA157" s="80"/>
      <c r="AB157" s="46"/>
      <c r="AC157">
        <f t="shared" si="12"/>
        <v>0.967741935483871</v>
      </c>
      <c r="AD157">
        <f t="shared" si="13"/>
        <v>0.91666666666666663</v>
      </c>
    </row>
    <row r="158" spans="1:30" ht="25">
      <c r="A158" s="29">
        <v>153</v>
      </c>
      <c r="B158" s="9" t="s">
        <v>418</v>
      </c>
      <c r="C158" s="5" t="s">
        <v>34</v>
      </c>
      <c r="D158" s="9" t="s">
        <v>81</v>
      </c>
      <c r="E158" s="9" t="s">
        <v>122</v>
      </c>
      <c r="F158" s="5" t="s">
        <v>419</v>
      </c>
      <c r="G158" s="5" t="s">
        <v>417</v>
      </c>
      <c r="H158" s="15" t="s">
        <v>415</v>
      </c>
      <c r="I158" s="15" t="s">
        <v>112</v>
      </c>
      <c r="J158" s="5">
        <v>2018</v>
      </c>
      <c r="K158" s="15">
        <v>62</v>
      </c>
      <c r="L158" s="9">
        <v>60</v>
      </c>
      <c r="M158" s="15">
        <v>0</v>
      </c>
      <c r="N158" s="15" t="s">
        <v>41</v>
      </c>
      <c r="O158" s="5" t="s">
        <v>42</v>
      </c>
      <c r="P158" s="5"/>
      <c r="Q158" s="21" t="s">
        <v>43</v>
      </c>
      <c r="R158" s="21"/>
      <c r="S158" s="18"/>
      <c r="T158" s="9"/>
      <c r="U158" s="9"/>
      <c r="V158" s="75">
        <v>-2.1298411000000002</v>
      </c>
      <c r="W158" s="9">
        <v>106.15998329999999</v>
      </c>
      <c r="X158" s="53"/>
      <c r="Y158" s="27"/>
      <c r="Z158" s="43"/>
      <c r="AA158" s="80"/>
      <c r="AB158" s="46"/>
      <c r="AC158">
        <f t="shared" si="12"/>
        <v>0.967741935483871</v>
      </c>
      <c r="AD158">
        <f t="shared" si="13"/>
        <v>0</v>
      </c>
    </row>
    <row r="159" spans="1:30" ht="25">
      <c r="A159" s="30">
        <v>154</v>
      </c>
      <c r="B159" s="9" t="s">
        <v>420</v>
      </c>
      <c r="C159" s="5" t="s">
        <v>34</v>
      </c>
      <c r="D159" s="9" t="s">
        <v>81</v>
      </c>
      <c r="E159" s="9" t="s">
        <v>122</v>
      </c>
      <c r="F159" s="5" t="s">
        <v>419</v>
      </c>
      <c r="G159" s="5" t="s">
        <v>417</v>
      </c>
      <c r="H159" s="15" t="s">
        <v>415</v>
      </c>
      <c r="I159" s="15" t="s">
        <v>112</v>
      </c>
      <c r="J159" s="5">
        <v>2019</v>
      </c>
      <c r="K159" s="15">
        <v>53</v>
      </c>
      <c r="L159" s="9">
        <v>45</v>
      </c>
      <c r="M159" s="15">
        <v>39</v>
      </c>
      <c r="N159" s="15" t="s">
        <v>41</v>
      </c>
      <c r="O159" s="5" t="s">
        <v>42</v>
      </c>
      <c r="P159" s="5"/>
      <c r="Q159" s="21" t="s">
        <v>43</v>
      </c>
      <c r="R159" s="21" t="s">
        <v>88</v>
      </c>
      <c r="S159" s="18"/>
      <c r="T159" s="9"/>
      <c r="U159" s="9"/>
      <c r="V159" s="75">
        <v>-2.130566</v>
      </c>
      <c r="W159" s="9">
        <v>106.16054800000001</v>
      </c>
      <c r="X159" s="53"/>
      <c r="Y159" s="27"/>
      <c r="Z159" s="43"/>
      <c r="AA159" s="80"/>
      <c r="AB159" s="46"/>
      <c r="AC159">
        <f t="shared" si="12"/>
        <v>0.84905660377358494</v>
      </c>
      <c r="AD159">
        <f t="shared" si="13"/>
        <v>0.8666666666666667</v>
      </c>
    </row>
    <row r="160" spans="1:30" ht="25">
      <c r="A160" s="29">
        <v>155</v>
      </c>
      <c r="B160" s="9" t="s">
        <v>421</v>
      </c>
      <c r="C160" s="5" t="s">
        <v>34</v>
      </c>
      <c r="D160" s="9" t="s">
        <v>35</v>
      </c>
      <c r="E160" s="9" t="s">
        <v>36</v>
      </c>
      <c r="F160" s="5" t="s">
        <v>387</v>
      </c>
      <c r="G160" s="5" t="s">
        <v>388</v>
      </c>
      <c r="H160" s="15" t="s">
        <v>422</v>
      </c>
      <c r="I160" s="15" t="s">
        <v>65</v>
      </c>
      <c r="J160" s="5">
        <v>2019</v>
      </c>
      <c r="K160" s="15">
        <v>112</v>
      </c>
      <c r="L160" s="9">
        <v>63</v>
      </c>
      <c r="M160" s="15">
        <v>63</v>
      </c>
      <c r="N160" s="15" t="s">
        <v>41</v>
      </c>
      <c r="O160" s="5" t="s">
        <v>42</v>
      </c>
      <c r="P160" s="5"/>
      <c r="Q160" s="21" t="s">
        <v>72</v>
      </c>
      <c r="R160" s="21" t="s">
        <v>88</v>
      </c>
      <c r="S160" s="18"/>
      <c r="T160" s="9"/>
      <c r="U160" s="9"/>
      <c r="V160" s="75">
        <v>-2.1078779999999999</v>
      </c>
      <c r="W160" s="9">
        <v>106.06042100000001</v>
      </c>
      <c r="X160" s="53"/>
      <c r="Y160" s="27"/>
      <c r="Z160" s="43"/>
      <c r="AA160" s="80"/>
      <c r="AB160" s="46"/>
      <c r="AC160">
        <f t="shared" si="12"/>
        <v>0.5625</v>
      </c>
      <c r="AD160">
        <f t="shared" si="13"/>
        <v>1</v>
      </c>
    </row>
    <row r="161" spans="1:30">
      <c r="A161" s="30">
        <v>156</v>
      </c>
      <c r="B161" s="9" t="s">
        <v>423</v>
      </c>
      <c r="C161" s="5" t="s">
        <v>34</v>
      </c>
      <c r="D161" s="9" t="s">
        <v>35</v>
      </c>
      <c r="E161" s="9" t="s">
        <v>36</v>
      </c>
      <c r="F161" s="5" t="s">
        <v>42</v>
      </c>
      <c r="G161" s="5" t="s">
        <v>424</v>
      </c>
      <c r="H161" s="15" t="s">
        <v>425</v>
      </c>
      <c r="I161" s="15" t="s">
        <v>65</v>
      </c>
      <c r="J161" s="5">
        <v>2022</v>
      </c>
      <c r="K161" s="15">
        <v>99</v>
      </c>
      <c r="L161" s="9">
        <v>93</v>
      </c>
      <c r="M161" s="15">
        <v>93</v>
      </c>
      <c r="N161" s="15" t="s">
        <v>41</v>
      </c>
      <c r="O161" s="5" t="s">
        <v>42</v>
      </c>
      <c r="P161" s="5"/>
      <c r="Q161" s="21" t="s">
        <v>43</v>
      </c>
      <c r="R161" s="21" t="s">
        <v>88</v>
      </c>
      <c r="S161" s="18"/>
      <c r="T161" s="9"/>
      <c r="U161" s="9"/>
      <c r="V161" s="75">
        <v>-2.1125147000000002</v>
      </c>
      <c r="W161" s="9">
        <v>106.07043590000001</v>
      </c>
      <c r="X161" s="53"/>
      <c r="Y161" s="27"/>
      <c r="Z161" s="43"/>
      <c r="AA161" s="80"/>
      <c r="AB161" s="46"/>
      <c r="AC161">
        <f t="shared" si="12"/>
        <v>0.93939393939393945</v>
      </c>
      <c r="AD161">
        <f t="shared" si="13"/>
        <v>1</v>
      </c>
    </row>
    <row r="162" spans="1:30" ht="25">
      <c r="A162" s="29">
        <v>157</v>
      </c>
      <c r="B162" s="9" t="s">
        <v>426</v>
      </c>
      <c r="C162" s="5" t="s">
        <v>34</v>
      </c>
      <c r="D162" s="9" t="s">
        <v>35</v>
      </c>
      <c r="E162" s="9" t="s">
        <v>36</v>
      </c>
      <c r="F162" s="5" t="s">
        <v>387</v>
      </c>
      <c r="G162" s="5" t="s">
        <v>388</v>
      </c>
      <c r="H162" s="15" t="s">
        <v>422</v>
      </c>
      <c r="I162" s="15" t="s">
        <v>65</v>
      </c>
      <c r="J162" s="5">
        <v>2020</v>
      </c>
      <c r="K162" s="15">
        <v>92</v>
      </c>
      <c r="L162" s="9">
        <v>85</v>
      </c>
      <c r="M162" s="15">
        <v>85</v>
      </c>
      <c r="N162" s="15" t="s">
        <v>41</v>
      </c>
      <c r="O162" s="5" t="s">
        <v>42</v>
      </c>
      <c r="P162" s="5"/>
      <c r="Q162" s="21" t="s">
        <v>43</v>
      </c>
      <c r="R162" s="21" t="s">
        <v>88</v>
      </c>
      <c r="S162" s="18"/>
      <c r="T162" s="9"/>
      <c r="U162" s="9"/>
      <c r="V162" s="75">
        <v>-2.1084619999999998</v>
      </c>
      <c r="W162" s="9">
        <v>106.062211</v>
      </c>
      <c r="X162" s="53"/>
      <c r="Y162" s="27"/>
      <c r="Z162" s="43"/>
      <c r="AA162" s="80"/>
      <c r="AB162" s="46"/>
      <c r="AC162">
        <f t="shared" si="12"/>
        <v>0.92391304347826086</v>
      </c>
      <c r="AD162">
        <f t="shared" si="13"/>
        <v>1</v>
      </c>
    </row>
    <row r="163" spans="1:30" ht="25">
      <c r="A163" s="30">
        <v>158</v>
      </c>
      <c r="B163" s="9" t="s">
        <v>427</v>
      </c>
      <c r="C163" s="5" t="s">
        <v>34</v>
      </c>
      <c r="D163" s="9" t="s">
        <v>60</v>
      </c>
      <c r="E163" s="9" t="s">
        <v>266</v>
      </c>
      <c r="F163" s="5" t="s">
        <v>428</v>
      </c>
      <c r="G163" s="5" t="s">
        <v>429</v>
      </c>
      <c r="H163" s="15" t="s">
        <v>430</v>
      </c>
      <c r="I163" s="15" t="s">
        <v>112</v>
      </c>
      <c r="J163" s="5">
        <v>2018</v>
      </c>
      <c r="K163" s="15">
        <v>56</v>
      </c>
      <c r="L163" s="9">
        <v>32</v>
      </c>
      <c r="M163" s="15">
        <v>32</v>
      </c>
      <c r="N163" s="15" t="s">
        <v>41</v>
      </c>
      <c r="O163" s="5" t="s">
        <v>42</v>
      </c>
      <c r="P163" s="5"/>
      <c r="Q163" s="21" t="s">
        <v>43</v>
      </c>
      <c r="R163" s="21" t="s">
        <v>88</v>
      </c>
      <c r="S163" s="18"/>
      <c r="T163" s="9"/>
      <c r="U163" s="9"/>
      <c r="V163" s="75">
        <v>-2.0945735000000001</v>
      </c>
      <c r="W163" s="9">
        <v>106.113224</v>
      </c>
      <c r="X163" s="53"/>
      <c r="Y163" s="27"/>
      <c r="Z163" s="43"/>
      <c r="AA163" s="80"/>
      <c r="AB163" s="46"/>
      <c r="AC163">
        <f t="shared" si="12"/>
        <v>0.5714285714285714</v>
      </c>
      <c r="AD163">
        <f t="shared" si="13"/>
        <v>1</v>
      </c>
    </row>
    <row r="164" spans="1:30" ht="25">
      <c r="A164" s="29">
        <v>159</v>
      </c>
      <c r="B164" s="9" t="s">
        <v>1883</v>
      </c>
      <c r="C164" s="5" t="s">
        <v>34</v>
      </c>
      <c r="D164" s="9" t="s">
        <v>35</v>
      </c>
      <c r="E164" s="9" t="s">
        <v>36</v>
      </c>
      <c r="F164" s="5" t="s">
        <v>387</v>
      </c>
      <c r="G164" s="5" t="s">
        <v>1884</v>
      </c>
      <c r="H164" s="15" t="s">
        <v>1885</v>
      </c>
      <c r="I164" s="15"/>
      <c r="J164" s="5">
        <v>2026</v>
      </c>
      <c r="K164" s="15">
        <v>31</v>
      </c>
      <c r="L164" s="9">
        <v>0</v>
      </c>
      <c r="M164" s="15">
        <v>0</v>
      </c>
      <c r="N164" s="15" t="s">
        <v>41</v>
      </c>
      <c r="O164" s="5" t="s">
        <v>42</v>
      </c>
      <c r="P164" s="5"/>
      <c r="Q164" s="21" t="s">
        <v>43</v>
      </c>
      <c r="R164" s="21" t="s">
        <v>88</v>
      </c>
      <c r="S164" s="18"/>
      <c r="T164" s="9"/>
      <c r="U164" s="9"/>
      <c r="V164" s="75"/>
      <c r="W164" s="9"/>
      <c r="X164" s="53"/>
      <c r="Y164" s="65"/>
      <c r="Z164" s="43"/>
      <c r="AA164" s="80"/>
      <c r="AB164" s="73"/>
    </row>
    <row r="165" spans="1:30">
      <c r="A165" s="30">
        <v>160</v>
      </c>
      <c r="B165" s="9" t="s">
        <v>431</v>
      </c>
      <c r="C165" s="5" t="s">
        <v>34</v>
      </c>
      <c r="D165" s="9" t="s">
        <v>35</v>
      </c>
      <c r="E165" s="9" t="s">
        <v>36</v>
      </c>
      <c r="F165" s="5" t="s">
        <v>308</v>
      </c>
      <c r="G165" s="5" t="s">
        <v>432</v>
      </c>
      <c r="H165" s="15" t="s">
        <v>433</v>
      </c>
      <c r="I165" s="15" t="s">
        <v>112</v>
      </c>
      <c r="J165" s="5">
        <v>2019</v>
      </c>
      <c r="K165" s="15">
        <v>36</v>
      </c>
      <c r="L165" s="9">
        <v>31</v>
      </c>
      <c r="M165" s="15">
        <v>28</v>
      </c>
      <c r="N165" s="15" t="s">
        <v>41</v>
      </c>
      <c r="O165" s="5" t="s">
        <v>42</v>
      </c>
      <c r="P165" s="5"/>
      <c r="Q165" s="21" t="s">
        <v>43</v>
      </c>
      <c r="R165" s="21" t="s">
        <v>88</v>
      </c>
      <c r="S165" s="18"/>
      <c r="T165" s="9"/>
      <c r="U165" s="9"/>
      <c r="V165" s="75">
        <v>-2.1185654</v>
      </c>
      <c r="W165" s="9">
        <v>106.0760401</v>
      </c>
      <c r="X165" s="53"/>
      <c r="Y165" s="27"/>
      <c r="Z165" s="43"/>
      <c r="AA165" s="80"/>
      <c r="AB165" s="46"/>
      <c r="AC165">
        <f t="shared" ref="AC165:AC205" si="14">IF(A165="","",IFERROR(L165/K165,0))</f>
        <v>0.86111111111111116</v>
      </c>
      <c r="AD165">
        <f t="shared" ref="AD165:AD205" si="15">IF(A165="","",IFERROR(M165/L165,0))</f>
        <v>0.90322580645161288</v>
      </c>
    </row>
    <row r="166" spans="1:30" ht="25">
      <c r="A166" s="29">
        <v>161</v>
      </c>
      <c r="B166" s="9" t="s">
        <v>434</v>
      </c>
      <c r="C166" s="5" t="s">
        <v>170</v>
      </c>
      <c r="D166" s="9" t="s">
        <v>81</v>
      </c>
      <c r="E166" s="9" t="s">
        <v>82</v>
      </c>
      <c r="F166" s="5" t="s">
        <v>435</v>
      </c>
      <c r="G166" s="5" t="s">
        <v>42</v>
      </c>
      <c r="H166" s="15" t="s">
        <v>42</v>
      </c>
      <c r="I166" s="15" t="s">
        <v>42</v>
      </c>
      <c r="J166" s="5" t="s">
        <v>436</v>
      </c>
      <c r="K166" s="15">
        <v>70</v>
      </c>
      <c r="L166" s="9">
        <v>0</v>
      </c>
      <c r="M166" s="15">
        <v>0</v>
      </c>
      <c r="N166" s="15" t="s">
        <v>41</v>
      </c>
      <c r="O166" s="5" t="s">
        <v>42</v>
      </c>
      <c r="P166" s="5"/>
      <c r="Q166" s="21" t="s">
        <v>72</v>
      </c>
      <c r="R166" s="21"/>
      <c r="S166" s="18"/>
      <c r="T166" s="9"/>
      <c r="U166" s="9"/>
      <c r="V166" s="75"/>
      <c r="W166" s="9"/>
      <c r="X166" s="53"/>
      <c r="Y166" s="27"/>
      <c r="Z166" s="43"/>
      <c r="AA166" s="80"/>
      <c r="AB166" s="46"/>
      <c r="AC166">
        <f t="shared" si="14"/>
        <v>0</v>
      </c>
      <c r="AD166">
        <f t="shared" si="15"/>
        <v>0</v>
      </c>
    </row>
    <row r="167" spans="1:30">
      <c r="A167" s="30">
        <v>162</v>
      </c>
      <c r="B167" s="9" t="s">
        <v>437</v>
      </c>
      <c r="C167" s="5" t="s">
        <v>34</v>
      </c>
      <c r="D167" s="9" t="s">
        <v>304</v>
      </c>
      <c r="E167" s="9" t="s">
        <v>305</v>
      </c>
      <c r="F167" s="5" t="s">
        <v>438</v>
      </c>
      <c r="G167" s="5" t="s">
        <v>439</v>
      </c>
      <c r="H167" s="15" t="s">
        <v>440</v>
      </c>
      <c r="I167" s="15" t="s">
        <v>42</v>
      </c>
      <c r="J167" s="5">
        <v>2017</v>
      </c>
      <c r="K167" s="15">
        <v>23</v>
      </c>
      <c r="L167" s="9">
        <v>23</v>
      </c>
      <c r="M167" s="15">
        <v>23</v>
      </c>
      <c r="N167" s="15" t="s">
        <v>41</v>
      </c>
      <c r="O167" s="5" t="s">
        <v>42</v>
      </c>
      <c r="P167" s="5"/>
      <c r="Q167" s="21" t="s">
        <v>43</v>
      </c>
      <c r="R167" s="21" t="s">
        <v>88</v>
      </c>
      <c r="S167" s="18"/>
      <c r="T167" s="9"/>
      <c r="U167" s="9"/>
      <c r="V167" s="75">
        <v>-2.1512880999999999</v>
      </c>
      <c r="W167" s="9">
        <v>106.1042964</v>
      </c>
      <c r="X167" s="53"/>
      <c r="Y167" s="27"/>
      <c r="Z167" s="43"/>
      <c r="AA167" s="80"/>
      <c r="AB167" s="46"/>
      <c r="AC167">
        <f t="shared" si="14"/>
        <v>1</v>
      </c>
      <c r="AD167">
        <f t="shared" si="15"/>
        <v>1</v>
      </c>
    </row>
    <row r="168" spans="1:30">
      <c r="A168" s="29">
        <v>163</v>
      </c>
      <c r="B168" s="9" t="s">
        <v>441</v>
      </c>
      <c r="C168" s="5" t="s">
        <v>34</v>
      </c>
      <c r="D168" s="9" t="s">
        <v>81</v>
      </c>
      <c r="E168" s="9" t="s">
        <v>202</v>
      </c>
      <c r="F168" s="5" t="s">
        <v>419</v>
      </c>
      <c r="G168" s="5" t="s">
        <v>42</v>
      </c>
      <c r="H168" s="15" t="s">
        <v>42</v>
      </c>
      <c r="I168" s="15" t="s">
        <v>42</v>
      </c>
      <c r="J168" s="5">
        <v>2016</v>
      </c>
      <c r="K168" s="15">
        <v>25</v>
      </c>
      <c r="L168" s="9">
        <v>0</v>
      </c>
      <c r="M168" s="15">
        <v>0</v>
      </c>
      <c r="N168" s="15" t="s">
        <v>41</v>
      </c>
      <c r="O168" s="5" t="s">
        <v>42</v>
      </c>
      <c r="P168" s="5"/>
      <c r="Q168" s="21" t="s">
        <v>43</v>
      </c>
      <c r="R168" s="21"/>
      <c r="S168" s="18"/>
      <c r="T168" s="9"/>
      <c r="U168" s="9"/>
      <c r="V168" s="75">
        <v>-2.1308129999999998</v>
      </c>
      <c r="W168" s="9">
        <v>106.162803</v>
      </c>
      <c r="X168" s="53"/>
      <c r="Y168" s="27"/>
      <c r="Z168" s="43"/>
      <c r="AA168" s="80"/>
      <c r="AB168" s="46"/>
      <c r="AC168">
        <f t="shared" si="14"/>
        <v>0</v>
      </c>
      <c r="AD168">
        <f t="shared" si="15"/>
        <v>0</v>
      </c>
    </row>
    <row r="169" spans="1:30">
      <c r="A169" s="30">
        <v>164</v>
      </c>
      <c r="B169" s="9" t="s">
        <v>442</v>
      </c>
      <c r="C169" s="5" t="s">
        <v>34</v>
      </c>
      <c r="D169" s="9" t="s">
        <v>60</v>
      </c>
      <c r="E169" s="9" t="s">
        <v>266</v>
      </c>
      <c r="F169" s="5" t="s">
        <v>428</v>
      </c>
      <c r="G169" s="5" t="s">
        <v>443</v>
      </c>
      <c r="H169" s="15" t="s">
        <v>444</v>
      </c>
      <c r="I169" s="15" t="s">
        <v>196</v>
      </c>
      <c r="J169" s="5">
        <v>2019</v>
      </c>
      <c r="K169" s="15">
        <v>56</v>
      </c>
      <c r="L169" s="9">
        <v>56</v>
      </c>
      <c r="M169" s="15">
        <v>53</v>
      </c>
      <c r="N169" s="15" t="s">
        <v>48</v>
      </c>
      <c r="O169" s="5">
        <v>2022</v>
      </c>
      <c r="P169" s="5"/>
      <c r="Q169" s="21" t="s">
        <v>43</v>
      </c>
      <c r="R169" s="21"/>
      <c r="S169" s="18"/>
      <c r="T169" s="9"/>
      <c r="U169" s="9"/>
      <c r="V169" s="75">
        <v>-2.0915680000000001</v>
      </c>
      <c r="W169" s="9">
        <v>106.118658</v>
      </c>
      <c r="X169" s="53"/>
      <c r="Y169" s="27"/>
      <c r="Z169" s="43"/>
      <c r="AA169" s="80"/>
      <c r="AB169" s="46"/>
      <c r="AC169">
        <f t="shared" si="14"/>
        <v>1</v>
      </c>
      <c r="AD169">
        <f t="shared" si="15"/>
        <v>0.9464285714285714</v>
      </c>
    </row>
    <row r="170" spans="1:30">
      <c r="A170" s="29">
        <v>165</v>
      </c>
      <c r="B170" s="9" t="s">
        <v>445</v>
      </c>
      <c r="C170" s="5" t="s">
        <v>34</v>
      </c>
      <c r="D170" s="9" t="s">
        <v>35</v>
      </c>
      <c r="E170" s="9" t="s">
        <v>36</v>
      </c>
      <c r="F170" s="5" t="s">
        <v>54</v>
      </c>
      <c r="G170" s="5" t="s">
        <v>446</v>
      </c>
      <c r="H170" s="15" t="s">
        <v>444</v>
      </c>
      <c r="I170" s="15" t="s">
        <v>196</v>
      </c>
      <c r="J170" s="5">
        <v>2020</v>
      </c>
      <c r="K170" s="15">
        <v>54</v>
      </c>
      <c r="L170" s="9">
        <v>54</v>
      </c>
      <c r="M170" s="15">
        <v>54</v>
      </c>
      <c r="N170" s="15" t="s">
        <v>41</v>
      </c>
      <c r="O170" s="5" t="s">
        <v>42</v>
      </c>
      <c r="P170" s="5"/>
      <c r="Q170" s="21" t="s">
        <v>43</v>
      </c>
      <c r="R170" s="21" t="s">
        <v>247</v>
      </c>
      <c r="S170" s="18"/>
      <c r="T170" s="9" t="s">
        <v>44</v>
      </c>
      <c r="U170" s="9"/>
      <c r="V170" s="75">
        <v>-2.1000770000000002</v>
      </c>
      <c r="W170" s="9">
        <v>106.07646699999999</v>
      </c>
      <c r="X170" s="53"/>
      <c r="Y170" s="27"/>
      <c r="Z170" s="43"/>
      <c r="AA170" s="80"/>
      <c r="AB170" s="46"/>
      <c r="AC170">
        <f t="shared" si="14"/>
        <v>1</v>
      </c>
      <c r="AD170">
        <f t="shared" si="15"/>
        <v>1</v>
      </c>
    </row>
    <row r="171" spans="1:30">
      <c r="A171" s="30">
        <v>166</v>
      </c>
      <c r="B171" s="9" t="s">
        <v>447</v>
      </c>
      <c r="C171" s="5" t="s">
        <v>34</v>
      </c>
      <c r="D171" s="9" t="s">
        <v>35</v>
      </c>
      <c r="E171" s="9" t="s">
        <v>36</v>
      </c>
      <c r="F171" s="5" t="s">
        <v>448</v>
      </c>
      <c r="G171" s="5" t="s">
        <v>446</v>
      </c>
      <c r="H171" s="15" t="s">
        <v>444</v>
      </c>
      <c r="I171" s="15" t="s">
        <v>196</v>
      </c>
      <c r="J171" s="5">
        <v>2022</v>
      </c>
      <c r="K171" s="15">
        <v>70</v>
      </c>
      <c r="L171" s="9">
        <v>61</v>
      </c>
      <c r="M171" s="15">
        <v>61</v>
      </c>
      <c r="N171" s="15" t="s">
        <v>41</v>
      </c>
      <c r="O171" s="5" t="s">
        <v>42</v>
      </c>
      <c r="P171" s="5"/>
      <c r="Q171" s="21" t="s">
        <v>43</v>
      </c>
      <c r="R171" s="21" t="s">
        <v>247</v>
      </c>
      <c r="S171" s="18"/>
      <c r="T171" s="9"/>
      <c r="U171" s="9"/>
      <c r="V171" s="75">
        <v>-2.0998857000000002</v>
      </c>
      <c r="W171" s="9">
        <v>106.07139979999999</v>
      </c>
      <c r="X171" s="53"/>
      <c r="Y171" s="27"/>
      <c r="Z171" s="43"/>
      <c r="AA171" s="80"/>
      <c r="AB171" s="46"/>
      <c r="AC171">
        <f t="shared" si="14"/>
        <v>0.87142857142857144</v>
      </c>
      <c r="AD171">
        <f t="shared" si="15"/>
        <v>1</v>
      </c>
    </row>
    <row r="172" spans="1:30">
      <c r="A172" s="29">
        <v>167</v>
      </c>
      <c r="B172" s="9" t="s">
        <v>449</v>
      </c>
      <c r="C172" s="5" t="s">
        <v>34</v>
      </c>
      <c r="D172" s="9" t="s">
        <v>60</v>
      </c>
      <c r="E172" s="9" t="s">
        <v>266</v>
      </c>
      <c r="F172" s="5" t="s">
        <v>428</v>
      </c>
      <c r="G172" s="5" t="s">
        <v>446</v>
      </c>
      <c r="H172" s="15" t="s">
        <v>444</v>
      </c>
      <c r="I172" s="15" t="s">
        <v>196</v>
      </c>
      <c r="J172" s="5">
        <v>2024</v>
      </c>
      <c r="K172" s="15">
        <v>64</v>
      </c>
      <c r="L172" s="9">
        <v>59</v>
      </c>
      <c r="M172" s="15">
        <v>46</v>
      </c>
      <c r="N172" s="15" t="s">
        <v>41</v>
      </c>
      <c r="O172" s="5" t="s">
        <v>42</v>
      </c>
      <c r="P172" s="5"/>
      <c r="Q172" s="21" t="s">
        <v>43</v>
      </c>
      <c r="R172" s="21" t="s">
        <v>88</v>
      </c>
      <c r="S172" s="18"/>
      <c r="T172" s="9"/>
      <c r="U172" s="9"/>
      <c r="V172" s="75">
        <v>-2.0903510000000001</v>
      </c>
      <c r="W172" s="9">
        <v>106.11813600000001</v>
      </c>
      <c r="X172" s="53"/>
      <c r="Y172" s="27"/>
      <c r="Z172" s="43"/>
      <c r="AA172" s="80"/>
      <c r="AB172" s="46"/>
      <c r="AC172">
        <f t="shared" si="14"/>
        <v>0.921875</v>
      </c>
      <c r="AD172">
        <f t="shared" si="15"/>
        <v>0.77966101694915257</v>
      </c>
    </row>
    <row r="173" spans="1:30" ht="25">
      <c r="A173" s="30">
        <v>168</v>
      </c>
      <c r="B173" s="9" t="s">
        <v>450</v>
      </c>
      <c r="C173" s="5" t="s">
        <v>34</v>
      </c>
      <c r="D173" s="9" t="s">
        <v>35</v>
      </c>
      <c r="E173" s="9" t="s">
        <v>46</v>
      </c>
      <c r="F173" s="5" t="s">
        <v>243</v>
      </c>
      <c r="G173" s="5" t="s">
        <v>451</v>
      </c>
      <c r="H173" s="15" t="s">
        <v>409</v>
      </c>
      <c r="I173" s="15" t="s">
        <v>42</v>
      </c>
      <c r="J173" s="5">
        <v>2017</v>
      </c>
      <c r="K173" s="15">
        <v>25</v>
      </c>
      <c r="L173" s="9">
        <v>25</v>
      </c>
      <c r="M173" s="15">
        <v>25</v>
      </c>
      <c r="N173" s="15" t="s">
        <v>41</v>
      </c>
      <c r="O173" s="5" t="s">
        <v>42</v>
      </c>
      <c r="P173" s="5"/>
      <c r="Q173" s="21" t="s">
        <v>43</v>
      </c>
      <c r="R173" s="21" t="s">
        <v>247</v>
      </c>
      <c r="S173" s="18"/>
      <c r="T173" s="9"/>
      <c r="U173" s="9"/>
      <c r="V173" s="75">
        <v>-2.1180140000000001</v>
      </c>
      <c r="W173" s="9">
        <v>106.078672</v>
      </c>
      <c r="X173" s="53"/>
      <c r="Y173" s="27"/>
      <c r="Z173" s="43"/>
      <c r="AA173" s="80"/>
      <c r="AB173" s="46"/>
      <c r="AC173">
        <f t="shared" si="14"/>
        <v>1</v>
      </c>
      <c r="AD173">
        <f t="shared" si="15"/>
        <v>1</v>
      </c>
    </row>
    <row r="174" spans="1:30">
      <c r="A174" s="29">
        <v>169</v>
      </c>
      <c r="B174" s="9" t="s">
        <v>452</v>
      </c>
      <c r="C174" s="5" t="s">
        <v>34</v>
      </c>
      <c r="D174" s="9" t="s">
        <v>81</v>
      </c>
      <c r="E174" s="9" t="s">
        <v>202</v>
      </c>
      <c r="F174" s="5" t="s">
        <v>453</v>
      </c>
      <c r="G174" s="5" t="s">
        <v>454</v>
      </c>
      <c r="H174" s="15" t="s">
        <v>336</v>
      </c>
      <c r="I174" s="15" t="s">
        <v>112</v>
      </c>
      <c r="J174" s="5">
        <v>2018</v>
      </c>
      <c r="K174" s="15">
        <v>45</v>
      </c>
      <c r="L174" s="9">
        <v>43</v>
      </c>
      <c r="M174" s="15">
        <v>43</v>
      </c>
      <c r="N174" s="15" t="s">
        <v>41</v>
      </c>
      <c r="O174" s="5" t="s">
        <v>42</v>
      </c>
      <c r="P174" s="5"/>
      <c r="Q174" s="21" t="s">
        <v>75</v>
      </c>
      <c r="R174" s="21"/>
      <c r="S174" s="18" t="s">
        <v>178</v>
      </c>
      <c r="T174" s="9"/>
      <c r="U174" s="9"/>
      <c r="V174" s="75">
        <v>-2.1573333319999999</v>
      </c>
      <c r="W174" s="9">
        <v>106.15588889999999</v>
      </c>
      <c r="X174" s="53"/>
      <c r="Y174" s="27"/>
      <c r="Z174" s="43"/>
      <c r="AA174" s="80"/>
      <c r="AB174" s="46"/>
      <c r="AC174">
        <f t="shared" si="14"/>
        <v>0.9555555555555556</v>
      </c>
      <c r="AD174">
        <f t="shared" si="15"/>
        <v>1</v>
      </c>
    </row>
    <row r="175" spans="1:30" ht="25">
      <c r="A175" s="30">
        <v>170</v>
      </c>
      <c r="B175" s="9" t="s">
        <v>455</v>
      </c>
      <c r="C175" s="5" t="s">
        <v>34</v>
      </c>
      <c r="D175" s="9" t="s">
        <v>60</v>
      </c>
      <c r="E175" s="9" t="s">
        <v>70</v>
      </c>
      <c r="F175" s="5" t="s">
        <v>79</v>
      </c>
      <c r="G175" s="5" t="s">
        <v>456</v>
      </c>
      <c r="H175" s="15" t="s">
        <v>457</v>
      </c>
      <c r="I175" s="15" t="s">
        <v>42</v>
      </c>
      <c r="J175" s="5">
        <v>2018</v>
      </c>
      <c r="K175" s="15">
        <v>75</v>
      </c>
      <c r="L175" s="9">
        <v>10</v>
      </c>
      <c r="M175" s="15">
        <v>5</v>
      </c>
      <c r="N175" s="15" t="s">
        <v>41</v>
      </c>
      <c r="O175" s="5" t="s">
        <v>42</v>
      </c>
      <c r="P175" s="5"/>
      <c r="Q175" s="21" t="s">
        <v>43</v>
      </c>
      <c r="R175" s="21" t="s">
        <v>88</v>
      </c>
      <c r="S175" s="18" t="s">
        <v>178</v>
      </c>
      <c r="T175" s="9" t="s">
        <v>44</v>
      </c>
      <c r="U175" s="9"/>
      <c r="V175" s="75">
        <v>-2.0841970000000001</v>
      </c>
      <c r="W175" s="9">
        <v>106.096322</v>
      </c>
      <c r="X175" s="53"/>
      <c r="Y175" s="27"/>
      <c r="Z175" s="43"/>
      <c r="AA175" s="80"/>
      <c r="AB175" s="46"/>
      <c r="AC175">
        <f t="shared" si="14"/>
        <v>0.13333333333333333</v>
      </c>
      <c r="AD175">
        <f t="shared" si="15"/>
        <v>0.5</v>
      </c>
    </row>
    <row r="176" spans="1:30">
      <c r="A176" s="29">
        <v>171</v>
      </c>
      <c r="B176" s="9" t="s">
        <v>458</v>
      </c>
      <c r="C176" s="5" t="s">
        <v>34</v>
      </c>
      <c r="D176" s="9" t="s">
        <v>81</v>
      </c>
      <c r="E176" s="9" t="s">
        <v>202</v>
      </c>
      <c r="F176" s="5" t="s">
        <v>459</v>
      </c>
      <c r="G176" s="5" t="s">
        <v>460</v>
      </c>
      <c r="H176" s="15" t="s">
        <v>461</v>
      </c>
      <c r="I176" s="15" t="s">
        <v>166</v>
      </c>
      <c r="J176" s="5">
        <v>2020</v>
      </c>
      <c r="K176" s="15">
        <v>55</v>
      </c>
      <c r="L176" s="9">
        <v>55</v>
      </c>
      <c r="M176" s="15">
        <v>48</v>
      </c>
      <c r="N176" s="15" t="s">
        <v>41</v>
      </c>
      <c r="O176" s="5" t="s">
        <v>42</v>
      </c>
      <c r="P176" s="5"/>
      <c r="Q176" s="21" t="s">
        <v>43</v>
      </c>
      <c r="R176" s="21" t="s">
        <v>88</v>
      </c>
      <c r="S176" s="18"/>
      <c r="T176" s="9"/>
      <c r="U176" s="9"/>
      <c r="V176" s="75">
        <v>-2.1393496999999999</v>
      </c>
      <c r="W176" s="9">
        <v>106.1528338</v>
      </c>
      <c r="X176" s="53"/>
      <c r="Y176" s="27"/>
      <c r="Z176" s="43"/>
      <c r="AA176" s="80"/>
      <c r="AB176" s="46"/>
      <c r="AC176">
        <f t="shared" si="14"/>
        <v>1</v>
      </c>
      <c r="AD176">
        <f t="shared" si="15"/>
        <v>0.87272727272727268</v>
      </c>
    </row>
    <row r="177" spans="1:30">
      <c r="A177" s="30">
        <v>172</v>
      </c>
      <c r="B177" s="9" t="s">
        <v>462</v>
      </c>
      <c r="C177" s="5" t="s">
        <v>34</v>
      </c>
      <c r="D177" s="9" t="s">
        <v>60</v>
      </c>
      <c r="E177" s="9" t="s">
        <v>91</v>
      </c>
      <c r="F177" s="5" t="s">
        <v>463</v>
      </c>
      <c r="G177" s="5" t="s">
        <v>464</v>
      </c>
      <c r="H177" s="15" t="s">
        <v>42</v>
      </c>
      <c r="I177" s="15" t="s">
        <v>42</v>
      </c>
      <c r="J177" s="5">
        <v>2018</v>
      </c>
      <c r="K177" s="15">
        <v>129</v>
      </c>
      <c r="L177" s="9">
        <v>129</v>
      </c>
      <c r="M177" s="15">
        <v>129</v>
      </c>
      <c r="N177" s="15" t="s">
        <v>41</v>
      </c>
      <c r="O177" s="5" t="s">
        <v>42</v>
      </c>
      <c r="P177" s="5"/>
      <c r="Q177" s="21" t="s">
        <v>43</v>
      </c>
      <c r="R177" s="21" t="s">
        <v>88</v>
      </c>
      <c r="S177" s="18"/>
      <c r="T177" s="9"/>
      <c r="U177" s="9"/>
      <c r="V177" s="75">
        <v>-2.0889690000000001</v>
      </c>
      <c r="W177" s="9">
        <v>106.116389</v>
      </c>
      <c r="X177" s="53"/>
      <c r="Y177" s="27"/>
      <c r="Z177" s="43"/>
      <c r="AA177" s="80"/>
      <c r="AB177" s="46"/>
      <c r="AC177">
        <f t="shared" si="14"/>
        <v>1</v>
      </c>
      <c r="AD177">
        <f t="shared" si="15"/>
        <v>1</v>
      </c>
    </row>
    <row r="178" spans="1:30">
      <c r="A178" s="29">
        <v>173</v>
      </c>
      <c r="B178" s="9" t="s">
        <v>465</v>
      </c>
      <c r="C178" s="5" t="s">
        <v>34</v>
      </c>
      <c r="D178" s="9" t="s">
        <v>60</v>
      </c>
      <c r="E178" s="9" t="s">
        <v>91</v>
      </c>
      <c r="F178" s="5" t="s">
        <v>466</v>
      </c>
      <c r="G178" s="5" t="s">
        <v>339</v>
      </c>
      <c r="H178" s="15" t="s">
        <v>336</v>
      </c>
      <c r="I178" s="15" t="s">
        <v>42</v>
      </c>
      <c r="J178" s="5">
        <v>2017</v>
      </c>
      <c r="K178" s="15">
        <v>18</v>
      </c>
      <c r="L178" s="9">
        <v>18</v>
      </c>
      <c r="M178" s="15">
        <v>16</v>
      </c>
      <c r="N178" s="15" t="s">
        <v>41</v>
      </c>
      <c r="O178" s="5" t="s">
        <v>42</v>
      </c>
      <c r="P178" s="5"/>
      <c r="Q178" s="21" t="s">
        <v>75</v>
      </c>
      <c r="R178" s="21" t="s">
        <v>247</v>
      </c>
      <c r="S178" s="18" t="s">
        <v>178</v>
      </c>
      <c r="T178" s="9"/>
      <c r="U178" s="9"/>
      <c r="V178" s="75">
        <v>-2.0892409999999999</v>
      </c>
      <c r="W178" s="9">
        <v>106.096075</v>
      </c>
      <c r="X178" s="53"/>
      <c r="Y178" s="27"/>
      <c r="Z178" s="43"/>
      <c r="AA178" s="80"/>
      <c r="AB178" s="46"/>
      <c r="AC178">
        <f t="shared" si="14"/>
        <v>1</v>
      </c>
      <c r="AD178">
        <f t="shared" si="15"/>
        <v>0.88888888888888884</v>
      </c>
    </row>
    <row r="179" spans="1:30">
      <c r="A179" s="30">
        <v>174</v>
      </c>
      <c r="B179" s="9" t="s">
        <v>467</v>
      </c>
      <c r="C179" s="5" t="s">
        <v>34</v>
      </c>
      <c r="D179" s="9" t="s">
        <v>60</v>
      </c>
      <c r="E179" s="9" t="s">
        <v>70</v>
      </c>
      <c r="F179" s="5" t="s">
        <v>71</v>
      </c>
      <c r="G179" s="5" t="s">
        <v>468</v>
      </c>
      <c r="H179" s="15" t="s">
        <v>336</v>
      </c>
      <c r="I179" s="15" t="s">
        <v>42</v>
      </c>
      <c r="J179" s="5">
        <v>2018</v>
      </c>
      <c r="K179" s="15">
        <v>35</v>
      </c>
      <c r="L179" s="9">
        <v>35</v>
      </c>
      <c r="M179" s="15">
        <v>35</v>
      </c>
      <c r="N179" s="15" t="s">
        <v>41</v>
      </c>
      <c r="O179" s="5" t="s">
        <v>42</v>
      </c>
      <c r="P179" s="5"/>
      <c r="Q179" s="21" t="s">
        <v>75</v>
      </c>
      <c r="R179" s="21"/>
      <c r="S179" s="18" t="s">
        <v>178</v>
      </c>
      <c r="T179" s="9"/>
      <c r="U179" s="9"/>
      <c r="V179" s="75">
        <v>-2.090052</v>
      </c>
      <c r="W179" s="9">
        <v>106.094559</v>
      </c>
      <c r="X179" s="53"/>
      <c r="Y179" s="27"/>
      <c r="Z179" s="43"/>
      <c r="AA179" s="80"/>
      <c r="AB179" s="46"/>
      <c r="AC179">
        <f t="shared" si="14"/>
        <v>1</v>
      </c>
      <c r="AD179">
        <f t="shared" si="15"/>
        <v>1</v>
      </c>
    </row>
    <row r="180" spans="1:30">
      <c r="A180" s="29">
        <v>175</v>
      </c>
      <c r="B180" s="9" t="s">
        <v>469</v>
      </c>
      <c r="C180" s="5" t="s">
        <v>34</v>
      </c>
      <c r="D180" s="9" t="s">
        <v>60</v>
      </c>
      <c r="E180" s="9" t="s">
        <v>91</v>
      </c>
      <c r="F180" s="5" t="s">
        <v>470</v>
      </c>
      <c r="G180" s="5" t="s">
        <v>468</v>
      </c>
      <c r="H180" s="15" t="s">
        <v>336</v>
      </c>
      <c r="I180" s="15" t="s">
        <v>42</v>
      </c>
      <c r="J180" s="5">
        <v>2019</v>
      </c>
      <c r="K180" s="15">
        <v>29</v>
      </c>
      <c r="L180" s="9">
        <v>29</v>
      </c>
      <c r="M180" s="15">
        <v>29</v>
      </c>
      <c r="N180" s="15" t="s">
        <v>41</v>
      </c>
      <c r="O180" s="5" t="s">
        <v>42</v>
      </c>
      <c r="P180" s="5"/>
      <c r="Q180" s="21" t="s">
        <v>75</v>
      </c>
      <c r="R180" s="21"/>
      <c r="S180" s="18" t="s">
        <v>178</v>
      </c>
      <c r="T180" s="9"/>
      <c r="U180" s="9"/>
      <c r="V180" s="75">
        <v>-2.0964974999999999</v>
      </c>
      <c r="W180" s="9">
        <v>106.1040895</v>
      </c>
      <c r="X180" s="53"/>
      <c r="Y180" s="27"/>
      <c r="Z180" s="43"/>
      <c r="AA180" s="80"/>
      <c r="AB180" s="46"/>
      <c r="AC180">
        <f t="shared" si="14"/>
        <v>1</v>
      </c>
      <c r="AD180">
        <f t="shared" si="15"/>
        <v>1</v>
      </c>
    </row>
    <row r="181" spans="1:30">
      <c r="A181" s="30">
        <v>176</v>
      </c>
      <c r="B181" s="9" t="s">
        <v>471</v>
      </c>
      <c r="C181" s="5" t="s">
        <v>34</v>
      </c>
      <c r="D181" s="9" t="s">
        <v>60</v>
      </c>
      <c r="E181" s="9" t="s">
        <v>91</v>
      </c>
      <c r="F181" s="5" t="s">
        <v>209</v>
      </c>
      <c r="G181" s="5" t="s">
        <v>464</v>
      </c>
      <c r="H181" s="15" t="s">
        <v>472</v>
      </c>
      <c r="I181" s="15" t="s">
        <v>40</v>
      </c>
      <c r="J181" s="5">
        <v>2014</v>
      </c>
      <c r="K181" s="15">
        <v>174</v>
      </c>
      <c r="L181" s="9">
        <v>141</v>
      </c>
      <c r="M181" s="15">
        <v>141</v>
      </c>
      <c r="N181" s="15" t="s">
        <v>41</v>
      </c>
      <c r="O181" s="5" t="s">
        <v>42</v>
      </c>
      <c r="P181" s="5"/>
      <c r="Q181" s="21" t="s">
        <v>75</v>
      </c>
      <c r="R181" s="21"/>
      <c r="S181" s="18"/>
      <c r="T181" s="9" t="s">
        <v>44</v>
      </c>
      <c r="U181" s="9"/>
      <c r="V181" s="75">
        <v>-2.0814569999999999</v>
      </c>
      <c r="W181" s="9">
        <v>106.12316300000001</v>
      </c>
      <c r="X181" s="53"/>
      <c r="Y181" s="27"/>
      <c r="Z181" s="43"/>
      <c r="AA181" s="80"/>
      <c r="AB181" s="46"/>
      <c r="AC181">
        <f t="shared" si="14"/>
        <v>0.81034482758620685</v>
      </c>
      <c r="AD181">
        <f t="shared" si="15"/>
        <v>1</v>
      </c>
    </row>
    <row r="182" spans="1:30">
      <c r="A182" s="29">
        <v>177</v>
      </c>
      <c r="B182" s="9" t="s">
        <v>473</v>
      </c>
      <c r="C182" s="5" t="s">
        <v>34</v>
      </c>
      <c r="D182" s="9" t="s">
        <v>60</v>
      </c>
      <c r="E182" s="9" t="s">
        <v>266</v>
      </c>
      <c r="F182" s="5" t="s">
        <v>474</v>
      </c>
      <c r="G182" s="5" t="s">
        <v>42</v>
      </c>
      <c r="H182" s="15" t="s">
        <v>42</v>
      </c>
      <c r="I182" s="15" t="s">
        <v>42</v>
      </c>
      <c r="J182" s="5">
        <v>2017</v>
      </c>
      <c r="K182" s="15">
        <v>24</v>
      </c>
      <c r="L182" s="9">
        <v>24</v>
      </c>
      <c r="M182" s="15">
        <v>24</v>
      </c>
      <c r="N182" s="15" t="s">
        <v>41</v>
      </c>
      <c r="O182" s="5" t="s">
        <v>42</v>
      </c>
      <c r="P182" s="5"/>
      <c r="Q182" s="21" t="s">
        <v>43</v>
      </c>
      <c r="R182" s="21"/>
      <c r="S182" s="18"/>
      <c r="T182" s="9"/>
      <c r="U182" s="9"/>
      <c r="V182" s="75">
        <v>-2.0943870000000002</v>
      </c>
      <c r="W182" s="9">
        <v>106.117035</v>
      </c>
      <c r="X182" s="53"/>
      <c r="Y182" s="27"/>
      <c r="Z182" s="43"/>
      <c r="AA182" s="80"/>
      <c r="AB182" s="46"/>
      <c r="AC182">
        <f t="shared" si="14"/>
        <v>1</v>
      </c>
      <c r="AD182">
        <f t="shared" si="15"/>
        <v>1</v>
      </c>
    </row>
    <row r="183" spans="1:30">
      <c r="A183" s="30">
        <v>178</v>
      </c>
      <c r="B183" s="9" t="s">
        <v>475</v>
      </c>
      <c r="C183" s="5" t="s">
        <v>34</v>
      </c>
      <c r="D183" s="9" t="s">
        <v>60</v>
      </c>
      <c r="E183" s="9" t="s">
        <v>70</v>
      </c>
      <c r="F183" s="5" t="s">
        <v>476</v>
      </c>
      <c r="G183" s="5" t="s">
        <v>477</v>
      </c>
      <c r="H183" s="15" t="s">
        <v>42</v>
      </c>
      <c r="I183" s="15" t="s">
        <v>42</v>
      </c>
      <c r="J183" s="5">
        <v>2024</v>
      </c>
      <c r="K183" s="15">
        <v>26</v>
      </c>
      <c r="L183" s="9">
        <v>17</v>
      </c>
      <c r="M183" s="15">
        <v>4</v>
      </c>
      <c r="N183" s="15" t="s">
        <v>41</v>
      </c>
      <c r="O183" s="5" t="s">
        <v>42</v>
      </c>
      <c r="P183" s="5"/>
      <c r="Q183" s="21" t="s">
        <v>43</v>
      </c>
      <c r="R183" s="21" t="s">
        <v>88</v>
      </c>
      <c r="S183" s="18"/>
      <c r="T183" s="9"/>
      <c r="U183" s="9"/>
      <c r="V183" s="75">
        <v>-2.0900346999999999</v>
      </c>
      <c r="W183" s="9">
        <v>106.0923793</v>
      </c>
      <c r="X183" s="53"/>
      <c r="Y183" s="27"/>
      <c r="Z183" s="43"/>
      <c r="AA183" s="80"/>
      <c r="AB183" s="46"/>
      <c r="AC183">
        <f t="shared" si="14"/>
        <v>0.65384615384615385</v>
      </c>
      <c r="AD183">
        <f t="shared" si="15"/>
        <v>0.23529411764705882</v>
      </c>
    </row>
    <row r="184" spans="1:30">
      <c r="A184" s="29">
        <v>179</v>
      </c>
      <c r="B184" s="9" t="s">
        <v>478</v>
      </c>
      <c r="C184" s="5" t="s">
        <v>34</v>
      </c>
      <c r="D184" s="9" t="s">
        <v>81</v>
      </c>
      <c r="E184" s="9" t="s">
        <v>202</v>
      </c>
      <c r="F184" s="5" t="s">
        <v>253</v>
      </c>
      <c r="G184" s="5" t="s">
        <v>42</v>
      </c>
      <c r="H184" s="15" t="s">
        <v>42</v>
      </c>
      <c r="I184" s="15" t="s">
        <v>42</v>
      </c>
      <c r="J184" s="5">
        <v>2017</v>
      </c>
      <c r="K184" s="15">
        <v>56</v>
      </c>
      <c r="L184" s="9">
        <v>0</v>
      </c>
      <c r="M184" s="15">
        <v>0</v>
      </c>
      <c r="N184" s="15" t="s">
        <v>41</v>
      </c>
      <c r="O184" s="5" t="s">
        <v>42</v>
      </c>
      <c r="P184" s="5"/>
      <c r="Q184" s="21" t="s">
        <v>72</v>
      </c>
      <c r="R184" s="21"/>
      <c r="S184" s="18"/>
      <c r="T184" s="9"/>
      <c r="U184" s="9"/>
      <c r="V184" s="75">
        <v>-2.1382370000000002</v>
      </c>
      <c r="W184" s="9">
        <v>106.1508</v>
      </c>
      <c r="X184" s="53"/>
      <c r="Y184" s="27"/>
      <c r="Z184" s="43"/>
      <c r="AA184" s="80"/>
      <c r="AB184" s="46"/>
      <c r="AC184">
        <f t="shared" si="14"/>
        <v>0</v>
      </c>
      <c r="AD184">
        <f t="shared" si="15"/>
        <v>0</v>
      </c>
    </row>
    <row r="185" spans="1:30">
      <c r="A185" s="30">
        <v>180</v>
      </c>
      <c r="B185" s="9" t="s">
        <v>479</v>
      </c>
      <c r="C185" s="5" t="s">
        <v>34</v>
      </c>
      <c r="D185" s="9" t="s">
        <v>60</v>
      </c>
      <c r="E185" s="9" t="s">
        <v>266</v>
      </c>
      <c r="F185" s="5" t="s">
        <v>480</v>
      </c>
      <c r="G185" s="5" t="s">
        <v>481</v>
      </c>
      <c r="H185" s="15" t="s">
        <v>481</v>
      </c>
      <c r="I185" s="15" t="s">
        <v>42</v>
      </c>
      <c r="J185" s="5">
        <v>2017</v>
      </c>
      <c r="K185" s="15">
        <v>18</v>
      </c>
      <c r="L185" s="9">
        <v>18</v>
      </c>
      <c r="M185" s="15">
        <v>18</v>
      </c>
      <c r="N185" s="15" t="s">
        <v>41</v>
      </c>
      <c r="O185" s="5" t="s">
        <v>42</v>
      </c>
      <c r="P185" s="5"/>
      <c r="Q185" s="21" t="s">
        <v>43</v>
      </c>
      <c r="R185" s="21"/>
      <c r="S185" s="18"/>
      <c r="T185" s="9"/>
      <c r="U185" s="9"/>
      <c r="V185" s="75">
        <v>-2.099604555</v>
      </c>
      <c r="W185" s="9">
        <v>106.1074424</v>
      </c>
      <c r="X185" s="53"/>
      <c r="Y185" s="27"/>
      <c r="Z185" s="43"/>
      <c r="AA185" s="80"/>
      <c r="AB185" s="46"/>
      <c r="AC185">
        <f t="shared" si="14"/>
        <v>1</v>
      </c>
      <c r="AD185">
        <f t="shared" si="15"/>
        <v>1</v>
      </c>
    </row>
    <row r="186" spans="1:30">
      <c r="A186" s="29">
        <v>181</v>
      </c>
      <c r="B186" s="9" t="s">
        <v>482</v>
      </c>
      <c r="C186" s="5" t="s">
        <v>34</v>
      </c>
      <c r="D186" s="9" t="s">
        <v>60</v>
      </c>
      <c r="E186" s="9" t="s">
        <v>91</v>
      </c>
      <c r="F186" s="5" t="s">
        <v>79</v>
      </c>
      <c r="G186" s="5" t="s">
        <v>42</v>
      </c>
      <c r="H186" s="15" t="s">
        <v>42</v>
      </c>
      <c r="I186" s="15" t="s">
        <v>42</v>
      </c>
      <c r="J186" s="5">
        <v>2019</v>
      </c>
      <c r="K186" s="15">
        <v>26</v>
      </c>
      <c r="L186" s="9">
        <v>26</v>
      </c>
      <c r="M186" s="15">
        <v>26</v>
      </c>
      <c r="N186" s="15" t="s">
        <v>41</v>
      </c>
      <c r="O186" s="5" t="s">
        <v>42</v>
      </c>
      <c r="P186" s="5"/>
      <c r="Q186" s="21" t="s">
        <v>43</v>
      </c>
      <c r="R186" s="21" t="s">
        <v>88</v>
      </c>
      <c r="S186" s="18"/>
      <c r="T186" s="9"/>
      <c r="U186" s="9"/>
      <c r="V186" s="75">
        <v>-2.0878000000000001</v>
      </c>
      <c r="W186" s="9">
        <v>106.0942</v>
      </c>
      <c r="X186" s="53"/>
      <c r="Y186" s="27"/>
      <c r="Z186" s="43"/>
      <c r="AA186" s="80"/>
      <c r="AB186" s="46"/>
      <c r="AC186">
        <f t="shared" si="14"/>
        <v>1</v>
      </c>
      <c r="AD186">
        <f t="shared" si="15"/>
        <v>1</v>
      </c>
    </row>
    <row r="187" spans="1:30">
      <c r="A187" s="30">
        <v>182</v>
      </c>
      <c r="B187" s="9" t="s">
        <v>483</v>
      </c>
      <c r="C187" s="5" t="s">
        <v>34</v>
      </c>
      <c r="D187" s="9" t="s">
        <v>35</v>
      </c>
      <c r="E187" s="9" t="s">
        <v>36</v>
      </c>
      <c r="F187" s="5" t="s">
        <v>484</v>
      </c>
      <c r="G187" s="5" t="s">
        <v>485</v>
      </c>
      <c r="H187" s="15" t="s">
        <v>486</v>
      </c>
      <c r="I187" s="15" t="s">
        <v>166</v>
      </c>
      <c r="J187" s="5">
        <v>2020</v>
      </c>
      <c r="K187" s="15">
        <v>41</v>
      </c>
      <c r="L187" s="9">
        <v>41</v>
      </c>
      <c r="M187" s="15">
        <v>41</v>
      </c>
      <c r="N187" s="15" t="s">
        <v>41</v>
      </c>
      <c r="O187" s="5" t="s">
        <v>42</v>
      </c>
      <c r="P187" s="5"/>
      <c r="Q187" s="21" t="s">
        <v>43</v>
      </c>
      <c r="R187" s="21" t="s">
        <v>88</v>
      </c>
      <c r="S187" s="18"/>
      <c r="T187" s="9"/>
      <c r="U187" s="9"/>
      <c r="V187" s="75">
        <v>-2.101111</v>
      </c>
      <c r="W187" s="9">
        <v>106.0888344</v>
      </c>
      <c r="X187" s="53"/>
      <c r="Y187" s="27"/>
      <c r="Z187" s="43"/>
      <c r="AA187" s="80"/>
      <c r="AB187" s="46"/>
      <c r="AC187">
        <f t="shared" si="14"/>
        <v>1</v>
      </c>
      <c r="AD187">
        <f t="shared" si="15"/>
        <v>1</v>
      </c>
    </row>
    <row r="188" spans="1:30">
      <c r="A188" s="29">
        <v>183</v>
      </c>
      <c r="B188" s="9" t="s">
        <v>487</v>
      </c>
      <c r="C188" s="5" t="s">
        <v>34</v>
      </c>
      <c r="D188" s="9" t="s">
        <v>60</v>
      </c>
      <c r="E188" s="9" t="s">
        <v>91</v>
      </c>
      <c r="F188" s="5" t="s">
        <v>488</v>
      </c>
      <c r="G188" s="5" t="s">
        <v>489</v>
      </c>
      <c r="H188" s="15" t="s">
        <v>490</v>
      </c>
      <c r="I188" s="15" t="s">
        <v>86</v>
      </c>
      <c r="J188" s="5">
        <v>2019</v>
      </c>
      <c r="K188" s="15">
        <v>167</v>
      </c>
      <c r="L188" s="9">
        <v>167</v>
      </c>
      <c r="M188" s="15">
        <v>91</v>
      </c>
      <c r="N188" s="15" t="s">
        <v>41</v>
      </c>
      <c r="O188" s="5" t="s">
        <v>42</v>
      </c>
      <c r="P188" s="5"/>
      <c r="Q188" s="21" t="s">
        <v>43</v>
      </c>
      <c r="R188" s="21" t="s">
        <v>247</v>
      </c>
      <c r="S188" s="18"/>
      <c r="T188" s="9"/>
      <c r="U188" s="9"/>
      <c r="V188" s="75">
        <v>-2.0900110000000001</v>
      </c>
      <c r="W188" s="9">
        <v>106.10247200000001</v>
      </c>
      <c r="X188" s="53"/>
      <c r="Y188" s="27"/>
      <c r="Z188" s="43"/>
      <c r="AA188" s="80"/>
      <c r="AB188" s="46"/>
      <c r="AC188">
        <f t="shared" si="14"/>
        <v>1</v>
      </c>
      <c r="AD188">
        <f t="shared" si="15"/>
        <v>0.54491017964071853</v>
      </c>
    </row>
    <row r="189" spans="1:30">
      <c r="A189" s="30">
        <v>184</v>
      </c>
      <c r="B189" s="9" t="s">
        <v>491</v>
      </c>
      <c r="C189" s="5" t="s">
        <v>34</v>
      </c>
      <c r="D189" s="9" t="s">
        <v>60</v>
      </c>
      <c r="E189" s="9" t="s">
        <v>91</v>
      </c>
      <c r="F189" s="5" t="s">
        <v>488</v>
      </c>
      <c r="G189" s="5" t="s">
        <v>489</v>
      </c>
      <c r="H189" s="15" t="s">
        <v>490</v>
      </c>
      <c r="I189" s="15" t="s">
        <v>86</v>
      </c>
      <c r="J189" s="5">
        <v>2022</v>
      </c>
      <c r="K189" s="15">
        <v>51</v>
      </c>
      <c r="L189" s="9">
        <v>0</v>
      </c>
      <c r="M189" s="15">
        <v>0</v>
      </c>
      <c r="N189" s="15" t="s">
        <v>41</v>
      </c>
      <c r="O189" s="5" t="s">
        <v>42</v>
      </c>
      <c r="P189" s="5"/>
      <c r="Q189" s="21" t="s">
        <v>43</v>
      </c>
      <c r="R189" s="21"/>
      <c r="S189" s="18"/>
      <c r="T189" s="9"/>
      <c r="U189" s="9"/>
      <c r="V189" s="75">
        <v>-2.0885655999999999</v>
      </c>
      <c r="W189" s="9">
        <v>106.09792659999999</v>
      </c>
      <c r="X189" s="53"/>
      <c r="Y189" s="27"/>
      <c r="Z189" s="43"/>
      <c r="AA189" s="80"/>
      <c r="AB189" s="46"/>
      <c r="AC189">
        <f t="shared" si="14"/>
        <v>0</v>
      </c>
      <c r="AD189">
        <f t="shared" si="15"/>
        <v>0</v>
      </c>
    </row>
    <row r="190" spans="1:30">
      <c r="A190" s="29">
        <v>185</v>
      </c>
      <c r="B190" s="9" t="s">
        <v>492</v>
      </c>
      <c r="C190" s="5" t="s">
        <v>34</v>
      </c>
      <c r="D190" s="9" t="s">
        <v>81</v>
      </c>
      <c r="E190" s="9" t="s">
        <v>398</v>
      </c>
      <c r="F190" s="5" t="s">
        <v>493</v>
      </c>
      <c r="G190" s="5" t="s">
        <v>489</v>
      </c>
      <c r="H190" s="15" t="s">
        <v>490</v>
      </c>
      <c r="I190" s="15" t="s">
        <v>86</v>
      </c>
      <c r="J190" s="5">
        <v>2022</v>
      </c>
      <c r="K190" s="15">
        <v>116</v>
      </c>
      <c r="L190" s="9">
        <v>36</v>
      </c>
      <c r="M190" s="15">
        <v>33</v>
      </c>
      <c r="N190" s="15" t="s">
        <v>41</v>
      </c>
      <c r="O190" s="5" t="s">
        <v>42</v>
      </c>
      <c r="P190" s="5"/>
      <c r="Q190" s="21" t="s">
        <v>43</v>
      </c>
      <c r="R190" s="21"/>
      <c r="S190" s="18"/>
      <c r="T190" s="9"/>
      <c r="U190" s="9"/>
      <c r="V190" s="75">
        <v>-2.1283569999999998</v>
      </c>
      <c r="W190" s="9">
        <v>106.13170340000001</v>
      </c>
      <c r="X190" s="53"/>
      <c r="Y190" s="27"/>
      <c r="Z190" s="43"/>
      <c r="AA190" s="80"/>
      <c r="AB190" s="46"/>
      <c r="AC190">
        <f t="shared" si="14"/>
        <v>0.31034482758620691</v>
      </c>
      <c r="AD190">
        <f t="shared" si="15"/>
        <v>0.91666666666666663</v>
      </c>
    </row>
    <row r="191" spans="1:30">
      <c r="A191" s="30">
        <v>186</v>
      </c>
      <c r="B191" s="9" t="s">
        <v>494</v>
      </c>
      <c r="C191" s="5" t="s">
        <v>170</v>
      </c>
      <c r="D191" s="9" t="s">
        <v>35</v>
      </c>
      <c r="E191" s="9" t="s">
        <v>36</v>
      </c>
      <c r="F191" s="5" t="s">
        <v>171</v>
      </c>
      <c r="G191" s="5" t="s">
        <v>489</v>
      </c>
      <c r="H191" s="15" t="s">
        <v>490</v>
      </c>
      <c r="I191" s="15" t="s">
        <v>86</v>
      </c>
      <c r="J191" s="5">
        <v>2022</v>
      </c>
      <c r="K191" s="15">
        <v>38</v>
      </c>
      <c r="L191" s="9">
        <v>26</v>
      </c>
      <c r="M191" s="15">
        <v>26</v>
      </c>
      <c r="N191" s="15" t="s">
        <v>48</v>
      </c>
      <c r="O191" s="5">
        <v>2025</v>
      </c>
      <c r="P191" s="5"/>
      <c r="Q191" s="21" t="s">
        <v>43</v>
      </c>
      <c r="R191" s="21"/>
      <c r="S191" s="18"/>
      <c r="T191" s="9"/>
      <c r="U191" s="9"/>
      <c r="V191" s="75">
        <v>-2.1216097</v>
      </c>
      <c r="W191" s="9">
        <v>106.0862723</v>
      </c>
      <c r="X191" s="53"/>
      <c r="Y191" s="27"/>
      <c r="Z191" s="43"/>
      <c r="AA191" s="80"/>
      <c r="AB191" s="46"/>
      <c r="AC191">
        <f t="shared" si="14"/>
        <v>0.68421052631578949</v>
      </c>
      <c r="AD191">
        <f t="shared" si="15"/>
        <v>1</v>
      </c>
    </row>
    <row r="192" spans="1:30">
      <c r="A192" s="29">
        <v>187</v>
      </c>
      <c r="B192" s="9" t="s">
        <v>495</v>
      </c>
      <c r="C192" s="5" t="s">
        <v>34</v>
      </c>
      <c r="D192" s="9" t="s">
        <v>60</v>
      </c>
      <c r="E192" s="9" t="s">
        <v>70</v>
      </c>
      <c r="F192" s="5" t="s">
        <v>496</v>
      </c>
      <c r="G192" s="5" t="s">
        <v>489</v>
      </c>
      <c r="H192" s="15" t="s">
        <v>490</v>
      </c>
      <c r="I192" s="15" t="s">
        <v>86</v>
      </c>
      <c r="J192" s="5">
        <v>2023</v>
      </c>
      <c r="K192" s="15">
        <v>148</v>
      </c>
      <c r="L192" s="9">
        <v>116</v>
      </c>
      <c r="M192" s="15">
        <v>80</v>
      </c>
      <c r="N192" s="15" t="s">
        <v>41</v>
      </c>
      <c r="O192" s="5" t="s">
        <v>42</v>
      </c>
      <c r="P192" s="5"/>
      <c r="Q192" s="21" t="s">
        <v>43</v>
      </c>
      <c r="R192" s="21" t="s">
        <v>88</v>
      </c>
      <c r="S192" s="18"/>
      <c r="T192" s="9"/>
      <c r="U192" s="9"/>
      <c r="V192" s="75">
        <v>-2.0946505000000002</v>
      </c>
      <c r="W192" s="9">
        <v>106.091736</v>
      </c>
      <c r="X192" s="53"/>
      <c r="Y192" s="27"/>
      <c r="Z192" s="43"/>
      <c r="AA192" s="80"/>
      <c r="AB192" s="46"/>
      <c r="AC192">
        <f t="shared" si="14"/>
        <v>0.78378378378378377</v>
      </c>
      <c r="AD192">
        <f t="shared" si="15"/>
        <v>0.68965517241379315</v>
      </c>
    </row>
    <row r="193" spans="1:30">
      <c r="A193" s="30">
        <v>188</v>
      </c>
      <c r="B193" s="9" t="s">
        <v>497</v>
      </c>
      <c r="C193" s="5" t="s">
        <v>34</v>
      </c>
      <c r="D193" s="9" t="s">
        <v>60</v>
      </c>
      <c r="E193" s="9" t="s">
        <v>70</v>
      </c>
      <c r="F193" s="5" t="s">
        <v>498</v>
      </c>
      <c r="G193" s="5" t="s">
        <v>489</v>
      </c>
      <c r="H193" s="15" t="s">
        <v>490</v>
      </c>
      <c r="I193" s="15" t="s">
        <v>86</v>
      </c>
      <c r="J193" s="5">
        <v>2023</v>
      </c>
      <c r="K193" s="15">
        <v>24</v>
      </c>
      <c r="L193" s="9">
        <v>0</v>
      </c>
      <c r="M193" s="15">
        <v>0</v>
      </c>
      <c r="N193" s="15" t="s">
        <v>41</v>
      </c>
      <c r="O193" s="5" t="s">
        <v>42</v>
      </c>
      <c r="P193" s="5"/>
      <c r="Q193" s="21" t="s">
        <v>43</v>
      </c>
      <c r="R193" s="21"/>
      <c r="S193" s="18"/>
      <c r="T193" s="9"/>
      <c r="U193" s="9"/>
      <c r="V193" s="75">
        <v>-2.0952259999999998</v>
      </c>
      <c r="W193" s="9">
        <v>106.0856861</v>
      </c>
      <c r="X193" s="53"/>
      <c r="Y193" s="27"/>
      <c r="Z193" s="43"/>
      <c r="AA193" s="80"/>
      <c r="AB193" s="46"/>
      <c r="AC193">
        <f t="shared" si="14"/>
        <v>0</v>
      </c>
      <c r="AD193">
        <f t="shared" si="15"/>
        <v>0</v>
      </c>
    </row>
    <row r="194" spans="1:30">
      <c r="A194" s="29">
        <v>189</v>
      </c>
      <c r="B194" s="9" t="s">
        <v>499</v>
      </c>
      <c r="C194" s="5" t="s">
        <v>34</v>
      </c>
      <c r="D194" s="9" t="s">
        <v>60</v>
      </c>
      <c r="E194" s="9" t="s">
        <v>70</v>
      </c>
      <c r="F194" s="5" t="s">
        <v>116</v>
      </c>
      <c r="G194" s="5" t="s">
        <v>489</v>
      </c>
      <c r="H194" s="15" t="s">
        <v>490</v>
      </c>
      <c r="I194" s="15" t="s">
        <v>86</v>
      </c>
      <c r="J194" s="5">
        <v>2024</v>
      </c>
      <c r="K194" s="15">
        <v>47</v>
      </c>
      <c r="L194" s="9">
        <v>0</v>
      </c>
      <c r="M194" s="15">
        <v>0</v>
      </c>
      <c r="N194" s="15" t="s">
        <v>41</v>
      </c>
      <c r="O194" s="5" t="s">
        <v>42</v>
      </c>
      <c r="P194" s="5"/>
      <c r="Q194" s="21" t="s">
        <v>43</v>
      </c>
      <c r="R194" s="21"/>
      <c r="S194" s="18"/>
      <c r="T194" s="9"/>
      <c r="U194" s="9"/>
      <c r="V194" s="75">
        <v>-2.0995051</v>
      </c>
      <c r="W194" s="9">
        <v>106.0848124</v>
      </c>
      <c r="X194" s="53"/>
      <c r="Y194" s="27"/>
      <c r="Z194" s="43"/>
      <c r="AA194" s="80"/>
      <c r="AB194" s="46"/>
      <c r="AC194">
        <f t="shared" si="14"/>
        <v>0</v>
      </c>
      <c r="AD194">
        <f t="shared" si="15"/>
        <v>0</v>
      </c>
    </row>
    <row r="195" spans="1:30">
      <c r="A195" s="30">
        <v>190</v>
      </c>
      <c r="B195" s="9" t="s">
        <v>500</v>
      </c>
      <c r="C195" s="5" t="s">
        <v>34</v>
      </c>
      <c r="D195" s="9" t="s">
        <v>35</v>
      </c>
      <c r="E195" s="9" t="s">
        <v>136</v>
      </c>
      <c r="F195" s="5" t="s">
        <v>185</v>
      </c>
      <c r="G195" s="5" t="s">
        <v>489</v>
      </c>
      <c r="H195" s="15" t="s">
        <v>490</v>
      </c>
      <c r="I195" s="15" t="s">
        <v>86</v>
      </c>
      <c r="J195" s="5">
        <v>2025</v>
      </c>
      <c r="K195" s="15">
        <v>58</v>
      </c>
      <c r="L195" s="9">
        <v>41</v>
      </c>
      <c r="M195" s="15">
        <v>41</v>
      </c>
      <c r="N195" s="15" t="s">
        <v>41</v>
      </c>
      <c r="O195" s="5" t="s">
        <v>42</v>
      </c>
      <c r="P195" s="5"/>
      <c r="Q195" s="21" t="s">
        <v>43</v>
      </c>
      <c r="R195" s="21" t="s">
        <v>88</v>
      </c>
      <c r="S195" s="18"/>
      <c r="T195" s="9"/>
      <c r="U195" s="9"/>
      <c r="V195" s="75">
        <v>-2.106506</v>
      </c>
      <c r="W195" s="9">
        <v>106.090225</v>
      </c>
      <c r="X195" s="53"/>
      <c r="Y195" s="27"/>
      <c r="Z195" s="43"/>
      <c r="AA195" s="80"/>
      <c r="AB195" s="46"/>
      <c r="AC195">
        <f t="shared" si="14"/>
        <v>0.7068965517241379</v>
      </c>
      <c r="AD195">
        <f t="shared" si="15"/>
        <v>1</v>
      </c>
    </row>
    <row r="196" spans="1:30">
      <c r="A196" s="29">
        <v>191</v>
      </c>
      <c r="B196" s="9" t="s">
        <v>501</v>
      </c>
      <c r="C196" s="5" t="s">
        <v>34</v>
      </c>
      <c r="D196" s="9" t="s">
        <v>35</v>
      </c>
      <c r="E196" s="9" t="s">
        <v>46</v>
      </c>
      <c r="F196" s="5" t="s">
        <v>502</v>
      </c>
      <c r="G196" s="5" t="s">
        <v>215</v>
      </c>
      <c r="H196" s="15" t="s">
        <v>216</v>
      </c>
      <c r="I196" s="15" t="s">
        <v>112</v>
      </c>
      <c r="J196" s="5">
        <v>2020</v>
      </c>
      <c r="K196" s="15">
        <v>42</v>
      </c>
      <c r="L196" s="9">
        <v>42</v>
      </c>
      <c r="M196" s="15">
        <v>42</v>
      </c>
      <c r="N196" s="15" t="s">
        <v>41</v>
      </c>
      <c r="O196" s="5" t="s">
        <v>42</v>
      </c>
      <c r="P196" s="5"/>
      <c r="Q196" s="21" t="s">
        <v>43</v>
      </c>
      <c r="R196" s="21"/>
      <c r="S196" s="18"/>
      <c r="T196" s="9"/>
      <c r="U196" s="9"/>
      <c r="V196" s="75">
        <v>-2.1166117</v>
      </c>
      <c r="W196" s="9">
        <v>106.0875205</v>
      </c>
      <c r="X196" s="53"/>
      <c r="Y196" s="27"/>
      <c r="Z196" s="43"/>
      <c r="AA196" s="80"/>
      <c r="AB196" s="46"/>
      <c r="AC196">
        <f t="shared" si="14"/>
        <v>1</v>
      </c>
      <c r="AD196">
        <f t="shared" si="15"/>
        <v>1</v>
      </c>
    </row>
    <row r="197" spans="1:30">
      <c r="A197" s="30">
        <v>192</v>
      </c>
      <c r="B197" s="9" t="s">
        <v>503</v>
      </c>
      <c r="C197" s="5" t="s">
        <v>34</v>
      </c>
      <c r="D197" s="9" t="s">
        <v>35</v>
      </c>
      <c r="E197" s="9" t="s">
        <v>36</v>
      </c>
      <c r="F197" s="5" t="s">
        <v>504</v>
      </c>
      <c r="G197" s="5" t="s">
        <v>42</v>
      </c>
      <c r="H197" s="15" t="s">
        <v>42</v>
      </c>
      <c r="I197" s="15" t="s">
        <v>42</v>
      </c>
      <c r="J197" s="5">
        <v>2016</v>
      </c>
      <c r="K197" s="15">
        <v>88</v>
      </c>
      <c r="L197" s="9">
        <v>88</v>
      </c>
      <c r="M197" s="15">
        <v>88</v>
      </c>
      <c r="N197" s="15" t="s">
        <v>41</v>
      </c>
      <c r="O197" s="5" t="s">
        <v>42</v>
      </c>
      <c r="P197" s="5"/>
      <c r="Q197" s="21" t="s">
        <v>43</v>
      </c>
      <c r="R197" s="21"/>
      <c r="S197" s="18"/>
      <c r="T197" s="9"/>
      <c r="U197" s="9"/>
      <c r="V197" s="75">
        <v>-2.101629</v>
      </c>
      <c r="W197" s="9">
        <v>106.0795565</v>
      </c>
      <c r="X197" s="53"/>
      <c r="Y197" s="27"/>
      <c r="Z197" s="43"/>
      <c r="AA197" s="80"/>
      <c r="AB197" s="46"/>
      <c r="AC197">
        <f t="shared" si="14"/>
        <v>1</v>
      </c>
      <c r="AD197">
        <f t="shared" si="15"/>
        <v>1</v>
      </c>
    </row>
    <row r="198" spans="1:30">
      <c r="A198" s="29">
        <v>193</v>
      </c>
      <c r="B198" s="9" t="s">
        <v>505</v>
      </c>
      <c r="C198" s="5" t="s">
        <v>34</v>
      </c>
      <c r="D198" s="9" t="s">
        <v>60</v>
      </c>
      <c r="E198" s="9" t="s">
        <v>91</v>
      </c>
      <c r="F198" s="5" t="s">
        <v>229</v>
      </c>
      <c r="G198" s="5" t="s">
        <v>42</v>
      </c>
      <c r="H198" s="15" t="s">
        <v>42</v>
      </c>
      <c r="I198" s="15" t="s">
        <v>42</v>
      </c>
      <c r="J198" s="5">
        <v>2015</v>
      </c>
      <c r="K198" s="15">
        <v>249</v>
      </c>
      <c r="L198" s="9">
        <v>249</v>
      </c>
      <c r="M198" s="15">
        <v>249</v>
      </c>
      <c r="N198" s="15" t="s">
        <v>41</v>
      </c>
      <c r="O198" s="5" t="s">
        <v>42</v>
      </c>
      <c r="P198" s="5"/>
      <c r="Q198" s="21" t="s">
        <v>43</v>
      </c>
      <c r="R198" s="21"/>
      <c r="S198" s="18"/>
      <c r="T198" s="9"/>
      <c r="U198" s="9"/>
      <c r="V198" s="75">
        <v>-2.0903659999999999</v>
      </c>
      <c r="W198" s="9">
        <v>106.103634</v>
      </c>
      <c r="X198" s="53"/>
      <c r="Y198" s="27"/>
      <c r="Z198" s="43"/>
      <c r="AA198" s="80"/>
      <c r="AB198" s="46"/>
      <c r="AC198">
        <f t="shared" si="14"/>
        <v>1</v>
      </c>
      <c r="AD198">
        <f t="shared" si="15"/>
        <v>1</v>
      </c>
    </row>
    <row r="199" spans="1:30">
      <c r="A199" s="30">
        <v>194</v>
      </c>
      <c r="B199" s="9" t="s">
        <v>506</v>
      </c>
      <c r="C199" s="5" t="s">
        <v>34</v>
      </c>
      <c r="D199" s="9" t="s">
        <v>60</v>
      </c>
      <c r="E199" s="9" t="s">
        <v>91</v>
      </c>
      <c r="F199" s="5" t="s">
        <v>507</v>
      </c>
      <c r="G199" s="5" t="s">
        <v>42</v>
      </c>
      <c r="H199" s="15" t="s">
        <v>42</v>
      </c>
      <c r="I199" s="15" t="s">
        <v>42</v>
      </c>
      <c r="J199" s="5">
        <v>2015</v>
      </c>
      <c r="K199" s="15">
        <v>151</v>
      </c>
      <c r="L199" s="9">
        <v>151</v>
      </c>
      <c r="M199" s="15">
        <v>151</v>
      </c>
      <c r="N199" s="15" t="s">
        <v>41</v>
      </c>
      <c r="O199" s="5" t="s">
        <v>42</v>
      </c>
      <c r="P199" s="5"/>
      <c r="Q199" s="21" t="s">
        <v>43</v>
      </c>
      <c r="R199" s="21"/>
      <c r="S199" s="18" t="s">
        <v>178</v>
      </c>
      <c r="T199" s="9"/>
      <c r="U199" s="9"/>
      <c r="V199" s="75">
        <v>-2.0896349999999999</v>
      </c>
      <c r="W199" s="9">
        <v>106.10897799999999</v>
      </c>
      <c r="X199" s="53"/>
      <c r="Y199" s="27"/>
      <c r="Z199" s="43"/>
      <c r="AA199" s="80"/>
      <c r="AB199" s="46"/>
      <c r="AC199">
        <f t="shared" si="14"/>
        <v>1</v>
      </c>
      <c r="AD199">
        <f t="shared" si="15"/>
        <v>1</v>
      </c>
    </row>
    <row r="200" spans="1:30">
      <c r="A200" s="29">
        <v>195</v>
      </c>
      <c r="B200" s="9" t="s">
        <v>508</v>
      </c>
      <c r="C200" s="5" t="s">
        <v>34</v>
      </c>
      <c r="D200" s="9" t="s">
        <v>81</v>
      </c>
      <c r="E200" s="9" t="s">
        <v>202</v>
      </c>
      <c r="F200" s="5" t="s">
        <v>419</v>
      </c>
      <c r="G200" s="5" t="s">
        <v>509</v>
      </c>
      <c r="H200" s="15" t="s">
        <v>42</v>
      </c>
      <c r="I200" s="15" t="s">
        <v>40</v>
      </c>
      <c r="J200" s="5">
        <v>2017</v>
      </c>
      <c r="K200" s="15">
        <v>44</v>
      </c>
      <c r="L200" s="9">
        <v>44</v>
      </c>
      <c r="M200" s="15">
        <v>44</v>
      </c>
      <c r="N200" s="15" t="s">
        <v>48</v>
      </c>
      <c r="O200" s="5">
        <v>2022</v>
      </c>
      <c r="P200" s="5"/>
      <c r="Q200" s="21" t="s">
        <v>72</v>
      </c>
      <c r="R200" s="21" t="s">
        <v>113</v>
      </c>
      <c r="S200" s="18" t="s">
        <v>178</v>
      </c>
      <c r="T200" s="9"/>
      <c r="U200" s="9"/>
      <c r="V200" s="75">
        <v>-2.1338387000000001</v>
      </c>
      <c r="W200" s="9">
        <v>106.15800900000001</v>
      </c>
      <c r="X200" s="53"/>
      <c r="Y200" s="27"/>
      <c r="Z200" s="43"/>
      <c r="AA200" s="80"/>
      <c r="AB200" s="46"/>
      <c r="AC200">
        <f t="shared" si="14"/>
        <v>1</v>
      </c>
      <c r="AD200">
        <f t="shared" si="15"/>
        <v>1</v>
      </c>
    </row>
    <row r="201" spans="1:30">
      <c r="A201" s="30">
        <v>196</v>
      </c>
      <c r="B201" s="9" t="s">
        <v>510</v>
      </c>
      <c r="C201" s="5" t="s">
        <v>34</v>
      </c>
      <c r="D201" s="9" t="s">
        <v>81</v>
      </c>
      <c r="E201" s="9" t="s">
        <v>202</v>
      </c>
      <c r="F201" s="5" t="s">
        <v>419</v>
      </c>
      <c r="G201" s="5" t="s">
        <v>509</v>
      </c>
      <c r="H201" s="15" t="s">
        <v>42</v>
      </c>
      <c r="I201" s="15" t="s">
        <v>40</v>
      </c>
      <c r="J201" s="5">
        <v>2018</v>
      </c>
      <c r="K201" s="15">
        <v>51</v>
      </c>
      <c r="L201" s="9">
        <v>51</v>
      </c>
      <c r="M201" s="15">
        <v>51</v>
      </c>
      <c r="N201" s="15" t="s">
        <v>48</v>
      </c>
      <c r="O201" s="5">
        <v>2022</v>
      </c>
      <c r="P201" s="5"/>
      <c r="Q201" s="21" t="s">
        <v>72</v>
      </c>
      <c r="R201" s="21" t="s">
        <v>113</v>
      </c>
      <c r="S201" s="18" t="s">
        <v>178</v>
      </c>
      <c r="T201" s="9"/>
      <c r="U201" s="9"/>
      <c r="V201" s="75"/>
      <c r="W201" s="9"/>
      <c r="X201" s="53"/>
      <c r="Y201" s="27"/>
      <c r="Z201" s="43"/>
      <c r="AA201" s="80"/>
      <c r="AB201" s="46"/>
      <c r="AC201">
        <f t="shared" si="14"/>
        <v>1</v>
      </c>
      <c r="AD201">
        <f t="shared" si="15"/>
        <v>1</v>
      </c>
    </row>
    <row r="202" spans="1:30">
      <c r="A202" s="29">
        <v>197</v>
      </c>
      <c r="B202" s="9" t="s">
        <v>511</v>
      </c>
      <c r="C202" s="5" t="s">
        <v>34</v>
      </c>
      <c r="D202" s="9" t="s">
        <v>81</v>
      </c>
      <c r="E202" s="9" t="s">
        <v>202</v>
      </c>
      <c r="F202" s="5" t="s">
        <v>419</v>
      </c>
      <c r="G202" s="5" t="s">
        <v>509</v>
      </c>
      <c r="H202" s="15" t="s">
        <v>42</v>
      </c>
      <c r="I202" s="15" t="s">
        <v>40</v>
      </c>
      <c r="J202" s="5">
        <v>2018</v>
      </c>
      <c r="K202" s="15">
        <v>25</v>
      </c>
      <c r="L202" s="9">
        <v>25</v>
      </c>
      <c r="M202" s="15">
        <v>25</v>
      </c>
      <c r="N202" s="15" t="s">
        <v>48</v>
      </c>
      <c r="O202" s="5">
        <v>2022</v>
      </c>
      <c r="P202" s="5"/>
      <c r="Q202" s="21" t="s">
        <v>72</v>
      </c>
      <c r="R202" s="21" t="s">
        <v>113</v>
      </c>
      <c r="S202" s="18" t="s">
        <v>178</v>
      </c>
      <c r="T202" s="9"/>
      <c r="U202" s="9"/>
      <c r="V202" s="75"/>
      <c r="W202" s="9"/>
      <c r="X202" s="53"/>
      <c r="Y202" s="27"/>
      <c r="Z202" s="43"/>
      <c r="AA202" s="80"/>
      <c r="AB202" s="46"/>
      <c r="AC202">
        <f t="shared" si="14"/>
        <v>1</v>
      </c>
      <c r="AD202">
        <f t="shared" si="15"/>
        <v>1</v>
      </c>
    </row>
    <row r="203" spans="1:30">
      <c r="A203" s="30">
        <v>198</v>
      </c>
      <c r="B203" s="9" t="s">
        <v>512</v>
      </c>
      <c r="C203" s="5" t="s">
        <v>34</v>
      </c>
      <c r="D203" s="9" t="s">
        <v>81</v>
      </c>
      <c r="E203" s="9" t="s">
        <v>202</v>
      </c>
      <c r="F203" s="5" t="s">
        <v>419</v>
      </c>
      <c r="G203" s="5" t="s">
        <v>509</v>
      </c>
      <c r="H203" s="15" t="s">
        <v>42</v>
      </c>
      <c r="I203" s="15" t="s">
        <v>40</v>
      </c>
      <c r="J203" s="5">
        <v>2019</v>
      </c>
      <c r="K203" s="15">
        <v>84</v>
      </c>
      <c r="L203" s="9">
        <v>84</v>
      </c>
      <c r="M203" s="15">
        <v>84</v>
      </c>
      <c r="N203" s="15" t="s">
        <v>48</v>
      </c>
      <c r="O203" s="5">
        <v>2022</v>
      </c>
      <c r="P203" s="5"/>
      <c r="Q203" s="21" t="s">
        <v>43</v>
      </c>
      <c r="R203" s="21" t="s">
        <v>113</v>
      </c>
      <c r="S203" s="18" t="s">
        <v>178</v>
      </c>
      <c r="T203" s="9"/>
      <c r="U203" s="9"/>
      <c r="V203" s="75">
        <v>-2.1338387000000001</v>
      </c>
      <c r="W203" s="9">
        <v>106.15800900000001</v>
      </c>
      <c r="X203" s="53"/>
      <c r="Y203" s="27"/>
      <c r="Z203" s="43"/>
      <c r="AA203" s="80"/>
      <c r="AB203" s="46"/>
      <c r="AC203">
        <f t="shared" si="14"/>
        <v>1</v>
      </c>
      <c r="AD203">
        <f t="shared" si="15"/>
        <v>1</v>
      </c>
    </row>
    <row r="204" spans="1:30">
      <c r="A204" s="29">
        <v>199</v>
      </c>
      <c r="B204" s="9" t="s">
        <v>513</v>
      </c>
      <c r="C204" s="5" t="s">
        <v>34</v>
      </c>
      <c r="D204" s="9" t="s">
        <v>81</v>
      </c>
      <c r="E204" s="9" t="s">
        <v>202</v>
      </c>
      <c r="F204" s="5" t="s">
        <v>419</v>
      </c>
      <c r="G204" s="5" t="s">
        <v>509</v>
      </c>
      <c r="H204" s="15" t="s">
        <v>42</v>
      </c>
      <c r="I204" s="15" t="s">
        <v>40</v>
      </c>
      <c r="J204" s="5">
        <v>2019</v>
      </c>
      <c r="K204" s="15">
        <v>22</v>
      </c>
      <c r="L204" s="9">
        <v>22</v>
      </c>
      <c r="M204" s="15">
        <v>22</v>
      </c>
      <c r="N204" s="15" t="s">
        <v>48</v>
      </c>
      <c r="O204" s="5">
        <v>2022</v>
      </c>
      <c r="P204" s="5"/>
      <c r="Q204" s="21" t="s">
        <v>43</v>
      </c>
      <c r="R204" s="21" t="s">
        <v>113</v>
      </c>
      <c r="S204" s="18" t="s">
        <v>178</v>
      </c>
      <c r="T204" s="9"/>
      <c r="U204" s="9"/>
      <c r="V204" s="75">
        <v>-2.1337893999999999</v>
      </c>
      <c r="W204" s="9">
        <v>106.1568065</v>
      </c>
      <c r="X204" s="53"/>
      <c r="Y204" s="27"/>
      <c r="Z204" s="43"/>
      <c r="AA204" s="80"/>
      <c r="AB204" s="46"/>
      <c r="AC204">
        <f t="shared" si="14"/>
        <v>1</v>
      </c>
      <c r="AD204">
        <f t="shared" si="15"/>
        <v>1</v>
      </c>
    </row>
    <row r="205" spans="1:30" ht="25">
      <c r="A205" s="30">
        <v>200</v>
      </c>
      <c r="B205" s="9" t="s">
        <v>514</v>
      </c>
      <c r="C205" s="5" t="s">
        <v>34</v>
      </c>
      <c r="D205" s="9" t="s">
        <v>60</v>
      </c>
      <c r="E205" s="9" t="s">
        <v>61</v>
      </c>
      <c r="F205" s="5" t="s">
        <v>515</v>
      </c>
      <c r="G205" s="5" t="s">
        <v>516</v>
      </c>
      <c r="H205" s="15" t="s">
        <v>517</v>
      </c>
      <c r="I205" s="15" t="s">
        <v>42</v>
      </c>
      <c r="J205" s="5">
        <v>2024</v>
      </c>
      <c r="K205" s="15">
        <v>35</v>
      </c>
      <c r="L205" s="9">
        <v>35</v>
      </c>
      <c r="M205" s="15">
        <v>35</v>
      </c>
      <c r="N205" s="15" t="s">
        <v>48</v>
      </c>
      <c r="O205" s="5">
        <v>2026</v>
      </c>
      <c r="P205" s="5"/>
      <c r="Q205" s="21" t="s">
        <v>43</v>
      </c>
      <c r="R205" s="21"/>
      <c r="S205" s="18"/>
      <c r="T205" s="9"/>
      <c r="U205" s="9"/>
      <c r="V205" s="75">
        <v>-2.1030367000000001</v>
      </c>
      <c r="W205" s="9">
        <v>106.09867819999999</v>
      </c>
      <c r="X205" s="53"/>
      <c r="Y205" s="27"/>
      <c r="Z205" s="43"/>
      <c r="AA205" s="80"/>
      <c r="AB205" s="46"/>
      <c r="AC205">
        <f t="shared" si="14"/>
        <v>1</v>
      </c>
      <c r="AD205">
        <f t="shared" si="15"/>
        <v>1</v>
      </c>
    </row>
    <row r="206" spans="1:30" ht="25">
      <c r="A206" s="29">
        <v>201</v>
      </c>
      <c r="B206" s="9" t="s">
        <v>1886</v>
      </c>
      <c r="C206" s="5" t="s">
        <v>34</v>
      </c>
      <c r="D206" s="9" t="s">
        <v>35</v>
      </c>
      <c r="E206" s="9" t="s">
        <v>46</v>
      </c>
      <c r="F206" s="5" t="s">
        <v>1887</v>
      </c>
      <c r="G206" s="5" t="s">
        <v>516</v>
      </c>
      <c r="H206" s="15" t="s">
        <v>517</v>
      </c>
      <c r="I206" s="15" t="s">
        <v>42</v>
      </c>
      <c r="J206" s="5">
        <v>2026</v>
      </c>
      <c r="K206" s="15">
        <v>54</v>
      </c>
      <c r="L206" s="9">
        <v>0</v>
      </c>
      <c r="M206" s="15">
        <v>0</v>
      </c>
      <c r="N206" s="15" t="s">
        <v>41</v>
      </c>
      <c r="O206" s="5" t="s">
        <v>42</v>
      </c>
      <c r="P206" s="5"/>
      <c r="Q206" s="21" t="s">
        <v>43</v>
      </c>
      <c r="R206" s="21" t="s">
        <v>88</v>
      </c>
      <c r="S206" s="18"/>
      <c r="T206" s="9"/>
      <c r="U206" s="9"/>
      <c r="V206" s="75"/>
      <c r="W206" s="9"/>
      <c r="X206" s="53"/>
      <c r="Y206" s="65"/>
      <c r="Z206" s="43"/>
      <c r="AA206" s="80"/>
      <c r="AB206" s="73"/>
    </row>
    <row r="207" spans="1:30">
      <c r="A207" s="30">
        <v>202</v>
      </c>
      <c r="B207" s="9" t="s">
        <v>518</v>
      </c>
      <c r="C207" s="5" t="s">
        <v>34</v>
      </c>
      <c r="D207" s="9" t="s">
        <v>60</v>
      </c>
      <c r="E207" s="9" t="s">
        <v>91</v>
      </c>
      <c r="F207" s="5" t="s">
        <v>209</v>
      </c>
      <c r="G207" s="5" t="s">
        <v>42</v>
      </c>
      <c r="H207" s="15" t="s">
        <v>42</v>
      </c>
      <c r="I207" s="15" t="s">
        <v>42</v>
      </c>
      <c r="J207" s="5">
        <v>2015</v>
      </c>
      <c r="K207" s="15">
        <v>61</v>
      </c>
      <c r="L207" s="9">
        <v>61</v>
      </c>
      <c r="M207" s="15">
        <v>61</v>
      </c>
      <c r="N207" s="15" t="s">
        <v>41</v>
      </c>
      <c r="O207" s="5" t="s">
        <v>42</v>
      </c>
      <c r="P207" s="5"/>
      <c r="Q207" s="21" t="s">
        <v>43</v>
      </c>
      <c r="R207" s="21" t="s">
        <v>88</v>
      </c>
      <c r="S207" s="18"/>
      <c r="T207" s="9"/>
      <c r="U207" s="9"/>
      <c r="V207" s="75">
        <v>-2.0791229000000002</v>
      </c>
      <c r="W207" s="9">
        <v>106.12775739999999</v>
      </c>
      <c r="X207" s="53"/>
      <c r="Y207" s="27"/>
      <c r="Z207" s="43"/>
      <c r="AA207" s="80"/>
      <c r="AB207" s="46"/>
      <c r="AC207">
        <f>IF(A207="","",IFERROR(L207/K207,0))</f>
        <v>1</v>
      </c>
      <c r="AD207">
        <f>IF(A207="","",IFERROR(M207/L207,0))</f>
        <v>1</v>
      </c>
    </row>
    <row r="208" spans="1:30">
      <c r="A208" s="29">
        <v>203</v>
      </c>
      <c r="B208" s="9" t="s">
        <v>519</v>
      </c>
      <c r="C208" s="5" t="s">
        <v>170</v>
      </c>
      <c r="D208" s="9" t="s">
        <v>35</v>
      </c>
      <c r="E208" s="9" t="s">
        <v>184</v>
      </c>
      <c r="F208" s="5" t="s">
        <v>520</v>
      </c>
      <c r="G208" s="5" t="s">
        <v>42</v>
      </c>
      <c r="H208" s="15" t="s">
        <v>42</v>
      </c>
      <c r="I208" s="15" t="s">
        <v>42</v>
      </c>
      <c r="J208" s="5">
        <v>2018</v>
      </c>
      <c r="K208" s="15">
        <v>10</v>
      </c>
      <c r="L208" s="9">
        <v>10</v>
      </c>
      <c r="M208" s="15">
        <v>10</v>
      </c>
      <c r="N208" s="15" t="s">
        <v>41</v>
      </c>
      <c r="O208" s="5" t="s">
        <v>42</v>
      </c>
      <c r="P208" s="5"/>
      <c r="Q208" s="21" t="s">
        <v>43</v>
      </c>
      <c r="R208" s="21"/>
      <c r="S208" s="18"/>
      <c r="T208" s="9"/>
      <c r="U208" s="9"/>
      <c r="V208" s="75">
        <v>-2.1178539000000001</v>
      </c>
      <c r="W208" s="9">
        <v>106.0945468</v>
      </c>
      <c r="X208" s="53"/>
      <c r="Y208" s="27"/>
      <c r="Z208" s="43"/>
      <c r="AA208" s="80"/>
      <c r="AB208" s="46"/>
      <c r="AC208">
        <f>IF(A208="","",IFERROR(L208/K208,0))</f>
        <v>1</v>
      </c>
      <c r="AD208">
        <f>IF(A208="","",IFERROR(M208/L208,0))</f>
        <v>1</v>
      </c>
    </row>
    <row r="209" spans="1:30">
      <c r="A209" s="30">
        <v>204</v>
      </c>
      <c r="B209" s="9" t="s">
        <v>521</v>
      </c>
      <c r="C209" s="5" t="s">
        <v>34</v>
      </c>
      <c r="D209" s="9" t="s">
        <v>81</v>
      </c>
      <c r="E209" s="9" t="s">
        <v>202</v>
      </c>
      <c r="F209" s="5" t="s">
        <v>163</v>
      </c>
      <c r="G209" s="5" t="s">
        <v>522</v>
      </c>
      <c r="H209" s="15" t="s">
        <v>42</v>
      </c>
      <c r="I209" s="15" t="s">
        <v>42</v>
      </c>
      <c r="J209" s="5" t="s">
        <v>42</v>
      </c>
      <c r="K209" s="15">
        <v>79</v>
      </c>
      <c r="L209" s="9">
        <v>79</v>
      </c>
      <c r="M209" s="15">
        <v>79</v>
      </c>
      <c r="N209" s="15" t="s">
        <v>41</v>
      </c>
      <c r="O209" s="5" t="s">
        <v>42</v>
      </c>
      <c r="P209" s="5"/>
      <c r="Q209" s="21" t="s">
        <v>43</v>
      </c>
      <c r="R209" s="21"/>
      <c r="S209" s="18"/>
      <c r="T209" s="9"/>
      <c r="U209" s="9"/>
      <c r="V209" s="75">
        <v>-2.1417353000000001</v>
      </c>
      <c r="W209" s="9">
        <v>106.16425479999999</v>
      </c>
      <c r="X209" s="53"/>
      <c r="Y209" s="27"/>
      <c r="Z209" s="43"/>
      <c r="AA209" s="80"/>
      <c r="AB209" s="46"/>
      <c r="AC209">
        <f>IF(A209="","",IFERROR(L209/K209,0))</f>
        <v>1</v>
      </c>
      <c r="AD209">
        <f>IF(A209="","",IFERROR(M209/L209,0))</f>
        <v>1</v>
      </c>
    </row>
    <row r="210" spans="1:30">
      <c r="A210" s="29">
        <v>205</v>
      </c>
      <c r="B210" s="9" t="s">
        <v>523</v>
      </c>
      <c r="C210" s="5" t="s">
        <v>34</v>
      </c>
      <c r="D210" s="9" t="s">
        <v>35</v>
      </c>
      <c r="E210" s="9" t="s">
        <v>46</v>
      </c>
      <c r="F210" s="5" t="s">
        <v>524</v>
      </c>
      <c r="G210" s="5" t="s">
        <v>38</v>
      </c>
      <c r="H210" s="15" t="s">
        <v>39</v>
      </c>
      <c r="I210" s="15" t="s">
        <v>40</v>
      </c>
      <c r="J210" s="5">
        <v>2017</v>
      </c>
      <c r="K210" s="15">
        <v>48</v>
      </c>
      <c r="L210" s="9">
        <v>46</v>
      </c>
      <c r="M210" s="15">
        <v>46</v>
      </c>
      <c r="N210" s="15" t="s">
        <v>41</v>
      </c>
      <c r="O210" s="5" t="s">
        <v>42</v>
      </c>
      <c r="P210" s="5"/>
      <c r="Q210" s="21" t="s">
        <v>43</v>
      </c>
      <c r="R210" s="21"/>
      <c r="S210" s="18"/>
      <c r="T210" s="9"/>
      <c r="U210" s="9"/>
      <c r="V210" s="75">
        <v>-2.1175589000000001</v>
      </c>
      <c r="W210" s="9">
        <v>106.0662955</v>
      </c>
      <c r="X210" s="53"/>
      <c r="Y210" s="27"/>
      <c r="Z210" s="43"/>
      <c r="AA210" s="80"/>
      <c r="AB210" s="46"/>
      <c r="AC210">
        <f>IF(A210="","",IFERROR(L210/K210,0))</f>
        <v>0.95833333333333337</v>
      </c>
      <c r="AD210">
        <f>IF(A210="","",IFERROR(M210/L210,0))</f>
        <v>1</v>
      </c>
    </row>
    <row r="211" spans="1:30">
      <c r="A211" s="30">
        <v>206</v>
      </c>
      <c r="B211" s="9" t="s">
        <v>1888</v>
      </c>
      <c r="C211" s="5" t="s">
        <v>34</v>
      </c>
      <c r="D211" s="9" t="s">
        <v>60</v>
      </c>
      <c r="E211" s="9" t="s">
        <v>70</v>
      </c>
      <c r="F211" s="5" t="s">
        <v>1889</v>
      </c>
      <c r="G211" s="5" t="s">
        <v>1890</v>
      </c>
      <c r="H211" s="15" t="s">
        <v>1891</v>
      </c>
      <c r="I211" s="15"/>
      <c r="J211" s="5">
        <v>2026</v>
      </c>
      <c r="K211" s="15">
        <v>32</v>
      </c>
      <c r="L211" s="9">
        <v>0</v>
      </c>
      <c r="M211" s="15">
        <v>0</v>
      </c>
      <c r="N211" s="15" t="s">
        <v>41</v>
      </c>
      <c r="O211" s="5" t="s">
        <v>42</v>
      </c>
      <c r="P211" s="5"/>
      <c r="Q211" s="21" t="s">
        <v>43</v>
      </c>
      <c r="R211" s="21" t="s">
        <v>88</v>
      </c>
      <c r="S211" s="18"/>
      <c r="T211" s="9"/>
      <c r="U211" s="9"/>
      <c r="V211" s="75"/>
      <c r="W211" s="9"/>
      <c r="X211" s="53"/>
      <c r="Y211" s="65"/>
      <c r="Z211" s="43"/>
      <c r="AA211" s="80"/>
      <c r="AB211" s="73"/>
    </row>
    <row r="212" spans="1:30">
      <c r="A212" s="29">
        <v>207</v>
      </c>
      <c r="B212" s="9" t="s">
        <v>1892</v>
      </c>
      <c r="C212" s="5" t="s">
        <v>34</v>
      </c>
      <c r="D212" s="9" t="s">
        <v>81</v>
      </c>
      <c r="E212" s="9" t="s">
        <v>82</v>
      </c>
      <c r="F212" s="5" t="s">
        <v>602</v>
      </c>
      <c r="G212" s="5" t="s">
        <v>1890</v>
      </c>
      <c r="H212" s="15" t="s">
        <v>1891</v>
      </c>
      <c r="I212" s="15"/>
      <c r="J212" s="5">
        <v>2026</v>
      </c>
      <c r="K212" s="15">
        <v>36</v>
      </c>
      <c r="L212" s="9">
        <v>0</v>
      </c>
      <c r="M212" s="15">
        <v>0</v>
      </c>
      <c r="N212" s="15" t="s">
        <v>41</v>
      </c>
      <c r="O212" s="5" t="s">
        <v>42</v>
      </c>
      <c r="P212" s="5"/>
      <c r="Q212" s="21" t="s">
        <v>43</v>
      </c>
      <c r="R212" s="21" t="s">
        <v>88</v>
      </c>
      <c r="S212" s="18"/>
      <c r="T212" s="9"/>
      <c r="U212" s="9"/>
      <c r="V212" s="75"/>
      <c r="W212" s="9"/>
      <c r="X212" s="53"/>
      <c r="Y212" s="65"/>
      <c r="Z212" s="43"/>
      <c r="AA212" s="80"/>
      <c r="AB212" s="73"/>
    </row>
    <row r="213" spans="1:30">
      <c r="A213" s="30">
        <v>208</v>
      </c>
      <c r="B213" s="9" t="s">
        <v>525</v>
      </c>
      <c r="C213" s="5" t="s">
        <v>34</v>
      </c>
      <c r="D213" s="9" t="s">
        <v>60</v>
      </c>
      <c r="E213" s="9" t="s">
        <v>70</v>
      </c>
      <c r="F213" s="5" t="s">
        <v>526</v>
      </c>
      <c r="G213" s="5" t="s">
        <v>527</v>
      </c>
      <c r="H213" s="15" t="s">
        <v>528</v>
      </c>
      <c r="I213" s="15" t="s">
        <v>112</v>
      </c>
      <c r="J213" s="5">
        <v>2018</v>
      </c>
      <c r="K213" s="15">
        <v>102</v>
      </c>
      <c r="L213" s="9">
        <v>102</v>
      </c>
      <c r="M213" s="15">
        <v>102</v>
      </c>
      <c r="N213" s="15" t="s">
        <v>41</v>
      </c>
      <c r="O213" s="5" t="s">
        <v>42</v>
      </c>
      <c r="P213" s="5"/>
      <c r="Q213" s="21" t="s">
        <v>43</v>
      </c>
      <c r="R213" s="21"/>
      <c r="S213" s="18" t="s">
        <v>178</v>
      </c>
      <c r="T213" s="9"/>
      <c r="U213" s="9"/>
      <c r="V213" s="75">
        <v>-2.1016789999999999</v>
      </c>
      <c r="W213" s="9">
        <v>106.092687</v>
      </c>
      <c r="X213" s="53"/>
      <c r="Y213" s="27"/>
      <c r="Z213" s="43"/>
      <c r="AA213" s="80"/>
      <c r="AB213" s="46"/>
      <c r="AC213">
        <f t="shared" ref="AC213:AC244" si="16">IF(A213="","",IFERROR(L213/K213,0))</f>
        <v>1</v>
      </c>
      <c r="AD213">
        <f t="shared" ref="AD213:AD244" si="17">IF(A213="","",IFERROR(M213/L213,0))</f>
        <v>1</v>
      </c>
    </row>
    <row r="214" spans="1:30">
      <c r="A214" s="29">
        <v>209</v>
      </c>
      <c r="B214" s="10" t="s">
        <v>529</v>
      </c>
      <c r="C214" s="6" t="s">
        <v>34</v>
      </c>
      <c r="D214" s="10" t="s">
        <v>60</v>
      </c>
      <c r="E214" s="10" t="s">
        <v>70</v>
      </c>
      <c r="F214" s="6" t="s">
        <v>526</v>
      </c>
      <c r="G214" s="6" t="s">
        <v>527</v>
      </c>
      <c r="H214" s="16" t="s">
        <v>528</v>
      </c>
      <c r="I214" s="16" t="s">
        <v>112</v>
      </c>
      <c r="J214" s="6">
        <v>2018</v>
      </c>
      <c r="K214" s="16">
        <v>25</v>
      </c>
      <c r="L214" s="10">
        <v>25</v>
      </c>
      <c r="M214" s="16">
        <v>25</v>
      </c>
      <c r="N214" s="16" t="s">
        <v>41</v>
      </c>
      <c r="O214" s="6" t="s">
        <v>42</v>
      </c>
      <c r="P214" s="6"/>
      <c r="Q214" s="21" t="s">
        <v>43</v>
      </c>
      <c r="R214" s="22"/>
      <c r="S214" s="19" t="s">
        <v>178</v>
      </c>
      <c r="T214" s="10"/>
      <c r="U214" s="10"/>
      <c r="V214" s="76">
        <v>-2.1004930000000002</v>
      </c>
      <c r="W214" s="10">
        <v>106.09254</v>
      </c>
      <c r="X214" s="54"/>
      <c r="Y214" s="28"/>
      <c r="Z214" s="43"/>
      <c r="AA214" s="80"/>
      <c r="AB214" s="47"/>
      <c r="AC214">
        <f t="shared" si="16"/>
        <v>1</v>
      </c>
      <c r="AD214">
        <f t="shared" si="17"/>
        <v>1</v>
      </c>
    </row>
    <row r="215" spans="1:30" s="49" customFormat="1" ht="12.5">
      <c r="A215" s="30">
        <v>210</v>
      </c>
      <c r="B215" s="48" t="s">
        <v>530</v>
      </c>
      <c r="C215" s="49" t="s">
        <v>34</v>
      </c>
      <c r="D215" s="48" t="s">
        <v>35</v>
      </c>
      <c r="E215" s="48" t="s">
        <v>36</v>
      </c>
      <c r="F215" s="49" t="s">
        <v>531</v>
      </c>
      <c r="G215" s="49" t="s">
        <v>281</v>
      </c>
      <c r="H215" s="49" t="s">
        <v>282</v>
      </c>
      <c r="I215" s="49" t="s">
        <v>42</v>
      </c>
      <c r="J215" s="49">
        <v>2022</v>
      </c>
      <c r="K215" s="49">
        <v>67</v>
      </c>
      <c r="L215" s="48">
        <v>67</v>
      </c>
      <c r="M215" s="49">
        <v>67</v>
      </c>
      <c r="N215" s="49" t="s">
        <v>41</v>
      </c>
      <c r="O215" s="49" t="s">
        <v>42</v>
      </c>
      <c r="Q215" s="21" t="s">
        <v>43</v>
      </c>
      <c r="S215" s="48"/>
      <c r="T215" s="9" t="s">
        <v>44</v>
      </c>
      <c r="U215" s="48"/>
      <c r="V215" s="77">
        <v>-2.0975090000000001</v>
      </c>
      <c r="W215" s="48">
        <v>106.089961</v>
      </c>
      <c r="X215" s="50"/>
      <c r="Y215" s="50"/>
      <c r="Z215" s="48"/>
      <c r="AA215" s="81"/>
      <c r="AB215" s="50"/>
      <c r="AC215" s="51">
        <f t="shared" si="16"/>
        <v>1</v>
      </c>
      <c r="AD215" s="51">
        <f t="shared" si="17"/>
        <v>1</v>
      </c>
    </row>
    <row r="216" spans="1:30" s="49" customFormat="1" ht="12.5">
      <c r="A216" s="29">
        <v>211</v>
      </c>
      <c r="B216" s="48" t="s">
        <v>532</v>
      </c>
      <c r="C216" s="49" t="s">
        <v>34</v>
      </c>
      <c r="D216" s="48" t="s">
        <v>60</v>
      </c>
      <c r="E216" s="48" t="s">
        <v>70</v>
      </c>
      <c r="F216" s="49" t="s">
        <v>62</v>
      </c>
      <c r="G216" s="49" t="s">
        <v>533</v>
      </c>
      <c r="H216" s="49" t="s">
        <v>534</v>
      </c>
      <c r="I216" s="49" t="s">
        <v>166</v>
      </c>
      <c r="J216" s="49">
        <v>2018</v>
      </c>
      <c r="K216" s="49">
        <v>42</v>
      </c>
      <c r="L216" s="48">
        <v>33</v>
      </c>
      <c r="M216" s="49">
        <v>33</v>
      </c>
      <c r="N216" s="49" t="s">
        <v>41</v>
      </c>
      <c r="O216" s="49" t="s">
        <v>42</v>
      </c>
      <c r="Q216" s="21" t="s">
        <v>43</v>
      </c>
      <c r="S216" s="48"/>
      <c r="T216" s="48"/>
      <c r="U216" s="48"/>
      <c r="V216" s="77">
        <v>-2.1016526</v>
      </c>
      <c r="W216" s="48">
        <v>106.08860610000001</v>
      </c>
      <c r="X216" s="50"/>
      <c r="Y216" s="50"/>
      <c r="Z216" s="48"/>
      <c r="AA216" s="81"/>
      <c r="AB216" s="50"/>
      <c r="AC216" s="51">
        <f t="shared" si="16"/>
        <v>0.7857142857142857</v>
      </c>
      <c r="AD216" s="51">
        <f t="shared" si="17"/>
        <v>1</v>
      </c>
    </row>
    <row r="217" spans="1:30" s="49" customFormat="1" ht="12.5">
      <c r="A217" s="30">
        <v>212</v>
      </c>
      <c r="B217" s="48" t="s">
        <v>535</v>
      </c>
      <c r="C217" s="49" t="s">
        <v>34</v>
      </c>
      <c r="D217" s="48" t="s">
        <v>81</v>
      </c>
      <c r="E217" s="48" t="s">
        <v>82</v>
      </c>
      <c r="F217" s="49" t="s">
        <v>536</v>
      </c>
      <c r="G217" s="49" t="s">
        <v>537</v>
      </c>
      <c r="H217" s="49" t="s">
        <v>538</v>
      </c>
      <c r="I217" s="49" t="s">
        <v>42</v>
      </c>
      <c r="J217" s="49">
        <v>2023</v>
      </c>
      <c r="K217" s="49">
        <v>43</v>
      </c>
      <c r="L217" s="48">
        <v>32</v>
      </c>
      <c r="M217" s="49">
        <v>26</v>
      </c>
      <c r="N217" s="49" t="s">
        <v>41</v>
      </c>
      <c r="O217" s="49" t="s">
        <v>42</v>
      </c>
      <c r="Q217" s="21" t="s">
        <v>43</v>
      </c>
      <c r="S217" s="48"/>
      <c r="T217" s="48"/>
      <c r="U217" s="48"/>
      <c r="V217" s="77">
        <v>-2.1427999999999998</v>
      </c>
      <c r="W217" s="48">
        <v>106.137094</v>
      </c>
      <c r="X217" s="50"/>
      <c r="Y217" s="50"/>
      <c r="Z217" s="48"/>
      <c r="AA217" s="81"/>
      <c r="AB217" s="50"/>
      <c r="AC217" s="51">
        <f t="shared" si="16"/>
        <v>0.7441860465116279</v>
      </c>
      <c r="AD217" s="51">
        <f t="shared" si="17"/>
        <v>0.8125</v>
      </c>
    </row>
    <row r="218" spans="1:30" s="49" customFormat="1" ht="12.5">
      <c r="A218" s="29">
        <v>213</v>
      </c>
      <c r="B218" s="48" t="s">
        <v>539</v>
      </c>
      <c r="C218" s="49" t="s">
        <v>34</v>
      </c>
      <c r="D218" s="48" t="s">
        <v>35</v>
      </c>
      <c r="E218" s="48" t="s">
        <v>46</v>
      </c>
      <c r="F218" s="49" t="s">
        <v>51</v>
      </c>
      <c r="G218" s="49" t="s">
        <v>540</v>
      </c>
      <c r="H218" s="49" t="s">
        <v>541</v>
      </c>
      <c r="I218" s="49" t="s">
        <v>112</v>
      </c>
      <c r="J218" s="49">
        <v>2017</v>
      </c>
      <c r="K218" s="49">
        <v>97</v>
      </c>
      <c r="L218" s="48">
        <v>97</v>
      </c>
      <c r="M218" s="49">
        <v>95</v>
      </c>
      <c r="N218" s="49" t="s">
        <v>48</v>
      </c>
      <c r="O218" s="49">
        <v>2021</v>
      </c>
      <c r="Q218" s="49" t="s">
        <v>72</v>
      </c>
      <c r="R218" s="49" t="s">
        <v>113</v>
      </c>
      <c r="S218" s="48"/>
      <c r="T218" s="48"/>
      <c r="U218" s="48"/>
      <c r="V218" s="77">
        <v>-2.1243370000000001</v>
      </c>
      <c r="W218" s="48">
        <v>106.07397899999999</v>
      </c>
      <c r="X218" s="50"/>
      <c r="Y218" s="50"/>
      <c r="Z218" s="48"/>
      <c r="AA218" s="81"/>
      <c r="AB218" s="50"/>
      <c r="AC218" s="51">
        <f t="shared" si="16"/>
        <v>1</v>
      </c>
      <c r="AD218" s="51">
        <f t="shared" si="17"/>
        <v>0.97938144329896903</v>
      </c>
    </row>
    <row r="219" spans="1:30" s="49" customFormat="1" ht="12.5">
      <c r="A219" s="30">
        <v>214</v>
      </c>
      <c r="B219" s="48" t="s">
        <v>542</v>
      </c>
      <c r="C219" s="49" t="s">
        <v>34</v>
      </c>
      <c r="D219" s="48" t="s">
        <v>35</v>
      </c>
      <c r="E219" s="48" t="s">
        <v>36</v>
      </c>
      <c r="F219" s="49" t="s">
        <v>104</v>
      </c>
      <c r="G219" s="49" t="s">
        <v>543</v>
      </c>
      <c r="H219" s="49" t="s">
        <v>541</v>
      </c>
      <c r="I219" s="49" t="s">
        <v>112</v>
      </c>
      <c r="J219" s="49">
        <v>2020</v>
      </c>
      <c r="K219" s="49">
        <v>81</v>
      </c>
      <c r="L219" s="48">
        <v>65</v>
      </c>
      <c r="M219" s="49">
        <v>57</v>
      </c>
      <c r="N219" s="49" t="s">
        <v>41</v>
      </c>
      <c r="O219" s="49" t="s">
        <v>42</v>
      </c>
      <c r="Q219" s="21" t="s">
        <v>43</v>
      </c>
      <c r="R219" s="21" t="s">
        <v>88</v>
      </c>
      <c r="S219" s="48"/>
      <c r="T219" s="48"/>
      <c r="U219" s="48"/>
      <c r="V219" s="77">
        <v>-2.103507</v>
      </c>
      <c r="W219" s="48">
        <v>106.05775800000001</v>
      </c>
      <c r="X219" s="50"/>
      <c r="Y219" s="50"/>
      <c r="Z219" s="48"/>
      <c r="AA219" s="81"/>
      <c r="AB219" s="50"/>
      <c r="AC219" s="51">
        <f t="shared" si="16"/>
        <v>0.80246913580246915</v>
      </c>
      <c r="AD219" s="51">
        <f t="shared" si="17"/>
        <v>0.87692307692307692</v>
      </c>
    </row>
    <row r="220" spans="1:30" s="49" customFormat="1" ht="12.5">
      <c r="A220" s="29">
        <v>215</v>
      </c>
      <c r="B220" s="48" t="s">
        <v>544</v>
      </c>
      <c r="C220" s="49" t="s">
        <v>34</v>
      </c>
      <c r="D220" s="48" t="s">
        <v>60</v>
      </c>
      <c r="E220" s="48" t="s">
        <v>91</v>
      </c>
      <c r="F220" s="49" t="s">
        <v>154</v>
      </c>
      <c r="G220" s="49" t="s">
        <v>155</v>
      </c>
      <c r="H220" s="49" t="s">
        <v>156</v>
      </c>
      <c r="I220" s="49" t="s">
        <v>65</v>
      </c>
      <c r="J220" s="49">
        <v>2017</v>
      </c>
      <c r="K220" s="49">
        <v>111</v>
      </c>
      <c r="L220" s="48">
        <v>111</v>
      </c>
      <c r="M220" s="49">
        <v>111</v>
      </c>
      <c r="N220" s="49" t="s">
        <v>41</v>
      </c>
      <c r="O220" s="49" t="s">
        <v>42</v>
      </c>
      <c r="Q220" s="21" t="s">
        <v>43</v>
      </c>
      <c r="S220" s="48"/>
      <c r="T220" s="48"/>
      <c r="U220" s="48"/>
      <c r="V220" s="77">
        <v>-2.0895030000000001</v>
      </c>
      <c r="W220" s="48">
        <v>106.106718</v>
      </c>
      <c r="X220" s="50"/>
      <c r="Y220" s="50"/>
      <c r="Z220" s="48"/>
      <c r="AA220" s="81"/>
      <c r="AB220" s="50"/>
      <c r="AC220" s="51">
        <f t="shared" si="16"/>
        <v>1</v>
      </c>
      <c r="AD220" s="51">
        <f t="shared" si="17"/>
        <v>1</v>
      </c>
    </row>
    <row r="221" spans="1:30" s="49" customFormat="1" ht="12.5">
      <c r="A221" s="30">
        <v>216</v>
      </c>
      <c r="B221" s="48" t="s">
        <v>545</v>
      </c>
      <c r="C221" s="49" t="s">
        <v>34</v>
      </c>
      <c r="D221" s="48" t="s">
        <v>35</v>
      </c>
      <c r="E221" s="48" t="s">
        <v>36</v>
      </c>
      <c r="F221" s="49" t="s">
        <v>234</v>
      </c>
      <c r="G221" s="49" t="s">
        <v>546</v>
      </c>
      <c r="H221" s="49" t="s">
        <v>541</v>
      </c>
      <c r="I221" s="49" t="s">
        <v>42</v>
      </c>
      <c r="J221" s="49">
        <v>2018</v>
      </c>
      <c r="K221" s="49">
        <v>25</v>
      </c>
      <c r="L221" s="48">
        <v>25</v>
      </c>
      <c r="M221" s="49">
        <v>25</v>
      </c>
      <c r="N221" s="49" t="s">
        <v>41</v>
      </c>
      <c r="O221" s="49" t="s">
        <v>42</v>
      </c>
      <c r="Q221" s="21" t="s">
        <v>43</v>
      </c>
      <c r="S221" s="48"/>
      <c r="T221" s="48"/>
      <c r="U221" s="48"/>
      <c r="V221" s="77">
        <v>-2.1027453999999999</v>
      </c>
      <c r="W221" s="48">
        <v>106.08195600000001</v>
      </c>
      <c r="X221" s="50"/>
      <c r="Y221" s="50"/>
      <c r="Z221" s="48"/>
      <c r="AA221" s="81"/>
      <c r="AB221" s="50"/>
      <c r="AC221" s="51">
        <f t="shared" si="16"/>
        <v>1</v>
      </c>
      <c r="AD221" s="51">
        <f t="shared" si="17"/>
        <v>1</v>
      </c>
    </row>
    <row r="222" spans="1:30" s="49" customFormat="1" ht="12.5">
      <c r="A222" s="29">
        <v>217</v>
      </c>
      <c r="B222" s="48" t="s">
        <v>547</v>
      </c>
      <c r="C222" s="49" t="s">
        <v>34</v>
      </c>
      <c r="D222" s="48" t="s">
        <v>35</v>
      </c>
      <c r="E222" s="48" t="s">
        <v>548</v>
      </c>
      <c r="F222" s="49" t="s">
        <v>42</v>
      </c>
      <c r="G222" s="49" t="s">
        <v>327</v>
      </c>
      <c r="H222" s="49" t="s">
        <v>328</v>
      </c>
      <c r="I222" s="49" t="s">
        <v>42</v>
      </c>
      <c r="J222" s="49">
        <v>2017</v>
      </c>
      <c r="K222" s="49">
        <v>15</v>
      </c>
      <c r="L222" s="48">
        <v>15</v>
      </c>
      <c r="M222" s="49">
        <v>15</v>
      </c>
      <c r="N222" s="49" t="s">
        <v>41</v>
      </c>
      <c r="O222" s="49" t="s">
        <v>42</v>
      </c>
      <c r="Q222" s="21" t="s">
        <v>43</v>
      </c>
      <c r="S222" s="48"/>
      <c r="T222" s="48"/>
      <c r="U222" s="48"/>
      <c r="V222" s="77">
        <v>-2.1195455999999999</v>
      </c>
      <c r="W222" s="48">
        <v>106.0841642</v>
      </c>
      <c r="X222" s="50"/>
      <c r="Y222" s="50"/>
      <c r="Z222" s="48"/>
      <c r="AA222" s="81"/>
      <c r="AB222" s="50"/>
      <c r="AC222" s="51">
        <f t="shared" si="16"/>
        <v>1</v>
      </c>
      <c r="AD222" s="51">
        <f t="shared" si="17"/>
        <v>1</v>
      </c>
    </row>
    <row r="223" spans="1:30" s="49" customFormat="1" ht="12.5">
      <c r="A223" s="30">
        <v>218</v>
      </c>
      <c r="B223" s="48" t="s">
        <v>547</v>
      </c>
      <c r="C223" s="49" t="s">
        <v>34</v>
      </c>
      <c r="D223" s="48" t="s">
        <v>60</v>
      </c>
      <c r="E223" s="48" t="s">
        <v>70</v>
      </c>
      <c r="F223" s="49" t="s">
        <v>498</v>
      </c>
      <c r="G223" s="49" t="s">
        <v>549</v>
      </c>
      <c r="H223" s="49" t="s">
        <v>550</v>
      </c>
      <c r="I223" s="49" t="s">
        <v>112</v>
      </c>
      <c r="J223" s="49">
        <v>2021</v>
      </c>
      <c r="K223" s="49">
        <v>43</v>
      </c>
      <c r="L223" s="48">
        <v>42</v>
      </c>
      <c r="M223" s="49">
        <v>42</v>
      </c>
      <c r="N223" s="49" t="s">
        <v>41</v>
      </c>
      <c r="O223" s="49" t="s">
        <v>42</v>
      </c>
      <c r="Q223" s="21" t="s">
        <v>43</v>
      </c>
      <c r="S223" s="48"/>
      <c r="T223" s="9" t="s">
        <v>44</v>
      </c>
      <c r="U223" s="48"/>
      <c r="V223" s="77">
        <v>-2.0967829999999998</v>
      </c>
      <c r="W223" s="48">
        <v>106.090541</v>
      </c>
      <c r="X223" s="50"/>
      <c r="Y223" s="50"/>
      <c r="Z223" s="48"/>
      <c r="AA223" s="81"/>
      <c r="AB223" s="50"/>
      <c r="AC223" s="51">
        <f t="shared" si="16"/>
        <v>0.97674418604651159</v>
      </c>
      <c r="AD223" s="51">
        <f t="shared" si="17"/>
        <v>1</v>
      </c>
    </row>
    <row r="224" spans="1:30" s="49" customFormat="1" ht="12.5">
      <c r="A224" s="29">
        <v>219</v>
      </c>
      <c r="B224" s="48" t="s">
        <v>551</v>
      </c>
      <c r="C224" s="49" t="s">
        <v>170</v>
      </c>
      <c r="D224" s="48" t="s">
        <v>60</v>
      </c>
      <c r="E224" s="48" t="s">
        <v>91</v>
      </c>
      <c r="F224" s="49" t="s">
        <v>154</v>
      </c>
      <c r="G224" s="49" t="s">
        <v>42</v>
      </c>
      <c r="H224" s="49" t="s">
        <v>42</v>
      </c>
      <c r="I224" s="49" t="s">
        <v>42</v>
      </c>
      <c r="J224" s="49">
        <v>2015</v>
      </c>
      <c r="K224" s="49">
        <v>10</v>
      </c>
      <c r="L224" s="48">
        <v>0</v>
      </c>
      <c r="M224" s="49">
        <v>0</v>
      </c>
      <c r="N224" s="49" t="s">
        <v>41</v>
      </c>
      <c r="O224" s="49" t="s">
        <v>42</v>
      </c>
      <c r="Q224" s="21" t="s">
        <v>43</v>
      </c>
      <c r="S224" s="48"/>
      <c r="T224" s="48"/>
      <c r="U224" s="48"/>
      <c r="V224" s="77">
        <v>-2.0873235600000002</v>
      </c>
      <c r="W224" s="48">
        <v>106.1073224</v>
      </c>
      <c r="X224" s="50"/>
      <c r="Y224" s="50"/>
      <c r="Z224" s="48"/>
      <c r="AA224" s="81"/>
      <c r="AB224" s="50"/>
      <c r="AC224" s="51">
        <f t="shared" si="16"/>
        <v>0</v>
      </c>
      <c r="AD224" s="51">
        <f t="shared" si="17"/>
        <v>0</v>
      </c>
    </row>
    <row r="225" spans="1:30" s="49" customFormat="1" ht="12.5">
      <c r="A225" s="30">
        <v>220</v>
      </c>
      <c r="B225" s="48" t="s">
        <v>552</v>
      </c>
      <c r="C225" s="49" t="s">
        <v>34</v>
      </c>
      <c r="D225" s="48" t="s">
        <v>60</v>
      </c>
      <c r="E225" s="48" t="s">
        <v>91</v>
      </c>
      <c r="F225" s="49" t="s">
        <v>553</v>
      </c>
      <c r="G225" s="49" t="s">
        <v>554</v>
      </c>
      <c r="H225" s="49" t="s">
        <v>472</v>
      </c>
      <c r="I225" s="49" t="s">
        <v>40</v>
      </c>
      <c r="J225" s="49">
        <v>2018</v>
      </c>
      <c r="K225" s="49">
        <v>59</v>
      </c>
      <c r="L225" s="48">
        <v>46</v>
      </c>
      <c r="M225" s="49">
        <v>46</v>
      </c>
      <c r="N225" s="49" t="s">
        <v>41</v>
      </c>
      <c r="O225" s="49" t="s">
        <v>42</v>
      </c>
      <c r="Q225" s="21" t="s">
        <v>43</v>
      </c>
      <c r="R225" s="21" t="s">
        <v>88</v>
      </c>
      <c r="S225" s="48"/>
      <c r="T225" s="48"/>
      <c r="U225" s="48"/>
      <c r="V225" s="77">
        <v>-2.080676</v>
      </c>
      <c r="W225" s="48">
        <v>106.124278</v>
      </c>
      <c r="X225" s="50"/>
      <c r="Y225" s="50"/>
      <c r="Z225" s="48"/>
      <c r="AA225" s="81"/>
      <c r="AB225" s="50"/>
      <c r="AC225" s="51">
        <f t="shared" si="16"/>
        <v>0.77966101694915257</v>
      </c>
      <c r="AD225" s="51">
        <f t="shared" si="17"/>
        <v>1</v>
      </c>
    </row>
    <row r="226" spans="1:30" s="49" customFormat="1" ht="12.5">
      <c r="A226" s="29">
        <v>221</v>
      </c>
      <c r="B226" s="48" t="s">
        <v>555</v>
      </c>
      <c r="C226" s="49" t="s">
        <v>170</v>
      </c>
      <c r="D226" s="48" t="s">
        <v>35</v>
      </c>
      <c r="E226" s="48" t="s">
        <v>46</v>
      </c>
      <c r="F226" s="49" t="s">
        <v>51</v>
      </c>
      <c r="G226" s="49" t="s">
        <v>358</v>
      </c>
      <c r="H226" s="49" t="s">
        <v>359</v>
      </c>
      <c r="I226" s="49" t="s">
        <v>42</v>
      </c>
      <c r="J226" s="49">
        <v>2020</v>
      </c>
      <c r="K226" s="49">
        <v>32</v>
      </c>
      <c r="L226" s="48">
        <v>32</v>
      </c>
      <c r="M226" s="49">
        <v>32</v>
      </c>
      <c r="N226" s="49" t="s">
        <v>41</v>
      </c>
      <c r="O226" s="49" t="s">
        <v>42</v>
      </c>
      <c r="Q226" s="21" t="s">
        <v>43</v>
      </c>
      <c r="R226" s="21"/>
      <c r="S226" s="48"/>
      <c r="T226" s="48"/>
      <c r="U226" s="48"/>
      <c r="V226" s="77">
        <v>-2.1250148000000002</v>
      </c>
      <c r="W226" s="48">
        <v>106.07380209999999</v>
      </c>
      <c r="X226" s="50"/>
      <c r="Y226" s="50"/>
      <c r="Z226" s="48"/>
      <c r="AA226" s="81"/>
      <c r="AB226" s="50"/>
      <c r="AC226" s="51">
        <f t="shared" si="16"/>
        <v>1</v>
      </c>
      <c r="AD226" s="51">
        <f t="shared" si="17"/>
        <v>1</v>
      </c>
    </row>
    <row r="227" spans="1:30" s="49" customFormat="1" ht="12.5">
      <c r="A227" s="30">
        <v>222</v>
      </c>
      <c r="B227" s="48" t="s">
        <v>556</v>
      </c>
      <c r="C227" s="49" t="s">
        <v>34</v>
      </c>
      <c r="D227" s="48" t="s">
        <v>60</v>
      </c>
      <c r="E227" s="48" t="s">
        <v>266</v>
      </c>
      <c r="F227" s="49" t="s">
        <v>557</v>
      </c>
      <c r="G227" s="49" t="s">
        <v>558</v>
      </c>
      <c r="H227" s="49" t="s">
        <v>559</v>
      </c>
      <c r="I227" s="49" t="s">
        <v>42</v>
      </c>
      <c r="J227" s="49">
        <v>2018</v>
      </c>
      <c r="K227" s="49">
        <v>40</v>
      </c>
      <c r="L227" s="48">
        <v>40</v>
      </c>
      <c r="M227" s="49">
        <v>40</v>
      </c>
      <c r="N227" s="49" t="s">
        <v>41</v>
      </c>
      <c r="O227" s="49" t="s">
        <v>42</v>
      </c>
      <c r="Q227" s="49" t="s">
        <v>72</v>
      </c>
      <c r="S227" s="48"/>
      <c r="T227" s="48"/>
      <c r="U227" s="48"/>
      <c r="V227" s="77">
        <v>-2.0951469999999999</v>
      </c>
      <c r="W227" s="48">
        <v>106.108746</v>
      </c>
      <c r="X227" s="50"/>
      <c r="Y227" s="50"/>
      <c r="Z227" s="48"/>
      <c r="AA227" s="81"/>
      <c r="AB227" s="50"/>
      <c r="AC227" s="51">
        <f t="shared" si="16"/>
        <v>1</v>
      </c>
      <c r="AD227" s="51">
        <f t="shared" si="17"/>
        <v>1</v>
      </c>
    </row>
    <row r="228" spans="1:30" s="49" customFormat="1" ht="12.5">
      <c r="A228" s="29">
        <v>223</v>
      </c>
      <c r="B228" s="48" t="s">
        <v>560</v>
      </c>
      <c r="C228" s="49" t="s">
        <v>34</v>
      </c>
      <c r="D228" s="48" t="s">
        <v>60</v>
      </c>
      <c r="E228" s="48" t="s">
        <v>266</v>
      </c>
      <c r="F228" s="49" t="s">
        <v>557</v>
      </c>
      <c r="G228" s="49" t="s">
        <v>558</v>
      </c>
      <c r="H228" s="49" t="s">
        <v>559</v>
      </c>
      <c r="I228" s="49" t="s">
        <v>42</v>
      </c>
      <c r="J228" s="49">
        <v>2019</v>
      </c>
      <c r="K228" s="49">
        <v>8</v>
      </c>
      <c r="L228" s="48">
        <v>8</v>
      </c>
      <c r="M228" s="49">
        <v>8</v>
      </c>
      <c r="N228" s="49" t="s">
        <v>41</v>
      </c>
      <c r="O228" s="49" t="s">
        <v>42</v>
      </c>
      <c r="Q228" s="21" t="s">
        <v>43</v>
      </c>
      <c r="S228" s="48"/>
      <c r="T228" s="48"/>
      <c r="U228" s="48"/>
      <c r="V228" s="77">
        <v>-2.0951469999999999</v>
      </c>
      <c r="W228" s="48">
        <v>106.108746</v>
      </c>
      <c r="X228" s="50"/>
      <c r="Y228" s="50"/>
      <c r="Z228" s="48"/>
      <c r="AA228" s="81"/>
      <c r="AB228" s="50"/>
      <c r="AC228" s="51">
        <f t="shared" si="16"/>
        <v>1</v>
      </c>
      <c r="AD228" s="51">
        <f t="shared" si="17"/>
        <v>1</v>
      </c>
    </row>
    <row r="229" spans="1:30" s="49" customFormat="1" ht="12.5">
      <c r="A229" s="30">
        <v>224</v>
      </c>
      <c r="B229" s="48" t="s">
        <v>561</v>
      </c>
      <c r="C229" s="49" t="s">
        <v>90</v>
      </c>
      <c r="D229" s="48" t="s">
        <v>81</v>
      </c>
      <c r="E229" s="48" t="s">
        <v>82</v>
      </c>
      <c r="F229" s="49" t="s">
        <v>562</v>
      </c>
      <c r="G229" s="49" t="s">
        <v>563</v>
      </c>
      <c r="H229" s="49" t="s">
        <v>564</v>
      </c>
      <c r="I229" s="49" t="s">
        <v>86</v>
      </c>
      <c r="J229" s="49">
        <v>2018</v>
      </c>
      <c r="K229" s="49">
        <v>101</v>
      </c>
      <c r="L229" s="48">
        <v>98</v>
      </c>
      <c r="M229" s="49">
        <v>98</v>
      </c>
      <c r="N229" s="49" t="s">
        <v>41</v>
      </c>
      <c r="O229" s="49" t="s">
        <v>42</v>
      </c>
      <c r="Q229" s="21" t="s">
        <v>43</v>
      </c>
      <c r="R229" s="49" t="s">
        <v>88</v>
      </c>
      <c r="S229" s="48"/>
      <c r="T229" s="48"/>
      <c r="U229" s="48"/>
      <c r="V229" s="77">
        <v>-2.1433472</v>
      </c>
      <c r="W229" s="48">
        <v>106.1389238</v>
      </c>
      <c r="X229" s="50"/>
      <c r="Y229" s="50"/>
      <c r="Z229" s="48"/>
      <c r="AA229" s="81"/>
      <c r="AB229" s="50"/>
      <c r="AC229" s="51">
        <f t="shared" si="16"/>
        <v>0.97029702970297027</v>
      </c>
      <c r="AD229" s="51">
        <f t="shared" si="17"/>
        <v>1</v>
      </c>
    </row>
    <row r="230" spans="1:30" s="49" customFormat="1" ht="12.5">
      <c r="A230" s="29">
        <v>225</v>
      </c>
      <c r="B230" s="48" t="s">
        <v>565</v>
      </c>
      <c r="C230" s="49" t="s">
        <v>34</v>
      </c>
      <c r="D230" s="48" t="s">
        <v>81</v>
      </c>
      <c r="E230" s="48" t="s">
        <v>202</v>
      </c>
      <c r="F230" s="49" t="s">
        <v>258</v>
      </c>
      <c r="G230" s="49" t="s">
        <v>566</v>
      </c>
      <c r="H230" s="49" t="s">
        <v>564</v>
      </c>
      <c r="I230" s="49" t="s">
        <v>86</v>
      </c>
      <c r="J230" s="49">
        <v>2024</v>
      </c>
      <c r="K230" s="49">
        <v>160</v>
      </c>
      <c r="L230" s="48">
        <v>80</v>
      </c>
      <c r="M230" s="49">
        <v>80</v>
      </c>
      <c r="N230" s="49" t="s">
        <v>41</v>
      </c>
      <c r="O230" s="49" t="s">
        <v>42</v>
      </c>
      <c r="Q230" s="21" t="s">
        <v>43</v>
      </c>
      <c r="R230" s="21" t="s">
        <v>88</v>
      </c>
      <c r="S230" s="48"/>
      <c r="T230" s="48"/>
      <c r="U230" s="48"/>
      <c r="V230" s="77">
        <v>-2.1330502</v>
      </c>
      <c r="W230" s="48">
        <v>106.14794019999999</v>
      </c>
      <c r="X230" s="50"/>
      <c r="Y230" s="50"/>
      <c r="Z230" s="48"/>
      <c r="AA230" s="81"/>
      <c r="AB230" s="50"/>
      <c r="AC230" s="51">
        <f t="shared" si="16"/>
        <v>0.5</v>
      </c>
      <c r="AD230" s="51">
        <f t="shared" si="17"/>
        <v>1</v>
      </c>
    </row>
    <row r="231" spans="1:30" s="49" customFormat="1" ht="12.5">
      <c r="A231" s="30">
        <v>226</v>
      </c>
      <c r="B231" s="48" t="s">
        <v>567</v>
      </c>
      <c r="C231" s="49" t="s">
        <v>34</v>
      </c>
      <c r="D231" s="48" t="s">
        <v>81</v>
      </c>
      <c r="E231" s="48" t="s">
        <v>82</v>
      </c>
      <c r="F231" s="49" t="s">
        <v>258</v>
      </c>
      <c r="G231" s="49" t="s">
        <v>566</v>
      </c>
      <c r="H231" s="49" t="s">
        <v>564</v>
      </c>
      <c r="I231" s="49" t="s">
        <v>86</v>
      </c>
      <c r="J231" s="49">
        <v>2024</v>
      </c>
      <c r="K231" s="49">
        <v>139</v>
      </c>
      <c r="L231" s="48">
        <v>5</v>
      </c>
      <c r="M231" s="49">
        <v>5</v>
      </c>
      <c r="N231" s="49" t="s">
        <v>41</v>
      </c>
      <c r="O231" s="49" t="s">
        <v>42</v>
      </c>
      <c r="Q231" s="21" t="s">
        <v>43</v>
      </c>
      <c r="R231" s="49" t="s">
        <v>88</v>
      </c>
      <c r="S231" s="48"/>
      <c r="T231" s="48"/>
      <c r="U231" s="48"/>
      <c r="V231" s="77">
        <v>-2.1330502</v>
      </c>
      <c r="W231" s="48">
        <v>106.14794019999999</v>
      </c>
      <c r="X231" s="50"/>
      <c r="Y231" s="50"/>
      <c r="Z231" s="48"/>
      <c r="AA231" s="81"/>
      <c r="AB231" s="50"/>
      <c r="AC231" s="51">
        <f t="shared" si="16"/>
        <v>3.5971223021582732E-2</v>
      </c>
      <c r="AD231" s="51">
        <f t="shared" si="17"/>
        <v>1</v>
      </c>
    </row>
    <row r="232" spans="1:30" s="49" customFormat="1" ht="12.5">
      <c r="A232" s="29">
        <v>227</v>
      </c>
      <c r="B232" s="48" t="s">
        <v>568</v>
      </c>
      <c r="C232" s="49" t="s">
        <v>34</v>
      </c>
      <c r="D232" s="48" t="s">
        <v>81</v>
      </c>
      <c r="E232" s="48" t="s">
        <v>82</v>
      </c>
      <c r="F232" s="49" t="s">
        <v>258</v>
      </c>
      <c r="G232" s="49" t="s">
        <v>566</v>
      </c>
      <c r="H232" s="49" t="s">
        <v>564</v>
      </c>
      <c r="I232" s="49" t="s">
        <v>86</v>
      </c>
      <c r="J232" s="49">
        <v>2024</v>
      </c>
      <c r="K232" s="49">
        <v>155</v>
      </c>
      <c r="L232" s="48">
        <v>0</v>
      </c>
      <c r="M232" s="49">
        <v>0</v>
      </c>
      <c r="N232" s="49" t="s">
        <v>41</v>
      </c>
      <c r="O232" s="49" t="s">
        <v>42</v>
      </c>
      <c r="Q232" s="21" t="s">
        <v>43</v>
      </c>
      <c r="R232" s="49" t="s">
        <v>88</v>
      </c>
      <c r="S232" s="48"/>
      <c r="T232" s="48"/>
      <c r="U232" s="48"/>
      <c r="V232" s="77">
        <v>-2.1330502</v>
      </c>
      <c r="W232" s="48">
        <v>106.14794019999999</v>
      </c>
      <c r="X232" s="50"/>
      <c r="Y232" s="50"/>
      <c r="Z232" s="48"/>
      <c r="AA232" s="81"/>
      <c r="AB232" s="50"/>
      <c r="AC232" s="51">
        <f t="shared" si="16"/>
        <v>0</v>
      </c>
      <c r="AD232" s="51">
        <f t="shared" si="17"/>
        <v>0</v>
      </c>
    </row>
    <row r="233" spans="1:30" s="49" customFormat="1" ht="12.5">
      <c r="A233" s="30">
        <v>228</v>
      </c>
      <c r="B233" s="48" t="s">
        <v>569</v>
      </c>
      <c r="C233" s="49" t="s">
        <v>34</v>
      </c>
      <c r="D233" s="48" t="s">
        <v>81</v>
      </c>
      <c r="E233" s="48" t="s">
        <v>82</v>
      </c>
      <c r="F233" s="49" t="s">
        <v>258</v>
      </c>
      <c r="G233" s="49" t="s">
        <v>566</v>
      </c>
      <c r="H233" s="49" t="s">
        <v>564</v>
      </c>
      <c r="I233" s="49" t="s">
        <v>86</v>
      </c>
      <c r="J233" s="49">
        <v>2024</v>
      </c>
      <c r="K233" s="49">
        <v>154</v>
      </c>
      <c r="L233" s="48">
        <v>0</v>
      </c>
      <c r="M233" s="49">
        <v>0</v>
      </c>
      <c r="N233" s="49" t="s">
        <v>41</v>
      </c>
      <c r="O233" s="49" t="s">
        <v>42</v>
      </c>
      <c r="Q233" s="21" t="s">
        <v>43</v>
      </c>
      <c r="R233" s="49" t="s">
        <v>88</v>
      </c>
      <c r="S233" s="48"/>
      <c r="T233" s="48"/>
      <c r="U233" s="48"/>
      <c r="V233" s="77">
        <v>-2.1330502</v>
      </c>
      <c r="W233" s="48">
        <v>106.14794019999999</v>
      </c>
      <c r="X233" s="50"/>
      <c r="Y233" s="50"/>
      <c r="Z233" s="48"/>
      <c r="AA233" s="81"/>
      <c r="AB233" s="50"/>
      <c r="AC233" s="51">
        <f t="shared" si="16"/>
        <v>0</v>
      </c>
      <c r="AD233" s="51">
        <f t="shared" si="17"/>
        <v>0</v>
      </c>
    </row>
    <row r="234" spans="1:30" s="49" customFormat="1" ht="12.5">
      <c r="A234" s="29">
        <v>229</v>
      </c>
      <c r="B234" s="48" t="s">
        <v>570</v>
      </c>
      <c r="C234" s="49" t="s">
        <v>34</v>
      </c>
      <c r="D234" s="48" t="s">
        <v>60</v>
      </c>
      <c r="E234" s="48" t="s">
        <v>91</v>
      </c>
      <c r="F234" s="49" t="s">
        <v>488</v>
      </c>
      <c r="G234" s="49" t="s">
        <v>571</v>
      </c>
      <c r="H234" s="49" t="s">
        <v>572</v>
      </c>
      <c r="I234" s="49" t="s">
        <v>42</v>
      </c>
      <c r="J234" s="49">
        <v>2019</v>
      </c>
      <c r="K234" s="49">
        <v>44</v>
      </c>
      <c r="L234" s="48">
        <v>0</v>
      </c>
      <c r="M234" s="49">
        <v>0</v>
      </c>
      <c r="N234" s="49" t="s">
        <v>41</v>
      </c>
      <c r="O234" s="49" t="s">
        <v>42</v>
      </c>
      <c r="Q234" s="21" t="s">
        <v>43</v>
      </c>
      <c r="S234" s="48"/>
      <c r="T234" s="48"/>
      <c r="U234" s="48"/>
      <c r="V234" s="77"/>
      <c r="W234" s="48"/>
      <c r="X234" s="50"/>
      <c r="Y234" s="50"/>
      <c r="Z234" s="48"/>
      <c r="AA234" s="81"/>
      <c r="AB234" s="50"/>
      <c r="AC234" s="51">
        <f t="shared" si="16"/>
        <v>0</v>
      </c>
      <c r="AD234" s="51">
        <f t="shared" si="17"/>
        <v>0</v>
      </c>
    </row>
    <row r="235" spans="1:30" s="49" customFormat="1" ht="12.5">
      <c r="A235" s="30">
        <v>230</v>
      </c>
      <c r="B235" s="48" t="s">
        <v>573</v>
      </c>
      <c r="C235" s="49" t="s">
        <v>34</v>
      </c>
      <c r="D235" s="48" t="s">
        <v>81</v>
      </c>
      <c r="E235" s="48" t="s">
        <v>202</v>
      </c>
      <c r="F235" s="49" t="s">
        <v>419</v>
      </c>
      <c r="G235" s="49" t="s">
        <v>42</v>
      </c>
      <c r="H235" s="49" t="s">
        <v>42</v>
      </c>
      <c r="I235" s="49" t="s">
        <v>42</v>
      </c>
      <c r="J235" s="49">
        <v>2016</v>
      </c>
      <c r="K235" s="49">
        <v>20</v>
      </c>
      <c r="L235" s="48">
        <v>20</v>
      </c>
      <c r="M235" s="49">
        <v>20</v>
      </c>
      <c r="N235" s="49" t="s">
        <v>41</v>
      </c>
      <c r="O235" s="49" t="s">
        <v>42</v>
      </c>
      <c r="Q235" s="21" t="s">
        <v>43</v>
      </c>
      <c r="R235" s="21" t="s">
        <v>88</v>
      </c>
      <c r="S235" s="48"/>
      <c r="T235" s="48"/>
      <c r="U235" s="48"/>
      <c r="V235" s="77"/>
      <c r="W235" s="48"/>
      <c r="X235" s="50"/>
      <c r="Y235" s="50"/>
      <c r="Z235" s="48"/>
      <c r="AA235" s="81"/>
      <c r="AB235" s="50"/>
      <c r="AC235" s="51">
        <f t="shared" si="16"/>
        <v>1</v>
      </c>
      <c r="AD235" s="51">
        <f t="shared" si="17"/>
        <v>1</v>
      </c>
    </row>
    <row r="236" spans="1:30" s="49" customFormat="1" ht="12.5">
      <c r="A236" s="29">
        <v>231</v>
      </c>
      <c r="B236" s="48" t="s">
        <v>574</v>
      </c>
      <c r="C236" s="49" t="s">
        <v>34</v>
      </c>
      <c r="D236" s="48" t="s">
        <v>81</v>
      </c>
      <c r="E236" s="48" t="s">
        <v>122</v>
      </c>
      <c r="F236" s="49" t="s">
        <v>413</v>
      </c>
      <c r="G236" s="49" t="s">
        <v>575</v>
      </c>
      <c r="H236" s="49" t="s">
        <v>576</v>
      </c>
      <c r="I236" s="49" t="s">
        <v>112</v>
      </c>
      <c r="J236" s="49">
        <v>2019</v>
      </c>
      <c r="K236" s="49">
        <v>57</v>
      </c>
      <c r="L236" s="48">
        <v>55</v>
      </c>
      <c r="M236" s="49">
        <v>55</v>
      </c>
      <c r="N236" s="49" t="s">
        <v>41</v>
      </c>
      <c r="O236" s="49" t="s">
        <v>42</v>
      </c>
      <c r="Q236" s="21" t="s">
        <v>43</v>
      </c>
      <c r="S236" s="48"/>
      <c r="T236" s="48"/>
      <c r="U236" s="48"/>
      <c r="V236" s="77">
        <v>-2.1381644999999998</v>
      </c>
      <c r="W236" s="48">
        <v>106.15515670000001</v>
      </c>
      <c r="X236" s="50"/>
      <c r="Y236" s="50"/>
      <c r="Z236" s="48"/>
      <c r="AA236" s="81"/>
      <c r="AB236" s="50"/>
      <c r="AC236" s="51">
        <f t="shared" si="16"/>
        <v>0.96491228070175439</v>
      </c>
      <c r="AD236" s="51">
        <f t="shared" si="17"/>
        <v>1</v>
      </c>
    </row>
    <row r="237" spans="1:30" s="49" customFormat="1" ht="12.5">
      <c r="A237" s="30">
        <v>232</v>
      </c>
      <c r="B237" s="48" t="s">
        <v>577</v>
      </c>
      <c r="C237" s="49" t="s">
        <v>170</v>
      </c>
      <c r="D237" s="48" t="s">
        <v>81</v>
      </c>
      <c r="E237" s="48" t="s">
        <v>202</v>
      </c>
      <c r="F237" s="49" t="s">
        <v>578</v>
      </c>
      <c r="G237" s="49" t="s">
        <v>579</v>
      </c>
      <c r="H237" s="49" t="s">
        <v>42</v>
      </c>
      <c r="I237" s="49" t="s">
        <v>42</v>
      </c>
      <c r="J237" s="49">
        <v>2015</v>
      </c>
      <c r="K237" s="49">
        <v>88</v>
      </c>
      <c r="L237" s="48">
        <v>22</v>
      </c>
      <c r="M237" s="49">
        <v>22</v>
      </c>
      <c r="N237" s="49" t="s">
        <v>41</v>
      </c>
      <c r="O237" s="49" t="s">
        <v>42</v>
      </c>
      <c r="Q237" s="49" t="s">
        <v>72</v>
      </c>
      <c r="S237" s="48"/>
      <c r="T237" s="48"/>
      <c r="U237" s="48"/>
      <c r="V237" s="77">
        <v>-2.1346430999999999</v>
      </c>
      <c r="W237" s="48">
        <v>106.1342334</v>
      </c>
      <c r="X237" s="50"/>
      <c r="Y237" s="50"/>
      <c r="Z237" s="48"/>
      <c r="AA237" s="81"/>
      <c r="AB237" s="50"/>
      <c r="AC237" s="51">
        <f t="shared" si="16"/>
        <v>0.25</v>
      </c>
      <c r="AD237" s="51">
        <f t="shared" si="17"/>
        <v>1</v>
      </c>
    </row>
    <row r="238" spans="1:30" s="49" customFormat="1" ht="12.5">
      <c r="A238" s="29">
        <v>233</v>
      </c>
      <c r="B238" s="48" t="s">
        <v>580</v>
      </c>
      <c r="C238" s="49" t="s">
        <v>170</v>
      </c>
      <c r="D238" s="48" t="s">
        <v>81</v>
      </c>
      <c r="E238" s="48" t="s">
        <v>398</v>
      </c>
      <c r="F238" s="49" t="s">
        <v>581</v>
      </c>
      <c r="G238" s="49" t="s">
        <v>579</v>
      </c>
      <c r="H238" s="49" t="s">
        <v>42</v>
      </c>
      <c r="I238" s="49" t="s">
        <v>42</v>
      </c>
      <c r="J238" s="49">
        <v>2016</v>
      </c>
      <c r="K238" s="49">
        <v>92</v>
      </c>
      <c r="L238" s="48">
        <v>9</v>
      </c>
      <c r="M238" s="49">
        <v>9</v>
      </c>
      <c r="N238" s="49" t="s">
        <v>41</v>
      </c>
      <c r="O238" s="49" t="s">
        <v>42</v>
      </c>
      <c r="Q238" s="49" t="s">
        <v>72</v>
      </c>
      <c r="S238" s="48"/>
      <c r="T238" s="48"/>
      <c r="U238" s="48"/>
      <c r="V238" s="77">
        <v>-2.1351254000000002</v>
      </c>
      <c r="W238" s="48">
        <v>106.1331278</v>
      </c>
      <c r="X238" s="50"/>
      <c r="Y238" s="50"/>
      <c r="Z238" s="48"/>
      <c r="AA238" s="81"/>
      <c r="AB238" s="50"/>
      <c r="AC238" s="51">
        <f t="shared" si="16"/>
        <v>9.7826086956521743E-2</v>
      </c>
      <c r="AD238" s="51">
        <f t="shared" si="17"/>
        <v>1</v>
      </c>
    </row>
    <row r="239" spans="1:30" s="49" customFormat="1" ht="12.5">
      <c r="A239" s="30">
        <v>234</v>
      </c>
      <c r="B239" s="48" t="s">
        <v>582</v>
      </c>
      <c r="C239" s="49" t="s">
        <v>34</v>
      </c>
      <c r="D239" s="48" t="s">
        <v>35</v>
      </c>
      <c r="E239" s="48" t="s">
        <v>46</v>
      </c>
      <c r="F239" s="49" t="s">
        <v>583</v>
      </c>
      <c r="G239" s="49" t="s">
        <v>584</v>
      </c>
      <c r="H239" s="49" t="s">
        <v>585</v>
      </c>
      <c r="I239" s="49" t="s">
        <v>112</v>
      </c>
      <c r="J239" s="49">
        <v>2017</v>
      </c>
      <c r="K239" s="49">
        <v>43</v>
      </c>
      <c r="L239" s="48">
        <v>43</v>
      </c>
      <c r="M239" s="49">
        <v>43</v>
      </c>
      <c r="N239" s="49" t="s">
        <v>48</v>
      </c>
      <c r="O239" s="49">
        <v>2021</v>
      </c>
      <c r="Q239" s="21" t="s">
        <v>43</v>
      </c>
      <c r="R239" s="49" t="s">
        <v>113</v>
      </c>
      <c r="S239" s="48"/>
      <c r="T239" s="48"/>
      <c r="U239" s="48"/>
      <c r="V239" s="77">
        <v>-2.1201880000000002</v>
      </c>
      <c r="W239" s="48">
        <v>106.07431099999999</v>
      </c>
      <c r="X239" s="50"/>
      <c r="Y239" s="50"/>
      <c r="Z239" s="48"/>
      <c r="AA239" s="81"/>
      <c r="AB239" s="50"/>
      <c r="AC239" s="51">
        <f t="shared" si="16"/>
        <v>1</v>
      </c>
      <c r="AD239" s="51">
        <f t="shared" si="17"/>
        <v>1</v>
      </c>
    </row>
    <row r="240" spans="1:30" s="49" customFormat="1" ht="12.5">
      <c r="A240" s="29">
        <v>235</v>
      </c>
      <c r="B240" s="48" t="s">
        <v>586</v>
      </c>
      <c r="C240" s="49" t="s">
        <v>34</v>
      </c>
      <c r="D240" s="48" t="s">
        <v>35</v>
      </c>
      <c r="E240" s="48" t="s">
        <v>36</v>
      </c>
      <c r="F240" s="49" t="s">
        <v>47</v>
      </c>
      <c r="G240" s="49" t="s">
        <v>584</v>
      </c>
      <c r="H240" s="49" t="s">
        <v>585</v>
      </c>
      <c r="I240" s="49" t="s">
        <v>112</v>
      </c>
      <c r="J240" s="49">
        <v>2017</v>
      </c>
      <c r="K240" s="49">
        <v>30</v>
      </c>
      <c r="L240" s="48">
        <v>30</v>
      </c>
      <c r="M240" s="49">
        <v>29</v>
      </c>
      <c r="N240" s="49" t="s">
        <v>48</v>
      </c>
      <c r="O240" s="49">
        <v>2021</v>
      </c>
      <c r="Q240" s="21" t="s">
        <v>43</v>
      </c>
      <c r="R240" s="49" t="s">
        <v>113</v>
      </c>
      <c r="S240" s="48"/>
      <c r="T240" s="48"/>
      <c r="U240" s="48"/>
      <c r="V240" s="77">
        <v>-2.1146593</v>
      </c>
      <c r="W240" s="48">
        <v>106.0722858</v>
      </c>
      <c r="X240" s="50"/>
      <c r="Y240" s="50"/>
      <c r="Z240" s="48"/>
      <c r="AA240" s="81"/>
      <c r="AB240" s="50"/>
      <c r="AC240" s="51">
        <f t="shared" si="16"/>
        <v>1</v>
      </c>
      <c r="AD240" s="51">
        <f t="shared" si="17"/>
        <v>0.96666666666666667</v>
      </c>
    </row>
    <row r="241" spans="1:30" s="49" customFormat="1" ht="12.5">
      <c r="A241" s="30">
        <v>236</v>
      </c>
      <c r="B241" s="48" t="s">
        <v>587</v>
      </c>
      <c r="C241" s="49" t="s">
        <v>34</v>
      </c>
      <c r="D241" s="48" t="s">
        <v>35</v>
      </c>
      <c r="E241" s="48" t="s">
        <v>36</v>
      </c>
      <c r="F241" s="49" t="s">
        <v>588</v>
      </c>
      <c r="G241" s="49" t="s">
        <v>589</v>
      </c>
      <c r="H241" s="49" t="s">
        <v>585</v>
      </c>
      <c r="I241" s="49" t="s">
        <v>112</v>
      </c>
      <c r="J241" s="49">
        <v>2017</v>
      </c>
      <c r="K241" s="49">
        <v>123</v>
      </c>
      <c r="L241" s="48">
        <v>123</v>
      </c>
      <c r="M241" s="49">
        <v>123</v>
      </c>
      <c r="N241" s="49" t="s">
        <v>48</v>
      </c>
      <c r="O241" s="49">
        <v>2021</v>
      </c>
      <c r="Q241" s="21" t="s">
        <v>43</v>
      </c>
      <c r="S241" s="48"/>
      <c r="T241" s="48"/>
      <c r="U241" s="48"/>
      <c r="V241" s="77">
        <v>-2.1018940000000002</v>
      </c>
      <c r="W241" s="48">
        <v>106.081547</v>
      </c>
      <c r="X241" s="50"/>
      <c r="Y241" s="50"/>
      <c r="Z241" s="48"/>
      <c r="AA241" s="81"/>
      <c r="AB241" s="50"/>
      <c r="AC241" s="51">
        <f t="shared" si="16"/>
        <v>1</v>
      </c>
      <c r="AD241" s="51">
        <f t="shared" si="17"/>
        <v>1</v>
      </c>
    </row>
    <row r="242" spans="1:30" s="49" customFormat="1" ht="12.5">
      <c r="A242" s="29">
        <v>237</v>
      </c>
      <c r="B242" s="48" t="s">
        <v>590</v>
      </c>
      <c r="C242" s="49" t="s">
        <v>34</v>
      </c>
      <c r="D242" s="48" t="s">
        <v>60</v>
      </c>
      <c r="E242" s="48" t="s">
        <v>70</v>
      </c>
      <c r="F242" s="49" t="s">
        <v>308</v>
      </c>
      <c r="G242" s="49" t="s">
        <v>589</v>
      </c>
      <c r="H242" s="49" t="s">
        <v>585</v>
      </c>
      <c r="I242" s="49" t="s">
        <v>112</v>
      </c>
      <c r="J242" s="49">
        <v>2018</v>
      </c>
      <c r="K242" s="49">
        <v>110</v>
      </c>
      <c r="L242" s="48">
        <v>110</v>
      </c>
      <c r="M242" s="49">
        <v>103</v>
      </c>
      <c r="N242" s="49" t="s">
        <v>48</v>
      </c>
      <c r="O242" s="49">
        <v>2021</v>
      </c>
      <c r="Q242" s="21" t="s">
        <v>43</v>
      </c>
      <c r="R242" s="49" t="s">
        <v>55</v>
      </c>
      <c r="S242" s="48"/>
      <c r="T242" s="48"/>
      <c r="U242" s="48"/>
      <c r="V242" s="77">
        <v>-2.0981193999999999</v>
      </c>
      <c r="W242" s="48">
        <v>106.0837946</v>
      </c>
      <c r="X242" s="50"/>
      <c r="Y242" s="50"/>
      <c r="Z242" s="48"/>
      <c r="AA242" s="81"/>
      <c r="AB242" s="50"/>
      <c r="AC242" s="51">
        <f t="shared" si="16"/>
        <v>1</v>
      </c>
      <c r="AD242" s="51">
        <f t="shared" si="17"/>
        <v>0.9363636363636364</v>
      </c>
    </row>
    <row r="243" spans="1:30" s="49" customFormat="1" ht="12.5">
      <c r="A243" s="30">
        <v>238</v>
      </c>
      <c r="B243" s="48" t="s">
        <v>591</v>
      </c>
      <c r="C243" s="49" t="s">
        <v>34</v>
      </c>
      <c r="D243" s="48" t="s">
        <v>60</v>
      </c>
      <c r="E243" s="48" t="s">
        <v>70</v>
      </c>
      <c r="F243" s="49" t="s">
        <v>592</v>
      </c>
      <c r="G243" s="49" t="s">
        <v>589</v>
      </c>
      <c r="H243" s="49" t="s">
        <v>585</v>
      </c>
      <c r="I243" s="49" t="s">
        <v>112</v>
      </c>
      <c r="J243" s="49">
        <v>2018</v>
      </c>
      <c r="K243" s="49">
        <v>44</v>
      </c>
      <c r="L243" s="48">
        <v>44</v>
      </c>
      <c r="M243" s="49">
        <v>44</v>
      </c>
      <c r="N243" s="49" t="s">
        <v>48</v>
      </c>
      <c r="O243" s="49">
        <v>2021</v>
      </c>
      <c r="Q243" s="49" t="s">
        <v>72</v>
      </c>
      <c r="S243" s="48"/>
      <c r="T243" s="48"/>
      <c r="U243" s="48"/>
      <c r="V243" s="77">
        <v>-2.0944850000000002</v>
      </c>
      <c r="W243" s="48">
        <v>106.09107</v>
      </c>
      <c r="X243" s="50"/>
      <c r="Y243" s="50"/>
      <c r="Z243" s="48"/>
      <c r="AA243" s="81"/>
      <c r="AB243" s="50"/>
      <c r="AC243" s="51">
        <f t="shared" si="16"/>
        <v>1</v>
      </c>
      <c r="AD243" s="51">
        <f t="shared" si="17"/>
        <v>1</v>
      </c>
    </row>
    <row r="244" spans="1:30" s="49" customFormat="1" ht="12.5">
      <c r="A244" s="29">
        <v>239</v>
      </c>
      <c r="B244" s="48" t="s">
        <v>593</v>
      </c>
      <c r="C244" s="49" t="s">
        <v>34</v>
      </c>
      <c r="D244" s="48" t="s">
        <v>35</v>
      </c>
      <c r="E244" s="48" t="s">
        <v>36</v>
      </c>
      <c r="F244" s="49" t="s">
        <v>54</v>
      </c>
      <c r="G244" s="49" t="s">
        <v>594</v>
      </c>
      <c r="H244" s="49" t="s">
        <v>585</v>
      </c>
      <c r="I244" s="49" t="s">
        <v>112</v>
      </c>
      <c r="J244" s="49">
        <v>2018</v>
      </c>
      <c r="K244" s="49">
        <v>70</v>
      </c>
      <c r="L244" s="48">
        <v>70</v>
      </c>
      <c r="M244" s="49">
        <v>70</v>
      </c>
      <c r="N244" s="49" t="s">
        <v>48</v>
      </c>
      <c r="O244" s="49">
        <v>2022</v>
      </c>
      <c r="Q244" s="21" t="s">
        <v>43</v>
      </c>
      <c r="R244" s="49" t="s">
        <v>113</v>
      </c>
      <c r="S244" s="48"/>
      <c r="T244" s="48"/>
      <c r="U244" s="48"/>
      <c r="V244" s="77">
        <v>-2.0975541999999998</v>
      </c>
      <c r="W244" s="48">
        <v>106.0794709</v>
      </c>
      <c r="X244" s="50"/>
      <c r="Y244" s="50"/>
      <c r="Z244" s="48"/>
      <c r="AA244" s="81"/>
      <c r="AB244" s="50"/>
      <c r="AC244" s="51">
        <f t="shared" si="16"/>
        <v>1</v>
      </c>
      <c r="AD244" s="51">
        <f t="shared" si="17"/>
        <v>1</v>
      </c>
    </row>
    <row r="245" spans="1:30" s="49" customFormat="1" ht="12.5">
      <c r="A245" s="30">
        <v>240</v>
      </c>
      <c r="B245" s="48" t="s">
        <v>595</v>
      </c>
      <c r="C245" s="49" t="s">
        <v>34</v>
      </c>
      <c r="D245" s="48" t="s">
        <v>35</v>
      </c>
      <c r="E245" s="48" t="s">
        <v>36</v>
      </c>
      <c r="F245" s="49" t="s">
        <v>62</v>
      </c>
      <c r="G245" s="49" t="s">
        <v>594</v>
      </c>
      <c r="H245" s="49" t="s">
        <v>585</v>
      </c>
      <c r="I245" s="49" t="s">
        <v>112</v>
      </c>
      <c r="J245" s="49">
        <v>2020</v>
      </c>
      <c r="K245" s="49">
        <v>40</v>
      </c>
      <c r="L245" s="48">
        <v>40</v>
      </c>
      <c r="M245" s="49">
        <v>40</v>
      </c>
      <c r="N245" s="49" t="s">
        <v>48</v>
      </c>
      <c r="O245" s="49">
        <v>2022</v>
      </c>
      <c r="Q245" s="21" t="s">
        <v>43</v>
      </c>
      <c r="R245" s="49" t="s">
        <v>113</v>
      </c>
      <c r="S245" s="48"/>
      <c r="T245" s="48"/>
      <c r="U245" s="48"/>
      <c r="V245" s="77">
        <v>-2.0942904000000002</v>
      </c>
      <c r="W245" s="48">
        <v>106.0779465</v>
      </c>
      <c r="X245" s="50"/>
      <c r="Y245" s="50"/>
      <c r="Z245" s="48"/>
      <c r="AA245" s="81"/>
      <c r="AB245" s="50"/>
      <c r="AC245" s="51">
        <f t="shared" ref="AC245:AC276" si="18">IF(A245="","",IFERROR(L245/K245,0))</f>
        <v>1</v>
      </c>
      <c r="AD245" s="51">
        <f t="shared" ref="AD245:AD276" si="19">IF(A245="","",IFERROR(M245/L245,0))</f>
        <v>1</v>
      </c>
    </row>
    <row r="246" spans="1:30" s="49" customFormat="1" ht="12.5">
      <c r="A246" s="29">
        <v>241</v>
      </c>
      <c r="B246" s="48" t="s">
        <v>596</v>
      </c>
      <c r="C246" s="49" t="s">
        <v>34</v>
      </c>
      <c r="D246" s="48" t="s">
        <v>60</v>
      </c>
      <c r="E246" s="48" t="s">
        <v>70</v>
      </c>
      <c r="F246" s="49" t="s">
        <v>308</v>
      </c>
      <c r="G246" s="49" t="s">
        <v>589</v>
      </c>
      <c r="H246" s="49" t="s">
        <v>585</v>
      </c>
      <c r="I246" s="49" t="s">
        <v>112</v>
      </c>
      <c r="J246" s="49">
        <v>2021</v>
      </c>
      <c r="K246" s="49">
        <v>58</v>
      </c>
      <c r="L246" s="48">
        <v>58</v>
      </c>
      <c r="M246" s="49">
        <v>58</v>
      </c>
      <c r="N246" s="49" t="s">
        <v>41</v>
      </c>
      <c r="O246" s="49" t="s">
        <v>42</v>
      </c>
      <c r="Q246" s="21" t="s">
        <v>43</v>
      </c>
      <c r="S246" s="48"/>
      <c r="T246" s="48"/>
      <c r="U246" s="48"/>
      <c r="V246" s="77">
        <v>-2.095885</v>
      </c>
      <c r="W246" s="48">
        <v>106.084112</v>
      </c>
      <c r="X246" s="50"/>
      <c r="Y246" s="50"/>
      <c r="Z246" s="48"/>
      <c r="AA246" s="81"/>
      <c r="AB246" s="50"/>
      <c r="AC246" s="51">
        <f t="shared" si="18"/>
        <v>1</v>
      </c>
      <c r="AD246" s="51">
        <f t="shared" si="19"/>
        <v>1</v>
      </c>
    </row>
    <row r="247" spans="1:30" s="49" customFormat="1" ht="12.5">
      <c r="A247" s="30">
        <v>242</v>
      </c>
      <c r="B247" s="48" t="s">
        <v>597</v>
      </c>
      <c r="C247" s="49" t="s">
        <v>34</v>
      </c>
      <c r="D247" s="48" t="s">
        <v>35</v>
      </c>
      <c r="E247" s="48" t="s">
        <v>46</v>
      </c>
      <c r="F247" s="49" t="s">
        <v>598</v>
      </c>
      <c r="G247" s="49" t="s">
        <v>594</v>
      </c>
      <c r="H247" s="49" t="s">
        <v>599</v>
      </c>
      <c r="I247" s="49" t="s">
        <v>112</v>
      </c>
      <c r="J247" s="49">
        <v>2024</v>
      </c>
      <c r="K247" s="49">
        <v>42</v>
      </c>
      <c r="L247" s="48">
        <v>26</v>
      </c>
      <c r="M247" s="49">
        <v>26</v>
      </c>
      <c r="N247" s="49" t="s">
        <v>41</v>
      </c>
      <c r="O247" s="49" t="s">
        <v>42</v>
      </c>
      <c r="Q247" s="21" t="s">
        <v>43</v>
      </c>
      <c r="R247" s="21" t="s">
        <v>88</v>
      </c>
      <c r="S247" s="48"/>
      <c r="T247" s="48"/>
      <c r="U247" s="48"/>
      <c r="V247" s="77">
        <v>-2.1235791000000002</v>
      </c>
      <c r="W247" s="48">
        <v>106.0763937</v>
      </c>
      <c r="X247" s="50"/>
      <c r="Y247" s="50"/>
      <c r="Z247" s="48"/>
      <c r="AA247" s="81"/>
      <c r="AB247" s="50"/>
      <c r="AC247" s="51">
        <f t="shared" si="18"/>
        <v>0.61904761904761907</v>
      </c>
      <c r="AD247" s="51">
        <f t="shared" si="19"/>
        <v>1</v>
      </c>
    </row>
    <row r="248" spans="1:30" s="49" customFormat="1" ht="12.5">
      <c r="A248" s="29">
        <v>243</v>
      </c>
      <c r="B248" s="48" t="s">
        <v>600</v>
      </c>
      <c r="C248" s="49" t="s">
        <v>34</v>
      </c>
      <c r="D248" s="48" t="s">
        <v>60</v>
      </c>
      <c r="E248" s="48" t="s">
        <v>91</v>
      </c>
      <c r="F248" s="49" t="s">
        <v>209</v>
      </c>
      <c r="G248" s="49" t="s">
        <v>464</v>
      </c>
      <c r="H248" s="49" t="s">
        <v>472</v>
      </c>
      <c r="I248" s="49" t="s">
        <v>40</v>
      </c>
      <c r="J248" s="49">
        <v>2015</v>
      </c>
      <c r="K248" s="49">
        <v>103</v>
      </c>
      <c r="L248" s="48">
        <v>74</v>
      </c>
      <c r="M248" s="49">
        <v>74</v>
      </c>
      <c r="N248" s="49" t="s">
        <v>41</v>
      </c>
      <c r="O248" s="49" t="s">
        <v>42</v>
      </c>
      <c r="Q248" s="21" t="s">
        <v>43</v>
      </c>
      <c r="R248" s="21" t="s">
        <v>88</v>
      </c>
      <c r="S248" s="48"/>
      <c r="T248" s="48"/>
      <c r="U248" s="48"/>
      <c r="V248" s="77">
        <v>-2.078166</v>
      </c>
      <c r="W248" s="48">
        <v>106.12220499999999</v>
      </c>
      <c r="X248" s="50"/>
      <c r="Y248" s="50"/>
      <c r="Z248" s="48"/>
      <c r="AA248" s="81"/>
      <c r="AB248" s="50"/>
      <c r="AC248" s="51">
        <f t="shared" si="18"/>
        <v>0.71844660194174759</v>
      </c>
      <c r="AD248" s="51">
        <f t="shared" si="19"/>
        <v>1</v>
      </c>
    </row>
    <row r="249" spans="1:30" s="49" customFormat="1" ht="12.5">
      <c r="A249" s="30">
        <v>244</v>
      </c>
      <c r="B249" s="48" t="s">
        <v>601</v>
      </c>
      <c r="C249" s="49" t="s">
        <v>34</v>
      </c>
      <c r="D249" s="48" t="s">
        <v>81</v>
      </c>
      <c r="E249" s="48" t="s">
        <v>82</v>
      </c>
      <c r="F249" s="49" t="s">
        <v>602</v>
      </c>
      <c r="G249" s="49" t="s">
        <v>603</v>
      </c>
      <c r="H249" s="49" t="s">
        <v>604</v>
      </c>
      <c r="I249" s="49" t="s">
        <v>42</v>
      </c>
      <c r="J249" s="49">
        <v>2021</v>
      </c>
      <c r="K249" s="49">
        <v>115</v>
      </c>
      <c r="L249" s="48">
        <v>10</v>
      </c>
      <c r="M249" s="49">
        <v>0</v>
      </c>
      <c r="N249" s="49" t="s">
        <v>41</v>
      </c>
      <c r="O249" s="49" t="s">
        <v>42</v>
      </c>
      <c r="Q249" s="21" t="s">
        <v>43</v>
      </c>
      <c r="R249" s="21" t="s">
        <v>88</v>
      </c>
      <c r="S249" s="48"/>
      <c r="T249" s="48"/>
      <c r="U249" s="48"/>
      <c r="V249" s="77">
        <v>-2.1486339999999999</v>
      </c>
      <c r="W249" s="48">
        <v>106.145662</v>
      </c>
      <c r="X249" s="50"/>
      <c r="Y249" s="50"/>
      <c r="Z249" s="48"/>
      <c r="AA249" s="81"/>
      <c r="AB249" s="50"/>
      <c r="AC249" s="51">
        <f t="shared" si="18"/>
        <v>8.6956521739130432E-2</v>
      </c>
      <c r="AD249" s="51">
        <f t="shared" si="19"/>
        <v>0</v>
      </c>
    </row>
    <row r="250" spans="1:30" s="49" customFormat="1" ht="12.5">
      <c r="A250" s="29">
        <v>245</v>
      </c>
      <c r="B250" s="48" t="s">
        <v>605</v>
      </c>
      <c r="C250" s="49" t="s">
        <v>34</v>
      </c>
      <c r="D250" s="48" t="s">
        <v>81</v>
      </c>
      <c r="E250" s="48" t="s">
        <v>122</v>
      </c>
      <c r="F250" s="49" t="s">
        <v>419</v>
      </c>
      <c r="G250" s="49" t="s">
        <v>606</v>
      </c>
      <c r="H250" s="49" t="s">
        <v>607</v>
      </c>
      <c r="I250" s="49" t="s">
        <v>86</v>
      </c>
      <c r="J250" s="49">
        <v>2019</v>
      </c>
      <c r="K250" s="49">
        <v>161</v>
      </c>
      <c r="L250" s="48">
        <v>103</v>
      </c>
      <c r="M250" s="49">
        <v>103</v>
      </c>
      <c r="N250" s="49" t="s">
        <v>41</v>
      </c>
      <c r="O250" s="49" t="s">
        <v>42</v>
      </c>
      <c r="Q250" s="21" t="s">
        <v>43</v>
      </c>
      <c r="S250" s="48"/>
      <c r="T250" s="48"/>
      <c r="U250" s="48"/>
      <c r="V250" s="77">
        <v>-2.1294618000000001</v>
      </c>
      <c r="W250" s="48">
        <v>106.16116599999999</v>
      </c>
      <c r="X250" s="50"/>
      <c r="Y250" s="50"/>
      <c r="Z250" s="48"/>
      <c r="AA250" s="81"/>
      <c r="AB250" s="50"/>
      <c r="AC250" s="51">
        <f t="shared" si="18"/>
        <v>0.63975155279503104</v>
      </c>
      <c r="AD250" s="51">
        <f t="shared" si="19"/>
        <v>1</v>
      </c>
    </row>
    <row r="251" spans="1:30" s="49" customFormat="1" ht="12.5">
      <c r="A251" s="30">
        <v>246</v>
      </c>
      <c r="B251" s="48" t="s">
        <v>608</v>
      </c>
      <c r="C251" s="49" t="s">
        <v>34</v>
      </c>
      <c r="D251" s="48" t="s">
        <v>304</v>
      </c>
      <c r="E251" s="48" t="s">
        <v>305</v>
      </c>
      <c r="F251" s="49" t="s">
        <v>609</v>
      </c>
      <c r="G251" s="49" t="s">
        <v>610</v>
      </c>
      <c r="H251" s="49" t="s">
        <v>611</v>
      </c>
      <c r="I251" s="49" t="s">
        <v>40</v>
      </c>
      <c r="J251" s="49">
        <v>2017</v>
      </c>
      <c r="K251" s="49">
        <v>140</v>
      </c>
      <c r="L251" s="48">
        <v>140</v>
      </c>
      <c r="M251" s="49">
        <v>140</v>
      </c>
      <c r="N251" s="49" t="s">
        <v>41</v>
      </c>
      <c r="O251" s="49" t="s">
        <v>42</v>
      </c>
      <c r="Q251" s="21" t="s">
        <v>43</v>
      </c>
      <c r="S251" s="48"/>
      <c r="T251" s="48"/>
      <c r="U251" s="48"/>
      <c r="V251" s="77">
        <v>-2.150156</v>
      </c>
      <c r="W251" s="48">
        <v>106.10794970000001</v>
      </c>
      <c r="X251" s="50"/>
      <c r="Y251" s="50"/>
      <c r="Z251" s="48"/>
      <c r="AA251" s="81"/>
      <c r="AB251" s="50"/>
      <c r="AC251" s="51">
        <f t="shared" si="18"/>
        <v>1</v>
      </c>
      <c r="AD251" s="51">
        <f t="shared" si="19"/>
        <v>1</v>
      </c>
    </row>
    <row r="252" spans="1:30" s="49" customFormat="1" ht="12.5">
      <c r="A252" s="29">
        <v>247</v>
      </c>
      <c r="B252" s="48" t="s">
        <v>612</v>
      </c>
      <c r="C252" s="49" t="s">
        <v>34</v>
      </c>
      <c r="D252" s="48" t="s">
        <v>304</v>
      </c>
      <c r="E252" s="48" t="s">
        <v>305</v>
      </c>
      <c r="F252" s="49" t="s">
        <v>613</v>
      </c>
      <c r="G252" s="49" t="s">
        <v>610</v>
      </c>
      <c r="H252" s="49" t="s">
        <v>611</v>
      </c>
      <c r="I252" s="49" t="s">
        <v>40</v>
      </c>
      <c r="J252" s="49">
        <v>2017</v>
      </c>
      <c r="K252" s="49">
        <v>15</v>
      </c>
      <c r="L252" s="48">
        <v>15</v>
      </c>
      <c r="M252" s="49">
        <v>6</v>
      </c>
      <c r="N252" s="49" t="s">
        <v>41</v>
      </c>
      <c r="O252" s="49" t="s">
        <v>42</v>
      </c>
      <c r="Q252" s="21" t="s">
        <v>43</v>
      </c>
      <c r="R252" s="21" t="s">
        <v>88</v>
      </c>
      <c r="S252" s="48"/>
      <c r="T252" s="48"/>
      <c r="U252" s="48"/>
      <c r="V252" s="77">
        <v>-2.1502162</v>
      </c>
      <c r="W252" s="48">
        <v>106.1080668</v>
      </c>
      <c r="X252" s="50"/>
      <c r="Y252" s="50"/>
      <c r="Z252" s="48"/>
      <c r="AA252" s="81"/>
      <c r="AB252" s="50"/>
      <c r="AC252" s="51">
        <f t="shared" si="18"/>
        <v>1</v>
      </c>
      <c r="AD252" s="51">
        <f t="shared" si="19"/>
        <v>0.4</v>
      </c>
    </row>
    <row r="253" spans="1:30" s="49" customFormat="1" ht="12.5">
      <c r="A253" s="30">
        <v>248</v>
      </c>
      <c r="B253" s="48" t="s">
        <v>614</v>
      </c>
      <c r="C253" s="49" t="s">
        <v>34</v>
      </c>
      <c r="D253" s="48" t="s">
        <v>304</v>
      </c>
      <c r="E253" s="48" t="s">
        <v>343</v>
      </c>
      <c r="F253" s="49" t="s">
        <v>615</v>
      </c>
      <c r="G253" s="49" t="s">
        <v>610</v>
      </c>
      <c r="H253" s="49" t="s">
        <v>611</v>
      </c>
      <c r="I253" s="49" t="s">
        <v>40</v>
      </c>
      <c r="J253" s="49">
        <v>2018</v>
      </c>
      <c r="K253" s="49">
        <v>20</v>
      </c>
      <c r="L253" s="48">
        <v>20</v>
      </c>
      <c r="M253" s="49">
        <v>4</v>
      </c>
      <c r="N253" s="49" t="s">
        <v>41</v>
      </c>
      <c r="O253" s="49" t="s">
        <v>42</v>
      </c>
      <c r="Q253" s="21" t="s">
        <v>43</v>
      </c>
      <c r="R253" s="21" t="s">
        <v>88</v>
      </c>
      <c r="S253" s="48"/>
      <c r="T253" s="48"/>
      <c r="U253" s="48"/>
      <c r="V253" s="77">
        <v>-2.1475719999999998</v>
      </c>
      <c r="W253" s="48">
        <v>106.12103399999999</v>
      </c>
      <c r="X253" s="50"/>
      <c r="Y253" s="50"/>
      <c r="Z253" s="48"/>
      <c r="AA253" s="81"/>
      <c r="AB253" s="50"/>
      <c r="AC253" s="51">
        <f t="shared" si="18"/>
        <v>1</v>
      </c>
      <c r="AD253" s="51">
        <f t="shared" si="19"/>
        <v>0.2</v>
      </c>
    </row>
    <row r="254" spans="1:30" s="49" customFormat="1" ht="12.5">
      <c r="A254" s="29">
        <v>249</v>
      </c>
      <c r="B254" s="48" t="s">
        <v>616</v>
      </c>
      <c r="C254" s="49" t="s">
        <v>34</v>
      </c>
      <c r="D254" s="48" t="s">
        <v>304</v>
      </c>
      <c r="E254" s="48" t="s">
        <v>305</v>
      </c>
      <c r="F254" s="49" t="s">
        <v>617</v>
      </c>
      <c r="G254" s="49" t="s">
        <v>610</v>
      </c>
      <c r="H254" s="49" t="s">
        <v>611</v>
      </c>
      <c r="I254" s="49" t="s">
        <v>40</v>
      </c>
      <c r="J254" s="49">
        <v>2018</v>
      </c>
      <c r="K254" s="49">
        <v>54</v>
      </c>
      <c r="L254" s="48">
        <v>31</v>
      </c>
      <c r="M254" s="49">
        <v>15</v>
      </c>
      <c r="N254" s="49" t="s">
        <v>41</v>
      </c>
      <c r="O254" s="49" t="s">
        <v>42</v>
      </c>
      <c r="Q254" s="21" t="s">
        <v>43</v>
      </c>
      <c r="R254" s="21" t="s">
        <v>88</v>
      </c>
      <c r="S254" s="48"/>
      <c r="T254" s="48"/>
      <c r="U254" s="48"/>
      <c r="V254" s="77">
        <v>-2.1529470000000002</v>
      </c>
      <c r="W254" s="48">
        <v>106.109098</v>
      </c>
      <c r="X254" s="50"/>
      <c r="Y254" s="50"/>
      <c r="Z254" s="48"/>
      <c r="AA254" s="81"/>
      <c r="AB254" s="50"/>
      <c r="AC254" s="51">
        <f t="shared" si="18"/>
        <v>0.57407407407407407</v>
      </c>
      <c r="AD254" s="51">
        <f t="shared" si="19"/>
        <v>0.4838709677419355</v>
      </c>
    </row>
    <row r="255" spans="1:30" s="49" customFormat="1" ht="12.5">
      <c r="A255" s="30">
        <v>250</v>
      </c>
      <c r="B255" s="48" t="s">
        <v>618</v>
      </c>
      <c r="C255" s="49" t="s">
        <v>34</v>
      </c>
      <c r="D255" s="48" t="s">
        <v>60</v>
      </c>
      <c r="E255" s="48" t="s">
        <v>91</v>
      </c>
      <c r="F255" s="49" t="s">
        <v>619</v>
      </c>
      <c r="G255" s="49" t="s">
        <v>42</v>
      </c>
      <c r="H255" s="49" t="s">
        <v>177</v>
      </c>
      <c r="I255" s="49" t="s">
        <v>65</v>
      </c>
      <c r="J255" s="49">
        <v>2015</v>
      </c>
      <c r="K255" s="49">
        <v>124</v>
      </c>
      <c r="L255" s="48">
        <v>124</v>
      </c>
      <c r="M255" s="49">
        <v>124</v>
      </c>
      <c r="N255" s="49" t="s">
        <v>41</v>
      </c>
      <c r="O255" s="49" t="s">
        <v>42</v>
      </c>
      <c r="Q255" s="21" t="s">
        <v>43</v>
      </c>
      <c r="S255" s="48"/>
      <c r="T255" s="48"/>
      <c r="U255" s="48"/>
      <c r="V255" s="77">
        <v>-2.0908703499999999</v>
      </c>
      <c r="W255" s="48">
        <v>106.10865029999999</v>
      </c>
      <c r="X255" s="50"/>
      <c r="Y255" s="50"/>
      <c r="Z255" s="48"/>
      <c r="AA255" s="81"/>
      <c r="AB255" s="50"/>
      <c r="AC255" s="51">
        <f t="shared" si="18"/>
        <v>1</v>
      </c>
      <c r="AD255" s="51">
        <f t="shared" si="19"/>
        <v>1</v>
      </c>
    </row>
    <row r="256" spans="1:30" s="49" customFormat="1" ht="12.5">
      <c r="A256" s="29">
        <v>251</v>
      </c>
      <c r="B256" s="48" t="s">
        <v>620</v>
      </c>
      <c r="C256" s="49" t="s">
        <v>34</v>
      </c>
      <c r="D256" s="48" t="s">
        <v>35</v>
      </c>
      <c r="E256" s="48" t="s">
        <v>46</v>
      </c>
      <c r="F256" s="49" t="s">
        <v>621</v>
      </c>
      <c r="G256" s="49" t="s">
        <v>622</v>
      </c>
      <c r="H256" s="49" t="s">
        <v>623</v>
      </c>
      <c r="I256" s="49" t="s">
        <v>42</v>
      </c>
      <c r="J256" s="49">
        <v>2017</v>
      </c>
      <c r="K256" s="49">
        <v>42</v>
      </c>
      <c r="L256" s="48">
        <v>37</v>
      </c>
      <c r="M256" s="49">
        <v>37</v>
      </c>
      <c r="N256" s="49" t="s">
        <v>41</v>
      </c>
      <c r="O256" s="49" t="s">
        <v>42</v>
      </c>
      <c r="Q256" s="21" t="s">
        <v>43</v>
      </c>
      <c r="R256" s="21" t="s">
        <v>88</v>
      </c>
      <c r="S256" s="48"/>
      <c r="T256" s="48"/>
      <c r="U256" s="48"/>
      <c r="V256" s="77">
        <v>-2.1266164000000001</v>
      </c>
      <c r="W256" s="48">
        <v>106.08298000000001</v>
      </c>
      <c r="X256" s="50"/>
      <c r="Y256" s="50"/>
      <c r="Z256" s="48"/>
      <c r="AA256" s="81"/>
      <c r="AB256" s="50"/>
      <c r="AC256" s="51">
        <f t="shared" si="18"/>
        <v>0.88095238095238093</v>
      </c>
      <c r="AD256" s="51">
        <f t="shared" si="19"/>
        <v>1</v>
      </c>
    </row>
    <row r="257" spans="1:30" s="49" customFormat="1" ht="12.5">
      <c r="A257" s="30">
        <v>252</v>
      </c>
      <c r="B257" s="48" t="s">
        <v>624</v>
      </c>
      <c r="C257" s="49" t="s">
        <v>34</v>
      </c>
      <c r="D257" s="48" t="s">
        <v>35</v>
      </c>
      <c r="E257" s="48" t="s">
        <v>36</v>
      </c>
      <c r="F257" s="49" t="s">
        <v>54</v>
      </c>
      <c r="G257" s="49" t="s">
        <v>42</v>
      </c>
      <c r="H257" s="49" t="s">
        <v>42</v>
      </c>
      <c r="I257" s="49" t="s">
        <v>42</v>
      </c>
      <c r="J257" s="49">
        <v>2017</v>
      </c>
      <c r="K257" s="49">
        <v>14</v>
      </c>
      <c r="L257" s="48">
        <v>14</v>
      </c>
      <c r="M257" s="49">
        <v>14</v>
      </c>
      <c r="N257" s="49" t="s">
        <v>41</v>
      </c>
      <c r="O257" s="49" t="s">
        <v>42</v>
      </c>
      <c r="Q257" s="21" t="s">
        <v>43</v>
      </c>
      <c r="R257" s="21" t="s">
        <v>88</v>
      </c>
      <c r="S257" s="48"/>
      <c r="T257" s="48"/>
      <c r="U257" s="48"/>
      <c r="V257" s="77">
        <v>-2.0969370000000001</v>
      </c>
      <c r="W257" s="48">
        <v>106.07986</v>
      </c>
      <c r="X257" s="50"/>
      <c r="Y257" s="50"/>
      <c r="Z257" s="48"/>
      <c r="AA257" s="81"/>
      <c r="AB257" s="50"/>
      <c r="AC257" s="51">
        <f t="shared" si="18"/>
        <v>1</v>
      </c>
      <c r="AD257" s="51">
        <f t="shared" si="19"/>
        <v>1</v>
      </c>
    </row>
    <row r="258" spans="1:30" s="49" customFormat="1" ht="12.5">
      <c r="A258" s="29">
        <v>253</v>
      </c>
      <c r="B258" s="48" t="s">
        <v>625</v>
      </c>
      <c r="C258" s="49" t="s">
        <v>34</v>
      </c>
      <c r="D258" s="48" t="s">
        <v>35</v>
      </c>
      <c r="E258" s="48" t="s">
        <v>36</v>
      </c>
      <c r="F258" s="49" t="s">
        <v>626</v>
      </c>
      <c r="G258" s="49" t="s">
        <v>627</v>
      </c>
      <c r="H258" s="49" t="s">
        <v>628</v>
      </c>
      <c r="I258" s="49" t="s">
        <v>40</v>
      </c>
      <c r="J258" s="49">
        <v>2021</v>
      </c>
      <c r="K258" s="49">
        <v>40</v>
      </c>
      <c r="L258" s="48">
        <v>22</v>
      </c>
      <c r="M258" s="49">
        <v>22</v>
      </c>
      <c r="N258" s="49" t="s">
        <v>41</v>
      </c>
      <c r="O258" s="49" t="s">
        <v>42</v>
      </c>
      <c r="Q258" s="21" t="s">
        <v>43</v>
      </c>
      <c r="S258" s="48"/>
      <c r="T258" s="9" t="s">
        <v>44</v>
      </c>
      <c r="U258" s="48"/>
      <c r="V258" s="77">
        <v>-2.09375</v>
      </c>
      <c r="W258" s="48">
        <v>106.07987799999999</v>
      </c>
      <c r="X258" s="50"/>
      <c r="Y258" s="50"/>
      <c r="Z258" s="48"/>
      <c r="AA258" s="81"/>
      <c r="AB258" s="50"/>
      <c r="AC258" s="51">
        <f t="shared" si="18"/>
        <v>0.55000000000000004</v>
      </c>
      <c r="AD258" s="51">
        <f t="shared" si="19"/>
        <v>1</v>
      </c>
    </row>
    <row r="259" spans="1:30" s="49" customFormat="1" ht="12.5">
      <c r="A259" s="30">
        <v>254</v>
      </c>
      <c r="B259" s="48" t="s">
        <v>629</v>
      </c>
      <c r="C259" s="49" t="s">
        <v>34</v>
      </c>
      <c r="D259" s="48" t="s">
        <v>35</v>
      </c>
      <c r="E259" s="48" t="s">
        <v>46</v>
      </c>
      <c r="F259" s="49" t="s">
        <v>51</v>
      </c>
      <c r="G259" s="49" t="s">
        <v>404</v>
      </c>
      <c r="H259" s="49" t="s">
        <v>405</v>
      </c>
      <c r="I259" s="49" t="s">
        <v>196</v>
      </c>
      <c r="J259" s="49">
        <v>2019</v>
      </c>
      <c r="K259" s="49">
        <v>71</v>
      </c>
      <c r="L259" s="48">
        <v>61</v>
      </c>
      <c r="M259" s="49">
        <v>59</v>
      </c>
      <c r="N259" s="49" t="s">
        <v>48</v>
      </c>
      <c r="O259" s="49">
        <v>2025</v>
      </c>
      <c r="Q259" s="21" t="s">
        <v>43</v>
      </c>
      <c r="S259" s="48"/>
      <c r="T259" s="48"/>
      <c r="U259" s="48"/>
      <c r="V259" s="77">
        <v>-2.1240772300000001</v>
      </c>
      <c r="W259" s="48">
        <v>106.0698871</v>
      </c>
      <c r="X259" s="50"/>
      <c r="Y259" s="50"/>
      <c r="Z259" s="48"/>
      <c r="AA259" s="81"/>
      <c r="AB259" s="50"/>
      <c r="AC259" s="51">
        <f t="shared" si="18"/>
        <v>0.85915492957746475</v>
      </c>
      <c r="AD259" s="51">
        <f t="shared" si="19"/>
        <v>0.96721311475409832</v>
      </c>
    </row>
    <row r="260" spans="1:30" s="49" customFormat="1" ht="12.5">
      <c r="A260" s="29">
        <v>255</v>
      </c>
      <c r="B260" s="48" t="s">
        <v>630</v>
      </c>
      <c r="C260" s="49" t="s">
        <v>34</v>
      </c>
      <c r="D260" s="48" t="s">
        <v>60</v>
      </c>
      <c r="E260" s="48" t="s">
        <v>91</v>
      </c>
      <c r="F260" s="49" t="s">
        <v>631</v>
      </c>
      <c r="G260" s="49" t="s">
        <v>63</v>
      </c>
      <c r="H260" s="49" t="s">
        <v>64</v>
      </c>
      <c r="I260" s="49" t="s">
        <v>42</v>
      </c>
      <c r="J260" s="49">
        <v>2018</v>
      </c>
      <c r="K260" s="49">
        <v>74</v>
      </c>
      <c r="L260" s="48">
        <v>74</v>
      </c>
      <c r="M260" s="49">
        <v>74</v>
      </c>
      <c r="N260" s="49" t="s">
        <v>41</v>
      </c>
      <c r="O260" s="49" t="s">
        <v>42</v>
      </c>
      <c r="Q260" s="21" t="s">
        <v>43</v>
      </c>
      <c r="R260" s="21" t="s">
        <v>88</v>
      </c>
      <c r="S260" s="48"/>
      <c r="T260" s="9" t="s">
        <v>44</v>
      </c>
      <c r="U260" s="48"/>
      <c r="V260" s="77">
        <v>-2.0777771</v>
      </c>
      <c r="W260" s="48">
        <v>106.1188729</v>
      </c>
      <c r="X260" s="50"/>
      <c r="Y260" s="50"/>
      <c r="Z260" s="48"/>
      <c r="AA260" s="81"/>
      <c r="AB260" s="50"/>
      <c r="AC260" s="51">
        <f t="shared" si="18"/>
        <v>1</v>
      </c>
      <c r="AD260" s="51">
        <f t="shared" si="19"/>
        <v>1</v>
      </c>
    </row>
    <row r="261" spans="1:30" s="49" customFormat="1" ht="12.5">
      <c r="A261" s="30">
        <v>256</v>
      </c>
      <c r="B261" s="48" t="s">
        <v>632</v>
      </c>
      <c r="C261" s="49" t="s">
        <v>170</v>
      </c>
      <c r="D261" s="48" t="s">
        <v>304</v>
      </c>
      <c r="E261" s="48" t="s">
        <v>305</v>
      </c>
      <c r="F261" s="49" t="s">
        <v>633</v>
      </c>
      <c r="G261" s="49" t="s">
        <v>42</v>
      </c>
      <c r="H261" s="49" t="s">
        <v>634</v>
      </c>
      <c r="I261" s="49" t="s">
        <v>42</v>
      </c>
      <c r="J261" s="49" t="s">
        <v>42</v>
      </c>
      <c r="K261" s="49">
        <v>36</v>
      </c>
      <c r="L261" s="48">
        <v>36</v>
      </c>
      <c r="M261" s="49">
        <v>36</v>
      </c>
      <c r="N261" s="49" t="s">
        <v>41</v>
      </c>
      <c r="O261" s="49" t="s">
        <v>42</v>
      </c>
      <c r="Q261" s="49" t="s">
        <v>72</v>
      </c>
      <c r="S261" s="48"/>
      <c r="T261" s="48"/>
      <c r="U261" s="48"/>
      <c r="V261" s="77">
        <v>-2.1464112000000002</v>
      </c>
      <c r="W261" s="48">
        <v>106.11293240000001</v>
      </c>
      <c r="X261" s="50"/>
      <c r="Y261" s="50"/>
      <c r="Z261" s="48"/>
      <c r="AA261" s="81"/>
      <c r="AB261" s="50"/>
      <c r="AC261" s="51">
        <f t="shared" si="18"/>
        <v>1</v>
      </c>
      <c r="AD261" s="51">
        <f t="shared" si="19"/>
        <v>1</v>
      </c>
    </row>
    <row r="262" spans="1:30" s="49" customFormat="1" ht="12.5">
      <c r="A262" s="29">
        <v>257</v>
      </c>
      <c r="B262" s="48" t="s">
        <v>635</v>
      </c>
      <c r="C262" s="49" t="s">
        <v>34</v>
      </c>
      <c r="D262" s="48" t="s">
        <v>35</v>
      </c>
      <c r="E262" s="48" t="s">
        <v>36</v>
      </c>
      <c r="F262" s="49" t="s">
        <v>104</v>
      </c>
      <c r="G262" s="49" t="s">
        <v>636</v>
      </c>
      <c r="H262" s="49" t="s">
        <v>559</v>
      </c>
      <c r="I262" s="49" t="s">
        <v>166</v>
      </c>
      <c r="J262" s="49">
        <v>2017</v>
      </c>
      <c r="K262" s="49">
        <v>43</v>
      </c>
      <c r="L262" s="48">
        <v>20</v>
      </c>
      <c r="M262" s="49">
        <v>20</v>
      </c>
      <c r="N262" s="49" t="s">
        <v>41</v>
      </c>
      <c r="O262" s="49" t="s">
        <v>42</v>
      </c>
      <c r="Q262" s="21" t="s">
        <v>43</v>
      </c>
      <c r="R262" s="21" t="s">
        <v>247</v>
      </c>
      <c r="S262" s="48"/>
      <c r="T262" s="48"/>
      <c r="U262" s="48"/>
      <c r="V262" s="77">
        <v>-2.1051739999999999</v>
      </c>
      <c r="W262" s="48">
        <v>106.06204700000001</v>
      </c>
      <c r="X262" s="50"/>
      <c r="Y262" s="50"/>
      <c r="Z262" s="48"/>
      <c r="AA262" s="81"/>
      <c r="AB262" s="50"/>
      <c r="AC262" s="51">
        <f t="shared" si="18"/>
        <v>0.46511627906976744</v>
      </c>
      <c r="AD262" s="51">
        <f t="shared" si="19"/>
        <v>1</v>
      </c>
    </row>
    <row r="263" spans="1:30" s="49" customFormat="1" ht="12.5">
      <c r="A263" s="30">
        <v>258</v>
      </c>
      <c r="B263" s="48" t="s">
        <v>637</v>
      </c>
      <c r="C263" s="49" t="s">
        <v>34</v>
      </c>
      <c r="D263" s="48" t="s">
        <v>35</v>
      </c>
      <c r="E263" s="48" t="s">
        <v>36</v>
      </c>
      <c r="F263" s="49" t="s">
        <v>54</v>
      </c>
      <c r="G263" s="49" t="s">
        <v>636</v>
      </c>
      <c r="H263" s="49" t="s">
        <v>559</v>
      </c>
      <c r="I263" s="49" t="s">
        <v>166</v>
      </c>
      <c r="J263" s="49">
        <v>2017</v>
      </c>
      <c r="K263" s="49">
        <v>37</v>
      </c>
      <c r="L263" s="48">
        <v>37</v>
      </c>
      <c r="M263" s="49">
        <v>37</v>
      </c>
      <c r="N263" s="49" t="s">
        <v>41</v>
      </c>
      <c r="O263" s="49" t="s">
        <v>42</v>
      </c>
      <c r="Q263" s="21" t="s">
        <v>43</v>
      </c>
      <c r="S263" s="48"/>
      <c r="T263" s="48"/>
      <c r="U263" s="48"/>
      <c r="V263" s="77">
        <v>-2.098738</v>
      </c>
      <c r="W263" s="48">
        <v>106.080535</v>
      </c>
      <c r="X263" s="50"/>
      <c r="Y263" s="50"/>
      <c r="Z263" s="48"/>
      <c r="AA263" s="81"/>
      <c r="AB263" s="50"/>
      <c r="AC263" s="51">
        <f t="shared" si="18"/>
        <v>1</v>
      </c>
      <c r="AD263" s="51">
        <f t="shared" si="19"/>
        <v>1</v>
      </c>
    </row>
    <row r="264" spans="1:30" s="49" customFormat="1" ht="12.5">
      <c r="A264" s="29">
        <v>259</v>
      </c>
      <c r="B264" s="48" t="s">
        <v>638</v>
      </c>
      <c r="C264" s="49" t="s">
        <v>34</v>
      </c>
      <c r="D264" s="48" t="s">
        <v>60</v>
      </c>
      <c r="E264" s="48" t="s">
        <v>266</v>
      </c>
      <c r="F264" s="49" t="s">
        <v>639</v>
      </c>
      <c r="G264" s="49" t="s">
        <v>636</v>
      </c>
      <c r="H264" s="49" t="s">
        <v>559</v>
      </c>
      <c r="I264" s="49" t="s">
        <v>166</v>
      </c>
      <c r="J264" s="49">
        <v>2017</v>
      </c>
      <c r="K264" s="49">
        <v>20</v>
      </c>
      <c r="L264" s="48">
        <v>12</v>
      </c>
      <c r="M264" s="49">
        <v>12</v>
      </c>
      <c r="N264" s="49" t="s">
        <v>41</v>
      </c>
      <c r="O264" s="49" t="s">
        <v>42</v>
      </c>
      <c r="Q264" s="21" t="s">
        <v>43</v>
      </c>
      <c r="S264" s="48"/>
      <c r="T264" s="48"/>
      <c r="U264" s="48"/>
      <c r="V264" s="77">
        <v>-2.0909575</v>
      </c>
      <c r="W264" s="48">
        <v>106.120243</v>
      </c>
      <c r="X264" s="50"/>
      <c r="Y264" s="50"/>
      <c r="Z264" s="48"/>
      <c r="AA264" s="81"/>
      <c r="AB264" s="50"/>
      <c r="AC264" s="51">
        <f t="shared" si="18"/>
        <v>0.6</v>
      </c>
      <c r="AD264" s="51">
        <f t="shared" si="19"/>
        <v>1</v>
      </c>
    </row>
    <row r="265" spans="1:30" s="49" customFormat="1" ht="12.5">
      <c r="A265" s="30">
        <v>260</v>
      </c>
      <c r="B265" s="48" t="s">
        <v>640</v>
      </c>
      <c r="C265" s="49" t="s">
        <v>34</v>
      </c>
      <c r="D265" s="48" t="s">
        <v>60</v>
      </c>
      <c r="E265" s="48" t="s">
        <v>91</v>
      </c>
      <c r="F265" s="49" t="s">
        <v>209</v>
      </c>
      <c r="G265" s="49" t="s">
        <v>42</v>
      </c>
      <c r="H265" s="49" t="s">
        <v>42</v>
      </c>
      <c r="I265" s="49" t="s">
        <v>42</v>
      </c>
      <c r="J265" s="49">
        <v>2008</v>
      </c>
      <c r="K265" s="49">
        <v>102</v>
      </c>
      <c r="L265" s="48">
        <v>102</v>
      </c>
      <c r="M265" s="49">
        <v>102</v>
      </c>
      <c r="N265" s="49" t="s">
        <v>41</v>
      </c>
      <c r="O265" s="49" t="s">
        <v>42</v>
      </c>
      <c r="Q265" s="21" t="s">
        <v>43</v>
      </c>
      <c r="S265" s="48" t="s">
        <v>178</v>
      </c>
      <c r="T265" s="48"/>
      <c r="U265" s="48"/>
      <c r="V265" s="77">
        <v>-2.076136</v>
      </c>
      <c r="W265" s="48">
        <v>106.1255896</v>
      </c>
      <c r="X265" s="50"/>
      <c r="Y265" s="50"/>
      <c r="Z265" s="48"/>
      <c r="AA265" s="81"/>
      <c r="AB265" s="50"/>
      <c r="AC265" s="51">
        <f t="shared" si="18"/>
        <v>1</v>
      </c>
      <c r="AD265" s="51">
        <f t="shared" si="19"/>
        <v>1</v>
      </c>
    </row>
    <row r="266" spans="1:30" s="49" customFormat="1" ht="12.5">
      <c r="A266" s="29">
        <v>261</v>
      </c>
      <c r="B266" s="48" t="s">
        <v>641</v>
      </c>
      <c r="C266" s="49" t="s">
        <v>34</v>
      </c>
      <c r="D266" s="48" t="s">
        <v>81</v>
      </c>
      <c r="E266" s="48" t="s">
        <v>202</v>
      </c>
      <c r="F266" s="49" t="s">
        <v>642</v>
      </c>
      <c r="G266" s="49" t="s">
        <v>643</v>
      </c>
      <c r="H266" s="49" t="s">
        <v>644</v>
      </c>
      <c r="I266" s="49" t="s">
        <v>42</v>
      </c>
      <c r="J266" s="49">
        <v>2025</v>
      </c>
      <c r="K266" s="49">
        <v>47</v>
      </c>
      <c r="L266" s="48">
        <v>5</v>
      </c>
      <c r="M266" s="49">
        <v>0</v>
      </c>
      <c r="N266" s="49" t="s">
        <v>41</v>
      </c>
      <c r="O266" s="49" t="s">
        <v>42</v>
      </c>
      <c r="Q266" s="21" t="s">
        <v>43</v>
      </c>
      <c r="R266" s="49" t="s">
        <v>88</v>
      </c>
      <c r="S266" s="48"/>
      <c r="T266" s="48"/>
      <c r="U266" s="48"/>
      <c r="V266" s="77"/>
      <c r="W266" s="48"/>
      <c r="X266" s="50"/>
      <c r="Y266" s="50"/>
      <c r="Z266" s="48"/>
      <c r="AA266" s="81"/>
      <c r="AB266" s="50"/>
      <c r="AC266" s="51">
        <f t="shared" si="18"/>
        <v>0.10638297872340426</v>
      </c>
      <c r="AD266" s="51">
        <f t="shared" si="19"/>
        <v>0</v>
      </c>
    </row>
    <row r="267" spans="1:30" s="49" customFormat="1" ht="12.5">
      <c r="A267" s="30">
        <v>262</v>
      </c>
      <c r="B267" s="48" t="s">
        <v>645</v>
      </c>
      <c r="C267" s="49" t="s">
        <v>34</v>
      </c>
      <c r="D267" s="48" t="s">
        <v>99</v>
      </c>
      <c r="E267" s="48" t="s">
        <v>213</v>
      </c>
      <c r="F267" s="49" t="s">
        <v>646</v>
      </c>
      <c r="G267" s="49" t="s">
        <v>42</v>
      </c>
      <c r="H267" s="49" t="s">
        <v>42</v>
      </c>
      <c r="I267" s="49" t="s">
        <v>112</v>
      </c>
      <c r="J267" s="49">
        <v>2016</v>
      </c>
      <c r="K267" s="49">
        <v>23</v>
      </c>
      <c r="L267" s="48">
        <v>23</v>
      </c>
      <c r="M267" s="49">
        <v>23</v>
      </c>
      <c r="N267" s="49" t="s">
        <v>41</v>
      </c>
      <c r="O267" s="49" t="s">
        <v>42</v>
      </c>
      <c r="Q267" s="21" t="s">
        <v>43</v>
      </c>
      <c r="S267" s="48"/>
      <c r="T267" s="48"/>
      <c r="U267" s="48"/>
      <c r="V267" s="77">
        <v>-2.0918006</v>
      </c>
      <c r="W267" s="48">
        <v>106.12090499999999</v>
      </c>
      <c r="X267" s="50"/>
      <c r="Y267" s="50"/>
      <c r="Z267" s="48"/>
      <c r="AA267" s="81"/>
      <c r="AB267" s="50"/>
      <c r="AC267" s="51">
        <f t="shared" si="18"/>
        <v>1</v>
      </c>
      <c r="AD267" s="51">
        <f t="shared" si="19"/>
        <v>1</v>
      </c>
    </row>
    <row r="268" spans="1:30" s="49" customFormat="1" ht="12.5">
      <c r="A268" s="29">
        <v>263</v>
      </c>
      <c r="B268" s="48" t="s">
        <v>647</v>
      </c>
      <c r="C268" s="49" t="s">
        <v>34</v>
      </c>
      <c r="D268" s="48" t="s">
        <v>99</v>
      </c>
      <c r="E268" s="48" t="s">
        <v>213</v>
      </c>
      <c r="F268" s="49" t="s">
        <v>646</v>
      </c>
      <c r="G268" s="49" t="s">
        <v>648</v>
      </c>
      <c r="H268" s="49" t="s">
        <v>649</v>
      </c>
      <c r="I268" s="49" t="s">
        <v>112</v>
      </c>
      <c r="J268" s="49">
        <v>2017</v>
      </c>
      <c r="K268" s="49">
        <v>135</v>
      </c>
      <c r="L268" s="48">
        <v>135</v>
      </c>
      <c r="M268" s="49">
        <v>135</v>
      </c>
      <c r="N268" s="49" t="s">
        <v>41</v>
      </c>
      <c r="O268" s="49" t="s">
        <v>42</v>
      </c>
      <c r="Q268" s="21" t="s">
        <v>43</v>
      </c>
      <c r="S268" s="48"/>
      <c r="T268" s="48"/>
      <c r="U268" s="48"/>
      <c r="V268" s="77">
        <v>-2.0912660000000001</v>
      </c>
      <c r="W268" s="48">
        <v>106.120482</v>
      </c>
      <c r="X268" s="50"/>
      <c r="Y268" s="50"/>
      <c r="Z268" s="48"/>
      <c r="AA268" s="81"/>
      <c r="AB268" s="50"/>
      <c r="AC268" s="51">
        <f t="shared" si="18"/>
        <v>1</v>
      </c>
      <c r="AD268" s="51">
        <f t="shared" si="19"/>
        <v>1</v>
      </c>
    </row>
    <row r="269" spans="1:30" s="49" customFormat="1" ht="12.5">
      <c r="A269" s="30">
        <v>264</v>
      </c>
      <c r="B269" s="48" t="s">
        <v>650</v>
      </c>
      <c r="C269" s="49" t="s">
        <v>34</v>
      </c>
      <c r="D269" s="48" t="s">
        <v>81</v>
      </c>
      <c r="E269" s="48" t="s">
        <v>122</v>
      </c>
      <c r="F269" s="49" t="s">
        <v>163</v>
      </c>
      <c r="G269" s="49" t="s">
        <v>651</v>
      </c>
      <c r="H269" s="49" t="s">
        <v>652</v>
      </c>
      <c r="I269" s="49" t="s">
        <v>112</v>
      </c>
      <c r="J269" s="49">
        <v>2018</v>
      </c>
      <c r="K269" s="49">
        <v>87</v>
      </c>
      <c r="L269" s="48">
        <v>87</v>
      </c>
      <c r="M269" s="49">
        <v>87</v>
      </c>
      <c r="N269" s="49" t="s">
        <v>41</v>
      </c>
      <c r="O269" s="49" t="s">
        <v>42</v>
      </c>
      <c r="Q269" s="21" t="s">
        <v>43</v>
      </c>
      <c r="S269" s="48"/>
      <c r="T269" s="48"/>
      <c r="U269" s="48"/>
      <c r="V269" s="77">
        <v>-2.1379876000000002</v>
      </c>
      <c r="W269" s="48">
        <v>106.168387</v>
      </c>
      <c r="X269" s="50"/>
      <c r="Y269" s="50"/>
      <c r="Z269" s="48"/>
      <c r="AA269" s="81"/>
      <c r="AB269" s="50"/>
      <c r="AC269" s="51">
        <f t="shared" si="18"/>
        <v>1</v>
      </c>
      <c r="AD269" s="51">
        <f t="shared" si="19"/>
        <v>1</v>
      </c>
    </row>
    <row r="270" spans="1:30" s="49" customFormat="1" ht="12.5">
      <c r="A270" s="29">
        <v>265</v>
      </c>
      <c r="B270" s="48" t="s">
        <v>653</v>
      </c>
      <c r="C270" s="49" t="s">
        <v>34</v>
      </c>
      <c r="D270" s="48" t="s">
        <v>81</v>
      </c>
      <c r="E270" s="48" t="s">
        <v>122</v>
      </c>
      <c r="F270" s="49" t="s">
        <v>378</v>
      </c>
      <c r="G270" s="49" t="s">
        <v>654</v>
      </c>
      <c r="H270" s="49" t="s">
        <v>652</v>
      </c>
      <c r="I270" s="49" t="s">
        <v>112</v>
      </c>
      <c r="J270" s="49">
        <v>2020</v>
      </c>
      <c r="K270" s="49">
        <v>90</v>
      </c>
      <c r="L270" s="48">
        <v>88</v>
      </c>
      <c r="M270" s="49">
        <v>87</v>
      </c>
      <c r="N270" s="49" t="s">
        <v>41</v>
      </c>
      <c r="O270" s="49" t="s">
        <v>42</v>
      </c>
      <c r="Q270" s="21" t="s">
        <v>43</v>
      </c>
      <c r="S270" s="48"/>
      <c r="T270" s="48"/>
      <c r="U270" s="48"/>
      <c r="V270" s="77">
        <v>-2.1226579000000001</v>
      </c>
      <c r="W270" s="48">
        <v>106.1613675</v>
      </c>
      <c r="X270" s="50"/>
      <c r="Y270" s="50"/>
      <c r="Z270" s="48"/>
      <c r="AA270" s="81"/>
      <c r="AB270" s="50"/>
      <c r="AC270" s="51">
        <f t="shared" si="18"/>
        <v>0.97777777777777775</v>
      </c>
      <c r="AD270" s="51">
        <f t="shared" si="19"/>
        <v>0.98863636363636365</v>
      </c>
    </row>
    <row r="271" spans="1:30" s="49" customFormat="1" ht="12.5">
      <c r="A271" s="30">
        <v>266</v>
      </c>
      <c r="B271" s="48" t="s">
        <v>655</v>
      </c>
      <c r="C271" s="49" t="s">
        <v>34</v>
      </c>
      <c r="D271" s="48" t="s">
        <v>81</v>
      </c>
      <c r="E271" s="48" t="s">
        <v>122</v>
      </c>
      <c r="F271" s="49" t="s">
        <v>163</v>
      </c>
      <c r="G271" s="49" t="s">
        <v>654</v>
      </c>
      <c r="H271" s="49" t="s">
        <v>652</v>
      </c>
      <c r="I271" s="49" t="s">
        <v>112</v>
      </c>
      <c r="J271" s="49">
        <v>2020</v>
      </c>
      <c r="K271" s="49">
        <v>103</v>
      </c>
      <c r="L271" s="48">
        <v>101</v>
      </c>
      <c r="M271" s="49">
        <v>99</v>
      </c>
      <c r="N271" s="49" t="s">
        <v>41</v>
      </c>
      <c r="O271" s="49" t="s">
        <v>42</v>
      </c>
      <c r="Q271" s="21" t="s">
        <v>43</v>
      </c>
      <c r="S271" s="48"/>
      <c r="T271" s="48"/>
      <c r="U271" s="48"/>
      <c r="V271" s="77">
        <v>-2.1379977000000001</v>
      </c>
      <c r="W271" s="48">
        <v>106.17180449999999</v>
      </c>
      <c r="X271" s="50"/>
      <c r="Y271" s="50"/>
      <c r="Z271" s="48"/>
      <c r="AA271" s="81"/>
      <c r="AB271" s="50"/>
      <c r="AC271" s="51">
        <f t="shared" si="18"/>
        <v>0.98058252427184467</v>
      </c>
      <c r="AD271" s="51">
        <f t="shared" si="19"/>
        <v>0.98019801980198018</v>
      </c>
    </row>
    <row r="272" spans="1:30" s="49" customFormat="1" ht="12.5">
      <c r="A272" s="29">
        <v>267</v>
      </c>
      <c r="B272" s="48" t="s">
        <v>656</v>
      </c>
      <c r="C272" s="49" t="s">
        <v>34</v>
      </c>
      <c r="D272" s="48" t="s">
        <v>35</v>
      </c>
      <c r="E272" s="48" t="s">
        <v>36</v>
      </c>
      <c r="F272" s="49" t="s">
        <v>104</v>
      </c>
      <c r="G272" s="49" t="s">
        <v>654</v>
      </c>
      <c r="H272" s="49" t="s">
        <v>657</v>
      </c>
      <c r="I272" s="49" t="s">
        <v>112</v>
      </c>
      <c r="J272" s="49">
        <v>2023</v>
      </c>
      <c r="K272" s="49">
        <v>49</v>
      </c>
      <c r="L272" s="48">
        <v>49</v>
      </c>
      <c r="M272" s="49">
        <v>49</v>
      </c>
      <c r="N272" s="49" t="s">
        <v>41</v>
      </c>
      <c r="O272" s="49" t="s">
        <v>42</v>
      </c>
      <c r="Q272" s="21" t="s">
        <v>43</v>
      </c>
      <c r="S272" s="48"/>
      <c r="T272" s="48"/>
      <c r="U272" s="48"/>
      <c r="V272" s="77">
        <v>-2.1036215</v>
      </c>
      <c r="W272" s="48">
        <v>106.0576501</v>
      </c>
      <c r="X272" s="50"/>
      <c r="Y272" s="50"/>
      <c r="Z272" s="48"/>
      <c r="AA272" s="81"/>
      <c r="AB272" s="50"/>
      <c r="AC272" s="51">
        <f t="shared" si="18"/>
        <v>1</v>
      </c>
      <c r="AD272" s="51">
        <f t="shared" si="19"/>
        <v>1</v>
      </c>
    </row>
    <row r="273" spans="1:30" s="49" customFormat="1" ht="12.5">
      <c r="A273" s="30">
        <v>268</v>
      </c>
      <c r="B273" s="48" t="s">
        <v>658</v>
      </c>
      <c r="C273" s="49" t="s">
        <v>34</v>
      </c>
      <c r="D273" s="48" t="s">
        <v>99</v>
      </c>
      <c r="E273" s="48" t="s">
        <v>213</v>
      </c>
      <c r="F273" s="49" t="s">
        <v>646</v>
      </c>
      <c r="G273" s="49" t="s">
        <v>654</v>
      </c>
      <c r="H273" s="49" t="s">
        <v>659</v>
      </c>
      <c r="I273" s="49" t="s">
        <v>112</v>
      </c>
      <c r="J273" s="49">
        <v>2023</v>
      </c>
      <c r="K273" s="49">
        <v>72</v>
      </c>
      <c r="L273" s="48">
        <v>72</v>
      </c>
      <c r="M273" s="49">
        <v>72</v>
      </c>
      <c r="N273" s="49" t="s">
        <v>41</v>
      </c>
      <c r="O273" s="49" t="s">
        <v>42</v>
      </c>
      <c r="Q273" s="21" t="s">
        <v>43</v>
      </c>
      <c r="S273" s="48"/>
      <c r="T273" s="48"/>
      <c r="U273" s="48"/>
      <c r="V273" s="77">
        <v>-2.092371</v>
      </c>
      <c r="W273" s="48">
        <v>106.12151299999999</v>
      </c>
      <c r="X273" s="50"/>
      <c r="Y273" s="50"/>
      <c r="Z273" s="48"/>
      <c r="AA273" s="81"/>
      <c r="AB273" s="50"/>
      <c r="AC273" s="51">
        <f t="shared" si="18"/>
        <v>1</v>
      </c>
      <c r="AD273" s="51">
        <f t="shared" si="19"/>
        <v>1</v>
      </c>
    </row>
    <row r="274" spans="1:30" s="49" customFormat="1" ht="12.5">
      <c r="A274" s="29">
        <v>269</v>
      </c>
      <c r="B274" s="48" t="s">
        <v>660</v>
      </c>
      <c r="C274" s="49" t="s">
        <v>34</v>
      </c>
      <c r="D274" s="48" t="s">
        <v>99</v>
      </c>
      <c r="E274" s="48" t="s">
        <v>213</v>
      </c>
      <c r="F274" s="49" t="s">
        <v>646</v>
      </c>
      <c r="G274" s="49" t="s">
        <v>654</v>
      </c>
      <c r="H274" s="49" t="s">
        <v>659</v>
      </c>
      <c r="I274" s="49" t="s">
        <v>112</v>
      </c>
      <c r="J274" s="49">
        <v>2023</v>
      </c>
      <c r="K274" s="49">
        <v>124</v>
      </c>
      <c r="L274" s="48">
        <v>124</v>
      </c>
      <c r="M274" s="49">
        <v>124</v>
      </c>
      <c r="N274" s="49" t="s">
        <v>41</v>
      </c>
      <c r="O274" s="49" t="s">
        <v>42</v>
      </c>
      <c r="Q274" s="21" t="s">
        <v>43</v>
      </c>
      <c r="S274" s="48"/>
      <c r="T274" s="48"/>
      <c r="U274" s="48"/>
      <c r="V274" s="77">
        <v>-2.0902560000000001</v>
      </c>
      <c r="W274" s="48">
        <v>106.12343199999999</v>
      </c>
      <c r="X274" s="50"/>
      <c r="Y274" s="50"/>
      <c r="Z274" s="48"/>
      <c r="AA274" s="81"/>
      <c r="AB274" s="50"/>
      <c r="AC274" s="51">
        <f t="shared" si="18"/>
        <v>1</v>
      </c>
      <c r="AD274" s="51">
        <f t="shared" si="19"/>
        <v>1</v>
      </c>
    </row>
    <row r="275" spans="1:30" s="49" customFormat="1" ht="12.5">
      <c r="A275" s="30">
        <v>270</v>
      </c>
      <c r="B275" s="48" t="s">
        <v>661</v>
      </c>
      <c r="C275" s="49" t="s">
        <v>34</v>
      </c>
      <c r="D275" s="48" t="s">
        <v>81</v>
      </c>
      <c r="E275" s="48" t="s">
        <v>95</v>
      </c>
      <c r="F275" s="49" t="s">
        <v>581</v>
      </c>
      <c r="G275" s="49" t="s">
        <v>654</v>
      </c>
      <c r="H275" s="49" t="s">
        <v>659</v>
      </c>
      <c r="I275" s="49" t="s">
        <v>112</v>
      </c>
      <c r="J275" s="49">
        <v>2023</v>
      </c>
      <c r="K275" s="49">
        <v>114</v>
      </c>
      <c r="L275" s="48">
        <v>107</v>
      </c>
      <c r="M275" s="49">
        <v>99</v>
      </c>
      <c r="N275" s="49" t="s">
        <v>41</v>
      </c>
      <c r="O275" s="49" t="s">
        <v>42</v>
      </c>
      <c r="Q275" s="21" t="s">
        <v>43</v>
      </c>
      <c r="S275" s="48"/>
      <c r="T275" s="48"/>
      <c r="U275" s="48"/>
      <c r="V275" s="77">
        <v>-2.1461264999999998</v>
      </c>
      <c r="W275" s="48">
        <v>106.16679739999999</v>
      </c>
      <c r="X275" s="50"/>
      <c r="Y275" s="50"/>
      <c r="Z275" s="48"/>
      <c r="AA275" s="81"/>
      <c r="AB275" s="50"/>
      <c r="AC275" s="51">
        <f t="shared" si="18"/>
        <v>0.93859649122807021</v>
      </c>
      <c r="AD275" s="51">
        <f t="shared" si="19"/>
        <v>0.92523364485981308</v>
      </c>
    </row>
    <row r="276" spans="1:30" s="49" customFormat="1" ht="12.5">
      <c r="A276" s="29">
        <v>271</v>
      </c>
      <c r="B276" s="48" t="s">
        <v>662</v>
      </c>
      <c r="C276" s="49" t="s">
        <v>34</v>
      </c>
      <c r="D276" s="48" t="s">
        <v>35</v>
      </c>
      <c r="E276" s="48" t="s">
        <v>36</v>
      </c>
      <c r="F276" s="49" t="s">
        <v>104</v>
      </c>
      <c r="G276" s="49" t="s">
        <v>654</v>
      </c>
      <c r="H276" s="49" t="s">
        <v>42</v>
      </c>
      <c r="I276" s="49" t="s">
        <v>42</v>
      </c>
      <c r="J276" s="49">
        <v>2024</v>
      </c>
      <c r="K276" s="49">
        <v>128</v>
      </c>
      <c r="L276" s="48">
        <v>46</v>
      </c>
      <c r="M276" s="49">
        <v>10</v>
      </c>
      <c r="N276" s="49" t="s">
        <v>41</v>
      </c>
      <c r="O276" s="49" t="s">
        <v>42</v>
      </c>
      <c r="Q276" s="21" t="s">
        <v>43</v>
      </c>
      <c r="S276" s="48"/>
      <c r="T276" s="48"/>
      <c r="U276" s="48"/>
      <c r="V276" s="77">
        <v>-2.1040605000000001</v>
      </c>
      <c r="W276" s="48">
        <v>106.05412440000001</v>
      </c>
      <c r="X276" s="50"/>
      <c r="Y276" s="50"/>
      <c r="Z276" s="48"/>
      <c r="AA276" s="81"/>
      <c r="AB276" s="50"/>
      <c r="AC276" s="51">
        <f t="shared" si="18"/>
        <v>0.359375</v>
      </c>
      <c r="AD276" s="51">
        <f t="shared" si="19"/>
        <v>0.21739130434782608</v>
      </c>
    </row>
    <row r="277" spans="1:30" s="49" customFormat="1" ht="12.5">
      <c r="A277" s="30">
        <v>272</v>
      </c>
      <c r="B277" s="48" t="s">
        <v>663</v>
      </c>
      <c r="C277" s="49" t="s">
        <v>34</v>
      </c>
      <c r="D277" s="48" t="s">
        <v>35</v>
      </c>
      <c r="E277" s="48" t="s">
        <v>36</v>
      </c>
      <c r="F277" s="49" t="s">
        <v>664</v>
      </c>
      <c r="G277" s="49" t="s">
        <v>665</v>
      </c>
      <c r="H277" s="49" t="s">
        <v>666</v>
      </c>
      <c r="I277" s="49" t="s">
        <v>42</v>
      </c>
      <c r="J277" s="49">
        <v>2017</v>
      </c>
      <c r="K277" s="49">
        <v>75</v>
      </c>
      <c r="L277" s="48">
        <v>75</v>
      </c>
      <c r="M277" s="49">
        <v>75</v>
      </c>
      <c r="N277" s="49" t="s">
        <v>41</v>
      </c>
      <c r="O277" s="49" t="s">
        <v>42</v>
      </c>
      <c r="Q277" s="21" t="s">
        <v>43</v>
      </c>
      <c r="S277" s="48"/>
      <c r="T277" s="48"/>
      <c r="U277" s="48"/>
      <c r="V277" s="77">
        <v>-2.0974035999999998</v>
      </c>
      <c r="W277" s="48">
        <v>106.08062150000001</v>
      </c>
      <c r="X277" s="50"/>
      <c r="Y277" s="50"/>
      <c r="Z277" s="48"/>
      <c r="AA277" s="81"/>
      <c r="AB277" s="50"/>
      <c r="AC277" s="51">
        <f t="shared" ref="AC277:AC308" si="20">IF(A277="","",IFERROR(L277/K277,0))</f>
        <v>1</v>
      </c>
      <c r="AD277" s="51">
        <f t="shared" ref="AD277:AD308" si="21">IF(A277="","",IFERROR(M277/L277,0))</f>
        <v>1</v>
      </c>
    </row>
    <row r="278" spans="1:30" s="49" customFormat="1" ht="12.5">
      <c r="A278" s="29">
        <v>273</v>
      </c>
      <c r="B278" s="48" t="s">
        <v>667</v>
      </c>
      <c r="C278" s="49" t="s">
        <v>34</v>
      </c>
      <c r="D278" s="48" t="s">
        <v>35</v>
      </c>
      <c r="E278" s="48" t="s">
        <v>36</v>
      </c>
      <c r="F278" s="49" t="s">
        <v>664</v>
      </c>
      <c r="G278" s="49" t="s">
        <v>665</v>
      </c>
      <c r="H278" s="49" t="s">
        <v>666</v>
      </c>
      <c r="I278" s="49" t="s">
        <v>42</v>
      </c>
      <c r="J278" s="49">
        <v>2018</v>
      </c>
      <c r="K278" s="49">
        <v>17</v>
      </c>
      <c r="L278" s="48">
        <v>17</v>
      </c>
      <c r="M278" s="49">
        <v>17</v>
      </c>
      <c r="N278" s="49" t="s">
        <v>41</v>
      </c>
      <c r="O278" s="49" t="s">
        <v>42</v>
      </c>
      <c r="Q278" s="21" t="s">
        <v>43</v>
      </c>
      <c r="S278" s="48"/>
      <c r="T278" s="48"/>
      <c r="U278" s="48"/>
      <c r="V278" s="77">
        <v>-2.0972580000000001</v>
      </c>
      <c r="W278" s="48">
        <v>106.08021100000001</v>
      </c>
      <c r="X278" s="50"/>
      <c r="Y278" s="50"/>
      <c r="Z278" s="48"/>
      <c r="AA278" s="81"/>
      <c r="AB278" s="50"/>
      <c r="AC278" s="51">
        <f t="shared" si="20"/>
        <v>1</v>
      </c>
      <c r="AD278" s="51">
        <f t="shared" si="21"/>
        <v>1</v>
      </c>
    </row>
    <row r="279" spans="1:30" s="49" customFormat="1" ht="12.5">
      <c r="A279" s="30">
        <v>274</v>
      </c>
      <c r="B279" s="48" t="s">
        <v>668</v>
      </c>
      <c r="C279" s="49" t="s">
        <v>34</v>
      </c>
      <c r="D279" s="48" t="s">
        <v>81</v>
      </c>
      <c r="E279" s="48" t="s">
        <v>202</v>
      </c>
      <c r="F279" s="49" t="s">
        <v>419</v>
      </c>
      <c r="G279" s="49" t="s">
        <v>669</v>
      </c>
      <c r="H279" s="49" t="s">
        <v>670</v>
      </c>
      <c r="I279" s="49" t="s">
        <v>86</v>
      </c>
      <c r="J279" s="49">
        <v>2021</v>
      </c>
      <c r="K279" s="49">
        <v>176</v>
      </c>
      <c r="L279" s="48">
        <v>160</v>
      </c>
      <c r="M279" s="49">
        <v>159</v>
      </c>
      <c r="N279" s="49" t="s">
        <v>41</v>
      </c>
      <c r="O279" s="49" t="s">
        <v>42</v>
      </c>
      <c r="Q279" s="21" t="s">
        <v>43</v>
      </c>
      <c r="S279" s="48"/>
      <c r="T279" s="48"/>
      <c r="U279" s="48"/>
      <c r="V279" s="77">
        <v>-2.135602</v>
      </c>
      <c r="W279" s="48">
        <v>106.15954600000001</v>
      </c>
      <c r="X279" s="50"/>
      <c r="Y279" s="50"/>
      <c r="Z279" s="48"/>
      <c r="AA279" s="81"/>
      <c r="AB279" s="50"/>
      <c r="AC279" s="51">
        <f t="shared" si="20"/>
        <v>0.90909090909090906</v>
      </c>
      <c r="AD279" s="51">
        <f t="shared" si="21"/>
        <v>0.99375000000000002</v>
      </c>
    </row>
    <row r="280" spans="1:30" s="49" customFormat="1" ht="12.5">
      <c r="A280" s="29">
        <v>275</v>
      </c>
      <c r="B280" s="48" t="s">
        <v>671</v>
      </c>
      <c r="C280" s="49" t="s">
        <v>170</v>
      </c>
      <c r="D280" s="48" t="s">
        <v>99</v>
      </c>
      <c r="E280" s="48" t="s">
        <v>213</v>
      </c>
      <c r="F280" s="49" t="s">
        <v>639</v>
      </c>
      <c r="G280" s="49" t="s">
        <v>42</v>
      </c>
      <c r="H280" s="49" t="s">
        <v>672</v>
      </c>
      <c r="I280" s="49" t="s">
        <v>42</v>
      </c>
      <c r="J280" s="49">
        <v>2009</v>
      </c>
      <c r="K280" s="49">
        <v>28</v>
      </c>
      <c r="L280" s="48">
        <v>28</v>
      </c>
      <c r="M280" s="49">
        <v>28</v>
      </c>
      <c r="N280" s="49" t="s">
        <v>41</v>
      </c>
      <c r="O280" s="49" t="s">
        <v>42</v>
      </c>
      <c r="Q280" s="21" t="s">
        <v>43</v>
      </c>
      <c r="S280" s="48"/>
      <c r="T280" s="48"/>
      <c r="U280" s="48"/>
      <c r="V280" s="77">
        <v>-2.0898496</v>
      </c>
      <c r="W280" s="48">
        <v>106.119711</v>
      </c>
      <c r="X280" s="50"/>
      <c r="Y280" s="50"/>
      <c r="Z280" s="48"/>
      <c r="AA280" s="81"/>
      <c r="AB280" s="50"/>
      <c r="AC280" s="51">
        <f t="shared" si="20"/>
        <v>1</v>
      </c>
      <c r="AD280" s="51">
        <f t="shared" si="21"/>
        <v>1</v>
      </c>
    </row>
    <row r="281" spans="1:30" s="49" customFormat="1" ht="12.5">
      <c r="A281" s="30">
        <v>276</v>
      </c>
      <c r="B281" s="48" t="s">
        <v>673</v>
      </c>
      <c r="C281" s="49" t="s">
        <v>34</v>
      </c>
      <c r="D281" s="48" t="s">
        <v>35</v>
      </c>
      <c r="E281" s="48" t="s">
        <v>46</v>
      </c>
      <c r="F281" s="49" t="s">
        <v>524</v>
      </c>
      <c r="G281" s="49" t="s">
        <v>674</v>
      </c>
      <c r="H281" s="49" t="s">
        <v>675</v>
      </c>
      <c r="I281" s="49" t="s">
        <v>42</v>
      </c>
      <c r="J281" s="49">
        <v>2017</v>
      </c>
      <c r="K281" s="49">
        <v>52</v>
      </c>
      <c r="L281" s="48">
        <v>12</v>
      </c>
      <c r="M281" s="49">
        <v>12</v>
      </c>
      <c r="N281" s="49" t="s">
        <v>41</v>
      </c>
      <c r="O281" s="49" t="s">
        <v>42</v>
      </c>
      <c r="Q281" s="21" t="s">
        <v>43</v>
      </c>
      <c r="R281" s="49" t="s">
        <v>88</v>
      </c>
      <c r="S281" s="48"/>
      <c r="T281" s="48"/>
      <c r="U281" s="48"/>
      <c r="V281" s="77">
        <v>-2.1179367</v>
      </c>
      <c r="W281" s="48">
        <v>106.0683732</v>
      </c>
      <c r="X281" s="50"/>
      <c r="Y281" s="50"/>
      <c r="Z281" s="48"/>
      <c r="AA281" s="81"/>
      <c r="AB281" s="50"/>
      <c r="AC281" s="51">
        <f t="shared" si="20"/>
        <v>0.23076923076923078</v>
      </c>
      <c r="AD281" s="51">
        <f t="shared" si="21"/>
        <v>1</v>
      </c>
    </row>
    <row r="282" spans="1:30" s="49" customFormat="1" ht="12.5">
      <c r="A282" s="29">
        <v>277</v>
      </c>
      <c r="B282" s="48" t="s">
        <v>676</v>
      </c>
      <c r="C282" s="49" t="s">
        <v>170</v>
      </c>
      <c r="D282" s="48" t="s">
        <v>60</v>
      </c>
      <c r="E282" s="48" t="s">
        <v>91</v>
      </c>
      <c r="F282" s="49" t="s">
        <v>463</v>
      </c>
      <c r="G282" s="49" t="s">
        <v>464</v>
      </c>
      <c r="H282" s="49" t="s">
        <v>472</v>
      </c>
      <c r="I282" s="49" t="s">
        <v>40</v>
      </c>
      <c r="J282" s="49" t="s">
        <v>436</v>
      </c>
      <c r="K282" s="49">
        <v>46</v>
      </c>
      <c r="L282" s="48">
        <v>46</v>
      </c>
      <c r="M282" s="49">
        <v>35</v>
      </c>
      <c r="N282" s="49" t="s">
        <v>41</v>
      </c>
      <c r="O282" s="49" t="s">
        <v>42</v>
      </c>
      <c r="Q282" s="21" t="s">
        <v>43</v>
      </c>
      <c r="S282" s="48"/>
      <c r="T282" s="48"/>
      <c r="U282" s="48"/>
      <c r="V282" s="77">
        <v>-2.0884529999999999</v>
      </c>
      <c r="W282" s="48">
        <v>106.114867</v>
      </c>
      <c r="X282" s="50"/>
      <c r="Y282" s="50"/>
      <c r="Z282" s="48"/>
      <c r="AA282" s="81"/>
      <c r="AB282" s="50"/>
      <c r="AC282" s="51">
        <f t="shared" si="20"/>
        <v>1</v>
      </c>
      <c r="AD282" s="51">
        <f t="shared" si="21"/>
        <v>0.76086956521739135</v>
      </c>
    </row>
    <row r="283" spans="1:30" s="49" customFormat="1" ht="12.5">
      <c r="A283" s="30">
        <v>278</v>
      </c>
      <c r="B283" s="48" t="s">
        <v>677</v>
      </c>
      <c r="C283" s="49" t="s">
        <v>170</v>
      </c>
      <c r="D283" s="48" t="s">
        <v>81</v>
      </c>
      <c r="E283" s="48" t="s">
        <v>398</v>
      </c>
      <c r="F283" s="49" t="s">
        <v>678</v>
      </c>
      <c r="G283" s="49" t="s">
        <v>42</v>
      </c>
      <c r="H283" s="49" t="s">
        <v>679</v>
      </c>
      <c r="I283" s="49" t="s">
        <v>42</v>
      </c>
      <c r="J283" s="49">
        <v>2013</v>
      </c>
      <c r="K283" s="49">
        <v>12</v>
      </c>
      <c r="L283" s="48">
        <v>12</v>
      </c>
      <c r="M283" s="49">
        <v>12</v>
      </c>
      <c r="N283" s="49" t="s">
        <v>41</v>
      </c>
      <c r="O283" s="49" t="s">
        <v>42</v>
      </c>
      <c r="Q283" s="21" t="s">
        <v>43</v>
      </c>
      <c r="S283" s="48"/>
      <c r="T283" s="48"/>
      <c r="U283" s="48"/>
      <c r="V283" s="77">
        <v>-2.1372475999999998</v>
      </c>
      <c r="W283" s="48">
        <v>106.128725</v>
      </c>
      <c r="X283" s="50"/>
      <c r="Y283" s="50"/>
      <c r="Z283" s="48"/>
      <c r="AA283" s="81"/>
      <c r="AB283" s="50"/>
      <c r="AC283" s="51">
        <f t="shared" si="20"/>
        <v>1</v>
      </c>
      <c r="AD283" s="51">
        <f t="shared" si="21"/>
        <v>1</v>
      </c>
    </row>
    <row r="284" spans="1:30" s="49" customFormat="1" ht="12.5">
      <c r="A284" s="29">
        <v>279</v>
      </c>
      <c r="B284" s="48" t="s">
        <v>680</v>
      </c>
      <c r="C284" s="49" t="s">
        <v>170</v>
      </c>
      <c r="D284" s="48" t="s">
        <v>81</v>
      </c>
      <c r="E284" s="48" t="s">
        <v>398</v>
      </c>
      <c r="F284" s="49" t="s">
        <v>681</v>
      </c>
      <c r="G284" s="49" t="s">
        <v>42</v>
      </c>
      <c r="H284" s="49" t="s">
        <v>679</v>
      </c>
      <c r="I284" s="49" t="s">
        <v>42</v>
      </c>
      <c r="J284" s="49">
        <v>2015</v>
      </c>
      <c r="K284" s="49">
        <v>12</v>
      </c>
      <c r="L284" s="48">
        <v>0</v>
      </c>
      <c r="M284" s="49">
        <v>0</v>
      </c>
      <c r="N284" s="49" t="s">
        <v>41</v>
      </c>
      <c r="O284" s="49" t="s">
        <v>42</v>
      </c>
      <c r="Q284" s="21" t="s">
        <v>43</v>
      </c>
      <c r="S284" s="48"/>
      <c r="T284" s="48"/>
      <c r="U284" s="48"/>
      <c r="V284" s="77">
        <v>-2.1329259999999999</v>
      </c>
      <c r="W284" s="48">
        <v>106.13212729999999</v>
      </c>
      <c r="X284" s="50"/>
      <c r="Y284" s="50"/>
      <c r="Z284" s="48"/>
      <c r="AA284" s="81"/>
      <c r="AB284" s="50"/>
      <c r="AC284" s="51">
        <f t="shared" si="20"/>
        <v>0</v>
      </c>
      <c r="AD284" s="51">
        <f t="shared" si="21"/>
        <v>0</v>
      </c>
    </row>
    <row r="285" spans="1:30" s="49" customFormat="1" ht="12.5">
      <c r="A285" s="30">
        <v>280</v>
      </c>
      <c r="B285" s="48" t="s">
        <v>682</v>
      </c>
      <c r="C285" s="49" t="s">
        <v>170</v>
      </c>
      <c r="D285" s="48" t="s">
        <v>304</v>
      </c>
      <c r="E285" s="48" t="s">
        <v>305</v>
      </c>
      <c r="F285" s="49" t="s">
        <v>683</v>
      </c>
      <c r="G285" s="49" t="s">
        <v>42</v>
      </c>
      <c r="H285" s="49" t="s">
        <v>42</v>
      </c>
      <c r="I285" s="49" t="s">
        <v>42</v>
      </c>
      <c r="J285" s="49">
        <v>2014</v>
      </c>
      <c r="K285" s="49">
        <v>8</v>
      </c>
      <c r="L285" s="48">
        <v>8</v>
      </c>
      <c r="M285" s="49">
        <v>3</v>
      </c>
      <c r="N285" s="49" t="s">
        <v>41</v>
      </c>
      <c r="O285" s="49" t="s">
        <v>42</v>
      </c>
      <c r="Q285" s="49" t="s">
        <v>72</v>
      </c>
      <c r="S285" s="48"/>
      <c r="T285" s="48"/>
      <c r="U285" s="48"/>
      <c r="V285" s="77">
        <v>-2.1501418000000001</v>
      </c>
      <c r="W285" s="48">
        <v>106.1112349</v>
      </c>
      <c r="X285" s="50"/>
      <c r="Y285" s="50"/>
      <c r="Z285" s="48"/>
      <c r="AA285" s="81"/>
      <c r="AB285" s="50"/>
      <c r="AC285" s="51">
        <f t="shared" si="20"/>
        <v>1</v>
      </c>
      <c r="AD285" s="51">
        <f t="shared" si="21"/>
        <v>0.375</v>
      </c>
    </row>
    <row r="286" spans="1:30" s="49" customFormat="1" ht="12.5">
      <c r="A286" s="29">
        <v>281</v>
      </c>
      <c r="B286" s="48" t="s">
        <v>684</v>
      </c>
      <c r="C286" s="49" t="s">
        <v>34</v>
      </c>
      <c r="D286" s="48" t="s">
        <v>81</v>
      </c>
      <c r="E286" s="48" t="s">
        <v>122</v>
      </c>
      <c r="F286" s="49" t="s">
        <v>685</v>
      </c>
      <c r="G286" s="49" t="s">
        <v>110</v>
      </c>
      <c r="H286" s="49" t="s">
        <v>686</v>
      </c>
      <c r="I286" s="49" t="s">
        <v>112</v>
      </c>
      <c r="J286" s="49">
        <v>2018</v>
      </c>
      <c r="K286" s="49">
        <v>75</v>
      </c>
      <c r="L286" s="48">
        <v>72</v>
      </c>
      <c r="M286" s="49">
        <v>72</v>
      </c>
      <c r="N286" s="49" t="s">
        <v>48</v>
      </c>
      <c r="O286" s="49">
        <v>2022</v>
      </c>
      <c r="Q286" s="21" t="s">
        <v>43</v>
      </c>
      <c r="R286" s="49" t="s">
        <v>113</v>
      </c>
      <c r="S286" s="48"/>
      <c r="T286" s="9" t="s">
        <v>44</v>
      </c>
      <c r="U286" s="48"/>
      <c r="V286" s="77"/>
      <c r="W286" s="48"/>
      <c r="X286" s="50"/>
      <c r="Y286" s="50"/>
      <c r="Z286" s="48"/>
      <c r="AA286" s="81"/>
      <c r="AB286" s="50"/>
      <c r="AC286" s="51">
        <f t="shared" si="20"/>
        <v>0.96</v>
      </c>
      <c r="AD286" s="51">
        <f t="shared" si="21"/>
        <v>1</v>
      </c>
    </row>
    <row r="287" spans="1:30" s="49" customFormat="1" ht="12.5">
      <c r="A287" s="30">
        <v>282</v>
      </c>
      <c r="B287" s="48" t="s">
        <v>687</v>
      </c>
      <c r="C287" s="49" t="s">
        <v>34</v>
      </c>
      <c r="D287" s="48" t="s">
        <v>81</v>
      </c>
      <c r="E287" s="48" t="s">
        <v>122</v>
      </c>
      <c r="F287" s="49" t="s">
        <v>325</v>
      </c>
      <c r="G287" s="49" t="s">
        <v>688</v>
      </c>
      <c r="H287" s="49" t="s">
        <v>689</v>
      </c>
      <c r="I287" s="49" t="s">
        <v>166</v>
      </c>
      <c r="J287" s="49">
        <v>2019</v>
      </c>
      <c r="K287" s="49">
        <v>38</v>
      </c>
      <c r="L287" s="48">
        <v>38</v>
      </c>
      <c r="M287" s="49">
        <v>38</v>
      </c>
      <c r="N287" s="49" t="s">
        <v>41</v>
      </c>
      <c r="O287" s="49" t="s">
        <v>42</v>
      </c>
      <c r="Q287" s="21" t="s">
        <v>43</v>
      </c>
      <c r="S287" s="48"/>
      <c r="T287" s="48"/>
      <c r="U287" s="48"/>
      <c r="V287" s="77"/>
      <c r="W287" s="48"/>
      <c r="X287" s="50"/>
      <c r="Y287" s="50"/>
      <c r="Z287" s="48"/>
      <c r="AA287" s="81"/>
      <c r="AB287" s="50"/>
      <c r="AC287" s="51">
        <f t="shared" si="20"/>
        <v>1</v>
      </c>
      <c r="AD287" s="51">
        <f t="shared" si="21"/>
        <v>1</v>
      </c>
    </row>
    <row r="288" spans="1:30" s="49" customFormat="1" ht="12.5">
      <c r="A288" s="29">
        <v>283</v>
      </c>
      <c r="B288" s="48" t="s">
        <v>690</v>
      </c>
      <c r="C288" s="49" t="s">
        <v>34</v>
      </c>
      <c r="D288" s="48" t="s">
        <v>81</v>
      </c>
      <c r="E288" s="48" t="s">
        <v>122</v>
      </c>
      <c r="F288" s="49" t="s">
        <v>325</v>
      </c>
      <c r="G288" s="49" t="s">
        <v>691</v>
      </c>
      <c r="H288" s="49" t="s">
        <v>692</v>
      </c>
      <c r="I288" s="49" t="s">
        <v>166</v>
      </c>
      <c r="J288" s="49">
        <v>2020</v>
      </c>
      <c r="K288" s="49">
        <v>62</v>
      </c>
      <c r="L288" s="48">
        <v>57</v>
      </c>
      <c r="M288" s="49">
        <v>57</v>
      </c>
      <c r="N288" s="49" t="s">
        <v>41</v>
      </c>
      <c r="O288" s="49" t="s">
        <v>42</v>
      </c>
      <c r="Q288" s="21" t="s">
        <v>43</v>
      </c>
      <c r="S288" s="48"/>
      <c r="T288" s="48"/>
      <c r="U288" s="48"/>
      <c r="V288" s="77">
        <v>-2.1318961000000001</v>
      </c>
      <c r="W288" s="48">
        <v>106.15831729999999</v>
      </c>
      <c r="X288" s="50"/>
      <c r="Y288" s="50"/>
      <c r="Z288" s="48"/>
      <c r="AA288" s="81"/>
      <c r="AB288" s="50"/>
      <c r="AC288" s="51">
        <f t="shared" si="20"/>
        <v>0.91935483870967738</v>
      </c>
      <c r="AD288" s="51">
        <f t="shared" si="21"/>
        <v>1</v>
      </c>
    </row>
    <row r="289" spans="1:30" s="49" customFormat="1" ht="12.5">
      <c r="A289" s="30">
        <v>284</v>
      </c>
      <c r="B289" s="48" t="s">
        <v>693</v>
      </c>
      <c r="C289" s="49" t="s">
        <v>34</v>
      </c>
      <c r="D289" s="48" t="s">
        <v>81</v>
      </c>
      <c r="E289" s="48" t="s">
        <v>82</v>
      </c>
      <c r="F289" s="49" t="s">
        <v>42</v>
      </c>
      <c r="G289" s="49" t="s">
        <v>42</v>
      </c>
      <c r="H289" s="49" t="s">
        <v>42</v>
      </c>
      <c r="I289" s="49" t="s">
        <v>42</v>
      </c>
      <c r="J289" s="49">
        <v>2017</v>
      </c>
      <c r="K289" s="49">
        <v>0</v>
      </c>
      <c r="L289" s="48">
        <v>0</v>
      </c>
      <c r="M289" s="49">
        <v>0</v>
      </c>
      <c r="N289" s="49" t="s">
        <v>41</v>
      </c>
      <c r="O289" s="49" t="s">
        <v>42</v>
      </c>
      <c r="Q289" s="21" t="s">
        <v>43</v>
      </c>
      <c r="S289" s="48"/>
      <c r="T289" s="48"/>
      <c r="U289" s="48"/>
      <c r="V289" s="77"/>
      <c r="W289" s="48"/>
      <c r="X289" s="50"/>
      <c r="Y289" s="50"/>
      <c r="Z289" s="48"/>
      <c r="AA289" s="81"/>
      <c r="AB289" s="50"/>
      <c r="AC289" s="51">
        <f t="shared" si="20"/>
        <v>0</v>
      </c>
      <c r="AD289" s="51">
        <f t="shared" si="21"/>
        <v>0</v>
      </c>
    </row>
    <row r="290" spans="1:30" s="49" customFormat="1" ht="12.5">
      <c r="A290" s="29">
        <v>285</v>
      </c>
      <c r="B290" s="48" t="s">
        <v>694</v>
      </c>
      <c r="C290" s="49" t="s">
        <v>34</v>
      </c>
      <c r="D290" s="48" t="s">
        <v>35</v>
      </c>
      <c r="E290" s="48" t="s">
        <v>36</v>
      </c>
      <c r="F290" s="49" t="s">
        <v>394</v>
      </c>
      <c r="G290" s="49" t="s">
        <v>695</v>
      </c>
      <c r="H290" s="49" t="s">
        <v>696</v>
      </c>
      <c r="I290" s="49" t="s">
        <v>112</v>
      </c>
      <c r="J290" s="49">
        <v>2024</v>
      </c>
      <c r="K290" s="49">
        <v>36</v>
      </c>
      <c r="L290" s="48">
        <v>10</v>
      </c>
      <c r="M290" s="49">
        <v>3</v>
      </c>
      <c r="N290" s="49" t="s">
        <v>41</v>
      </c>
      <c r="O290" s="49" t="s">
        <v>42</v>
      </c>
      <c r="Q290" s="21" t="s">
        <v>43</v>
      </c>
      <c r="R290" s="21" t="s">
        <v>88</v>
      </c>
      <c r="S290" s="48"/>
      <c r="T290" s="48"/>
      <c r="U290" s="48"/>
      <c r="V290" s="77">
        <v>-2.1021866</v>
      </c>
      <c r="W290" s="48">
        <v>106.05145090000001</v>
      </c>
      <c r="X290" s="50"/>
      <c r="Y290" s="50"/>
      <c r="Z290" s="48"/>
      <c r="AA290" s="81"/>
      <c r="AB290" s="50"/>
      <c r="AC290" s="51">
        <f t="shared" si="20"/>
        <v>0.27777777777777779</v>
      </c>
      <c r="AD290" s="51">
        <f t="shared" si="21"/>
        <v>0.3</v>
      </c>
    </row>
    <row r="291" spans="1:30" s="49" customFormat="1" ht="12.5">
      <c r="A291" s="30">
        <v>286</v>
      </c>
      <c r="B291" s="48" t="s">
        <v>697</v>
      </c>
      <c r="C291" s="49" t="s">
        <v>34</v>
      </c>
      <c r="D291" s="48" t="s">
        <v>60</v>
      </c>
      <c r="E291" s="48" t="s">
        <v>70</v>
      </c>
      <c r="F291" s="49" t="s">
        <v>79</v>
      </c>
      <c r="G291" s="49" t="s">
        <v>698</v>
      </c>
      <c r="H291" s="49" t="s">
        <v>699</v>
      </c>
      <c r="I291" s="49" t="s">
        <v>42</v>
      </c>
      <c r="J291" s="49">
        <v>2015</v>
      </c>
      <c r="K291" s="49">
        <v>51</v>
      </c>
      <c r="L291" s="48">
        <v>23</v>
      </c>
      <c r="M291" s="49">
        <v>15</v>
      </c>
      <c r="N291" s="49" t="s">
        <v>41</v>
      </c>
      <c r="O291" s="49" t="s">
        <v>42</v>
      </c>
      <c r="Q291" s="21" t="s">
        <v>43</v>
      </c>
      <c r="R291" s="21" t="s">
        <v>88</v>
      </c>
      <c r="S291" s="48"/>
      <c r="T291" s="48"/>
      <c r="U291" s="48"/>
      <c r="V291" s="77">
        <v>-2.0845900999999998</v>
      </c>
      <c r="W291" s="48">
        <v>106.0979296</v>
      </c>
      <c r="X291" s="50"/>
      <c r="Y291" s="50"/>
      <c r="Z291" s="48"/>
      <c r="AA291" s="81"/>
      <c r="AB291" s="50"/>
      <c r="AC291" s="51">
        <f t="shared" si="20"/>
        <v>0.45098039215686275</v>
      </c>
      <c r="AD291" s="51">
        <f t="shared" si="21"/>
        <v>0.65217391304347827</v>
      </c>
    </row>
    <row r="292" spans="1:30" s="49" customFormat="1" ht="12.5">
      <c r="A292" s="29">
        <v>287</v>
      </c>
      <c r="B292" s="48" t="s">
        <v>700</v>
      </c>
      <c r="C292" s="49" t="s">
        <v>34</v>
      </c>
      <c r="D292" s="48" t="s">
        <v>81</v>
      </c>
      <c r="E292" s="48" t="s">
        <v>202</v>
      </c>
      <c r="F292" s="49" t="s">
        <v>701</v>
      </c>
      <c r="G292" s="49" t="s">
        <v>702</v>
      </c>
      <c r="H292" s="49" t="s">
        <v>42</v>
      </c>
      <c r="I292" s="49" t="s">
        <v>42</v>
      </c>
      <c r="J292" s="49">
        <v>2023</v>
      </c>
      <c r="K292" s="49">
        <v>42</v>
      </c>
      <c r="L292" s="48">
        <v>9</v>
      </c>
      <c r="M292" s="49">
        <v>6</v>
      </c>
      <c r="N292" s="49" t="s">
        <v>41</v>
      </c>
      <c r="O292" s="49" t="s">
        <v>42</v>
      </c>
      <c r="Q292" s="21" t="s">
        <v>43</v>
      </c>
      <c r="R292" s="49" t="s">
        <v>88</v>
      </c>
      <c r="S292" s="48"/>
      <c r="T292" s="48"/>
      <c r="U292" s="48"/>
      <c r="V292" s="77">
        <v>-2.1377009999999999</v>
      </c>
      <c r="W292" s="48">
        <v>106.1489993</v>
      </c>
      <c r="X292" s="50"/>
      <c r="Y292" s="50"/>
      <c r="Z292" s="48"/>
      <c r="AA292" s="81"/>
      <c r="AB292" s="50"/>
      <c r="AC292" s="51">
        <f t="shared" si="20"/>
        <v>0.21428571428571427</v>
      </c>
      <c r="AD292" s="51">
        <f t="shared" si="21"/>
        <v>0.66666666666666663</v>
      </c>
    </row>
    <row r="293" spans="1:30" s="49" customFormat="1" ht="12.5">
      <c r="A293" s="30">
        <v>288</v>
      </c>
      <c r="B293" s="48" t="s">
        <v>703</v>
      </c>
      <c r="C293" s="49" t="s">
        <v>34</v>
      </c>
      <c r="D293" s="48" t="s">
        <v>304</v>
      </c>
      <c r="E293" s="48" t="s">
        <v>305</v>
      </c>
      <c r="F293" s="49" t="s">
        <v>438</v>
      </c>
      <c r="G293" s="49" t="s">
        <v>42</v>
      </c>
      <c r="H293" s="49" t="s">
        <v>42</v>
      </c>
      <c r="I293" s="49" t="s">
        <v>42</v>
      </c>
      <c r="J293" s="49">
        <v>2015</v>
      </c>
      <c r="K293" s="49">
        <v>22</v>
      </c>
      <c r="L293" s="48">
        <v>22</v>
      </c>
      <c r="M293" s="49">
        <v>22</v>
      </c>
      <c r="N293" s="49" t="s">
        <v>41</v>
      </c>
      <c r="O293" s="49" t="s">
        <v>42</v>
      </c>
      <c r="Q293" s="21" t="s">
        <v>43</v>
      </c>
      <c r="S293" s="48"/>
      <c r="T293" s="48"/>
      <c r="U293" s="48"/>
      <c r="V293" s="77">
        <v>-2.1519857</v>
      </c>
      <c r="W293" s="48">
        <v>106.1057045</v>
      </c>
      <c r="X293" s="50"/>
      <c r="Y293" s="50"/>
      <c r="Z293" s="48"/>
      <c r="AA293" s="81"/>
      <c r="AB293" s="50"/>
      <c r="AC293" s="51">
        <f t="shared" si="20"/>
        <v>1</v>
      </c>
      <c r="AD293" s="51">
        <f t="shared" si="21"/>
        <v>1</v>
      </c>
    </row>
    <row r="294" spans="1:30" s="49" customFormat="1" ht="12.5">
      <c r="A294" s="29">
        <v>289</v>
      </c>
      <c r="B294" s="48" t="s">
        <v>704</v>
      </c>
      <c r="C294" s="49" t="s">
        <v>34</v>
      </c>
      <c r="D294" s="48" t="s">
        <v>304</v>
      </c>
      <c r="E294" s="48" t="s">
        <v>305</v>
      </c>
      <c r="F294" s="49" t="s">
        <v>705</v>
      </c>
      <c r="G294" s="49" t="s">
        <v>42</v>
      </c>
      <c r="H294" s="49" t="s">
        <v>42</v>
      </c>
      <c r="I294" s="49" t="s">
        <v>42</v>
      </c>
      <c r="J294" s="49">
        <v>2016</v>
      </c>
      <c r="K294" s="49">
        <v>11</v>
      </c>
      <c r="L294" s="48">
        <v>11</v>
      </c>
      <c r="M294" s="49">
        <v>11</v>
      </c>
      <c r="N294" s="49" t="s">
        <v>41</v>
      </c>
      <c r="O294" s="49" t="s">
        <v>42</v>
      </c>
      <c r="Q294" s="21" t="s">
        <v>43</v>
      </c>
      <c r="R294" s="21" t="s">
        <v>88</v>
      </c>
      <c r="S294" s="48"/>
      <c r="T294" s="48"/>
      <c r="U294" s="48"/>
      <c r="V294" s="77">
        <v>-2.1526169999999998</v>
      </c>
      <c r="W294" s="48">
        <v>106.104927</v>
      </c>
      <c r="X294" s="50"/>
      <c r="Y294" s="50"/>
      <c r="Z294" s="48"/>
      <c r="AA294" s="81"/>
      <c r="AB294" s="50"/>
      <c r="AC294" s="51">
        <f t="shared" si="20"/>
        <v>1</v>
      </c>
      <c r="AD294" s="51">
        <f t="shared" si="21"/>
        <v>1</v>
      </c>
    </row>
    <row r="295" spans="1:30" s="49" customFormat="1" ht="12.5">
      <c r="A295" s="30">
        <v>290</v>
      </c>
      <c r="B295" s="48" t="s">
        <v>706</v>
      </c>
      <c r="C295" s="49" t="s">
        <v>34</v>
      </c>
      <c r="D295" s="48" t="s">
        <v>35</v>
      </c>
      <c r="E295" s="48" t="s">
        <v>46</v>
      </c>
      <c r="F295" s="49" t="s">
        <v>243</v>
      </c>
      <c r="G295" s="49" t="s">
        <v>354</v>
      </c>
      <c r="H295" s="49" t="s">
        <v>355</v>
      </c>
      <c r="I295" s="49" t="s">
        <v>112</v>
      </c>
      <c r="J295" s="49">
        <v>2017</v>
      </c>
      <c r="K295" s="49">
        <v>21</v>
      </c>
      <c r="L295" s="48">
        <v>21</v>
      </c>
      <c r="M295" s="49">
        <v>21</v>
      </c>
      <c r="N295" s="49" t="s">
        <v>48</v>
      </c>
      <c r="O295" s="49">
        <v>2023</v>
      </c>
      <c r="Q295" s="21" t="s">
        <v>43</v>
      </c>
      <c r="S295" s="48"/>
      <c r="T295" s="48"/>
      <c r="U295" s="48"/>
      <c r="V295" s="77">
        <v>-2.117489</v>
      </c>
      <c r="W295" s="48">
        <v>106.077459</v>
      </c>
      <c r="X295" s="50"/>
      <c r="Y295" s="50"/>
      <c r="Z295" s="48"/>
      <c r="AA295" s="81"/>
      <c r="AB295" s="50"/>
      <c r="AC295" s="51">
        <f t="shared" si="20"/>
        <v>1</v>
      </c>
      <c r="AD295" s="51">
        <f t="shared" si="21"/>
        <v>1</v>
      </c>
    </row>
    <row r="296" spans="1:30" s="49" customFormat="1" ht="12.5">
      <c r="A296" s="29">
        <v>291</v>
      </c>
      <c r="B296" s="48" t="s">
        <v>707</v>
      </c>
      <c r="C296" s="49" t="s">
        <v>34</v>
      </c>
      <c r="D296" s="48" t="s">
        <v>60</v>
      </c>
      <c r="E296" s="48" t="s">
        <v>70</v>
      </c>
      <c r="F296" s="49" t="s">
        <v>708</v>
      </c>
      <c r="G296" s="49" t="s">
        <v>354</v>
      </c>
      <c r="H296" s="49" t="s">
        <v>355</v>
      </c>
      <c r="I296" s="49" t="s">
        <v>112</v>
      </c>
      <c r="J296" s="49">
        <v>2019</v>
      </c>
      <c r="K296" s="49">
        <v>43</v>
      </c>
      <c r="L296" s="48">
        <v>33</v>
      </c>
      <c r="M296" s="49">
        <v>33</v>
      </c>
      <c r="N296" s="49" t="s">
        <v>41</v>
      </c>
      <c r="O296" s="49" t="s">
        <v>42</v>
      </c>
      <c r="Q296" s="21" t="s">
        <v>43</v>
      </c>
      <c r="S296" s="48"/>
      <c r="T296" s="48"/>
      <c r="U296" s="48"/>
      <c r="V296" s="77">
        <v>-2.0969530000000001</v>
      </c>
      <c r="W296" s="48">
        <v>106.087341</v>
      </c>
      <c r="X296" s="50"/>
      <c r="Y296" s="50"/>
      <c r="Z296" s="48"/>
      <c r="AA296" s="81"/>
      <c r="AB296" s="50"/>
      <c r="AC296" s="51">
        <f t="shared" si="20"/>
        <v>0.76744186046511631</v>
      </c>
      <c r="AD296" s="51">
        <f t="shared" si="21"/>
        <v>1</v>
      </c>
    </row>
    <row r="297" spans="1:30" s="49" customFormat="1" ht="12.5">
      <c r="A297" s="30">
        <v>292</v>
      </c>
      <c r="B297" s="48" t="s">
        <v>709</v>
      </c>
      <c r="C297" s="49" t="s">
        <v>34</v>
      </c>
      <c r="D297" s="48" t="s">
        <v>60</v>
      </c>
      <c r="E297" s="48" t="s">
        <v>266</v>
      </c>
      <c r="F297" s="49" t="s">
        <v>710</v>
      </c>
      <c r="G297" s="49" t="s">
        <v>711</v>
      </c>
      <c r="H297" s="49" t="s">
        <v>712</v>
      </c>
      <c r="I297" s="49" t="s">
        <v>112</v>
      </c>
      <c r="J297" s="49">
        <v>2017</v>
      </c>
      <c r="K297" s="49">
        <v>15</v>
      </c>
      <c r="L297" s="48">
        <v>15</v>
      </c>
      <c r="M297" s="49">
        <v>14</v>
      </c>
      <c r="N297" s="49" t="s">
        <v>48</v>
      </c>
      <c r="O297" s="49">
        <v>2022</v>
      </c>
      <c r="Q297" s="21" t="s">
        <v>43</v>
      </c>
      <c r="R297" s="49" t="s">
        <v>247</v>
      </c>
      <c r="S297" s="48"/>
      <c r="T297" s="48"/>
      <c r="U297" s="48"/>
      <c r="V297" s="77">
        <v>-2.0940059999999998</v>
      </c>
      <c r="W297" s="48">
        <v>106.105633</v>
      </c>
      <c r="X297" s="50"/>
      <c r="Y297" s="50"/>
      <c r="Z297" s="48"/>
      <c r="AA297" s="81"/>
      <c r="AB297" s="50"/>
      <c r="AC297" s="51">
        <f t="shared" si="20"/>
        <v>1</v>
      </c>
      <c r="AD297" s="51">
        <f t="shared" si="21"/>
        <v>0.93333333333333335</v>
      </c>
    </row>
    <row r="298" spans="1:30" s="49" customFormat="1" ht="12.5">
      <c r="A298" s="29">
        <v>293</v>
      </c>
      <c r="B298" s="48" t="s">
        <v>713</v>
      </c>
      <c r="C298" s="49" t="s">
        <v>34</v>
      </c>
      <c r="D298" s="48" t="s">
        <v>60</v>
      </c>
      <c r="E298" s="48" t="s">
        <v>266</v>
      </c>
      <c r="F298" s="49" t="s">
        <v>714</v>
      </c>
      <c r="G298" s="49" t="s">
        <v>715</v>
      </c>
      <c r="H298" s="49" t="s">
        <v>712</v>
      </c>
      <c r="I298" s="49" t="s">
        <v>112</v>
      </c>
      <c r="J298" s="49">
        <v>2017</v>
      </c>
      <c r="K298" s="49">
        <v>40</v>
      </c>
      <c r="L298" s="48">
        <v>40</v>
      </c>
      <c r="M298" s="49">
        <v>40</v>
      </c>
      <c r="N298" s="49" t="s">
        <v>48</v>
      </c>
      <c r="O298" s="49">
        <v>2022</v>
      </c>
      <c r="Q298" s="21" t="s">
        <v>43</v>
      </c>
      <c r="R298" s="49" t="s">
        <v>113</v>
      </c>
      <c r="S298" s="48"/>
      <c r="T298" s="48"/>
      <c r="U298" s="48"/>
      <c r="V298" s="77">
        <v>-2.0972919999999999</v>
      </c>
      <c r="W298" s="48">
        <v>106.10591599999999</v>
      </c>
      <c r="X298" s="50"/>
      <c r="Y298" s="50"/>
      <c r="Z298" s="48"/>
      <c r="AA298" s="81"/>
      <c r="AB298" s="50"/>
      <c r="AC298" s="51">
        <f t="shared" si="20"/>
        <v>1</v>
      </c>
      <c r="AD298" s="51">
        <f t="shared" si="21"/>
        <v>1</v>
      </c>
    </row>
    <row r="299" spans="1:30" s="49" customFormat="1" ht="12.5">
      <c r="A299" s="30">
        <v>294</v>
      </c>
      <c r="B299" s="48" t="s">
        <v>716</v>
      </c>
      <c r="C299" s="49" t="s">
        <v>34</v>
      </c>
      <c r="D299" s="48" t="s">
        <v>60</v>
      </c>
      <c r="E299" s="48" t="s">
        <v>266</v>
      </c>
      <c r="F299" s="49" t="s">
        <v>714</v>
      </c>
      <c r="G299" s="49" t="s">
        <v>711</v>
      </c>
      <c r="H299" s="49" t="s">
        <v>712</v>
      </c>
      <c r="I299" s="49" t="s">
        <v>112</v>
      </c>
      <c r="J299" s="49">
        <v>2017</v>
      </c>
      <c r="K299" s="49">
        <v>34</v>
      </c>
      <c r="L299" s="48">
        <v>33</v>
      </c>
      <c r="M299" s="49">
        <v>32</v>
      </c>
      <c r="N299" s="49" t="s">
        <v>48</v>
      </c>
      <c r="O299" s="49">
        <v>2022</v>
      </c>
      <c r="Q299" s="21" t="s">
        <v>43</v>
      </c>
      <c r="R299" s="49" t="s">
        <v>113</v>
      </c>
      <c r="S299" s="48"/>
      <c r="T299" s="48"/>
      <c r="U299" s="48"/>
      <c r="V299" s="77">
        <v>-2.0940059999999998</v>
      </c>
      <c r="W299" s="48">
        <v>106.105633</v>
      </c>
      <c r="X299" s="50"/>
      <c r="Y299" s="50"/>
      <c r="Z299" s="48"/>
      <c r="AA299" s="81"/>
      <c r="AB299" s="50"/>
      <c r="AC299" s="51">
        <f t="shared" si="20"/>
        <v>0.97058823529411764</v>
      </c>
      <c r="AD299" s="51">
        <f t="shared" si="21"/>
        <v>0.96969696969696972</v>
      </c>
    </row>
    <row r="300" spans="1:30" s="49" customFormat="1" ht="12.5">
      <c r="A300" s="29">
        <v>295</v>
      </c>
      <c r="B300" s="48" t="s">
        <v>717</v>
      </c>
      <c r="C300" s="49" t="s">
        <v>34</v>
      </c>
      <c r="D300" s="48" t="s">
        <v>60</v>
      </c>
      <c r="E300" s="48" t="s">
        <v>266</v>
      </c>
      <c r="F300" s="49" t="s">
        <v>714</v>
      </c>
      <c r="G300" s="49" t="s">
        <v>711</v>
      </c>
      <c r="H300" s="49" t="s">
        <v>712</v>
      </c>
      <c r="I300" s="49" t="s">
        <v>112</v>
      </c>
      <c r="J300" s="49">
        <v>2017</v>
      </c>
      <c r="K300" s="49">
        <v>50</v>
      </c>
      <c r="L300" s="48">
        <v>50</v>
      </c>
      <c r="M300" s="49">
        <v>42</v>
      </c>
      <c r="N300" s="49" t="s">
        <v>48</v>
      </c>
      <c r="O300" s="49">
        <v>2022</v>
      </c>
      <c r="Q300" s="21" t="s">
        <v>43</v>
      </c>
      <c r="R300" s="49" t="s">
        <v>113</v>
      </c>
      <c r="S300" s="48"/>
      <c r="T300" s="48"/>
      <c r="U300" s="48"/>
      <c r="V300" s="77">
        <v>-2.0929440000000001</v>
      </c>
      <c r="W300" s="48">
        <v>106.109611</v>
      </c>
      <c r="X300" s="50"/>
      <c r="Y300" s="50"/>
      <c r="Z300" s="48"/>
      <c r="AA300" s="81"/>
      <c r="AB300" s="50"/>
      <c r="AC300" s="51">
        <f t="shared" si="20"/>
        <v>1</v>
      </c>
      <c r="AD300" s="51">
        <f t="shared" si="21"/>
        <v>0.84</v>
      </c>
    </row>
    <row r="301" spans="1:30" s="49" customFormat="1" ht="12.5">
      <c r="A301" s="30">
        <v>296</v>
      </c>
      <c r="B301" s="48" t="s">
        <v>718</v>
      </c>
      <c r="C301" s="49" t="s">
        <v>34</v>
      </c>
      <c r="D301" s="48" t="s">
        <v>60</v>
      </c>
      <c r="E301" s="48" t="s">
        <v>266</v>
      </c>
      <c r="F301" s="49" t="s">
        <v>719</v>
      </c>
      <c r="G301" s="49" t="s">
        <v>711</v>
      </c>
      <c r="H301" s="49" t="s">
        <v>712</v>
      </c>
      <c r="I301" s="49" t="s">
        <v>112</v>
      </c>
      <c r="J301" s="49">
        <v>2017</v>
      </c>
      <c r="K301" s="49">
        <v>26</v>
      </c>
      <c r="L301" s="48">
        <v>26</v>
      </c>
      <c r="M301" s="49">
        <v>24</v>
      </c>
      <c r="N301" s="49" t="s">
        <v>48</v>
      </c>
      <c r="O301" s="49">
        <v>2022</v>
      </c>
      <c r="Q301" s="21" t="s">
        <v>43</v>
      </c>
      <c r="R301" s="49" t="s">
        <v>247</v>
      </c>
      <c r="S301" s="48"/>
      <c r="T301" s="48"/>
      <c r="U301" s="48"/>
      <c r="V301" s="77">
        <v>-2.0958761250000002</v>
      </c>
      <c r="W301" s="48">
        <v>106.113303</v>
      </c>
      <c r="X301" s="50"/>
      <c r="Y301" s="50"/>
      <c r="Z301" s="48"/>
      <c r="AA301" s="81"/>
      <c r="AB301" s="50"/>
      <c r="AC301" s="51">
        <f t="shared" si="20"/>
        <v>1</v>
      </c>
      <c r="AD301" s="51">
        <f t="shared" si="21"/>
        <v>0.92307692307692313</v>
      </c>
    </row>
    <row r="302" spans="1:30" s="49" customFormat="1" ht="12.5">
      <c r="A302" s="29">
        <v>297</v>
      </c>
      <c r="B302" s="48" t="s">
        <v>720</v>
      </c>
      <c r="C302" s="49" t="s">
        <v>34</v>
      </c>
      <c r="D302" s="48" t="s">
        <v>60</v>
      </c>
      <c r="E302" s="48" t="s">
        <v>61</v>
      </c>
      <c r="F302" s="49" t="s">
        <v>721</v>
      </c>
      <c r="G302" s="49" t="s">
        <v>711</v>
      </c>
      <c r="H302" s="49" t="s">
        <v>712</v>
      </c>
      <c r="I302" s="49" t="s">
        <v>112</v>
      </c>
      <c r="J302" s="49">
        <v>2018</v>
      </c>
      <c r="K302" s="49">
        <v>55</v>
      </c>
      <c r="L302" s="48">
        <v>55</v>
      </c>
      <c r="M302" s="49">
        <v>54</v>
      </c>
      <c r="N302" s="49" t="s">
        <v>48</v>
      </c>
      <c r="O302" s="49">
        <v>2022</v>
      </c>
      <c r="Q302" s="49" t="s">
        <v>72</v>
      </c>
      <c r="R302" s="49" t="s">
        <v>247</v>
      </c>
      <c r="S302" s="48"/>
      <c r="T302" s="48"/>
      <c r="U302" s="48"/>
      <c r="V302" s="77">
        <v>-2.1036250000000001</v>
      </c>
      <c r="W302" s="48">
        <v>106.104417</v>
      </c>
      <c r="X302" s="50"/>
      <c r="Y302" s="50"/>
      <c r="Z302" s="48"/>
      <c r="AA302" s="81"/>
      <c r="AB302" s="50"/>
      <c r="AC302" s="51">
        <f t="shared" si="20"/>
        <v>1</v>
      </c>
      <c r="AD302" s="51">
        <f t="shared" si="21"/>
        <v>0.98181818181818181</v>
      </c>
    </row>
    <row r="303" spans="1:30" s="49" customFormat="1" ht="12.5">
      <c r="A303" s="30">
        <v>298</v>
      </c>
      <c r="B303" s="48" t="s">
        <v>722</v>
      </c>
      <c r="C303" s="49" t="s">
        <v>34</v>
      </c>
      <c r="D303" s="48" t="s">
        <v>35</v>
      </c>
      <c r="E303" s="48" t="s">
        <v>136</v>
      </c>
      <c r="F303" s="49" t="s">
        <v>723</v>
      </c>
      <c r="G303" s="49" t="s">
        <v>711</v>
      </c>
      <c r="H303" s="49" t="s">
        <v>712</v>
      </c>
      <c r="I303" s="49" t="s">
        <v>112</v>
      </c>
      <c r="J303" s="49">
        <v>2018</v>
      </c>
      <c r="K303" s="49">
        <v>37</v>
      </c>
      <c r="L303" s="48">
        <v>37</v>
      </c>
      <c r="M303" s="49">
        <v>37</v>
      </c>
      <c r="N303" s="49" t="s">
        <v>48</v>
      </c>
      <c r="O303" s="49">
        <v>2022</v>
      </c>
      <c r="Q303" s="21" t="s">
        <v>43</v>
      </c>
      <c r="R303" s="49" t="s">
        <v>113</v>
      </c>
      <c r="S303" s="48"/>
      <c r="T303" s="48"/>
      <c r="U303" s="48"/>
      <c r="V303" s="77">
        <v>-2.1039151</v>
      </c>
      <c r="W303" s="48">
        <v>106.0908293</v>
      </c>
      <c r="X303" s="50"/>
      <c r="Y303" s="50"/>
      <c r="Z303" s="48"/>
      <c r="AA303" s="81"/>
      <c r="AB303" s="50"/>
      <c r="AC303" s="51">
        <f t="shared" si="20"/>
        <v>1</v>
      </c>
      <c r="AD303" s="51">
        <f t="shared" si="21"/>
        <v>1</v>
      </c>
    </row>
    <row r="304" spans="1:30" s="49" customFormat="1" ht="12.5">
      <c r="A304" s="29">
        <v>299</v>
      </c>
      <c r="B304" s="48" t="s">
        <v>724</v>
      </c>
      <c r="C304" s="49" t="s">
        <v>34</v>
      </c>
      <c r="D304" s="48" t="s">
        <v>35</v>
      </c>
      <c r="E304" s="48" t="s">
        <v>184</v>
      </c>
      <c r="F304" s="49" t="s">
        <v>185</v>
      </c>
      <c r="G304" s="49" t="s">
        <v>711</v>
      </c>
      <c r="H304" s="49" t="s">
        <v>712</v>
      </c>
      <c r="I304" s="49" t="s">
        <v>112</v>
      </c>
      <c r="J304" s="49">
        <v>2018</v>
      </c>
      <c r="K304" s="49">
        <v>20</v>
      </c>
      <c r="L304" s="48">
        <v>20</v>
      </c>
      <c r="M304" s="49">
        <v>20</v>
      </c>
      <c r="N304" s="49" t="s">
        <v>48</v>
      </c>
      <c r="O304" s="49">
        <v>2022</v>
      </c>
      <c r="Q304" s="21" t="s">
        <v>43</v>
      </c>
      <c r="R304" s="49" t="s">
        <v>113</v>
      </c>
      <c r="S304" s="48"/>
      <c r="T304" s="48"/>
      <c r="U304" s="48"/>
      <c r="V304" s="77">
        <v>-2.1048110000000002</v>
      </c>
      <c r="W304" s="48">
        <v>106.088823</v>
      </c>
      <c r="X304" s="50"/>
      <c r="Y304" s="50"/>
      <c r="Z304" s="48"/>
      <c r="AA304" s="81"/>
      <c r="AB304" s="50"/>
      <c r="AC304" s="51">
        <f t="shared" si="20"/>
        <v>1</v>
      </c>
      <c r="AD304" s="51">
        <f t="shared" si="21"/>
        <v>1</v>
      </c>
    </row>
    <row r="305" spans="1:30" s="49" customFormat="1" ht="12.5">
      <c r="A305" s="30">
        <v>300</v>
      </c>
      <c r="B305" s="48" t="s">
        <v>725</v>
      </c>
      <c r="C305" s="49" t="s">
        <v>34</v>
      </c>
      <c r="D305" s="48" t="s">
        <v>60</v>
      </c>
      <c r="E305" s="48" t="s">
        <v>61</v>
      </c>
      <c r="F305" s="49" t="s">
        <v>726</v>
      </c>
      <c r="G305" s="49" t="s">
        <v>711</v>
      </c>
      <c r="H305" s="49" t="s">
        <v>712</v>
      </c>
      <c r="I305" s="49" t="s">
        <v>112</v>
      </c>
      <c r="J305" s="49">
        <v>2018</v>
      </c>
      <c r="K305" s="49">
        <v>39</v>
      </c>
      <c r="L305" s="48">
        <v>35</v>
      </c>
      <c r="M305" s="49">
        <v>34</v>
      </c>
      <c r="N305" s="49" t="s">
        <v>48</v>
      </c>
      <c r="O305" s="49">
        <v>2022</v>
      </c>
      <c r="Q305" s="49" t="s">
        <v>72</v>
      </c>
      <c r="R305" s="49" t="s">
        <v>55</v>
      </c>
      <c r="S305" s="48"/>
      <c r="T305" s="48"/>
      <c r="U305" s="48"/>
      <c r="V305" s="77">
        <v>-2.1032679999999999</v>
      </c>
      <c r="W305" s="48">
        <v>106.102847</v>
      </c>
      <c r="X305" s="50"/>
      <c r="Y305" s="50"/>
      <c r="Z305" s="48"/>
      <c r="AA305" s="81"/>
      <c r="AB305" s="50"/>
      <c r="AC305" s="51">
        <f t="shared" si="20"/>
        <v>0.89743589743589747</v>
      </c>
      <c r="AD305" s="51">
        <f t="shared" si="21"/>
        <v>0.97142857142857142</v>
      </c>
    </row>
    <row r="306" spans="1:30" s="49" customFormat="1" ht="12.5">
      <c r="A306" s="29">
        <v>301</v>
      </c>
      <c r="B306" s="48" t="s">
        <v>727</v>
      </c>
      <c r="C306" s="49" t="s">
        <v>34</v>
      </c>
      <c r="D306" s="48" t="s">
        <v>35</v>
      </c>
      <c r="E306" s="48" t="s">
        <v>46</v>
      </c>
      <c r="F306" s="49" t="s">
        <v>51</v>
      </c>
      <c r="G306" s="49" t="s">
        <v>711</v>
      </c>
      <c r="H306" s="49" t="s">
        <v>712</v>
      </c>
      <c r="I306" s="49" t="s">
        <v>112</v>
      </c>
      <c r="J306" s="49">
        <v>2018</v>
      </c>
      <c r="K306" s="49">
        <v>35</v>
      </c>
      <c r="L306" s="48">
        <v>35</v>
      </c>
      <c r="M306" s="49">
        <v>35</v>
      </c>
      <c r="N306" s="49" t="s">
        <v>41</v>
      </c>
      <c r="O306" s="49" t="s">
        <v>42</v>
      </c>
      <c r="Q306" s="21" t="s">
        <v>43</v>
      </c>
      <c r="S306" s="48"/>
      <c r="T306" s="48"/>
      <c r="U306" s="48"/>
      <c r="V306" s="77">
        <v>-2.1212407999999998</v>
      </c>
      <c r="W306" s="48">
        <v>106.07339570000001</v>
      </c>
      <c r="X306" s="50"/>
      <c r="Y306" s="50"/>
      <c r="Z306" s="48"/>
      <c r="AA306" s="81"/>
      <c r="AB306" s="50"/>
      <c r="AC306" s="51">
        <f t="shared" si="20"/>
        <v>1</v>
      </c>
      <c r="AD306" s="51">
        <f t="shared" si="21"/>
        <v>1</v>
      </c>
    </row>
    <row r="307" spans="1:30" s="49" customFormat="1" ht="25">
      <c r="A307" s="30">
        <v>302</v>
      </c>
      <c r="B307" s="48" t="s">
        <v>728</v>
      </c>
      <c r="C307" s="49" t="s">
        <v>34</v>
      </c>
      <c r="D307" s="48" t="s">
        <v>60</v>
      </c>
      <c r="E307" s="48" t="s">
        <v>70</v>
      </c>
      <c r="F307" s="49" t="s">
        <v>484</v>
      </c>
      <c r="G307" s="49" t="s">
        <v>711</v>
      </c>
      <c r="H307" s="49" t="s">
        <v>712</v>
      </c>
      <c r="I307" s="49" t="s">
        <v>112</v>
      </c>
      <c r="J307" s="49">
        <v>2019</v>
      </c>
      <c r="K307" s="49">
        <v>39</v>
      </c>
      <c r="L307" s="48">
        <v>39</v>
      </c>
      <c r="M307" s="49">
        <v>31</v>
      </c>
      <c r="N307" s="49" t="s">
        <v>41</v>
      </c>
      <c r="O307" s="49" t="s">
        <v>42</v>
      </c>
      <c r="Q307" s="21" t="s">
        <v>43</v>
      </c>
      <c r="R307" s="21" t="s">
        <v>88</v>
      </c>
      <c r="S307" s="48"/>
      <c r="T307" s="48"/>
      <c r="U307" s="48"/>
      <c r="V307" s="77">
        <v>-2.0921159999999999</v>
      </c>
      <c r="W307" s="48">
        <v>106.092775</v>
      </c>
      <c r="X307" s="50"/>
      <c r="Y307" s="50"/>
      <c r="Z307" s="48"/>
      <c r="AA307" s="81"/>
      <c r="AB307" s="50"/>
      <c r="AC307" s="51">
        <f t="shared" si="20"/>
        <v>1</v>
      </c>
      <c r="AD307" s="51">
        <f t="shared" si="21"/>
        <v>0.79487179487179482</v>
      </c>
    </row>
    <row r="308" spans="1:30" s="49" customFormat="1" ht="25">
      <c r="A308" s="29">
        <v>303</v>
      </c>
      <c r="B308" s="48" t="s">
        <v>729</v>
      </c>
      <c r="C308" s="49" t="s">
        <v>34</v>
      </c>
      <c r="D308" s="48" t="s">
        <v>35</v>
      </c>
      <c r="E308" s="48" t="s">
        <v>36</v>
      </c>
      <c r="F308" s="49" t="s">
        <v>730</v>
      </c>
      <c r="G308" s="49" t="s">
        <v>711</v>
      </c>
      <c r="H308" s="49" t="s">
        <v>712</v>
      </c>
      <c r="I308" s="49" t="s">
        <v>112</v>
      </c>
      <c r="J308" s="49">
        <v>2019</v>
      </c>
      <c r="K308" s="49">
        <v>39</v>
      </c>
      <c r="L308" s="48">
        <v>36</v>
      </c>
      <c r="M308" s="49">
        <v>36</v>
      </c>
      <c r="N308" s="49" t="s">
        <v>41</v>
      </c>
      <c r="O308" s="49" t="s">
        <v>42</v>
      </c>
      <c r="Q308" s="21" t="s">
        <v>43</v>
      </c>
      <c r="S308" s="48"/>
      <c r="T308" s="48"/>
      <c r="U308" s="48"/>
      <c r="V308" s="77">
        <v>-2.109334</v>
      </c>
      <c r="W308" s="48">
        <v>106.08140899999999</v>
      </c>
      <c r="X308" s="50"/>
      <c r="Y308" s="50"/>
      <c r="Z308" s="48"/>
      <c r="AA308" s="81"/>
      <c r="AB308" s="50"/>
      <c r="AC308" s="51">
        <f t="shared" si="20"/>
        <v>0.92307692307692313</v>
      </c>
      <c r="AD308" s="51">
        <f t="shared" si="21"/>
        <v>1</v>
      </c>
    </row>
    <row r="309" spans="1:30" s="49" customFormat="1" ht="25">
      <c r="A309" s="30">
        <v>304</v>
      </c>
      <c r="B309" s="48" t="s">
        <v>731</v>
      </c>
      <c r="C309" s="49" t="s">
        <v>34</v>
      </c>
      <c r="D309" s="48" t="s">
        <v>60</v>
      </c>
      <c r="E309" s="48" t="s">
        <v>70</v>
      </c>
      <c r="F309" s="49" t="s">
        <v>74</v>
      </c>
      <c r="G309" s="49" t="s">
        <v>732</v>
      </c>
      <c r="H309" s="49" t="s">
        <v>517</v>
      </c>
      <c r="I309" s="49" t="s">
        <v>112</v>
      </c>
      <c r="J309" s="49">
        <v>2021</v>
      </c>
      <c r="K309" s="49">
        <v>34</v>
      </c>
      <c r="L309" s="48">
        <v>34</v>
      </c>
      <c r="M309" s="49">
        <v>34</v>
      </c>
      <c r="N309" s="49" t="s">
        <v>41</v>
      </c>
      <c r="O309" s="49" t="s">
        <v>42</v>
      </c>
      <c r="Q309" s="21" t="s">
        <v>43</v>
      </c>
      <c r="R309" s="21" t="s">
        <v>88</v>
      </c>
      <c r="S309" s="48"/>
      <c r="T309" s="48"/>
      <c r="U309" s="48"/>
      <c r="V309" s="77"/>
      <c r="W309" s="48"/>
      <c r="X309" s="50"/>
      <c r="Y309" s="50"/>
      <c r="Z309" s="48"/>
      <c r="AA309" s="81"/>
      <c r="AB309" s="50"/>
      <c r="AC309" s="51">
        <f t="shared" ref="AC309:AC340" si="22">IF(A309="","",IFERROR(L309/K309,0))</f>
        <v>1</v>
      </c>
      <c r="AD309" s="51">
        <f t="shared" ref="AD309:AD340" si="23">IF(A309="","",IFERROR(M309/L309,0))</f>
        <v>1</v>
      </c>
    </row>
    <row r="310" spans="1:30" s="49" customFormat="1" ht="25">
      <c r="A310" s="29">
        <v>305</v>
      </c>
      <c r="B310" s="48" t="s">
        <v>733</v>
      </c>
      <c r="C310" s="49" t="s">
        <v>34</v>
      </c>
      <c r="D310" s="48" t="s">
        <v>35</v>
      </c>
      <c r="E310" s="48" t="s">
        <v>36</v>
      </c>
      <c r="F310" s="49" t="s">
        <v>730</v>
      </c>
      <c r="G310" s="49" t="s">
        <v>732</v>
      </c>
      <c r="H310" s="49" t="s">
        <v>734</v>
      </c>
      <c r="I310" s="49" t="s">
        <v>112</v>
      </c>
      <c r="J310" s="49">
        <v>2022</v>
      </c>
      <c r="K310" s="49">
        <v>58</v>
      </c>
      <c r="L310" s="48">
        <v>58</v>
      </c>
      <c r="M310" s="49">
        <v>0</v>
      </c>
      <c r="N310" s="49" t="s">
        <v>41</v>
      </c>
      <c r="O310" s="49" t="s">
        <v>42</v>
      </c>
      <c r="Q310" s="21" t="s">
        <v>43</v>
      </c>
      <c r="R310" s="49" t="s">
        <v>88</v>
      </c>
      <c r="S310" s="48"/>
      <c r="T310" s="48"/>
      <c r="U310" s="48"/>
      <c r="V310" s="77">
        <v>-2.1086290000000001</v>
      </c>
      <c r="W310" s="48">
        <v>106.080664</v>
      </c>
      <c r="X310" s="50"/>
      <c r="Y310" s="50"/>
      <c r="Z310" s="48"/>
      <c r="AA310" s="81"/>
      <c r="AB310" s="50"/>
      <c r="AC310" s="51">
        <f t="shared" si="22"/>
        <v>1</v>
      </c>
      <c r="AD310" s="51">
        <f t="shared" si="23"/>
        <v>0</v>
      </c>
    </row>
    <row r="311" spans="1:30" s="49" customFormat="1" ht="25">
      <c r="A311" s="30">
        <v>306</v>
      </c>
      <c r="B311" s="48" t="s">
        <v>735</v>
      </c>
      <c r="C311" s="49" t="s">
        <v>34</v>
      </c>
      <c r="D311" s="48" t="s">
        <v>60</v>
      </c>
      <c r="E311" s="48" t="s">
        <v>61</v>
      </c>
      <c r="F311" s="49" t="s">
        <v>736</v>
      </c>
      <c r="G311" s="49" t="s">
        <v>732</v>
      </c>
      <c r="H311" s="49" t="s">
        <v>517</v>
      </c>
      <c r="I311" s="49" t="s">
        <v>112</v>
      </c>
      <c r="J311" s="49">
        <v>2022</v>
      </c>
      <c r="K311" s="49">
        <v>36</v>
      </c>
      <c r="L311" s="48">
        <v>33</v>
      </c>
      <c r="M311" s="49">
        <v>33</v>
      </c>
      <c r="N311" s="49" t="s">
        <v>41</v>
      </c>
      <c r="O311" s="49" t="s">
        <v>42</v>
      </c>
      <c r="Q311" s="21" t="s">
        <v>43</v>
      </c>
      <c r="S311" s="48"/>
      <c r="T311" s="48"/>
      <c r="U311" s="48"/>
      <c r="V311" s="77">
        <v>-2.1061350000000001</v>
      </c>
      <c r="W311" s="48">
        <v>106.102529</v>
      </c>
      <c r="X311" s="50"/>
      <c r="Y311" s="50"/>
      <c r="Z311" s="48"/>
      <c r="AA311" s="81"/>
      <c r="AB311" s="50"/>
      <c r="AC311" s="51">
        <f t="shared" si="22"/>
        <v>0.91666666666666663</v>
      </c>
      <c r="AD311" s="51">
        <f t="shared" si="23"/>
        <v>1</v>
      </c>
    </row>
    <row r="312" spans="1:30" s="49" customFormat="1" ht="25">
      <c r="A312" s="29">
        <v>307</v>
      </c>
      <c r="B312" s="48" t="s">
        <v>737</v>
      </c>
      <c r="C312" s="49" t="s">
        <v>34</v>
      </c>
      <c r="D312" s="48" t="s">
        <v>35</v>
      </c>
      <c r="E312" s="48" t="s">
        <v>36</v>
      </c>
      <c r="F312" s="49" t="s">
        <v>104</v>
      </c>
      <c r="G312" s="49" t="s">
        <v>732</v>
      </c>
      <c r="H312" s="49" t="s">
        <v>734</v>
      </c>
      <c r="I312" s="49" t="s">
        <v>112</v>
      </c>
      <c r="J312" s="49">
        <v>2023</v>
      </c>
      <c r="K312" s="49">
        <v>35</v>
      </c>
      <c r="L312" s="48">
        <v>29</v>
      </c>
      <c r="M312" s="49">
        <v>21</v>
      </c>
      <c r="N312" s="49" t="s">
        <v>41</v>
      </c>
      <c r="O312" s="49" t="s">
        <v>42</v>
      </c>
      <c r="Q312" s="21" t="s">
        <v>43</v>
      </c>
      <c r="R312" s="21" t="s">
        <v>88</v>
      </c>
      <c r="S312" s="48"/>
      <c r="T312" s="48"/>
      <c r="U312" s="48"/>
      <c r="V312" s="77">
        <v>-2.1097893000000001</v>
      </c>
      <c r="W312" s="48">
        <v>106.0797096</v>
      </c>
      <c r="X312" s="50"/>
      <c r="Y312" s="50"/>
      <c r="Z312" s="48"/>
      <c r="AA312" s="81"/>
      <c r="AB312" s="50"/>
      <c r="AC312" s="51">
        <f t="shared" si="22"/>
        <v>0.82857142857142863</v>
      </c>
      <c r="AD312" s="51">
        <f t="shared" si="23"/>
        <v>0.72413793103448276</v>
      </c>
    </row>
    <row r="313" spans="1:30" s="49" customFormat="1" ht="25">
      <c r="A313" s="30">
        <v>308</v>
      </c>
      <c r="B313" s="48" t="s">
        <v>738</v>
      </c>
      <c r="C313" s="49" t="s">
        <v>34</v>
      </c>
      <c r="D313" s="48" t="s">
        <v>60</v>
      </c>
      <c r="E313" s="48" t="s">
        <v>60</v>
      </c>
      <c r="F313" s="49" t="s">
        <v>739</v>
      </c>
      <c r="G313" s="49" t="s">
        <v>732</v>
      </c>
      <c r="H313" s="49" t="s">
        <v>734</v>
      </c>
      <c r="I313" s="49" t="s">
        <v>112</v>
      </c>
      <c r="J313" s="49">
        <v>2024</v>
      </c>
      <c r="K313" s="49">
        <v>62</v>
      </c>
      <c r="L313" s="48">
        <v>0</v>
      </c>
      <c r="M313" s="49">
        <v>0</v>
      </c>
      <c r="N313" s="49" t="s">
        <v>41</v>
      </c>
      <c r="O313" s="49" t="s">
        <v>42</v>
      </c>
      <c r="Q313" s="21" t="s">
        <v>43</v>
      </c>
      <c r="R313" s="49" t="s">
        <v>88</v>
      </c>
      <c r="S313" s="48"/>
      <c r="T313" s="48"/>
      <c r="U313" s="48"/>
      <c r="V313" s="77">
        <v>-2.10541</v>
      </c>
      <c r="W313" s="48">
        <v>106.107096</v>
      </c>
      <c r="X313" s="50"/>
      <c r="Y313" s="50"/>
      <c r="Z313" s="48"/>
      <c r="AA313" s="81"/>
      <c r="AB313" s="50"/>
      <c r="AC313" s="51">
        <f t="shared" si="22"/>
        <v>0</v>
      </c>
      <c r="AD313" s="51">
        <f t="shared" si="23"/>
        <v>0</v>
      </c>
    </row>
    <row r="314" spans="1:30" s="49" customFormat="1" ht="25">
      <c r="A314" s="29">
        <v>309</v>
      </c>
      <c r="B314" s="48" t="s">
        <v>740</v>
      </c>
      <c r="C314" s="49" t="s">
        <v>34</v>
      </c>
      <c r="D314" s="48" t="s">
        <v>35</v>
      </c>
      <c r="E314" s="48" t="s">
        <v>136</v>
      </c>
      <c r="F314" s="49" t="s">
        <v>62</v>
      </c>
      <c r="G314" s="49" t="s">
        <v>732</v>
      </c>
      <c r="H314" s="49" t="s">
        <v>517</v>
      </c>
      <c r="I314" s="49" t="s">
        <v>112</v>
      </c>
      <c r="J314" s="49">
        <v>2019</v>
      </c>
      <c r="K314" s="49">
        <v>115</v>
      </c>
      <c r="L314" s="48">
        <v>115</v>
      </c>
      <c r="M314" s="49">
        <v>115</v>
      </c>
      <c r="N314" s="49" t="s">
        <v>41</v>
      </c>
      <c r="O314" s="49" t="s">
        <v>42</v>
      </c>
      <c r="Q314" s="21" t="s">
        <v>43</v>
      </c>
      <c r="S314" s="48"/>
      <c r="T314" s="48"/>
      <c r="U314" s="48"/>
      <c r="V314" s="77">
        <v>-2.1040869999999998</v>
      </c>
      <c r="W314" s="48">
        <v>106.09254199999999</v>
      </c>
      <c r="X314" s="50"/>
      <c r="Y314" s="50"/>
      <c r="Z314" s="48"/>
      <c r="AA314" s="81"/>
      <c r="AB314" s="50"/>
      <c r="AC314" s="51">
        <f t="shared" si="22"/>
        <v>1</v>
      </c>
      <c r="AD314" s="51">
        <f t="shared" si="23"/>
        <v>1</v>
      </c>
    </row>
    <row r="315" spans="1:30" s="49" customFormat="1" ht="25">
      <c r="A315" s="30">
        <v>310</v>
      </c>
      <c r="B315" s="48" t="s">
        <v>741</v>
      </c>
      <c r="C315" s="49" t="s">
        <v>34</v>
      </c>
      <c r="D315" s="48" t="s">
        <v>35</v>
      </c>
      <c r="E315" s="48" t="s">
        <v>136</v>
      </c>
      <c r="F315" s="49" t="s">
        <v>62</v>
      </c>
      <c r="G315" s="49" t="s">
        <v>732</v>
      </c>
      <c r="H315" s="49" t="s">
        <v>517</v>
      </c>
      <c r="I315" s="49" t="s">
        <v>112</v>
      </c>
      <c r="J315" s="49">
        <v>2019</v>
      </c>
      <c r="K315" s="49">
        <v>83</v>
      </c>
      <c r="L315" s="48">
        <v>78</v>
      </c>
      <c r="M315" s="49">
        <v>78</v>
      </c>
      <c r="N315" s="49" t="s">
        <v>41</v>
      </c>
      <c r="O315" s="49" t="s">
        <v>42</v>
      </c>
      <c r="Q315" s="21" t="s">
        <v>43</v>
      </c>
      <c r="S315" s="48"/>
      <c r="T315" s="48"/>
      <c r="U315" s="48"/>
      <c r="V315" s="77">
        <v>-2.1046480000000001</v>
      </c>
      <c r="W315" s="48">
        <v>106.093439</v>
      </c>
      <c r="X315" s="50"/>
      <c r="Y315" s="50"/>
      <c r="Z315" s="48"/>
      <c r="AA315" s="81"/>
      <c r="AB315" s="50"/>
      <c r="AC315" s="51">
        <f t="shared" si="22"/>
        <v>0.93975903614457834</v>
      </c>
      <c r="AD315" s="51">
        <f t="shared" si="23"/>
        <v>1</v>
      </c>
    </row>
    <row r="316" spans="1:30" s="49" customFormat="1" ht="12.5">
      <c r="A316" s="29">
        <v>311</v>
      </c>
      <c r="B316" s="48" t="s">
        <v>742</v>
      </c>
      <c r="C316" s="49" t="s">
        <v>170</v>
      </c>
      <c r="D316" s="48" t="s">
        <v>81</v>
      </c>
      <c r="E316" s="48" t="s">
        <v>202</v>
      </c>
      <c r="F316" s="49" t="s">
        <v>743</v>
      </c>
      <c r="G316" s="49" t="s">
        <v>42</v>
      </c>
      <c r="H316" s="49" t="s">
        <v>42</v>
      </c>
      <c r="I316" s="49" t="s">
        <v>42</v>
      </c>
      <c r="J316" s="49" t="s">
        <v>42</v>
      </c>
      <c r="K316" s="49">
        <v>90</v>
      </c>
      <c r="L316" s="48">
        <v>0</v>
      </c>
      <c r="M316" s="49">
        <v>0</v>
      </c>
      <c r="N316" s="49" t="s">
        <v>41</v>
      </c>
      <c r="O316" s="49" t="s">
        <v>42</v>
      </c>
      <c r="Q316" s="49" t="s">
        <v>72</v>
      </c>
      <c r="S316" s="48"/>
      <c r="T316" s="48"/>
      <c r="U316" s="48"/>
      <c r="V316" s="77"/>
      <c r="W316" s="48"/>
      <c r="X316" s="50"/>
      <c r="Y316" s="50"/>
      <c r="Z316" s="48"/>
      <c r="AA316" s="81"/>
      <c r="AB316" s="50"/>
      <c r="AC316" s="51">
        <f t="shared" si="22"/>
        <v>0</v>
      </c>
      <c r="AD316" s="51">
        <f t="shared" si="23"/>
        <v>0</v>
      </c>
    </row>
    <row r="317" spans="1:30" s="49" customFormat="1" ht="25">
      <c r="A317" s="30">
        <v>312</v>
      </c>
      <c r="B317" s="48" t="s">
        <v>744</v>
      </c>
      <c r="C317" s="49" t="s">
        <v>34</v>
      </c>
      <c r="D317" s="48" t="s">
        <v>35</v>
      </c>
      <c r="E317" s="48" t="s">
        <v>36</v>
      </c>
      <c r="F317" s="49" t="s">
        <v>394</v>
      </c>
      <c r="G317" s="49" t="s">
        <v>745</v>
      </c>
      <c r="H317" s="49" t="s">
        <v>746</v>
      </c>
      <c r="I317" s="49" t="s">
        <v>86</v>
      </c>
      <c r="J317" s="49">
        <v>2015</v>
      </c>
      <c r="K317" s="49">
        <v>75</v>
      </c>
      <c r="L317" s="48">
        <v>43</v>
      </c>
      <c r="M317" s="49">
        <v>43</v>
      </c>
      <c r="N317" s="49" t="s">
        <v>41</v>
      </c>
      <c r="O317" s="49" t="s">
        <v>42</v>
      </c>
      <c r="Q317" s="21" t="s">
        <v>43</v>
      </c>
      <c r="R317" s="21" t="s">
        <v>88</v>
      </c>
      <c r="S317" s="48"/>
      <c r="T317" s="48"/>
      <c r="U317" s="48"/>
      <c r="V317" s="77"/>
      <c r="W317" s="48"/>
      <c r="X317" s="50"/>
      <c r="Y317" s="50"/>
      <c r="Z317" s="48"/>
      <c r="AA317" s="81"/>
      <c r="AB317" s="50"/>
      <c r="AC317" s="51">
        <f t="shared" si="22"/>
        <v>0.57333333333333336</v>
      </c>
      <c r="AD317" s="51">
        <f t="shared" si="23"/>
        <v>1</v>
      </c>
    </row>
    <row r="318" spans="1:30" s="49" customFormat="1" ht="25">
      <c r="A318" s="29">
        <v>313</v>
      </c>
      <c r="B318" s="48" t="s">
        <v>747</v>
      </c>
      <c r="C318" s="49" t="s">
        <v>34</v>
      </c>
      <c r="D318" s="48" t="s">
        <v>35</v>
      </c>
      <c r="E318" s="48" t="s">
        <v>184</v>
      </c>
      <c r="F318" s="49" t="s">
        <v>185</v>
      </c>
      <c r="G318" s="49" t="s">
        <v>745</v>
      </c>
      <c r="H318" s="49" t="s">
        <v>746</v>
      </c>
      <c r="I318" s="49" t="s">
        <v>86</v>
      </c>
      <c r="J318" s="49">
        <v>2018</v>
      </c>
      <c r="K318" s="49">
        <v>45</v>
      </c>
      <c r="L318" s="48">
        <v>43</v>
      </c>
      <c r="M318" s="49">
        <v>43</v>
      </c>
      <c r="N318" s="49" t="s">
        <v>41</v>
      </c>
      <c r="O318" s="49" t="s">
        <v>42</v>
      </c>
      <c r="Q318" s="21" t="s">
        <v>43</v>
      </c>
      <c r="S318" s="48"/>
      <c r="T318" s="48"/>
      <c r="U318" s="48"/>
      <c r="V318" s="77">
        <v>-2.1097419999999998</v>
      </c>
      <c r="W318" s="48">
        <v>106.090282</v>
      </c>
      <c r="X318" s="50"/>
      <c r="Y318" s="50"/>
      <c r="Z318" s="48"/>
      <c r="AA318" s="81"/>
      <c r="AB318" s="50"/>
      <c r="AC318" s="51">
        <f t="shared" si="22"/>
        <v>0.9555555555555556</v>
      </c>
      <c r="AD318" s="51">
        <f t="shared" si="23"/>
        <v>1</v>
      </c>
    </row>
    <row r="319" spans="1:30" s="49" customFormat="1" ht="25">
      <c r="A319" s="30">
        <v>314</v>
      </c>
      <c r="B319" s="48" t="s">
        <v>748</v>
      </c>
      <c r="C319" s="49" t="s">
        <v>34</v>
      </c>
      <c r="D319" s="48" t="s">
        <v>35</v>
      </c>
      <c r="E319" s="48" t="s">
        <v>136</v>
      </c>
      <c r="F319" s="49" t="s">
        <v>185</v>
      </c>
      <c r="G319" s="49" t="s">
        <v>749</v>
      </c>
      <c r="H319" s="49" t="s">
        <v>746</v>
      </c>
      <c r="I319" s="49" t="s">
        <v>86</v>
      </c>
      <c r="J319" s="49">
        <v>2018</v>
      </c>
      <c r="K319" s="49">
        <v>58</v>
      </c>
      <c r="L319" s="48">
        <v>0</v>
      </c>
      <c r="M319" s="49">
        <v>0</v>
      </c>
      <c r="N319" s="49" t="s">
        <v>41</v>
      </c>
      <c r="O319" s="49" t="s">
        <v>42</v>
      </c>
      <c r="Q319" s="21" t="s">
        <v>43</v>
      </c>
      <c r="S319" s="48"/>
      <c r="T319" s="48"/>
      <c r="U319" s="48"/>
      <c r="V319" s="77">
        <v>-2.1087570000000002</v>
      </c>
      <c r="W319" s="48">
        <v>106.08998630000001</v>
      </c>
      <c r="X319" s="50"/>
      <c r="Y319" s="50"/>
      <c r="Z319" s="48"/>
      <c r="AA319" s="81"/>
      <c r="AB319" s="50"/>
      <c r="AC319" s="51">
        <f t="shared" si="22"/>
        <v>0</v>
      </c>
      <c r="AD319" s="51">
        <f t="shared" si="23"/>
        <v>0</v>
      </c>
    </row>
    <row r="320" spans="1:30" s="49" customFormat="1" ht="25">
      <c r="A320" s="29">
        <v>315</v>
      </c>
      <c r="B320" s="48" t="s">
        <v>750</v>
      </c>
      <c r="C320" s="49" t="s">
        <v>34</v>
      </c>
      <c r="D320" s="48" t="s">
        <v>81</v>
      </c>
      <c r="E320" s="48" t="s">
        <v>202</v>
      </c>
      <c r="F320" s="49" t="s">
        <v>453</v>
      </c>
      <c r="G320" s="49" t="s">
        <v>751</v>
      </c>
      <c r="H320" s="49" t="s">
        <v>752</v>
      </c>
      <c r="I320" s="49" t="s">
        <v>86</v>
      </c>
      <c r="J320" s="49">
        <v>2021</v>
      </c>
      <c r="K320" s="49">
        <v>35</v>
      </c>
      <c r="L320" s="48">
        <v>19</v>
      </c>
      <c r="M320" s="49">
        <v>17</v>
      </c>
      <c r="N320" s="49" t="s">
        <v>41</v>
      </c>
      <c r="O320" s="49" t="s">
        <v>42</v>
      </c>
      <c r="Q320" s="21" t="s">
        <v>43</v>
      </c>
      <c r="R320" s="21" t="s">
        <v>88</v>
      </c>
      <c r="S320" s="48"/>
      <c r="T320" s="48"/>
      <c r="U320" s="48"/>
      <c r="V320" s="77">
        <v>-2.1572900000000002</v>
      </c>
      <c r="W320" s="48">
        <v>106.15357899999999</v>
      </c>
      <c r="X320" s="50"/>
      <c r="Y320" s="50"/>
      <c r="Z320" s="48"/>
      <c r="AA320" s="81">
        <v>46222</v>
      </c>
      <c r="AB320" s="50"/>
      <c r="AC320" s="51">
        <f t="shared" si="22"/>
        <v>0.54285714285714282</v>
      </c>
      <c r="AD320" s="51">
        <f t="shared" si="23"/>
        <v>0.89473684210526316</v>
      </c>
    </row>
    <row r="321" spans="1:30" s="49" customFormat="1" ht="25">
      <c r="A321" s="30">
        <v>316</v>
      </c>
      <c r="B321" s="48" t="s">
        <v>753</v>
      </c>
      <c r="C321" s="49" t="s">
        <v>34</v>
      </c>
      <c r="D321" s="48" t="s">
        <v>60</v>
      </c>
      <c r="E321" s="48" t="s">
        <v>70</v>
      </c>
      <c r="F321" s="49" t="s">
        <v>470</v>
      </c>
      <c r="G321" s="49" t="s">
        <v>754</v>
      </c>
      <c r="H321" s="49" t="s">
        <v>336</v>
      </c>
      <c r="I321" s="49" t="s">
        <v>42</v>
      </c>
      <c r="J321" s="49">
        <v>2017</v>
      </c>
      <c r="K321" s="49">
        <v>38</v>
      </c>
      <c r="L321" s="48">
        <v>29</v>
      </c>
      <c r="M321" s="49">
        <v>29</v>
      </c>
      <c r="N321" s="49" t="s">
        <v>41</v>
      </c>
      <c r="O321" s="49" t="s">
        <v>42</v>
      </c>
      <c r="Q321" s="21" t="s">
        <v>43</v>
      </c>
      <c r="S321" s="48"/>
      <c r="T321" s="48"/>
      <c r="U321" s="48"/>
      <c r="V321" s="77"/>
      <c r="W321" s="48"/>
      <c r="X321" s="50"/>
      <c r="Y321" s="50"/>
      <c r="Z321" s="48"/>
      <c r="AA321" s="81"/>
      <c r="AB321" s="50"/>
      <c r="AC321" s="51">
        <f t="shared" si="22"/>
        <v>0.76315789473684215</v>
      </c>
      <c r="AD321" s="51">
        <f t="shared" si="23"/>
        <v>1</v>
      </c>
    </row>
    <row r="322" spans="1:30" s="49" customFormat="1" ht="25">
      <c r="A322" s="29">
        <v>317</v>
      </c>
      <c r="B322" s="48" t="s">
        <v>755</v>
      </c>
      <c r="C322" s="49" t="s">
        <v>34</v>
      </c>
      <c r="D322" s="48" t="s">
        <v>35</v>
      </c>
      <c r="E322" s="48" t="s">
        <v>36</v>
      </c>
      <c r="F322" s="49" t="s">
        <v>62</v>
      </c>
      <c r="G322" s="49" t="s">
        <v>354</v>
      </c>
      <c r="H322" s="49" t="s">
        <v>355</v>
      </c>
      <c r="I322" s="49" t="s">
        <v>112</v>
      </c>
      <c r="J322" s="49">
        <v>2017</v>
      </c>
      <c r="K322" s="49">
        <v>100</v>
      </c>
      <c r="L322" s="48">
        <v>98</v>
      </c>
      <c r="M322" s="49">
        <v>98</v>
      </c>
      <c r="N322" s="49" t="s">
        <v>41</v>
      </c>
      <c r="O322" s="49" t="s">
        <v>42</v>
      </c>
      <c r="Q322" s="21" t="s">
        <v>43</v>
      </c>
      <c r="R322" s="21" t="s">
        <v>88</v>
      </c>
      <c r="S322" s="48"/>
      <c r="T322" s="48"/>
      <c r="U322" s="48"/>
      <c r="V322" s="77">
        <v>-2.1049924</v>
      </c>
      <c r="W322" s="48">
        <v>106.0809118</v>
      </c>
      <c r="X322" s="50"/>
      <c r="Y322" s="50"/>
      <c r="Z322" s="48"/>
      <c r="AA322" s="81"/>
      <c r="AB322" s="50"/>
      <c r="AC322" s="51">
        <f t="shared" si="22"/>
        <v>0.98</v>
      </c>
      <c r="AD322" s="51">
        <f t="shared" si="23"/>
        <v>1</v>
      </c>
    </row>
    <row r="323" spans="1:30" s="49" customFormat="1" ht="25">
      <c r="A323" s="30">
        <v>318</v>
      </c>
      <c r="B323" s="48" t="s">
        <v>756</v>
      </c>
      <c r="C323" s="49" t="s">
        <v>34</v>
      </c>
      <c r="D323" s="48" t="s">
        <v>304</v>
      </c>
      <c r="E323" s="48" t="s">
        <v>305</v>
      </c>
      <c r="F323" s="49" t="s">
        <v>757</v>
      </c>
      <c r="G323" s="49" t="s">
        <v>42</v>
      </c>
      <c r="H323" s="49" t="s">
        <v>42</v>
      </c>
      <c r="I323" s="49" t="s">
        <v>42</v>
      </c>
      <c r="J323" s="49">
        <v>2016</v>
      </c>
      <c r="K323" s="49">
        <v>45</v>
      </c>
      <c r="L323" s="48">
        <v>45</v>
      </c>
      <c r="M323" s="49">
        <v>45</v>
      </c>
      <c r="N323" s="49" t="s">
        <v>41</v>
      </c>
      <c r="O323" s="49" t="s">
        <v>42</v>
      </c>
      <c r="Q323" s="21" t="s">
        <v>43</v>
      </c>
      <c r="R323" s="21" t="s">
        <v>88</v>
      </c>
      <c r="S323" s="48"/>
      <c r="T323" s="48"/>
      <c r="U323" s="48"/>
      <c r="V323" s="77"/>
      <c r="W323" s="48"/>
      <c r="X323" s="50"/>
      <c r="Y323" s="50"/>
      <c r="Z323" s="48"/>
      <c r="AA323" s="81"/>
      <c r="AB323" s="50"/>
      <c r="AC323" s="51">
        <f t="shared" si="22"/>
        <v>1</v>
      </c>
      <c r="AD323" s="51">
        <f t="shared" si="23"/>
        <v>1</v>
      </c>
    </row>
    <row r="324" spans="1:30" s="49" customFormat="1" ht="25">
      <c r="A324" s="29">
        <v>319</v>
      </c>
      <c r="B324" s="48" t="s">
        <v>758</v>
      </c>
      <c r="C324" s="49" t="s">
        <v>34</v>
      </c>
      <c r="D324" s="48" t="s">
        <v>304</v>
      </c>
      <c r="E324" s="48" t="s">
        <v>305</v>
      </c>
      <c r="F324" s="49" t="s">
        <v>759</v>
      </c>
      <c r="G324" s="49" t="s">
        <v>42</v>
      </c>
      <c r="H324" s="49" t="s">
        <v>42</v>
      </c>
      <c r="I324" s="49" t="s">
        <v>42</v>
      </c>
      <c r="J324" s="49" t="s">
        <v>42</v>
      </c>
      <c r="K324" s="49">
        <v>18</v>
      </c>
      <c r="L324" s="48">
        <v>18</v>
      </c>
      <c r="M324" s="49">
        <v>18</v>
      </c>
      <c r="N324" s="49" t="s">
        <v>41</v>
      </c>
      <c r="O324" s="49" t="s">
        <v>42</v>
      </c>
      <c r="Q324" s="21" t="s">
        <v>43</v>
      </c>
      <c r="S324" s="48"/>
      <c r="T324" s="48"/>
      <c r="U324" s="48"/>
      <c r="V324" s="77">
        <v>-2.1483458</v>
      </c>
      <c r="W324" s="48">
        <v>106.1082993</v>
      </c>
      <c r="X324" s="50"/>
      <c r="Y324" s="50"/>
      <c r="Z324" s="48"/>
      <c r="AA324" s="81"/>
      <c r="AB324" s="50"/>
      <c r="AC324" s="51">
        <f t="shared" si="22"/>
        <v>1</v>
      </c>
      <c r="AD324" s="51">
        <f t="shared" si="23"/>
        <v>1</v>
      </c>
    </row>
    <row r="325" spans="1:30" s="49" customFormat="1" ht="25">
      <c r="A325" s="30">
        <v>320</v>
      </c>
      <c r="B325" s="48" t="s">
        <v>760</v>
      </c>
      <c r="C325" s="49" t="s">
        <v>34</v>
      </c>
      <c r="D325" s="48" t="s">
        <v>35</v>
      </c>
      <c r="E325" s="48" t="s">
        <v>36</v>
      </c>
      <c r="F325" s="49" t="s">
        <v>761</v>
      </c>
      <c r="G325" s="49" t="s">
        <v>762</v>
      </c>
      <c r="H325" s="49" t="s">
        <v>763</v>
      </c>
      <c r="I325" s="49" t="s">
        <v>86</v>
      </c>
      <c r="J325" s="49">
        <v>2017</v>
      </c>
      <c r="K325" s="49">
        <v>101</v>
      </c>
      <c r="L325" s="48">
        <v>93</v>
      </c>
      <c r="M325" s="49">
        <v>92</v>
      </c>
      <c r="N325" s="49" t="s">
        <v>48</v>
      </c>
      <c r="O325" s="49">
        <v>2022</v>
      </c>
      <c r="Q325" s="21" t="s">
        <v>43</v>
      </c>
      <c r="S325" s="48"/>
      <c r="T325" s="48" t="s">
        <v>44</v>
      </c>
      <c r="U325" s="48"/>
      <c r="V325" s="77">
        <v>-2.1053109000000001</v>
      </c>
      <c r="W325" s="48">
        <v>106.0879218</v>
      </c>
      <c r="X325" s="50"/>
      <c r="Y325" s="50"/>
      <c r="Z325" s="48"/>
      <c r="AA325" s="81"/>
      <c r="AB325" s="50"/>
      <c r="AC325" s="51">
        <f t="shared" si="22"/>
        <v>0.92079207920792083</v>
      </c>
      <c r="AD325" s="51">
        <f t="shared" si="23"/>
        <v>0.989247311827957</v>
      </c>
    </row>
    <row r="326" spans="1:30" s="49" customFormat="1" ht="25">
      <c r="A326" s="29">
        <v>321</v>
      </c>
      <c r="B326" s="48" t="s">
        <v>764</v>
      </c>
      <c r="C326" s="49" t="s">
        <v>34</v>
      </c>
      <c r="D326" s="48" t="s">
        <v>35</v>
      </c>
      <c r="E326" s="48" t="s">
        <v>36</v>
      </c>
      <c r="F326" s="49" t="s">
        <v>765</v>
      </c>
      <c r="G326" s="49" t="s">
        <v>354</v>
      </c>
      <c r="H326" s="49" t="s">
        <v>355</v>
      </c>
      <c r="I326" s="49" t="s">
        <v>112</v>
      </c>
      <c r="J326" s="49">
        <v>2016</v>
      </c>
      <c r="K326" s="49">
        <v>36</v>
      </c>
      <c r="L326" s="48">
        <v>36</v>
      </c>
      <c r="M326" s="49">
        <v>34</v>
      </c>
      <c r="N326" s="49" t="s">
        <v>48</v>
      </c>
      <c r="O326" s="49">
        <v>2023</v>
      </c>
      <c r="Q326" s="21" t="s">
        <v>43</v>
      </c>
      <c r="S326" s="48"/>
      <c r="T326" s="48"/>
      <c r="U326" s="48"/>
      <c r="V326" s="77">
        <v>-2.1001536000000001</v>
      </c>
      <c r="W326" s="48">
        <v>106.08345679999999</v>
      </c>
      <c r="X326" s="50"/>
      <c r="Y326" s="50"/>
      <c r="Z326" s="48"/>
      <c r="AA326" s="81"/>
      <c r="AB326" s="50"/>
      <c r="AC326" s="51">
        <f t="shared" si="22"/>
        <v>1</v>
      </c>
      <c r="AD326" s="51">
        <f t="shared" si="23"/>
        <v>0.94444444444444442</v>
      </c>
    </row>
    <row r="327" spans="1:30" s="49" customFormat="1" ht="25">
      <c r="A327" s="30">
        <v>322</v>
      </c>
      <c r="B327" s="48" t="s">
        <v>766</v>
      </c>
      <c r="C327" s="49" t="s">
        <v>34</v>
      </c>
      <c r="D327" s="48" t="s">
        <v>35</v>
      </c>
      <c r="E327" s="48" t="s">
        <v>36</v>
      </c>
      <c r="F327" s="49" t="s">
        <v>504</v>
      </c>
      <c r="G327" s="49" t="s">
        <v>354</v>
      </c>
      <c r="H327" s="49" t="s">
        <v>355</v>
      </c>
      <c r="I327" s="49" t="s">
        <v>112</v>
      </c>
      <c r="J327" s="49">
        <v>2015</v>
      </c>
      <c r="K327" s="49">
        <v>22</v>
      </c>
      <c r="L327" s="48">
        <v>17</v>
      </c>
      <c r="M327" s="49">
        <v>17</v>
      </c>
      <c r="N327" s="49" t="s">
        <v>48</v>
      </c>
      <c r="O327" s="49">
        <v>2023</v>
      </c>
      <c r="Q327" s="21" t="s">
        <v>43</v>
      </c>
      <c r="S327" s="48"/>
      <c r="T327" s="48"/>
      <c r="U327" s="48"/>
      <c r="V327" s="77">
        <v>-2.1023559999999999</v>
      </c>
      <c r="W327" s="48">
        <v>106.083191</v>
      </c>
      <c r="X327" s="50"/>
      <c r="Y327" s="50"/>
      <c r="Z327" s="48"/>
      <c r="AA327" s="81"/>
      <c r="AB327" s="50"/>
      <c r="AC327" s="51">
        <f t="shared" si="22"/>
        <v>0.77272727272727271</v>
      </c>
      <c r="AD327" s="51">
        <f t="shared" si="23"/>
        <v>1</v>
      </c>
    </row>
    <row r="328" spans="1:30" s="49" customFormat="1" ht="12.5">
      <c r="A328" s="29">
        <v>323</v>
      </c>
      <c r="B328" s="48" t="s">
        <v>767</v>
      </c>
      <c r="C328" s="49" t="s">
        <v>170</v>
      </c>
      <c r="D328" s="48" t="s">
        <v>81</v>
      </c>
      <c r="E328" s="48" t="s">
        <v>122</v>
      </c>
      <c r="F328" s="49" t="s">
        <v>163</v>
      </c>
      <c r="G328" s="49" t="s">
        <v>768</v>
      </c>
      <c r="H328" s="49" t="s">
        <v>769</v>
      </c>
      <c r="I328" s="49" t="s">
        <v>86</v>
      </c>
      <c r="J328" s="49" t="s">
        <v>42</v>
      </c>
      <c r="K328" s="49">
        <v>378</v>
      </c>
      <c r="L328" s="48">
        <v>257</v>
      </c>
      <c r="M328" s="49">
        <v>174</v>
      </c>
      <c r="N328" s="49" t="s">
        <v>48</v>
      </c>
      <c r="O328" s="49">
        <v>2020</v>
      </c>
      <c r="Q328" s="49" t="s">
        <v>72</v>
      </c>
      <c r="R328" s="49" t="s">
        <v>55</v>
      </c>
      <c r="S328" s="48"/>
      <c r="T328" s="48"/>
      <c r="U328" s="48"/>
      <c r="V328" s="77"/>
      <c r="W328" s="48"/>
      <c r="X328" s="50"/>
      <c r="Y328" s="50"/>
      <c r="Z328" s="48"/>
      <c r="AA328" s="81"/>
      <c r="AB328" s="50"/>
      <c r="AC328" s="51">
        <f t="shared" si="22"/>
        <v>0.67989417989417988</v>
      </c>
      <c r="AD328" s="51">
        <f t="shared" si="23"/>
        <v>0.67704280155642027</v>
      </c>
    </row>
    <row r="329" spans="1:30" s="49" customFormat="1" ht="25">
      <c r="A329" s="30">
        <v>324</v>
      </c>
      <c r="B329" s="48" t="s">
        <v>770</v>
      </c>
      <c r="C329" s="49" t="s">
        <v>34</v>
      </c>
      <c r="D329" s="48" t="s">
        <v>81</v>
      </c>
      <c r="E329" s="48" t="s">
        <v>122</v>
      </c>
      <c r="F329" s="49" t="s">
        <v>771</v>
      </c>
      <c r="G329" s="49" t="s">
        <v>772</v>
      </c>
      <c r="H329" s="49" t="s">
        <v>773</v>
      </c>
      <c r="I329" s="49" t="s">
        <v>86</v>
      </c>
      <c r="J329" s="49">
        <v>2023</v>
      </c>
      <c r="K329" s="49">
        <v>111</v>
      </c>
      <c r="L329" s="48">
        <v>51</v>
      </c>
      <c r="M329" s="49">
        <v>41</v>
      </c>
      <c r="N329" s="49" t="s">
        <v>41</v>
      </c>
      <c r="O329" s="49" t="s">
        <v>42</v>
      </c>
      <c r="Q329" s="21" t="s">
        <v>43</v>
      </c>
      <c r="R329" s="49" t="s">
        <v>88</v>
      </c>
      <c r="S329" s="48"/>
      <c r="T329" s="48"/>
      <c r="U329" s="48"/>
      <c r="V329" s="77">
        <v>-2.1357955</v>
      </c>
      <c r="W329" s="48">
        <v>106.157904</v>
      </c>
      <c r="X329" s="50"/>
      <c r="Y329" s="50"/>
      <c r="Z329" s="48"/>
      <c r="AA329" s="81"/>
      <c r="AB329" s="50"/>
      <c r="AC329" s="51">
        <f t="shared" si="22"/>
        <v>0.45945945945945948</v>
      </c>
      <c r="AD329" s="51">
        <f t="shared" si="23"/>
        <v>0.80392156862745101</v>
      </c>
    </row>
    <row r="330" spans="1:30" s="49" customFormat="1" ht="12.5">
      <c r="A330" s="29">
        <v>325</v>
      </c>
      <c r="B330" s="48" t="s">
        <v>774</v>
      </c>
      <c r="C330" s="49" t="s">
        <v>170</v>
      </c>
      <c r="D330" s="48" t="s">
        <v>81</v>
      </c>
      <c r="E330" s="48" t="s">
        <v>122</v>
      </c>
      <c r="F330" s="49" t="s">
        <v>775</v>
      </c>
      <c r="G330" s="49" t="s">
        <v>768</v>
      </c>
      <c r="H330" s="49" t="s">
        <v>769</v>
      </c>
      <c r="I330" s="49" t="s">
        <v>86</v>
      </c>
      <c r="J330" s="49" t="s">
        <v>42</v>
      </c>
      <c r="K330" s="49">
        <v>313</v>
      </c>
      <c r="L330" s="48">
        <v>112</v>
      </c>
      <c r="M330" s="49">
        <v>70</v>
      </c>
      <c r="N330" s="49" t="s">
        <v>48</v>
      </c>
      <c r="O330" s="49">
        <v>2020</v>
      </c>
      <c r="Q330" s="49" t="s">
        <v>72</v>
      </c>
      <c r="R330" s="49" t="s">
        <v>55</v>
      </c>
      <c r="S330" s="48"/>
      <c r="T330" s="48"/>
      <c r="U330" s="48"/>
      <c r="V330" s="77">
        <v>-2.1391578999999998</v>
      </c>
      <c r="W330" s="48">
        <v>106.162323</v>
      </c>
      <c r="X330" s="50"/>
      <c r="Y330" s="50"/>
      <c r="Z330" s="48"/>
      <c r="AA330" s="81"/>
      <c r="AB330" s="50"/>
      <c r="AC330" s="51">
        <f t="shared" si="22"/>
        <v>0.35782747603833864</v>
      </c>
      <c r="AD330" s="51">
        <f t="shared" si="23"/>
        <v>0.625</v>
      </c>
    </row>
    <row r="331" spans="1:30" s="49" customFormat="1" ht="12.5">
      <c r="A331" s="30">
        <v>326</v>
      </c>
      <c r="B331" s="48" t="s">
        <v>776</v>
      </c>
      <c r="C331" s="49" t="s">
        <v>170</v>
      </c>
      <c r="D331" s="48" t="s">
        <v>81</v>
      </c>
      <c r="E331" s="48" t="s">
        <v>95</v>
      </c>
      <c r="F331" s="49" t="s">
        <v>581</v>
      </c>
      <c r="G331" s="49" t="s">
        <v>768</v>
      </c>
      <c r="H331" s="49" t="s">
        <v>769</v>
      </c>
      <c r="I331" s="49" t="s">
        <v>86</v>
      </c>
      <c r="J331" s="49" t="s">
        <v>42</v>
      </c>
      <c r="K331" s="49">
        <v>200</v>
      </c>
      <c r="L331" s="48">
        <v>200</v>
      </c>
      <c r="M331" s="49">
        <v>200</v>
      </c>
      <c r="N331" s="49" t="s">
        <v>41</v>
      </c>
      <c r="O331" s="49" t="s">
        <v>42</v>
      </c>
      <c r="Q331" s="49" t="s">
        <v>72</v>
      </c>
      <c r="S331" s="48"/>
      <c r="T331" s="48"/>
      <c r="U331" s="48"/>
      <c r="V331" s="77"/>
      <c r="W331" s="48"/>
      <c r="X331" s="50"/>
      <c r="Y331" s="50"/>
      <c r="Z331" s="48"/>
      <c r="AA331" s="81"/>
      <c r="AB331" s="50"/>
      <c r="AC331" s="51">
        <f t="shared" si="22"/>
        <v>1</v>
      </c>
      <c r="AD331" s="51">
        <f t="shared" si="23"/>
        <v>1</v>
      </c>
    </row>
    <row r="332" spans="1:30" s="49" customFormat="1" ht="25">
      <c r="A332" s="29">
        <v>327</v>
      </c>
      <c r="B332" s="48" t="s">
        <v>777</v>
      </c>
      <c r="C332" s="49" t="s">
        <v>34</v>
      </c>
      <c r="D332" s="48" t="s">
        <v>81</v>
      </c>
      <c r="E332" s="48" t="s">
        <v>95</v>
      </c>
      <c r="F332" s="49" t="s">
        <v>581</v>
      </c>
      <c r="G332" s="49" t="s">
        <v>768</v>
      </c>
      <c r="H332" s="49" t="s">
        <v>769</v>
      </c>
      <c r="I332" s="49" t="s">
        <v>86</v>
      </c>
      <c r="J332" s="49">
        <v>2016</v>
      </c>
      <c r="K332" s="49">
        <v>59</v>
      </c>
      <c r="L332" s="48">
        <v>59</v>
      </c>
      <c r="M332" s="49">
        <v>57</v>
      </c>
      <c r="N332" s="49" t="s">
        <v>48</v>
      </c>
      <c r="O332" s="49">
        <v>2020</v>
      </c>
      <c r="Q332" s="21" t="s">
        <v>43</v>
      </c>
      <c r="R332" s="49" t="s">
        <v>88</v>
      </c>
      <c r="S332" s="48"/>
      <c r="T332" s="48"/>
      <c r="U332" s="48"/>
      <c r="V332" s="77"/>
      <c r="W332" s="48"/>
      <c r="X332" s="50"/>
      <c r="Y332" s="50"/>
      <c r="Z332" s="48"/>
      <c r="AA332" s="81"/>
      <c r="AB332" s="50"/>
      <c r="AC332" s="51">
        <f t="shared" si="22"/>
        <v>1</v>
      </c>
      <c r="AD332" s="51">
        <f t="shared" si="23"/>
        <v>0.96610169491525422</v>
      </c>
    </row>
    <row r="333" spans="1:30" s="49" customFormat="1" ht="25">
      <c r="A333" s="30">
        <v>328</v>
      </c>
      <c r="B333" s="48" t="s">
        <v>778</v>
      </c>
      <c r="C333" s="49" t="s">
        <v>34</v>
      </c>
      <c r="D333" s="48" t="s">
        <v>81</v>
      </c>
      <c r="E333" s="48" t="s">
        <v>202</v>
      </c>
      <c r="F333" s="49" t="s">
        <v>775</v>
      </c>
      <c r="G333" s="49" t="s">
        <v>768</v>
      </c>
      <c r="H333" s="49" t="s">
        <v>769</v>
      </c>
      <c r="I333" s="49" t="s">
        <v>86</v>
      </c>
      <c r="J333" s="49">
        <v>2019</v>
      </c>
      <c r="K333" s="49">
        <v>305</v>
      </c>
      <c r="L333" s="48">
        <v>108</v>
      </c>
      <c r="M333" s="49">
        <v>102</v>
      </c>
      <c r="N333" s="49" t="s">
        <v>41</v>
      </c>
      <c r="O333" s="49" t="s">
        <v>42</v>
      </c>
      <c r="Q333" s="21" t="s">
        <v>43</v>
      </c>
      <c r="R333" s="49" t="s">
        <v>88</v>
      </c>
      <c r="S333" s="48"/>
      <c r="T333" s="48"/>
      <c r="U333" s="48"/>
      <c r="V333" s="77"/>
      <c r="W333" s="48"/>
      <c r="X333" s="50"/>
      <c r="Y333" s="50"/>
      <c r="Z333" s="48"/>
      <c r="AA333" s="81"/>
      <c r="AB333" s="50"/>
      <c r="AC333" s="51">
        <f t="shared" si="22"/>
        <v>0.35409836065573769</v>
      </c>
      <c r="AD333" s="51">
        <f t="shared" si="23"/>
        <v>0.94444444444444442</v>
      </c>
    </row>
    <row r="334" spans="1:30" s="49" customFormat="1" ht="25">
      <c r="A334" s="29">
        <v>329</v>
      </c>
      <c r="B334" s="48" t="s">
        <v>779</v>
      </c>
      <c r="C334" s="49" t="s">
        <v>34</v>
      </c>
      <c r="D334" s="48" t="s">
        <v>60</v>
      </c>
      <c r="E334" s="48" t="s">
        <v>91</v>
      </c>
      <c r="F334" s="49" t="s">
        <v>209</v>
      </c>
      <c r="G334" s="49" t="s">
        <v>780</v>
      </c>
      <c r="H334" s="49" t="s">
        <v>781</v>
      </c>
      <c r="I334" s="49" t="s">
        <v>782</v>
      </c>
      <c r="J334" s="49">
        <v>2020</v>
      </c>
      <c r="K334" s="49">
        <v>68</v>
      </c>
      <c r="L334" s="48">
        <v>61</v>
      </c>
      <c r="M334" s="49">
        <v>12</v>
      </c>
      <c r="N334" s="49" t="s">
        <v>41</v>
      </c>
      <c r="O334" s="49" t="s">
        <v>42</v>
      </c>
      <c r="Q334" s="21" t="s">
        <v>43</v>
      </c>
      <c r="R334" s="21" t="s">
        <v>88</v>
      </c>
      <c r="S334" s="48"/>
      <c r="T334" s="48"/>
      <c r="U334" s="48"/>
      <c r="V334" s="77">
        <v>-2.0771199999999999</v>
      </c>
      <c r="W334" s="48">
        <v>106.1209532</v>
      </c>
      <c r="X334" s="50"/>
      <c r="Y334" s="50"/>
      <c r="Z334" s="48"/>
      <c r="AA334" s="81"/>
      <c r="AB334" s="50"/>
      <c r="AC334" s="51">
        <f t="shared" si="22"/>
        <v>0.8970588235294118</v>
      </c>
      <c r="AD334" s="51">
        <f t="shared" si="23"/>
        <v>0.19672131147540983</v>
      </c>
    </row>
    <row r="335" spans="1:30" s="49" customFormat="1" ht="25">
      <c r="A335" s="30">
        <v>330</v>
      </c>
      <c r="B335" s="48" t="s">
        <v>783</v>
      </c>
      <c r="C335" s="49" t="s">
        <v>34</v>
      </c>
      <c r="D335" s="48" t="s">
        <v>60</v>
      </c>
      <c r="E335" s="48" t="s">
        <v>91</v>
      </c>
      <c r="F335" s="49" t="s">
        <v>784</v>
      </c>
      <c r="G335" s="49" t="s">
        <v>780</v>
      </c>
      <c r="H335" s="49" t="s">
        <v>781</v>
      </c>
      <c r="I335" s="49" t="s">
        <v>782</v>
      </c>
      <c r="J335" s="49">
        <v>2023</v>
      </c>
      <c r="K335" s="49">
        <v>25</v>
      </c>
      <c r="L335" s="48">
        <v>6</v>
      </c>
      <c r="M335" s="49">
        <v>0</v>
      </c>
      <c r="N335" s="49" t="s">
        <v>41</v>
      </c>
      <c r="O335" s="49" t="s">
        <v>42</v>
      </c>
      <c r="Q335" s="21" t="s">
        <v>43</v>
      </c>
      <c r="R335" s="21" t="s">
        <v>88</v>
      </c>
      <c r="S335" s="48"/>
      <c r="T335" s="48"/>
      <c r="U335" s="48"/>
      <c r="V335" s="77">
        <v>-2.075809</v>
      </c>
      <c r="W335" s="48">
        <v>106.1217353</v>
      </c>
      <c r="X335" s="50"/>
      <c r="Y335" s="50"/>
      <c r="Z335" s="48"/>
      <c r="AA335" s="81"/>
      <c r="AB335" s="50"/>
      <c r="AC335" s="51">
        <f t="shared" si="22"/>
        <v>0.24</v>
      </c>
      <c r="AD335" s="51">
        <f t="shared" si="23"/>
        <v>0</v>
      </c>
    </row>
    <row r="336" spans="1:30" s="49" customFormat="1" ht="25">
      <c r="A336" s="29">
        <v>331</v>
      </c>
      <c r="B336" s="48" t="s">
        <v>785</v>
      </c>
      <c r="C336" s="49" t="s">
        <v>34</v>
      </c>
      <c r="D336" s="48" t="s">
        <v>81</v>
      </c>
      <c r="E336" s="48" t="s">
        <v>202</v>
      </c>
      <c r="F336" s="49" t="s">
        <v>419</v>
      </c>
      <c r="G336" s="49" t="s">
        <v>160</v>
      </c>
      <c r="H336" s="49" t="s">
        <v>42</v>
      </c>
      <c r="I336" s="49" t="s">
        <v>42</v>
      </c>
      <c r="J336" s="49">
        <v>2014</v>
      </c>
      <c r="K336" s="49">
        <v>123</v>
      </c>
      <c r="L336" s="48">
        <v>123</v>
      </c>
      <c r="M336" s="49">
        <v>123</v>
      </c>
      <c r="N336" s="49" t="s">
        <v>41</v>
      </c>
      <c r="O336" s="49" t="s">
        <v>42</v>
      </c>
      <c r="Q336" s="21" t="s">
        <v>43</v>
      </c>
      <c r="S336" s="48"/>
      <c r="T336" s="48"/>
      <c r="U336" s="48"/>
      <c r="V336" s="77"/>
      <c r="W336" s="48"/>
      <c r="X336" s="50"/>
      <c r="Y336" s="50"/>
      <c r="Z336" s="48"/>
      <c r="AA336" s="81"/>
      <c r="AB336" s="50"/>
      <c r="AC336" s="51">
        <f t="shared" si="22"/>
        <v>1</v>
      </c>
      <c r="AD336" s="51">
        <f t="shared" si="23"/>
        <v>1</v>
      </c>
    </row>
    <row r="337" spans="1:30" s="49" customFormat="1" ht="25">
      <c r="A337" s="30">
        <v>332</v>
      </c>
      <c r="B337" s="48" t="s">
        <v>786</v>
      </c>
      <c r="C337" s="49" t="s">
        <v>34</v>
      </c>
      <c r="D337" s="48" t="s">
        <v>60</v>
      </c>
      <c r="E337" s="48" t="s">
        <v>91</v>
      </c>
      <c r="F337" s="49" t="s">
        <v>787</v>
      </c>
      <c r="G337" s="49" t="s">
        <v>788</v>
      </c>
      <c r="H337" s="49" t="s">
        <v>789</v>
      </c>
      <c r="I337" s="49" t="s">
        <v>112</v>
      </c>
      <c r="J337" s="49">
        <v>2017</v>
      </c>
      <c r="K337" s="49">
        <v>18</v>
      </c>
      <c r="L337" s="48">
        <v>18</v>
      </c>
      <c r="M337" s="49">
        <v>18</v>
      </c>
      <c r="N337" s="49" t="s">
        <v>41</v>
      </c>
      <c r="O337" s="49" t="s">
        <v>42</v>
      </c>
      <c r="Q337" s="21" t="s">
        <v>43</v>
      </c>
      <c r="R337" s="21" t="s">
        <v>88</v>
      </c>
      <c r="S337" s="48"/>
      <c r="T337" s="48"/>
      <c r="U337" s="48"/>
      <c r="V337" s="77">
        <v>-2.080425</v>
      </c>
      <c r="W337" s="48">
        <v>106.12715</v>
      </c>
      <c r="X337" s="50"/>
      <c r="Y337" s="50"/>
      <c r="Z337" s="48"/>
      <c r="AA337" s="81"/>
      <c r="AB337" s="50"/>
      <c r="AC337" s="51">
        <f t="shared" si="22"/>
        <v>1</v>
      </c>
      <c r="AD337" s="51">
        <f t="shared" si="23"/>
        <v>1</v>
      </c>
    </row>
    <row r="338" spans="1:30" s="49" customFormat="1" ht="25">
      <c r="A338" s="29">
        <v>333</v>
      </c>
      <c r="B338" s="48" t="s">
        <v>790</v>
      </c>
      <c r="C338" s="49" t="s">
        <v>34</v>
      </c>
      <c r="D338" s="48" t="s">
        <v>60</v>
      </c>
      <c r="E338" s="48" t="s">
        <v>91</v>
      </c>
      <c r="F338" s="49" t="s">
        <v>42</v>
      </c>
      <c r="G338" s="49" t="s">
        <v>788</v>
      </c>
      <c r="H338" s="49" t="s">
        <v>42</v>
      </c>
      <c r="I338" s="49" t="s">
        <v>112</v>
      </c>
      <c r="J338" s="49" t="s">
        <v>42</v>
      </c>
      <c r="K338" s="49">
        <v>68</v>
      </c>
      <c r="L338" s="48">
        <v>68</v>
      </c>
      <c r="M338" s="49">
        <v>62</v>
      </c>
      <c r="N338" s="49" t="s">
        <v>41</v>
      </c>
      <c r="O338" s="49" t="s">
        <v>42</v>
      </c>
      <c r="Q338" s="21" t="s">
        <v>43</v>
      </c>
      <c r="S338" s="48"/>
      <c r="T338" s="48"/>
      <c r="U338" s="48"/>
      <c r="V338" s="77">
        <v>-2.0804089000000001</v>
      </c>
      <c r="W338" s="48">
        <v>106.1274526</v>
      </c>
      <c r="X338" s="50"/>
      <c r="Y338" s="50"/>
      <c r="Z338" s="48"/>
      <c r="AA338" s="81"/>
      <c r="AB338" s="50"/>
      <c r="AC338" s="51">
        <f t="shared" si="22"/>
        <v>1</v>
      </c>
      <c r="AD338" s="51">
        <f t="shared" si="23"/>
        <v>0.91176470588235292</v>
      </c>
    </row>
    <row r="339" spans="1:30" s="49" customFormat="1" ht="25">
      <c r="A339" s="30">
        <v>334</v>
      </c>
      <c r="B339" s="48" t="s">
        <v>791</v>
      </c>
      <c r="C339" s="49" t="s">
        <v>34</v>
      </c>
      <c r="D339" s="48" t="s">
        <v>60</v>
      </c>
      <c r="E339" s="48" t="s">
        <v>91</v>
      </c>
      <c r="F339" s="49" t="s">
        <v>792</v>
      </c>
      <c r="G339" s="49" t="s">
        <v>788</v>
      </c>
      <c r="H339" s="49" t="s">
        <v>793</v>
      </c>
      <c r="I339" s="49" t="s">
        <v>112</v>
      </c>
      <c r="J339" s="49">
        <v>2018</v>
      </c>
      <c r="K339" s="49">
        <v>47</v>
      </c>
      <c r="L339" s="48">
        <v>24</v>
      </c>
      <c r="M339" s="49">
        <v>24</v>
      </c>
      <c r="N339" s="49" t="s">
        <v>41</v>
      </c>
      <c r="O339" s="49" t="s">
        <v>42</v>
      </c>
      <c r="Q339" s="21" t="s">
        <v>43</v>
      </c>
      <c r="R339" s="21" t="s">
        <v>88</v>
      </c>
      <c r="S339" s="48"/>
      <c r="T339" s="48"/>
      <c r="U339" s="48"/>
      <c r="V339" s="77">
        <v>-2.0781331999999999</v>
      </c>
      <c r="W339" s="48">
        <v>106.12577349999999</v>
      </c>
      <c r="X339" s="50"/>
      <c r="Y339" s="50"/>
      <c r="Z339" s="48"/>
      <c r="AA339" s="81"/>
      <c r="AB339" s="50"/>
      <c r="AC339" s="51">
        <f t="shared" si="22"/>
        <v>0.51063829787234039</v>
      </c>
      <c r="AD339" s="51">
        <f t="shared" si="23"/>
        <v>1</v>
      </c>
    </row>
    <row r="340" spans="1:30" s="49" customFormat="1" ht="12.5">
      <c r="A340" s="29">
        <v>335</v>
      </c>
      <c r="B340" s="48" t="s">
        <v>794</v>
      </c>
      <c r="C340" s="49" t="s">
        <v>170</v>
      </c>
      <c r="D340" s="48" t="s">
        <v>60</v>
      </c>
      <c r="E340" s="48" t="s">
        <v>266</v>
      </c>
      <c r="F340" s="49" t="s">
        <v>795</v>
      </c>
      <c r="G340" s="49" t="s">
        <v>796</v>
      </c>
      <c r="H340" s="49" t="s">
        <v>797</v>
      </c>
      <c r="I340" s="49" t="s">
        <v>86</v>
      </c>
      <c r="J340" s="49" t="s">
        <v>42</v>
      </c>
      <c r="K340" s="49">
        <v>468</v>
      </c>
      <c r="L340" s="48">
        <v>468</v>
      </c>
      <c r="M340" s="49">
        <v>468</v>
      </c>
      <c r="N340" s="49" t="s">
        <v>41</v>
      </c>
      <c r="O340" s="49" t="s">
        <v>42</v>
      </c>
      <c r="Q340" s="49" t="s">
        <v>72</v>
      </c>
      <c r="S340" s="48"/>
      <c r="T340" s="48"/>
      <c r="U340" s="48"/>
      <c r="V340" s="77">
        <v>-2.0850230000000001</v>
      </c>
      <c r="W340" s="48">
        <v>106.10572999999999</v>
      </c>
      <c r="X340" s="50"/>
      <c r="Y340" s="50"/>
      <c r="Z340" s="48"/>
      <c r="AA340" s="81"/>
      <c r="AB340" s="50"/>
      <c r="AC340" s="51">
        <f t="shared" si="22"/>
        <v>1</v>
      </c>
      <c r="AD340" s="51">
        <f t="shared" si="23"/>
        <v>1</v>
      </c>
    </row>
    <row r="341" spans="1:30" s="49" customFormat="1" ht="12.5">
      <c r="A341" s="30">
        <v>336</v>
      </c>
      <c r="B341" s="48" t="s">
        <v>798</v>
      </c>
      <c r="C341" s="49" t="s">
        <v>34</v>
      </c>
      <c r="D341" s="48" t="s">
        <v>81</v>
      </c>
      <c r="E341" s="48" t="s">
        <v>122</v>
      </c>
      <c r="F341" s="49" t="s">
        <v>799</v>
      </c>
      <c r="G341" s="49" t="s">
        <v>800</v>
      </c>
      <c r="H341" s="49" t="s">
        <v>576</v>
      </c>
      <c r="I341" s="49" t="s">
        <v>65</v>
      </c>
      <c r="J341" s="49">
        <v>2019</v>
      </c>
      <c r="K341" s="49">
        <v>63</v>
      </c>
      <c r="L341" s="48">
        <v>59</v>
      </c>
      <c r="M341" s="49">
        <v>59</v>
      </c>
      <c r="N341" s="49" t="s">
        <v>41</v>
      </c>
      <c r="O341" s="49" t="s">
        <v>42</v>
      </c>
      <c r="Q341" s="49" t="s">
        <v>72</v>
      </c>
      <c r="S341" s="48"/>
      <c r="T341" s="48"/>
      <c r="U341" s="48"/>
      <c r="V341" s="77">
        <v>-2.128768</v>
      </c>
      <c r="W341" s="48">
        <v>106.160301</v>
      </c>
      <c r="X341" s="50"/>
      <c r="Y341" s="50"/>
      <c r="Z341" s="48"/>
      <c r="AA341" s="81"/>
      <c r="AB341" s="50"/>
      <c r="AC341" s="51">
        <f t="shared" ref="AC341:AC348" si="24">IF(A341="","",IFERROR(L341/K341,0))</f>
        <v>0.93650793650793651</v>
      </c>
      <c r="AD341" s="51">
        <f t="shared" ref="AD341:AD348" si="25">IF(A341="","",IFERROR(M341/L341,0))</f>
        <v>1</v>
      </c>
    </row>
    <row r="342" spans="1:30" s="49" customFormat="1" ht="25">
      <c r="A342" s="29">
        <v>337</v>
      </c>
      <c r="B342" s="48" t="s">
        <v>801</v>
      </c>
      <c r="C342" s="49" t="s">
        <v>34</v>
      </c>
      <c r="D342" s="48" t="s">
        <v>304</v>
      </c>
      <c r="E342" s="48" t="s">
        <v>305</v>
      </c>
      <c r="F342" s="49" t="s">
        <v>633</v>
      </c>
      <c r="G342" s="49" t="s">
        <v>42</v>
      </c>
      <c r="H342" s="49" t="s">
        <v>802</v>
      </c>
      <c r="I342" s="49" t="s">
        <v>42</v>
      </c>
      <c r="J342" s="49">
        <v>2015</v>
      </c>
      <c r="K342" s="49">
        <v>78</v>
      </c>
      <c r="L342" s="48">
        <v>78</v>
      </c>
      <c r="M342" s="49">
        <v>76</v>
      </c>
      <c r="N342" s="49" t="s">
        <v>41</v>
      </c>
      <c r="O342" s="49" t="s">
        <v>42</v>
      </c>
      <c r="Q342" s="21" t="s">
        <v>43</v>
      </c>
      <c r="S342" s="48"/>
      <c r="T342" s="48"/>
      <c r="U342" s="48"/>
      <c r="V342" s="77">
        <v>-2.1533030000000002</v>
      </c>
      <c r="W342" s="48">
        <v>106.107823</v>
      </c>
      <c r="X342" s="50"/>
      <c r="Y342" s="50"/>
      <c r="Z342" s="48"/>
      <c r="AA342" s="81"/>
      <c r="AB342" s="50"/>
      <c r="AC342" s="51">
        <f t="shared" si="24"/>
        <v>1</v>
      </c>
      <c r="AD342" s="51">
        <f t="shared" si="25"/>
        <v>0.97435897435897434</v>
      </c>
    </row>
    <row r="343" spans="1:30" s="49" customFormat="1" ht="25">
      <c r="A343" s="30">
        <v>338</v>
      </c>
      <c r="B343" s="48" t="s">
        <v>803</v>
      </c>
      <c r="C343" s="49" t="s">
        <v>34</v>
      </c>
      <c r="D343" s="48" t="s">
        <v>60</v>
      </c>
      <c r="E343" s="48" t="s">
        <v>91</v>
      </c>
      <c r="F343" s="49" t="s">
        <v>79</v>
      </c>
      <c r="G343" s="49" t="s">
        <v>804</v>
      </c>
      <c r="H343" s="49" t="s">
        <v>805</v>
      </c>
      <c r="I343" s="49" t="s">
        <v>40</v>
      </c>
      <c r="J343" s="49">
        <v>2015</v>
      </c>
      <c r="K343" s="49">
        <v>44</v>
      </c>
      <c r="L343" s="48">
        <v>44</v>
      </c>
      <c r="M343" s="49">
        <v>44</v>
      </c>
      <c r="N343" s="49" t="s">
        <v>41</v>
      </c>
      <c r="O343" s="49" t="s">
        <v>42</v>
      </c>
      <c r="Q343" s="21" t="s">
        <v>43</v>
      </c>
      <c r="S343" s="48"/>
      <c r="T343" s="48"/>
      <c r="U343" s="48"/>
      <c r="V343" s="77">
        <v>-2.0866501</v>
      </c>
      <c r="W343" s="48">
        <v>106.09902460000001</v>
      </c>
      <c r="X343" s="50"/>
      <c r="Y343" s="50"/>
      <c r="Z343" s="48"/>
      <c r="AA343" s="81"/>
      <c r="AB343" s="50"/>
      <c r="AC343" s="51">
        <f t="shared" si="24"/>
        <v>1</v>
      </c>
      <c r="AD343" s="51">
        <f t="shared" si="25"/>
        <v>1</v>
      </c>
    </row>
    <row r="344" spans="1:30" s="49" customFormat="1" ht="25">
      <c r="A344" s="29">
        <v>339</v>
      </c>
      <c r="B344" s="48" t="s">
        <v>806</v>
      </c>
      <c r="C344" s="49" t="s">
        <v>34</v>
      </c>
      <c r="D344" s="48" t="s">
        <v>60</v>
      </c>
      <c r="E344" s="48" t="s">
        <v>70</v>
      </c>
      <c r="F344" s="49" t="s">
        <v>484</v>
      </c>
      <c r="G344" s="49" t="s">
        <v>804</v>
      </c>
      <c r="H344" s="49" t="s">
        <v>805</v>
      </c>
      <c r="I344" s="49" t="s">
        <v>40</v>
      </c>
      <c r="J344" s="49">
        <v>2019</v>
      </c>
      <c r="K344" s="49">
        <v>39</v>
      </c>
      <c r="L344" s="48">
        <v>39</v>
      </c>
      <c r="M344" s="49">
        <v>39</v>
      </c>
      <c r="N344" s="49" t="s">
        <v>41</v>
      </c>
      <c r="O344" s="49" t="s">
        <v>42</v>
      </c>
      <c r="Q344" s="21" t="s">
        <v>43</v>
      </c>
      <c r="S344" s="48"/>
      <c r="T344" s="48"/>
      <c r="U344" s="48"/>
      <c r="V344" s="77">
        <v>-2.0910150000000001</v>
      </c>
      <c r="W344" s="48">
        <v>106.092673</v>
      </c>
      <c r="X344" s="50"/>
      <c r="Y344" s="50"/>
      <c r="Z344" s="48"/>
      <c r="AA344" s="81"/>
      <c r="AB344" s="50"/>
      <c r="AC344" s="51">
        <f t="shared" si="24"/>
        <v>1</v>
      </c>
      <c r="AD344" s="51">
        <f t="shared" si="25"/>
        <v>1</v>
      </c>
    </row>
    <row r="345" spans="1:30" s="49" customFormat="1" ht="25">
      <c r="A345" s="30">
        <v>340</v>
      </c>
      <c r="B345" s="48" t="s">
        <v>807</v>
      </c>
      <c r="C345" s="49" t="s">
        <v>34</v>
      </c>
      <c r="D345" s="48" t="s">
        <v>35</v>
      </c>
      <c r="E345" s="48" t="s">
        <v>36</v>
      </c>
      <c r="F345" s="49" t="s">
        <v>308</v>
      </c>
      <c r="G345" s="49" t="s">
        <v>804</v>
      </c>
      <c r="H345" s="49" t="s">
        <v>805</v>
      </c>
      <c r="I345" s="49" t="s">
        <v>40</v>
      </c>
      <c r="J345" s="49">
        <v>2018</v>
      </c>
      <c r="K345" s="49">
        <v>12</v>
      </c>
      <c r="L345" s="48">
        <v>12</v>
      </c>
      <c r="M345" s="49">
        <v>12</v>
      </c>
      <c r="N345" s="49" t="s">
        <v>41</v>
      </c>
      <c r="O345" s="49" t="s">
        <v>42</v>
      </c>
      <c r="Q345" s="21" t="s">
        <v>43</v>
      </c>
      <c r="S345" s="48"/>
      <c r="T345" s="48"/>
      <c r="U345" s="48"/>
      <c r="V345" s="77"/>
      <c r="W345" s="48"/>
      <c r="X345" s="50"/>
      <c r="Y345" s="50"/>
      <c r="Z345" s="48"/>
      <c r="AA345" s="81"/>
      <c r="AB345" s="50"/>
      <c r="AC345" s="51">
        <f t="shared" si="24"/>
        <v>1</v>
      </c>
      <c r="AD345" s="51">
        <f t="shared" si="25"/>
        <v>1</v>
      </c>
    </row>
    <row r="346" spans="1:30" s="49" customFormat="1" ht="25">
      <c r="A346" s="29">
        <v>341</v>
      </c>
      <c r="B346" s="48" t="s">
        <v>808</v>
      </c>
      <c r="C346" s="49" t="s">
        <v>34</v>
      </c>
      <c r="D346" s="48" t="s">
        <v>81</v>
      </c>
      <c r="E346" s="48" t="s">
        <v>122</v>
      </c>
      <c r="F346" s="49" t="s">
        <v>163</v>
      </c>
      <c r="G346" s="49" t="s">
        <v>804</v>
      </c>
      <c r="H346" s="49" t="s">
        <v>805</v>
      </c>
      <c r="I346" s="49" t="s">
        <v>40</v>
      </c>
      <c r="J346" s="49">
        <v>2017</v>
      </c>
      <c r="K346" s="49">
        <v>21</v>
      </c>
      <c r="L346" s="48">
        <v>21</v>
      </c>
      <c r="M346" s="49">
        <v>21</v>
      </c>
      <c r="N346" s="49" t="s">
        <v>41</v>
      </c>
      <c r="O346" s="49" t="s">
        <v>42</v>
      </c>
      <c r="Q346" s="21" t="s">
        <v>43</v>
      </c>
      <c r="S346" s="48"/>
      <c r="T346" s="48"/>
      <c r="U346" s="48"/>
      <c r="V346" s="77">
        <v>-2.1389182999999998</v>
      </c>
      <c r="W346" s="48">
        <v>106.16784389999999</v>
      </c>
      <c r="X346" s="50"/>
      <c r="Y346" s="50"/>
      <c r="Z346" s="48"/>
      <c r="AA346" s="81"/>
      <c r="AB346" s="50"/>
      <c r="AC346" s="51">
        <f t="shared" si="24"/>
        <v>1</v>
      </c>
      <c r="AD346" s="51">
        <f t="shared" si="25"/>
        <v>1</v>
      </c>
    </row>
    <row r="347" spans="1:30" s="49" customFormat="1" ht="25">
      <c r="A347" s="30">
        <v>342</v>
      </c>
      <c r="B347" s="48" t="s">
        <v>809</v>
      </c>
      <c r="C347" s="49" t="s">
        <v>90</v>
      </c>
      <c r="D347" s="48" t="s">
        <v>810</v>
      </c>
      <c r="E347" s="48" t="s">
        <v>811</v>
      </c>
      <c r="F347" s="49" t="s">
        <v>812</v>
      </c>
      <c r="G347" s="49" t="s">
        <v>813</v>
      </c>
      <c r="H347" s="49" t="s">
        <v>814</v>
      </c>
      <c r="I347" s="49" t="s">
        <v>86</v>
      </c>
      <c r="J347" s="49">
        <v>2021</v>
      </c>
      <c r="K347" s="49">
        <v>50</v>
      </c>
      <c r="L347" s="48">
        <v>50</v>
      </c>
      <c r="M347" s="49">
        <v>50</v>
      </c>
      <c r="N347" s="49" t="s">
        <v>48</v>
      </c>
      <c r="O347" s="49">
        <v>2026</v>
      </c>
      <c r="Q347" s="21" t="s">
        <v>43</v>
      </c>
      <c r="S347" s="48"/>
      <c r="T347" s="48"/>
      <c r="U347" s="48"/>
      <c r="V347" s="77">
        <v>-2.1468946</v>
      </c>
      <c r="W347" s="48">
        <v>106.0942438</v>
      </c>
      <c r="X347" s="50"/>
      <c r="Y347" s="50"/>
      <c r="Z347" s="48"/>
      <c r="AA347" s="81"/>
      <c r="AB347" s="50"/>
      <c r="AC347" s="51">
        <f t="shared" si="24"/>
        <v>1</v>
      </c>
      <c r="AD347" s="51">
        <f t="shared" si="25"/>
        <v>1</v>
      </c>
    </row>
    <row r="348" spans="1:30" s="49" customFormat="1" ht="25">
      <c r="A348" s="29">
        <v>343</v>
      </c>
      <c r="B348" s="48" t="s">
        <v>815</v>
      </c>
      <c r="C348" s="49" t="s">
        <v>34</v>
      </c>
      <c r="D348" s="48" t="s">
        <v>81</v>
      </c>
      <c r="E348" s="48" t="s">
        <v>289</v>
      </c>
      <c r="F348" s="49" t="s">
        <v>290</v>
      </c>
      <c r="G348" s="49" t="s">
        <v>813</v>
      </c>
      <c r="H348" s="49" t="s">
        <v>814</v>
      </c>
      <c r="I348" s="49" t="s">
        <v>86</v>
      </c>
      <c r="J348" s="49">
        <v>2023</v>
      </c>
      <c r="K348" s="49">
        <v>170</v>
      </c>
      <c r="L348" s="48">
        <v>135</v>
      </c>
      <c r="M348" s="49">
        <v>135</v>
      </c>
      <c r="N348" s="49" t="s">
        <v>41</v>
      </c>
      <c r="O348" s="49" t="s">
        <v>42</v>
      </c>
      <c r="Q348" s="21" t="s">
        <v>43</v>
      </c>
      <c r="R348" s="49" t="s">
        <v>88</v>
      </c>
      <c r="S348" s="48"/>
      <c r="T348" s="48"/>
      <c r="U348" s="48"/>
      <c r="V348" s="77">
        <v>-2.1261269999999999</v>
      </c>
      <c r="W348" s="48">
        <v>106.14223749999999</v>
      </c>
      <c r="X348" s="50"/>
      <c r="Y348" s="50"/>
      <c r="Z348" s="48"/>
      <c r="AA348" s="81"/>
      <c r="AB348" s="50"/>
      <c r="AC348" s="51">
        <f t="shared" si="24"/>
        <v>0.79411764705882348</v>
      </c>
      <c r="AD348" s="51">
        <f t="shared" si="25"/>
        <v>1</v>
      </c>
    </row>
    <row r="349" spans="1:30" s="49" customFormat="1" ht="25">
      <c r="A349" s="30">
        <v>344</v>
      </c>
      <c r="B349" s="48" t="s">
        <v>1893</v>
      </c>
      <c r="C349" s="49" t="s">
        <v>34</v>
      </c>
      <c r="D349" s="48" t="s">
        <v>81</v>
      </c>
      <c r="E349" s="48" t="s">
        <v>289</v>
      </c>
      <c r="F349" s="49" t="s">
        <v>1894</v>
      </c>
      <c r="G349" s="49" t="s">
        <v>813</v>
      </c>
      <c r="H349" s="49" t="s">
        <v>814</v>
      </c>
      <c r="I349" s="49" t="s">
        <v>86</v>
      </c>
      <c r="J349" s="49">
        <v>2026</v>
      </c>
      <c r="K349" s="49">
        <v>48</v>
      </c>
      <c r="L349" s="48">
        <v>0</v>
      </c>
      <c r="M349" s="49">
        <v>0</v>
      </c>
      <c r="N349" s="49" t="s">
        <v>41</v>
      </c>
      <c r="O349" s="49" t="s">
        <v>42</v>
      </c>
      <c r="Q349" s="21" t="s">
        <v>43</v>
      </c>
      <c r="R349" s="49" t="s">
        <v>88</v>
      </c>
      <c r="S349" s="48"/>
      <c r="T349" s="48"/>
      <c r="U349" s="48"/>
      <c r="V349" s="77"/>
      <c r="W349" s="48"/>
      <c r="X349" s="50"/>
      <c r="Y349" s="50"/>
      <c r="Z349" s="48"/>
      <c r="AA349" s="81"/>
      <c r="AB349" s="50"/>
      <c r="AC349" s="51"/>
      <c r="AD349" s="51"/>
    </row>
    <row r="350" spans="1:30" s="49" customFormat="1" ht="25">
      <c r="A350" s="29">
        <v>345</v>
      </c>
      <c r="B350" s="48" t="s">
        <v>816</v>
      </c>
      <c r="C350" s="49" t="s">
        <v>34</v>
      </c>
      <c r="D350" s="48" t="s">
        <v>35</v>
      </c>
      <c r="E350" s="48" t="s">
        <v>36</v>
      </c>
      <c r="F350" s="49" t="s">
        <v>42</v>
      </c>
      <c r="G350" s="49" t="s">
        <v>42</v>
      </c>
      <c r="H350" s="49" t="s">
        <v>42</v>
      </c>
      <c r="I350" s="49" t="s">
        <v>42</v>
      </c>
      <c r="J350" s="49">
        <v>2018</v>
      </c>
      <c r="K350" s="49">
        <v>33</v>
      </c>
      <c r="L350" s="48">
        <v>33</v>
      </c>
      <c r="M350" s="49">
        <v>33</v>
      </c>
      <c r="N350" s="49" t="s">
        <v>41</v>
      </c>
      <c r="O350" s="49" t="s">
        <v>42</v>
      </c>
      <c r="Q350" s="21" t="s">
        <v>43</v>
      </c>
      <c r="R350" s="21" t="s">
        <v>88</v>
      </c>
      <c r="S350" s="48"/>
      <c r="T350" s="48"/>
      <c r="U350" s="48"/>
      <c r="V350" s="77">
        <v>-2.1123416000000002</v>
      </c>
      <c r="W350" s="48">
        <v>106.06992219999999</v>
      </c>
      <c r="X350" s="50"/>
      <c r="Y350" s="50"/>
      <c r="Z350" s="48"/>
      <c r="AA350" s="81"/>
      <c r="AB350" s="50"/>
      <c r="AC350" s="51">
        <f t="shared" ref="AC350:AC361" si="26">IF(A350="","",IFERROR(L350/K350,0))</f>
        <v>1</v>
      </c>
      <c r="AD350" s="51">
        <f t="shared" ref="AD350:AD361" si="27">IF(A350="","",IFERROR(M350/L350,0))</f>
        <v>1</v>
      </c>
    </row>
    <row r="351" spans="1:30" s="49" customFormat="1" ht="25">
      <c r="A351" s="30">
        <v>346</v>
      </c>
      <c r="B351" s="48" t="s">
        <v>817</v>
      </c>
      <c r="C351" s="49" t="s">
        <v>34</v>
      </c>
      <c r="D351" s="48" t="s">
        <v>99</v>
      </c>
      <c r="E351" s="48" t="s">
        <v>818</v>
      </c>
      <c r="F351" s="49" t="s">
        <v>819</v>
      </c>
      <c r="G351" s="49" t="s">
        <v>485</v>
      </c>
      <c r="H351" s="49" t="s">
        <v>820</v>
      </c>
      <c r="I351" s="49" t="s">
        <v>166</v>
      </c>
      <c r="J351" s="49">
        <v>2020</v>
      </c>
      <c r="K351" s="49">
        <v>62</v>
      </c>
      <c r="L351" s="48">
        <v>27</v>
      </c>
      <c r="M351" s="49">
        <v>27</v>
      </c>
      <c r="N351" s="49" t="s">
        <v>41</v>
      </c>
      <c r="O351" s="49" t="s">
        <v>42</v>
      </c>
      <c r="Q351" s="21" t="s">
        <v>43</v>
      </c>
      <c r="R351" s="21" t="s">
        <v>88</v>
      </c>
      <c r="S351" s="48"/>
      <c r="T351" s="48"/>
      <c r="U351" s="48"/>
      <c r="V351" s="77">
        <v>-2.1102194000000001</v>
      </c>
      <c r="W351" s="48">
        <v>106.123358</v>
      </c>
      <c r="X351" s="50"/>
      <c r="Y351" s="50"/>
      <c r="Z351" s="48"/>
      <c r="AA351" s="81"/>
      <c r="AB351" s="50"/>
      <c r="AC351" s="51">
        <f t="shared" si="26"/>
        <v>0.43548387096774194</v>
      </c>
      <c r="AD351" s="51">
        <f t="shared" si="27"/>
        <v>1</v>
      </c>
    </row>
    <row r="352" spans="1:30" s="49" customFormat="1" ht="25">
      <c r="A352" s="29">
        <v>347</v>
      </c>
      <c r="B352" s="48" t="s">
        <v>821</v>
      </c>
      <c r="C352" s="49" t="s">
        <v>34</v>
      </c>
      <c r="D352" s="48" t="s">
        <v>60</v>
      </c>
      <c r="E352" s="48" t="s">
        <v>91</v>
      </c>
      <c r="F352" s="49" t="s">
        <v>822</v>
      </c>
      <c r="G352" s="49" t="s">
        <v>823</v>
      </c>
      <c r="H352" s="49" t="s">
        <v>42</v>
      </c>
      <c r="I352" s="49" t="s">
        <v>196</v>
      </c>
      <c r="J352" s="49">
        <v>2017</v>
      </c>
      <c r="K352" s="49">
        <v>43</v>
      </c>
      <c r="L352" s="48">
        <v>40</v>
      </c>
      <c r="M352" s="49">
        <v>34</v>
      </c>
      <c r="N352" s="49" t="s">
        <v>41</v>
      </c>
      <c r="O352" s="49" t="s">
        <v>42</v>
      </c>
      <c r="Q352" s="21" t="s">
        <v>43</v>
      </c>
      <c r="R352" s="21" t="s">
        <v>88</v>
      </c>
      <c r="S352" s="48"/>
      <c r="T352" s="48"/>
      <c r="U352" s="48"/>
      <c r="V352" s="77">
        <v>-2.0877240000000001</v>
      </c>
      <c r="W352" s="48">
        <v>106.104771</v>
      </c>
      <c r="X352" s="50"/>
      <c r="Y352" s="50"/>
      <c r="Z352" s="48"/>
      <c r="AA352" s="81"/>
      <c r="AB352" s="50"/>
      <c r="AC352" s="51">
        <f t="shared" si="26"/>
        <v>0.93023255813953487</v>
      </c>
      <c r="AD352" s="51">
        <f t="shared" si="27"/>
        <v>0.85</v>
      </c>
    </row>
    <row r="353" spans="1:30" s="49" customFormat="1" ht="25">
      <c r="A353" s="30">
        <v>348</v>
      </c>
      <c r="B353" s="48" t="s">
        <v>824</v>
      </c>
      <c r="C353" s="49" t="s">
        <v>34</v>
      </c>
      <c r="D353" s="48" t="s">
        <v>35</v>
      </c>
      <c r="E353" s="48" t="s">
        <v>36</v>
      </c>
      <c r="F353" s="49" t="s">
        <v>825</v>
      </c>
      <c r="G353" s="49" t="s">
        <v>826</v>
      </c>
      <c r="H353" s="49" t="s">
        <v>657</v>
      </c>
      <c r="I353" s="49" t="s">
        <v>112</v>
      </c>
      <c r="J353" s="49">
        <v>2019</v>
      </c>
      <c r="K353" s="49">
        <v>44</v>
      </c>
      <c r="L353" s="48">
        <v>44</v>
      </c>
      <c r="M353" s="49">
        <v>44</v>
      </c>
      <c r="N353" s="49" t="s">
        <v>41</v>
      </c>
      <c r="O353" s="49" t="s">
        <v>42</v>
      </c>
      <c r="Q353" s="21" t="s">
        <v>43</v>
      </c>
      <c r="S353" s="48"/>
      <c r="T353" s="48"/>
      <c r="U353" s="48"/>
      <c r="V353" s="77">
        <v>-2.1144664</v>
      </c>
      <c r="W353" s="48">
        <v>106.07396660000001</v>
      </c>
      <c r="X353" s="50"/>
      <c r="Y353" s="50"/>
      <c r="Z353" s="48"/>
      <c r="AA353" s="81"/>
      <c r="AB353" s="50"/>
      <c r="AC353" s="51">
        <f t="shared" si="26"/>
        <v>1</v>
      </c>
      <c r="AD353" s="51">
        <f t="shared" si="27"/>
        <v>1</v>
      </c>
    </row>
    <row r="354" spans="1:30" s="49" customFormat="1" ht="25">
      <c r="A354" s="29">
        <v>349</v>
      </c>
      <c r="B354" s="48" t="s">
        <v>827</v>
      </c>
      <c r="C354" s="49" t="s">
        <v>34</v>
      </c>
      <c r="D354" s="48" t="s">
        <v>99</v>
      </c>
      <c r="E354" s="48" t="s">
        <v>213</v>
      </c>
      <c r="F354" s="49" t="s">
        <v>828</v>
      </c>
      <c r="G354" s="49" t="s">
        <v>829</v>
      </c>
      <c r="H354" s="49" t="s">
        <v>830</v>
      </c>
      <c r="I354" s="49" t="s">
        <v>196</v>
      </c>
      <c r="J354" s="49">
        <v>2017</v>
      </c>
      <c r="K354" s="49">
        <v>48</v>
      </c>
      <c r="L354" s="48">
        <v>42</v>
      </c>
      <c r="M354" s="49">
        <v>33</v>
      </c>
      <c r="N354" s="49" t="s">
        <v>41</v>
      </c>
      <c r="O354" s="49" t="s">
        <v>42</v>
      </c>
      <c r="Q354" s="21" t="s">
        <v>43</v>
      </c>
      <c r="R354" s="21" t="s">
        <v>88</v>
      </c>
      <c r="S354" s="48"/>
      <c r="T354" s="48"/>
      <c r="U354" s="48"/>
      <c r="V354" s="77">
        <v>-2.0870636999999999</v>
      </c>
      <c r="W354" s="48">
        <v>106.12246279999999</v>
      </c>
      <c r="X354" s="50"/>
      <c r="Y354" s="50"/>
      <c r="Z354" s="48"/>
      <c r="AA354" s="81"/>
      <c r="AB354" s="50"/>
      <c r="AC354" s="51">
        <f t="shared" si="26"/>
        <v>0.875</v>
      </c>
      <c r="AD354" s="51">
        <f t="shared" si="27"/>
        <v>0.7857142857142857</v>
      </c>
    </row>
    <row r="355" spans="1:30" s="49" customFormat="1" ht="25">
      <c r="A355" s="30">
        <v>350</v>
      </c>
      <c r="B355" s="48" t="s">
        <v>831</v>
      </c>
      <c r="C355" s="49" t="s">
        <v>34</v>
      </c>
      <c r="D355" s="48" t="s">
        <v>60</v>
      </c>
      <c r="E355" s="48" t="s">
        <v>91</v>
      </c>
      <c r="F355" s="49" t="s">
        <v>832</v>
      </c>
      <c r="G355" s="49" t="s">
        <v>155</v>
      </c>
      <c r="H355" s="49" t="s">
        <v>156</v>
      </c>
      <c r="I355" s="49" t="s">
        <v>65</v>
      </c>
      <c r="J355" s="49">
        <v>2016</v>
      </c>
      <c r="K355" s="49">
        <v>56</v>
      </c>
      <c r="L355" s="48">
        <v>56</v>
      </c>
      <c r="M355" s="49">
        <v>56</v>
      </c>
      <c r="N355" s="49" t="s">
        <v>41</v>
      </c>
      <c r="O355" s="49" t="s">
        <v>42</v>
      </c>
      <c r="Q355" s="21" t="s">
        <v>43</v>
      </c>
      <c r="S355" s="48"/>
      <c r="T355" s="48"/>
      <c r="U355" s="48"/>
      <c r="V355" s="77">
        <v>-2.0997509999999999</v>
      </c>
      <c r="W355" s="48">
        <v>106.108549</v>
      </c>
      <c r="X355" s="50"/>
      <c r="Y355" s="50"/>
      <c r="Z355" s="48"/>
      <c r="AA355" s="81"/>
      <c r="AB355" s="50"/>
      <c r="AC355" s="51">
        <f t="shared" si="26"/>
        <v>1</v>
      </c>
      <c r="AD355" s="51">
        <f t="shared" si="27"/>
        <v>1</v>
      </c>
    </row>
    <row r="356" spans="1:30" s="49" customFormat="1" ht="25">
      <c r="A356" s="29">
        <v>351</v>
      </c>
      <c r="B356" s="48" t="s">
        <v>833</v>
      </c>
      <c r="C356" s="49" t="s">
        <v>34</v>
      </c>
      <c r="D356" s="48" t="s">
        <v>60</v>
      </c>
      <c r="E356" s="48" t="s">
        <v>70</v>
      </c>
      <c r="F356" s="49" t="s">
        <v>834</v>
      </c>
      <c r="G356" s="49" t="s">
        <v>835</v>
      </c>
      <c r="H356" s="49" t="s">
        <v>836</v>
      </c>
      <c r="I356" s="49" t="s">
        <v>42</v>
      </c>
      <c r="J356" s="49">
        <v>2023</v>
      </c>
      <c r="K356" s="49">
        <v>77</v>
      </c>
      <c r="L356" s="48">
        <v>29</v>
      </c>
      <c r="M356" s="49">
        <v>24</v>
      </c>
      <c r="N356" s="49" t="s">
        <v>41</v>
      </c>
      <c r="O356" s="49" t="s">
        <v>42</v>
      </c>
      <c r="Q356" s="21" t="s">
        <v>43</v>
      </c>
      <c r="R356" s="21" t="s">
        <v>88</v>
      </c>
      <c r="S356" s="48"/>
      <c r="T356" s="48"/>
      <c r="U356" s="48"/>
      <c r="V356" s="77">
        <v>-2.0913586999999998</v>
      </c>
      <c r="W356" s="48">
        <v>106.0929603</v>
      </c>
      <c r="X356" s="50"/>
      <c r="Y356" s="50"/>
      <c r="Z356" s="48"/>
      <c r="AA356" s="81"/>
      <c r="AB356" s="50"/>
      <c r="AC356" s="51">
        <f t="shared" si="26"/>
        <v>0.37662337662337664</v>
      </c>
      <c r="AD356" s="51">
        <f t="shared" si="27"/>
        <v>0.82758620689655171</v>
      </c>
    </row>
    <row r="357" spans="1:30" s="49" customFormat="1" ht="25">
      <c r="A357" s="30">
        <v>352</v>
      </c>
      <c r="B357" s="48" t="s">
        <v>837</v>
      </c>
      <c r="C357" s="49" t="s">
        <v>170</v>
      </c>
      <c r="D357" s="48" t="s">
        <v>810</v>
      </c>
      <c r="E357" s="48" t="s">
        <v>838</v>
      </c>
      <c r="F357" s="49" t="s">
        <v>839</v>
      </c>
      <c r="G357" s="49" t="s">
        <v>42</v>
      </c>
      <c r="H357" s="49" t="s">
        <v>42</v>
      </c>
      <c r="I357" s="49" t="s">
        <v>42</v>
      </c>
      <c r="J357" s="49" t="s">
        <v>42</v>
      </c>
      <c r="K357" s="49">
        <v>4</v>
      </c>
      <c r="L357" s="48">
        <v>4</v>
      </c>
      <c r="M357" s="49">
        <v>4</v>
      </c>
      <c r="N357" s="49" t="s">
        <v>41</v>
      </c>
      <c r="O357" s="49" t="s">
        <v>42</v>
      </c>
      <c r="Q357" s="21" t="s">
        <v>43</v>
      </c>
      <c r="S357" s="48"/>
      <c r="T357" s="48"/>
      <c r="U357" s="48"/>
      <c r="V357" s="77">
        <v>-2.1322789200000001</v>
      </c>
      <c r="W357" s="48">
        <v>106.0984273</v>
      </c>
      <c r="X357" s="50"/>
      <c r="Y357" s="50"/>
      <c r="Z357" s="48"/>
      <c r="AA357" s="81"/>
      <c r="AB357" s="50"/>
      <c r="AC357" s="51">
        <f t="shared" si="26"/>
        <v>1</v>
      </c>
      <c r="AD357" s="51">
        <f t="shared" si="27"/>
        <v>1</v>
      </c>
    </row>
    <row r="358" spans="1:30" s="49" customFormat="1" ht="25">
      <c r="A358" s="29">
        <v>353</v>
      </c>
      <c r="B358" s="48" t="s">
        <v>840</v>
      </c>
      <c r="C358" s="49" t="s">
        <v>34</v>
      </c>
      <c r="D358" s="48" t="s">
        <v>60</v>
      </c>
      <c r="E358" s="48" t="s">
        <v>91</v>
      </c>
      <c r="F358" s="49" t="s">
        <v>209</v>
      </c>
      <c r="G358" s="49" t="s">
        <v>841</v>
      </c>
      <c r="H358" s="49" t="s">
        <v>842</v>
      </c>
      <c r="I358" s="49" t="s">
        <v>42</v>
      </c>
      <c r="J358" s="49">
        <v>2018</v>
      </c>
      <c r="K358" s="49">
        <v>128</v>
      </c>
      <c r="L358" s="48">
        <v>128</v>
      </c>
      <c r="M358" s="49">
        <v>128</v>
      </c>
      <c r="N358" s="49" t="s">
        <v>41</v>
      </c>
      <c r="O358" s="49" t="s">
        <v>42</v>
      </c>
      <c r="Q358" s="21" t="s">
        <v>43</v>
      </c>
      <c r="S358" s="48"/>
      <c r="T358" s="48"/>
      <c r="U358" s="48"/>
      <c r="V358" s="77">
        <v>-2.0771069999999998</v>
      </c>
      <c r="W358" s="48">
        <v>106.115712</v>
      </c>
      <c r="X358" s="50"/>
      <c r="Y358" s="50"/>
      <c r="Z358" s="48"/>
      <c r="AA358" s="81"/>
      <c r="AB358" s="50"/>
      <c r="AC358" s="51">
        <f t="shared" si="26"/>
        <v>1</v>
      </c>
      <c r="AD358" s="51">
        <f t="shared" si="27"/>
        <v>1</v>
      </c>
    </row>
    <row r="359" spans="1:30" s="49" customFormat="1" ht="25">
      <c r="A359" s="30">
        <v>354</v>
      </c>
      <c r="B359" s="48" t="s">
        <v>843</v>
      </c>
      <c r="C359" s="49" t="s">
        <v>34</v>
      </c>
      <c r="D359" s="48" t="s">
        <v>60</v>
      </c>
      <c r="E359" s="48" t="s">
        <v>91</v>
      </c>
      <c r="F359" s="49" t="s">
        <v>209</v>
      </c>
      <c r="G359" s="49" t="s">
        <v>841</v>
      </c>
      <c r="H359" s="49" t="s">
        <v>842</v>
      </c>
      <c r="I359" s="49" t="s">
        <v>42</v>
      </c>
      <c r="J359" s="49">
        <v>2018</v>
      </c>
      <c r="K359" s="49">
        <v>116</v>
      </c>
      <c r="L359" s="48">
        <v>59</v>
      </c>
      <c r="M359" s="49">
        <v>59</v>
      </c>
      <c r="N359" s="49" t="s">
        <v>41</v>
      </c>
      <c r="O359" s="49" t="s">
        <v>42</v>
      </c>
      <c r="Q359" s="21" t="s">
        <v>43</v>
      </c>
      <c r="S359" s="48"/>
      <c r="T359" s="48"/>
      <c r="U359" s="48"/>
      <c r="V359" s="77">
        <v>-2.0771069999999998</v>
      </c>
      <c r="W359" s="48">
        <v>106.115712</v>
      </c>
      <c r="X359" s="50"/>
      <c r="Y359" s="50"/>
      <c r="Z359" s="48"/>
      <c r="AA359" s="81"/>
      <c r="AB359" s="50"/>
      <c r="AC359" s="51">
        <f t="shared" si="26"/>
        <v>0.50862068965517238</v>
      </c>
      <c r="AD359" s="51">
        <f t="shared" si="27"/>
        <v>1</v>
      </c>
    </row>
    <row r="360" spans="1:30" s="49" customFormat="1" ht="25">
      <c r="A360" s="29">
        <v>355</v>
      </c>
      <c r="B360" s="48" t="s">
        <v>844</v>
      </c>
      <c r="C360" s="49" t="s">
        <v>34</v>
      </c>
      <c r="D360" s="48" t="s">
        <v>60</v>
      </c>
      <c r="E360" s="48" t="s">
        <v>91</v>
      </c>
      <c r="F360" s="49" t="s">
        <v>209</v>
      </c>
      <c r="G360" s="49" t="s">
        <v>841</v>
      </c>
      <c r="H360" s="49" t="s">
        <v>842</v>
      </c>
      <c r="I360" s="49" t="s">
        <v>42</v>
      </c>
      <c r="J360" s="49">
        <v>2019</v>
      </c>
      <c r="K360" s="49">
        <v>105</v>
      </c>
      <c r="L360" s="48">
        <v>9</v>
      </c>
      <c r="M360" s="49">
        <v>9</v>
      </c>
      <c r="N360" s="49" t="s">
        <v>41</v>
      </c>
      <c r="O360" s="49" t="s">
        <v>42</v>
      </c>
      <c r="Q360" s="21" t="s">
        <v>43</v>
      </c>
      <c r="S360" s="48"/>
      <c r="T360" s="48"/>
      <c r="U360" s="48"/>
      <c r="V360" s="77">
        <v>-2.0771069999999998</v>
      </c>
      <c r="W360" s="48">
        <v>106.115712</v>
      </c>
      <c r="X360" s="50"/>
      <c r="Y360" s="50"/>
      <c r="Z360" s="48"/>
      <c r="AA360" s="81"/>
      <c r="AB360" s="50"/>
      <c r="AC360" s="51">
        <f t="shared" si="26"/>
        <v>8.5714285714285715E-2</v>
      </c>
      <c r="AD360" s="51">
        <f t="shared" si="27"/>
        <v>1</v>
      </c>
    </row>
    <row r="361" spans="1:30" s="49" customFormat="1" ht="25">
      <c r="A361" s="30">
        <v>356</v>
      </c>
      <c r="B361" s="48" t="s">
        <v>845</v>
      </c>
      <c r="C361" s="49" t="s">
        <v>34</v>
      </c>
      <c r="D361" s="48" t="s">
        <v>60</v>
      </c>
      <c r="E361" s="48" t="s">
        <v>91</v>
      </c>
      <c r="F361" s="49" t="s">
        <v>846</v>
      </c>
      <c r="G361" s="49" t="s">
        <v>841</v>
      </c>
      <c r="H361" s="49" t="s">
        <v>842</v>
      </c>
      <c r="I361" s="49" t="s">
        <v>42</v>
      </c>
      <c r="J361" s="49">
        <v>2019</v>
      </c>
      <c r="K361" s="49">
        <v>43</v>
      </c>
      <c r="L361" s="48">
        <v>0</v>
      </c>
      <c r="M361" s="49">
        <v>0</v>
      </c>
      <c r="N361" s="49" t="s">
        <v>41</v>
      </c>
      <c r="O361" s="49" t="s">
        <v>42</v>
      </c>
      <c r="Q361" s="21" t="s">
        <v>43</v>
      </c>
      <c r="S361" s="48"/>
      <c r="T361" s="48"/>
      <c r="U361" s="48"/>
      <c r="V361" s="77">
        <v>-2.0771069999999998</v>
      </c>
      <c r="W361" s="48">
        <v>106.115712</v>
      </c>
      <c r="X361" s="50"/>
      <c r="Y361" s="50"/>
      <c r="Z361" s="48"/>
      <c r="AA361" s="81"/>
      <c r="AB361" s="50"/>
      <c r="AC361" s="51">
        <f t="shared" si="26"/>
        <v>0</v>
      </c>
      <c r="AD361" s="51">
        <f t="shared" si="27"/>
        <v>0</v>
      </c>
    </row>
  </sheetData>
  <mergeCells count="3">
    <mergeCell ref="A1:AD1"/>
    <mergeCell ref="A2:AD2"/>
    <mergeCell ref="A3:AD3"/>
  </mergeCells>
  <phoneticPr fontId="17" type="noConversion"/>
  <conditionalFormatting sqref="AC6:AD361">
    <cfRule type="dataBar" priority="1">
      <dataBar>
        <cfvo type="min"/>
        <cfvo type="max"/>
        <color rgb="FF175B72"/>
      </dataBar>
    </cfRule>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5">
      <dataBar>
        <cfvo type="min"/>
        <cfvo type="max"/>
        <color rgb="FF175B72"/>
      </dataBar>
      <extLst>
        <ext xmlns:x14="http://schemas.microsoft.com/office/spreadsheetml/2009/9/main" uri="{B025F937-C7B1-47D3-B67F-A62EFF666E3E}">
          <x14:id>{DF34E544-7FC4-FE13-C659-99D1A02A5B09}</x14:id>
        </ext>
      </extLst>
    </cfRule>
  </conditionalFormatting>
  <dataValidations count="8">
    <dataValidation type="list" sqref="C6:C361" xr:uid="{00000000-0002-0000-0000-000000000000}">
      <formula1>"Subsidi,Komersial,Campuran,Lainnya"</formula1>
    </dataValidation>
    <dataValidation type="list" sqref="D6:D361" xr:uid="{00000000-0002-0000-0000-000001000000}">
      <formula1>"Bukit Intan,Gabek,Gerunggang,Girimaya,Pangkal Balam,Rangkui,Taman Sari"</formula1>
    </dataValidation>
    <dataValidation type="list" sqref="N6:N361" xr:uid="{00000000-0002-0000-0000-000002000000}">
      <formula1>"SUDAH DISERAHKAN,BELUM DISERAHKAN,DALAM PROSES,TIDAK DIKETAHUI"</formula1>
    </dataValidation>
    <dataValidation type="list" sqref="Q6:Q361" xr:uid="{00000000-0002-0000-0000-000003000000}">
      <formula1>"RTH terbangun,RTH belum terbangun,RTH beralih fungsi,Tidak tersedia,Belum terdata"</formula1>
    </dataValidation>
    <dataValidation type="list" sqref="R6:R361" xr:uid="{00000000-0002-0000-0000-000004000000}">
      <formula1>"Jalan belum perkerasan,Jalan rusak ringan,Jalan rusak sedang,Jalan rusak berat"</formula1>
    </dataValidation>
    <dataValidation type="list" sqref="S6:S361" xr:uid="{00000000-0002-0000-0000-000005000000}">
      <formula1>"Pengembang tidak aktif"</formula1>
    </dataValidation>
    <dataValidation type="list" sqref="T6:T361" xr:uid="{00000000-0002-0000-0000-000006000000}">
      <formula1>"Titik rawan genangan dan banjir"</formula1>
    </dataValidation>
    <dataValidation type="list" sqref="Z6:Z361" xr:uid="{00000000-0002-0000-0000-000007000000}">
      <formula1>"Draft,Dalam Verifikasi,Terverifikasi,Perlu Perbaikan"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F34E544-7FC4-FE13-C659-99D1A02A5B09}">
            <x14:dataBar>
              <x14:cfvo type="min"/>
              <x14:cfvo type="max"/>
              <x14:negativeFillColor auto="1"/>
              <x14:axisColor auto="1"/>
            </x14:dataBar>
          </x14:cfRule>
          <xm:sqref>AC6:AD361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881F-AB4E-4374-9075-ED4D57A8B279}">
  <dimension ref="A1:R55"/>
  <sheetViews>
    <sheetView zoomScale="85" zoomScaleNormal="85" workbookViewId="0">
      <selection activeCell="H25" sqref="H25"/>
    </sheetView>
  </sheetViews>
  <sheetFormatPr defaultRowHeight="14"/>
  <cols>
    <col min="1" max="1" width="14" customWidth="1"/>
    <col min="2" max="2" width="16" customWidth="1"/>
    <col min="3" max="3" width="21" customWidth="1"/>
    <col min="4" max="4" width="14" customWidth="1"/>
    <col min="5" max="6" width="15" customWidth="1"/>
    <col min="7" max="7" width="22" customWidth="1"/>
    <col min="8" max="8" width="14" customWidth="1"/>
    <col min="9" max="9" width="12" customWidth="1"/>
    <col min="10" max="12" width="19" customWidth="1"/>
    <col min="13" max="13" width="12" customWidth="1"/>
    <col min="14" max="14" width="28" customWidth="1"/>
    <col min="15" max="15" width="18" customWidth="1"/>
    <col min="16" max="16" width="16" customWidth="1"/>
    <col min="17" max="17" width="20" customWidth="1"/>
    <col min="18" max="18" width="30" customWidth="1"/>
  </cols>
  <sheetData>
    <row r="1" spans="1:18" ht="23">
      <c r="A1" s="196" t="s">
        <v>2043</v>
      </c>
      <c r="B1" s="196"/>
      <c r="C1" s="196"/>
      <c r="D1" s="196"/>
      <c r="E1" s="196"/>
      <c r="F1" s="196"/>
      <c r="G1" s="196"/>
      <c r="H1" s="196"/>
      <c r="I1" s="196"/>
      <c r="J1" s="196"/>
      <c r="K1" s="196"/>
      <c r="L1" s="197"/>
      <c r="M1" s="197"/>
      <c r="N1" s="197"/>
      <c r="O1" s="197"/>
      <c r="P1" s="197"/>
      <c r="Q1" s="197"/>
      <c r="R1" s="197"/>
    </row>
    <row r="2" spans="1:18" ht="14.5" customHeight="1">
      <c r="A2" s="198" t="s">
        <v>2062</v>
      </c>
      <c r="B2" s="198"/>
      <c r="C2" s="198"/>
      <c r="D2" s="198"/>
      <c r="E2" s="198"/>
      <c r="F2" s="198"/>
      <c r="G2" s="198"/>
      <c r="H2" s="198"/>
      <c r="I2" s="198"/>
      <c r="J2" s="198"/>
      <c r="K2" s="198"/>
      <c r="L2" s="199"/>
      <c r="M2" s="199"/>
      <c r="N2" s="199"/>
      <c r="O2" s="199"/>
      <c r="P2" s="199"/>
      <c r="Q2" s="199"/>
      <c r="R2" s="199"/>
    </row>
    <row r="3" spans="1:18" ht="25.4" customHeight="1">
      <c r="A3" s="200" t="s">
        <v>2063</v>
      </c>
      <c r="B3" s="200"/>
      <c r="C3" s="200"/>
      <c r="D3" s="200"/>
      <c r="E3" s="200"/>
      <c r="F3" s="200"/>
      <c r="G3" s="200"/>
      <c r="H3" s="200"/>
      <c r="I3" s="200"/>
      <c r="J3" s="200"/>
      <c r="K3" s="200"/>
      <c r="L3" s="201"/>
      <c r="M3" s="201"/>
      <c r="N3" s="201"/>
      <c r="O3" s="201"/>
      <c r="P3" s="201"/>
      <c r="Q3" s="201"/>
      <c r="R3" s="201"/>
    </row>
    <row r="5" spans="1:18" ht="28">
      <c r="A5" s="90" t="s">
        <v>848</v>
      </c>
      <c r="B5" s="91" t="s">
        <v>849</v>
      </c>
      <c r="C5" s="91" t="s">
        <v>850</v>
      </c>
      <c r="D5" s="91" t="s">
        <v>2044</v>
      </c>
      <c r="E5" s="91" t="s">
        <v>2045</v>
      </c>
      <c r="F5" s="91" t="s">
        <v>2046</v>
      </c>
      <c r="G5" s="91" t="s">
        <v>2047</v>
      </c>
      <c r="H5" s="91" t="s">
        <v>2048</v>
      </c>
      <c r="I5" s="91" t="s">
        <v>2049</v>
      </c>
      <c r="J5" s="91" t="s">
        <v>2050</v>
      </c>
      <c r="K5" s="92" t="s">
        <v>851</v>
      </c>
      <c r="L5" s="93" t="s">
        <v>852</v>
      </c>
      <c r="M5" s="93" t="s">
        <v>26</v>
      </c>
      <c r="N5" s="93" t="s">
        <v>27</v>
      </c>
      <c r="O5" s="93" t="s">
        <v>28</v>
      </c>
      <c r="P5" s="93" t="s">
        <v>29</v>
      </c>
      <c r="Q5" s="93" t="s">
        <v>30</v>
      </c>
      <c r="R5" s="94" t="s">
        <v>853</v>
      </c>
    </row>
    <row r="6" spans="1:18" ht="28">
      <c r="A6" s="95" t="s">
        <v>2051</v>
      </c>
      <c r="B6" s="96" t="s">
        <v>855</v>
      </c>
      <c r="C6" s="96" t="s">
        <v>81</v>
      </c>
      <c r="D6" s="97">
        <v>11467</v>
      </c>
      <c r="E6" s="97">
        <v>8016</v>
      </c>
      <c r="F6" s="97">
        <v>474</v>
      </c>
      <c r="G6" s="97">
        <v>946</v>
      </c>
      <c r="H6" s="97">
        <v>34</v>
      </c>
      <c r="I6" s="97">
        <v>30</v>
      </c>
      <c r="J6" s="98">
        <f t="shared" ref="J6:J12" si="0">SUM(E6:I6)</f>
        <v>9500</v>
      </c>
      <c r="K6" s="99">
        <f t="shared" ref="K6:K12" si="1">SUM(F6:I6)</f>
        <v>1484</v>
      </c>
      <c r="L6" s="100">
        <f t="shared" ref="L6:L12" si="2">D6-SUM(E6,F6,H6)</f>
        <v>2943</v>
      </c>
      <c r="M6" s="101">
        <v>2023</v>
      </c>
      <c r="N6" s="102" t="s">
        <v>2052</v>
      </c>
      <c r="O6" s="102" t="s">
        <v>857</v>
      </c>
      <c r="P6" s="103"/>
      <c r="Q6" s="102"/>
      <c r="R6" s="102"/>
    </row>
    <row r="7" spans="1:18" ht="28">
      <c r="A7" s="104" t="s">
        <v>2053</v>
      </c>
      <c r="B7" s="105" t="s">
        <v>855</v>
      </c>
      <c r="C7" s="105" t="s">
        <v>860</v>
      </c>
      <c r="D7" s="106">
        <v>5264</v>
      </c>
      <c r="E7" s="106">
        <v>3173</v>
      </c>
      <c r="F7" s="106">
        <v>646</v>
      </c>
      <c r="G7" s="106">
        <v>925</v>
      </c>
      <c r="H7" s="106">
        <v>21</v>
      </c>
      <c r="I7" s="106">
        <v>40</v>
      </c>
      <c r="J7" s="107">
        <f t="shared" si="0"/>
        <v>4805</v>
      </c>
      <c r="K7" s="108">
        <f t="shared" si="1"/>
        <v>1632</v>
      </c>
      <c r="L7" s="100">
        <f t="shared" si="2"/>
        <v>1424</v>
      </c>
      <c r="M7" s="101">
        <v>2023</v>
      </c>
      <c r="N7" s="102" t="s">
        <v>2052</v>
      </c>
      <c r="O7" s="102" t="s">
        <v>857</v>
      </c>
      <c r="P7" s="103"/>
      <c r="Q7" s="102"/>
      <c r="R7" s="102"/>
    </row>
    <row r="8" spans="1:18" ht="28">
      <c r="A8" s="104" t="s">
        <v>2054</v>
      </c>
      <c r="B8" s="105" t="s">
        <v>855</v>
      </c>
      <c r="C8" s="105" t="s">
        <v>99</v>
      </c>
      <c r="D8" s="106">
        <v>5982</v>
      </c>
      <c r="E8" s="106">
        <v>4318</v>
      </c>
      <c r="F8" s="106">
        <v>528</v>
      </c>
      <c r="G8" s="106">
        <v>922</v>
      </c>
      <c r="H8" s="106">
        <v>6</v>
      </c>
      <c r="I8" s="106">
        <v>15</v>
      </c>
      <c r="J8" s="107">
        <f t="shared" si="0"/>
        <v>5789</v>
      </c>
      <c r="K8" s="108">
        <f t="shared" si="1"/>
        <v>1471</v>
      </c>
      <c r="L8" s="100">
        <f t="shared" si="2"/>
        <v>1130</v>
      </c>
      <c r="M8" s="101">
        <v>2023</v>
      </c>
      <c r="N8" s="102" t="s">
        <v>2052</v>
      </c>
      <c r="O8" s="102" t="s">
        <v>857</v>
      </c>
      <c r="P8" s="103"/>
      <c r="Q8" s="102"/>
      <c r="R8" s="102"/>
    </row>
    <row r="9" spans="1:18" ht="28">
      <c r="A9" s="104" t="s">
        <v>2055</v>
      </c>
      <c r="B9" s="105" t="s">
        <v>855</v>
      </c>
      <c r="C9" s="105" t="s">
        <v>810</v>
      </c>
      <c r="D9" s="106">
        <v>10299</v>
      </c>
      <c r="E9" s="106">
        <v>6419</v>
      </c>
      <c r="F9" s="106">
        <v>1740</v>
      </c>
      <c r="G9" s="106">
        <v>1344</v>
      </c>
      <c r="H9" s="106">
        <v>100</v>
      </c>
      <c r="I9" s="106">
        <v>76</v>
      </c>
      <c r="J9" s="107">
        <f t="shared" si="0"/>
        <v>9679</v>
      </c>
      <c r="K9" s="108">
        <f t="shared" si="1"/>
        <v>3260</v>
      </c>
      <c r="L9" s="100">
        <f t="shared" si="2"/>
        <v>2040</v>
      </c>
      <c r="M9" s="101">
        <v>2023</v>
      </c>
      <c r="N9" s="102" t="s">
        <v>2052</v>
      </c>
      <c r="O9" s="102" t="s">
        <v>857</v>
      </c>
      <c r="P9" s="103"/>
      <c r="Q9" s="102"/>
      <c r="R9" s="102"/>
    </row>
    <row r="10" spans="1:18" ht="28">
      <c r="A10" s="104" t="s">
        <v>2056</v>
      </c>
      <c r="B10" s="105" t="s">
        <v>855</v>
      </c>
      <c r="C10" s="105" t="s">
        <v>35</v>
      </c>
      <c r="D10" s="106">
        <v>14299</v>
      </c>
      <c r="E10" s="106">
        <v>9897</v>
      </c>
      <c r="F10" s="106">
        <v>848</v>
      </c>
      <c r="G10" s="106">
        <v>1129</v>
      </c>
      <c r="H10" s="106">
        <v>164</v>
      </c>
      <c r="I10" s="106">
        <v>11</v>
      </c>
      <c r="J10" s="107">
        <f t="shared" si="0"/>
        <v>12049</v>
      </c>
      <c r="K10" s="108">
        <f t="shared" si="1"/>
        <v>2152</v>
      </c>
      <c r="L10" s="100">
        <f t="shared" si="2"/>
        <v>3390</v>
      </c>
      <c r="M10" s="101">
        <v>2023</v>
      </c>
      <c r="N10" s="102" t="s">
        <v>2052</v>
      </c>
      <c r="O10" s="102" t="s">
        <v>857</v>
      </c>
      <c r="P10" s="103"/>
      <c r="Q10" s="102"/>
      <c r="R10" s="102"/>
    </row>
    <row r="11" spans="1:18" ht="28">
      <c r="A11" s="104" t="s">
        <v>2057</v>
      </c>
      <c r="B11" s="105" t="s">
        <v>855</v>
      </c>
      <c r="C11" s="105" t="s">
        <v>60</v>
      </c>
      <c r="D11" s="106">
        <v>10084</v>
      </c>
      <c r="E11" s="106">
        <v>7610</v>
      </c>
      <c r="F11" s="106">
        <v>757</v>
      </c>
      <c r="G11" s="106">
        <v>565</v>
      </c>
      <c r="H11" s="106">
        <v>36</v>
      </c>
      <c r="I11" s="106">
        <v>14</v>
      </c>
      <c r="J11" s="107">
        <f t="shared" si="0"/>
        <v>8982</v>
      </c>
      <c r="K11" s="108">
        <f t="shared" si="1"/>
        <v>1372</v>
      </c>
      <c r="L11" s="100">
        <f t="shared" si="2"/>
        <v>1681</v>
      </c>
      <c r="M11" s="101">
        <v>2023</v>
      </c>
      <c r="N11" s="102" t="s">
        <v>2052</v>
      </c>
      <c r="O11" s="102" t="s">
        <v>857</v>
      </c>
      <c r="P11" s="103"/>
      <c r="Q11" s="102"/>
      <c r="R11" s="102"/>
    </row>
    <row r="12" spans="1:18" ht="28.5" thickBot="1">
      <c r="A12" s="104" t="s">
        <v>2058</v>
      </c>
      <c r="B12" s="105" t="s">
        <v>855</v>
      </c>
      <c r="C12" s="105" t="s">
        <v>304</v>
      </c>
      <c r="D12" s="106">
        <v>5115</v>
      </c>
      <c r="E12" s="106">
        <v>3636</v>
      </c>
      <c r="F12" s="106">
        <v>527</v>
      </c>
      <c r="G12" s="106">
        <v>811</v>
      </c>
      <c r="H12" s="106">
        <v>4</v>
      </c>
      <c r="I12" s="106">
        <v>1</v>
      </c>
      <c r="J12" s="107">
        <f t="shared" si="0"/>
        <v>4979</v>
      </c>
      <c r="K12" s="108">
        <f t="shared" si="1"/>
        <v>1343</v>
      </c>
      <c r="L12" s="100">
        <f t="shared" si="2"/>
        <v>948</v>
      </c>
      <c r="M12" s="101">
        <v>2023</v>
      </c>
      <c r="N12" s="102" t="s">
        <v>2052</v>
      </c>
      <c r="O12" s="102" t="s">
        <v>857</v>
      </c>
      <c r="P12" s="103"/>
      <c r="Q12" s="102"/>
      <c r="R12" s="102"/>
    </row>
    <row r="13" spans="1:18" ht="28">
      <c r="A13" s="109" t="s">
        <v>2059</v>
      </c>
      <c r="B13" s="110" t="s">
        <v>866</v>
      </c>
      <c r="C13" s="110" t="s">
        <v>2060</v>
      </c>
      <c r="D13" s="111">
        <f t="shared" ref="D13:L13" si="3">SUM(D6:D12)</f>
        <v>62510</v>
      </c>
      <c r="E13" s="111">
        <f t="shared" si="3"/>
        <v>43069</v>
      </c>
      <c r="F13" s="111">
        <f t="shared" si="3"/>
        <v>5520</v>
      </c>
      <c r="G13" s="111">
        <f t="shared" si="3"/>
        <v>6642</v>
      </c>
      <c r="H13" s="111">
        <f t="shared" si="3"/>
        <v>365</v>
      </c>
      <c r="I13" s="111">
        <f t="shared" si="3"/>
        <v>187</v>
      </c>
      <c r="J13" s="111">
        <f t="shared" si="3"/>
        <v>55783</v>
      </c>
      <c r="K13" s="112">
        <f t="shared" si="3"/>
        <v>12714</v>
      </c>
      <c r="L13" s="113">
        <f t="shared" si="3"/>
        <v>13556</v>
      </c>
      <c r="M13" s="114">
        <v>2023</v>
      </c>
      <c r="N13" s="115" t="s">
        <v>2052</v>
      </c>
      <c r="O13" s="115" t="s">
        <v>857</v>
      </c>
      <c r="P13" s="116"/>
      <c r="Q13" s="115"/>
      <c r="R13" s="115" t="s">
        <v>2061</v>
      </c>
    </row>
    <row r="14" spans="1:18" ht="4.4000000000000004" customHeight="1">
      <c r="A14" s="117"/>
      <c r="B14" s="118"/>
      <c r="C14" s="118"/>
      <c r="D14" s="15"/>
      <c r="E14" s="15"/>
      <c r="F14" s="119"/>
      <c r="G14" s="118"/>
      <c r="H14" s="118"/>
      <c r="I14" s="120"/>
      <c r="J14" s="118"/>
      <c r="K14" s="121"/>
    </row>
    <row r="15" spans="1:18" ht="4.4000000000000004" customHeight="1">
      <c r="A15" s="117"/>
      <c r="B15" s="118"/>
      <c r="C15" s="118"/>
      <c r="D15" s="15"/>
      <c r="E15" s="15"/>
      <c r="F15" s="119"/>
      <c r="G15" s="118"/>
      <c r="H15" s="118"/>
      <c r="I15" s="120"/>
      <c r="J15" s="118"/>
      <c r="K15" s="121"/>
    </row>
    <row r="16" spans="1:18" ht="4.4000000000000004" customHeight="1">
      <c r="A16" s="126"/>
      <c r="B16" s="127"/>
      <c r="C16" s="127"/>
      <c r="D16" s="128"/>
      <c r="E16" s="128"/>
      <c r="F16" s="128"/>
      <c r="G16" s="127"/>
      <c r="H16" s="127"/>
      <c r="I16" s="129"/>
      <c r="J16" s="127"/>
      <c r="K16" s="130"/>
      <c r="L16" s="89"/>
      <c r="M16" s="89"/>
      <c r="N16" s="89"/>
      <c r="O16" s="89"/>
      <c r="P16" s="89"/>
      <c r="Q16" s="89"/>
      <c r="R16" s="89"/>
    </row>
    <row r="17" spans="1:18" ht="4.4000000000000004" customHeight="1">
      <c r="A17" s="117"/>
      <c r="B17" s="118"/>
      <c r="C17" s="118"/>
      <c r="D17" s="15"/>
      <c r="E17" s="15"/>
      <c r="F17" s="119"/>
      <c r="G17" s="118"/>
      <c r="H17" s="118"/>
      <c r="I17" s="120"/>
      <c r="J17" s="118"/>
      <c r="K17" s="121"/>
    </row>
    <row r="18" spans="1:18" ht="20" customHeight="1">
      <c r="A18" s="131"/>
      <c r="B18" s="91"/>
      <c r="C18" s="132"/>
      <c r="D18" s="133"/>
      <c r="E18" s="133"/>
      <c r="F18" s="133"/>
      <c r="G18" s="91"/>
      <c r="H18" s="91"/>
      <c r="I18" s="134"/>
      <c r="J18" s="91"/>
      <c r="K18" s="92"/>
      <c r="L18" s="93"/>
      <c r="M18" s="93"/>
      <c r="N18" s="93"/>
      <c r="O18" s="93"/>
      <c r="P18" s="93"/>
      <c r="Q18" s="93"/>
      <c r="R18" s="94"/>
    </row>
    <row r="19" spans="1:18" ht="34.65" customHeight="1">
      <c r="A19" s="135"/>
      <c r="B19" s="136"/>
      <c r="C19" s="136"/>
      <c r="D19" s="137"/>
      <c r="E19" s="137"/>
      <c r="F19" s="137"/>
      <c r="G19" s="136"/>
      <c r="H19" s="136"/>
      <c r="I19" s="138"/>
      <c r="J19" s="136"/>
      <c r="K19" s="139"/>
      <c r="L19" s="140"/>
      <c r="M19" s="140"/>
      <c r="N19" s="140"/>
      <c r="O19" s="140"/>
      <c r="P19" s="140"/>
      <c r="Q19" s="140"/>
      <c r="R19" s="140"/>
    </row>
    <row r="20" spans="1:18" ht="34.65" customHeight="1">
      <c r="A20" s="135"/>
      <c r="B20" s="136"/>
      <c r="C20" s="136"/>
      <c r="D20" s="137"/>
      <c r="E20" s="137"/>
      <c r="F20" s="137"/>
      <c r="G20" s="136"/>
      <c r="H20" s="136"/>
      <c r="I20" s="138"/>
      <c r="J20" s="136"/>
      <c r="K20" s="139"/>
      <c r="L20" s="140"/>
      <c r="M20" s="140"/>
      <c r="N20" s="140"/>
      <c r="O20" s="140"/>
      <c r="P20" s="140"/>
      <c r="Q20" s="140"/>
      <c r="R20" s="140"/>
    </row>
    <row r="21" spans="1:18" ht="34.65" customHeight="1">
      <c r="A21" s="135"/>
      <c r="B21" s="136"/>
      <c r="C21" s="136"/>
      <c r="D21" s="137"/>
      <c r="E21" s="137"/>
      <c r="F21" s="137"/>
      <c r="G21" s="136"/>
      <c r="H21" s="136"/>
      <c r="I21" s="138"/>
      <c r="J21" s="136"/>
      <c r="K21" s="139"/>
      <c r="L21" s="140"/>
      <c r="M21" s="140"/>
      <c r="N21" s="140"/>
      <c r="O21" s="140"/>
      <c r="P21" s="140"/>
      <c r="Q21" s="140"/>
      <c r="R21" s="140"/>
    </row>
    <row r="22" spans="1:18" ht="34.65" customHeight="1">
      <c r="A22" s="135"/>
      <c r="B22" s="136"/>
      <c r="C22" s="136"/>
      <c r="D22" s="137"/>
      <c r="E22" s="137"/>
      <c r="F22" s="137"/>
      <c r="G22" s="136"/>
      <c r="H22" s="136"/>
      <c r="I22" s="138"/>
      <c r="J22" s="136"/>
      <c r="K22" s="139"/>
      <c r="L22" s="140"/>
      <c r="M22" s="140"/>
      <c r="N22" s="140"/>
      <c r="O22" s="140"/>
      <c r="P22" s="140"/>
      <c r="Q22" s="140"/>
      <c r="R22" s="140"/>
    </row>
    <row r="23" spans="1:18" ht="4.4000000000000004" customHeight="1">
      <c r="A23" s="117"/>
      <c r="B23" s="118"/>
      <c r="C23" s="118"/>
      <c r="D23" s="15"/>
      <c r="E23" s="15"/>
      <c r="F23" s="119"/>
      <c r="G23" s="118"/>
      <c r="H23" s="118"/>
      <c r="I23" s="120"/>
      <c r="J23" s="118"/>
      <c r="K23" s="121"/>
    </row>
    <row r="24" spans="1:18" ht="4.4000000000000004" customHeight="1">
      <c r="A24" s="117"/>
      <c r="B24" s="118"/>
      <c r="C24" s="118"/>
      <c r="D24" s="15"/>
      <c r="E24" s="15"/>
      <c r="F24" s="119"/>
      <c r="G24" s="118"/>
      <c r="H24" s="118"/>
      <c r="I24" s="120"/>
      <c r="J24" s="118"/>
      <c r="K24" s="121"/>
    </row>
    <row r="25" spans="1:18" ht="4.4000000000000004" customHeight="1">
      <c r="A25" s="117"/>
      <c r="B25" s="118"/>
      <c r="C25" s="118"/>
      <c r="D25" s="15"/>
      <c r="E25" s="15"/>
      <c r="F25" s="119"/>
      <c r="G25" s="118"/>
      <c r="H25" s="118"/>
      <c r="I25" s="120"/>
      <c r="J25" s="118"/>
      <c r="K25" s="121"/>
    </row>
    <row r="26" spans="1:18" ht="4.4000000000000004" customHeight="1">
      <c r="A26" s="117"/>
      <c r="B26" s="118"/>
      <c r="C26" s="118"/>
      <c r="D26" s="15"/>
      <c r="E26" s="15"/>
      <c r="F26" s="119"/>
      <c r="G26" s="118"/>
      <c r="H26" s="118"/>
      <c r="I26" s="120"/>
      <c r="J26" s="118"/>
      <c r="K26" s="121"/>
    </row>
    <row r="27" spans="1:18" ht="4.4000000000000004" customHeight="1">
      <c r="A27" s="117"/>
      <c r="B27" s="118"/>
      <c r="C27" s="118"/>
      <c r="D27" s="15"/>
      <c r="E27" s="15"/>
      <c r="F27" s="119"/>
      <c r="G27" s="118"/>
      <c r="H27" s="118"/>
      <c r="I27" s="120"/>
      <c r="J27" s="118"/>
      <c r="K27" s="121"/>
    </row>
    <row r="28" spans="1:18" ht="4.4000000000000004" customHeight="1">
      <c r="A28" s="117"/>
      <c r="B28" s="118"/>
      <c r="C28" s="118"/>
      <c r="D28" s="15"/>
      <c r="E28" s="15"/>
      <c r="F28" s="119"/>
      <c r="G28" s="118"/>
      <c r="H28" s="118"/>
      <c r="I28" s="120"/>
      <c r="J28" s="118"/>
      <c r="K28" s="121"/>
    </row>
    <row r="29" spans="1:18" ht="4.4000000000000004" customHeight="1">
      <c r="A29" s="117"/>
      <c r="B29" s="118"/>
      <c r="C29" s="118"/>
      <c r="D29" s="15"/>
      <c r="E29" s="15"/>
      <c r="F29" s="119"/>
      <c r="G29" s="118"/>
      <c r="H29" s="118"/>
      <c r="I29" s="120"/>
      <c r="J29" s="118"/>
      <c r="K29" s="121"/>
    </row>
    <row r="30" spans="1:18" ht="4.4000000000000004" customHeight="1">
      <c r="A30" s="117"/>
      <c r="B30" s="118"/>
      <c r="C30" s="118"/>
      <c r="D30" s="15"/>
      <c r="E30" s="15"/>
      <c r="F30" s="119"/>
      <c r="G30" s="118"/>
      <c r="H30" s="118"/>
      <c r="I30" s="120"/>
      <c r="J30" s="118"/>
      <c r="K30" s="121"/>
    </row>
    <row r="31" spans="1:18" ht="4.4000000000000004" customHeight="1">
      <c r="A31" s="117"/>
      <c r="B31" s="118"/>
      <c r="C31" s="118"/>
      <c r="D31" s="15"/>
      <c r="E31" s="15"/>
      <c r="F31" s="119"/>
      <c r="G31" s="118"/>
      <c r="H31" s="118"/>
      <c r="I31" s="120"/>
      <c r="J31" s="118"/>
      <c r="K31" s="121"/>
    </row>
    <row r="32" spans="1:18" ht="4.4000000000000004" customHeight="1">
      <c r="A32" s="117"/>
      <c r="B32" s="118"/>
      <c r="C32" s="118"/>
      <c r="D32" s="15"/>
      <c r="E32" s="15"/>
      <c r="F32" s="119"/>
      <c r="G32" s="118"/>
      <c r="H32" s="118"/>
      <c r="I32" s="120"/>
      <c r="J32" s="118"/>
      <c r="K32" s="121"/>
    </row>
    <row r="33" spans="1:11" ht="4.4000000000000004" customHeight="1">
      <c r="A33" s="117"/>
      <c r="B33" s="118"/>
      <c r="C33" s="118"/>
      <c r="D33" s="15"/>
      <c r="E33" s="15"/>
      <c r="F33" s="119"/>
      <c r="G33" s="118"/>
      <c r="H33" s="118"/>
      <c r="I33" s="120"/>
      <c r="J33" s="118"/>
      <c r="K33" s="121"/>
    </row>
    <row r="34" spans="1:11" ht="4.4000000000000004" customHeight="1">
      <c r="A34" s="117"/>
      <c r="B34" s="118"/>
      <c r="C34" s="118"/>
      <c r="D34" s="15"/>
      <c r="E34" s="15"/>
      <c r="F34" s="119"/>
      <c r="G34" s="118"/>
      <c r="H34" s="118"/>
      <c r="I34" s="120"/>
      <c r="J34" s="118"/>
      <c r="K34" s="121"/>
    </row>
    <row r="35" spans="1:11" ht="4.4000000000000004" customHeight="1">
      <c r="A35" s="117"/>
      <c r="B35" s="118"/>
      <c r="C35" s="118"/>
      <c r="D35" s="15"/>
      <c r="E35" s="15"/>
      <c r="F35" s="119"/>
      <c r="G35" s="118"/>
      <c r="H35" s="118"/>
      <c r="I35" s="120"/>
      <c r="J35" s="118"/>
      <c r="K35" s="121"/>
    </row>
    <row r="36" spans="1:11" ht="4.4000000000000004" customHeight="1">
      <c r="A36" s="117"/>
      <c r="B36" s="118"/>
      <c r="C36" s="118"/>
      <c r="D36" s="15"/>
      <c r="E36" s="15"/>
      <c r="F36" s="119"/>
      <c r="G36" s="118"/>
      <c r="H36" s="118"/>
      <c r="I36" s="120"/>
      <c r="J36" s="118"/>
      <c r="K36" s="121"/>
    </row>
    <row r="37" spans="1:11" ht="4.4000000000000004" customHeight="1">
      <c r="A37" s="117"/>
      <c r="B37" s="118"/>
      <c r="C37" s="118"/>
      <c r="D37" s="15"/>
      <c r="E37" s="15"/>
      <c r="F37" s="119"/>
      <c r="G37" s="118"/>
      <c r="H37" s="118"/>
      <c r="I37" s="120"/>
      <c r="J37" s="118"/>
      <c r="K37" s="121"/>
    </row>
    <row r="38" spans="1:11" ht="4.4000000000000004" customHeight="1">
      <c r="A38" s="117"/>
      <c r="B38" s="118"/>
      <c r="C38" s="118"/>
      <c r="D38" s="15"/>
      <c r="E38" s="15"/>
      <c r="F38" s="119"/>
      <c r="G38" s="118"/>
      <c r="H38" s="118"/>
      <c r="I38" s="120"/>
      <c r="J38" s="118"/>
      <c r="K38" s="121"/>
    </row>
    <row r="39" spans="1:11" ht="4.4000000000000004" customHeight="1">
      <c r="A39" s="117"/>
      <c r="B39" s="118"/>
      <c r="C39" s="118"/>
      <c r="D39" s="15"/>
      <c r="E39" s="15"/>
      <c r="F39" s="119"/>
      <c r="G39" s="118"/>
      <c r="H39" s="118"/>
      <c r="I39" s="120"/>
      <c r="J39" s="118"/>
      <c r="K39" s="121"/>
    </row>
    <row r="40" spans="1:11" ht="4.4000000000000004" customHeight="1">
      <c r="A40" s="117"/>
      <c r="B40" s="118"/>
      <c r="C40" s="118"/>
      <c r="D40" s="15"/>
      <c r="E40" s="15"/>
      <c r="F40" s="119"/>
      <c r="G40" s="118"/>
      <c r="H40" s="118"/>
      <c r="I40" s="120"/>
      <c r="J40" s="118"/>
      <c r="K40" s="121"/>
    </row>
    <row r="41" spans="1:11" ht="4.4000000000000004" customHeight="1">
      <c r="A41" s="117"/>
      <c r="B41" s="118"/>
      <c r="C41" s="118"/>
      <c r="D41" s="15"/>
      <c r="E41" s="15"/>
      <c r="F41" s="119"/>
      <c r="G41" s="118"/>
      <c r="H41" s="118"/>
      <c r="I41" s="120"/>
      <c r="J41" s="118"/>
      <c r="K41" s="121"/>
    </row>
    <row r="42" spans="1:11" ht="4.4000000000000004" customHeight="1">
      <c r="A42" s="117"/>
      <c r="B42" s="118"/>
      <c r="C42" s="118"/>
      <c r="D42" s="15"/>
      <c r="E42" s="15"/>
      <c r="F42" s="119"/>
      <c r="G42" s="118"/>
      <c r="H42" s="118"/>
      <c r="I42" s="120"/>
      <c r="J42" s="118"/>
      <c r="K42" s="121"/>
    </row>
    <row r="43" spans="1:11" ht="4.4000000000000004" customHeight="1">
      <c r="A43" s="117"/>
      <c r="B43" s="118"/>
      <c r="C43" s="118"/>
      <c r="D43" s="15"/>
      <c r="E43" s="15"/>
      <c r="F43" s="119"/>
      <c r="G43" s="118"/>
      <c r="H43" s="118"/>
      <c r="I43" s="120"/>
      <c r="J43" s="118"/>
      <c r="K43" s="121"/>
    </row>
    <row r="44" spans="1:11" ht="4.4000000000000004" customHeight="1">
      <c r="A44" s="117"/>
      <c r="B44" s="118"/>
      <c r="C44" s="118"/>
      <c r="D44" s="15"/>
      <c r="E44" s="15"/>
      <c r="F44" s="119"/>
      <c r="G44" s="118"/>
      <c r="H44" s="118"/>
      <c r="I44" s="120"/>
      <c r="J44" s="118"/>
      <c r="K44" s="121"/>
    </row>
    <row r="45" spans="1:11" ht="4.4000000000000004" customHeight="1">
      <c r="A45" s="117"/>
      <c r="B45" s="118"/>
      <c r="C45" s="118"/>
      <c r="D45" s="15"/>
      <c r="E45" s="15"/>
      <c r="F45" s="119"/>
      <c r="G45" s="118"/>
      <c r="H45" s="118"/>
      <c r="I45" s="120"/>
      <c r="J45" s="118"/>
      <c r="K45" s="121"/>
    </row>
    <row r="46" spans="1:11" ht="4.4000000000000004" customHeight="1">
      <c r="A46" s="117"/>
      <c r="B46" s="118"/>
      <c r="C46" s="118"/>
      <c r="D46" s="15"/>
      <c r="E46" s="15"/>
      <c r="F46" s="119"/>
      <c r="G46" s="118"/>
      <c r="H46" s="118"/>
      <c r="I46" s="120"/>
      <c r="J46" s="118"/>
      <c r="K46" s="121"/>
    </row>
    <row r="47" spans="1:11" ht="4.4000000000000004" customHeight="1">
      <c r="A47" s="117"/>
      <c r="B47" s="118"/>
      <c r="C47" s="118"/>
      <c r="D47" s="15"/>
      <c r="E47" s="15"/>
      <c r="F47" s="119"/>
      <c r="G47" s="118"/>
      <c r="H47" s="118"/>
      <c r="I47" s="120"/>
      <c r="J47" s="118"/>
      <c r="K47" s="121"/>
    </row>
    <row r="48" spans="1:11" ht="4.4000000000000004" customHeight="1">
      <c r="A48" s="117"/>
      <c r="B48" s="118"/>
      <c r="C48" s="118"/>
      <c r="D48" s="15"/>
      <c r="E48" s="15"/>
      <c r="F48" s="119"/>
      <c r="G48" s="118"/>
      <c r="H48" s="118"/>
      <c r="I48" s="120"/>
      <c r="J48" s="118"/>
      <c r="K48" s="121"/>
    </row>
    <row r="49" spans="1:11" ht="4.4000000000000004" customHeight="1">
      <c r="A49" s="117"/>
      <c r="B49" s="118"/>
      <c r="C49" s="118"/>
      <c r="D49" s="15"/>
      <c r="E49" s="15"/>
      <c r="F49" s="119"/>
      <c r="G49" s="118"/>
      <c r="H49" s="118"/>
      <c r="I49" s="120"/>
      <c r="J49" s="118"/>
      <c r="K49" s="121"/>
    </row>
    <row r="50" spans="1:11" ht="4.4000000000000004" customHeight="1">
      <c r="A50" s="117"/>
      <c r="B50" s="118"/>
      <c r="C50" s="118"/>
      <c r="D50" s="15"/>
      <c r="E50" s="15"/>
      <c r="F50" s="119"/>
      <c r="G50" s="118"/>
      <c r="H50" s="118"/>
      <c r="I50" s="120"/>
      <c r="J50" s="118"/>
      <c r="K50" s="121"/>
    </row>
    <row r="51" spans="1:11" ht="4.4000000000000004" customHeight="1">
      <c r="A51" s="117"/>
      <c r="B51" s="118"/>
      <c r="C51" s="118"/>
      <c r="D51" s="15"/>
      <c r="E51" s="15"/>
      <c r="F51" s="119"/>
      <c r="G51" s="118"/>
      <c r="H51" s="118"/>
      <c r="I51" s="120"/>
      <c r="J51" s="118"/>
      <c r="K51" s="121"/>
    </row>
    <row r="52" spans="1:11" ht="4.4000000000000004" customHeight="1">
      <c r="A52" s="117"/>
      <c r="B52" s="118"/>
      <c r="C52" s="118"/>
      <c r="D52" s="15"/>
      <c r="E52" s="15"/>
      <c r="F52" s="119"/>
      <c r="G52" s="118"/>
      <c r="H52" s="118"/>
      <c r="I52" s="120"/>
      <c r="J52" s="118"/>
      <c r="K52" s="121"/>
    </row>
    <row r="53" spans="1:11" ht="4.4000000000000004" customHeight="1">
      <c r="A53" s="117"/>
      <c r="B53" s="118"/>
      <c r="C53" s="118"/>
      <c r="D53" s="15"/>
      <c r="E53" s="15"/>
      <c r="F53" s="119"/>
      <c r="G53" s="118"/>
      <c r="H53" s="118"/>
      <c r="I53" s="120"/>
      <c r="J53" s="118"/>
      <c r="K53" s="121"/>
    </row>
    <row r="54" spans="1:11" ht="4.4000000000000004" customHeight="1">
      <c r="A54" s="117"/>
      <c r="B54" s="118"/>
      <c r="C54" s="118"/>
      <c r="D54" s="15"/>
      <c r="E54" s="15"/>
      <c r="F54" s="119"/>
      <c r="G54" s="118"/>
      <c r="H54" s="118"/>
      <c r="I54" s="120"/>
      <c r="J54" s="118"/>
      <c r="K54" s="121"/>
    </row>
    <row r="55" spans="1:11" ht="4.4000000000000004" customHeight="1">
      <c r="A55" s="122"/>
      <c r="B55" s="123"/>
      <c r="C55" s="123"/>
      <c r="D55" s="16"/>
      <c r="E55" s="16"/>
      <c r="F55" s="124"/>
      <c r="G55" s="123"/>
      <c r="H55" s="123"/>
      <c r="I55" s="125"/>
      <c r="J55" s="123"/>
      <c r="K55" s="7"/>
    </row>
  </sheetData>
  <mergeCells count="3">
    <mergeCell ref="A1:R1"/>
    <mergeCell ref="A2:R2"/>
    <mergeCell ref="A3:R3"/>
  </mergeCells>
  <conditionalFormatting sqref="D6:E55">
    <cfRule type="dataBar" priority="1">
      <dataBar>
        <cfvo type="min"/>
        <cfvo type="max"/>
        <color rgb="FF175B72"/>
      </dataBar>
    </cfRule>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7">
      <dataBar>
        <cfvo type="min"/>
        <cfvo type="max"/>
        <color rgb="FF175B72"/>
      </dataBar>
      <extLst>
        <ext xmlns:x14="http://schemas.microsoft.com/office/spreadsheetml/2009/9/main" uri="{B025F937-C7B1-47D3-B67F-A62EFF666E3E}">
          <x14:id>{587C0ACC-6C47-46C3-B70C-987EA79ECD8D}</x14:id>
        </ext>
      </extLst>
    </cfRule>
  </conditionalFormatting>
  <conditionalFormatting sqref="K6:K12">
    <cfRule type="dataBar" priority="5">
      <dataBar>
        <cfvo type="min"/>
        <cfvo type="max"/>
        <color rgb="FFEA580C"/>
      </dataBar>
    </cfRule>
    <cfRule type="dataBar" priority="8">
      <dataBar>
        <cfvo type="min"/>
        <cfvo type="max"/>
        <color rgb="FFEA580C"/>
      </dataBar>
      <extLst>
        <ext xmlns:x14="http://schemas.microsoft.com/office/spreadsheetml/2009/9/main" uri="{B025F937-C7B1-47D3-B67F-A62EFF666E3E}">
          <x14:id>{7635EF3B-EAF9-4DCC-B2D3-2AB02FBD6767}</x14:id>
        </ext>
      </extLst>
    </cfRule>
  </conditionalFormatting>
  <conditionalFormatting sqref="L6:L12">
    <cfRule type="dataBar" priority="6">
      <dataBar>
        <cfvo type="min"/>
        <cfvo type="max"/>
        <color rgb="FFDC2626"/>
      </dataBar>
    </cfRule>
    <cfRule type="dataBar" priority="9">
      <dataBar>
        <cfvo type="min"/>
        <cfvo type="max"/>
        <color rgb="FFDC2626"/>
      </dataBar>
      <extLst>
        <ext xmlns:x14="http://schemas.microsoft.com/office/spreadsheetml/2009/9/main" uri="{B025F937-C7B1-47D3-B67F-A62EFF666E3E}">
          <x14:id>{6845B95F-11F2-4177-B582-C26A1677EEB0}</x14:id>
        </ext>
      </extLst>
    </cfRule>
  </conditionalFormatting>
  <dataValidations count="4">
    <dataValidation type="list" sqref="O6:O13" xr:uid="{B351ABAE-30E5-4A1F-BB04-A152D07262D9}">
      <formula1>"Belum Diverifikasi,Terverifikasi"</formula1>
    </dataValidation>
    <dataValidation type="list" sqref="H6:H55" xr:uid="{62815303-AC7E-4025-97C9-788C7E35E451}">
      <formula1>"Draft,Dalam Verifikasi,Terverifikasi,Perlu Perbaikan"</formula1>
    </dataValidation>
    <dataValidation type="list" sqref="C6:C55" xr:uid="{8AF4886A-4AB3-4884-846F-DBBC311957E3}">
      <formula1>"Bukit Intan,Gabek,Gerunggang,Girimaya,Pangkal Balam,Rangkui,Taman Sari,Kota Pangkalpinang"</formula1>
    </dataValidation>
    <dataValidation type="list" sqref="B6:B55" xr:uid="{468B17D6-D9D7-42E4-BF4C-861067704230}">
      <formula1>"Kecamatan,Kota"</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87C0ACC-6C47-46C3-B70C-987EA79ECD8D}">
            <x14:dataBar>
              <x14:cfvo type="min"/>
              <x14:cfvo type="max"/>
              <x14:negativeFillColor auto="1"/>
              <x14:axisColor auto="1"/>
            </x14:dataBar>
          </x14:cfRule>
          <xm:sqref>D6:E55</xm:sqref>
        </x14:conditionalFormatting>
        <x14:conditionalFormatting xmlns:xm="http://schemas.microsoft.com/office/excel/2006/main">
          <x14:cfRule type="dataBar" id="{7635EF3B-EAF9-4DCC-B2D3-2AB02FBD6767}">
            <x14:dataBar>
              <x14:cfvo type="min"/>
              <x14:cfvo type="max"/>
              <x14:negativeFillColor auto="1"/>
              <x14:axisColor auto="1"/>
            </x14:dataBar>
          </x14:cfRule>
          <xm:sqref>K6:K12</xm:sqref>
        </x14:conditionalFormatting>
        <x14:conditionalFormatting xmlns:xm="http://schemas.microsoft.com/office/excel/2006/main">
          <x14:cfRule type="dataBar" id="{6845B95F-11F2-4177-B582-C26A1677EEB0}">
            <x14:dataBar>
              <x14:cfvo type="min"/>
              <x14:cfvo type="max"/>
              <x14:negativeFillColor auto="1"/>
              <x14:axisColor auto="1"/>
            </x14:dataBar>
          </x14:cfRule>
          <xm:sqref>L6:L12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
  <sheetViews>
    <sheetView workbookViewId="0">
      <selection activeCell="F21" sqref="F21"/>
    </sheetView>
  </sheetViews>
  <sheetFormatPr defaultRowHeight="14"/>
  <cols>
    <col min="1" max="1" width="16" customWidth="1"/>
    <col min="2" max="2" width="20" customWidth="1"/>
    <col min="3" max="3" width="17" customWidth="1"/>
    <col min="4" max="5" width="12" customWidth="1"/>
    <col min="6" max="6" width="18" customWidth="1"/>
    <col min="7" max="7" width="13" customWidth="1"/>
    <col min="8" max="8" width="34" customWidth="1"/>
    <col min="9" max="9" width="20" customWidth="1"/>
    <col min="10" max="10" width="16" customWidth="1"/>
    <col min="11" max="11" width="20" customWidth="1"/>
  </cols>
  <sheetData>
    <row r="1" spans="1:11" ht="23">
      <c r="A1" s="191" t="s">
        <v>867</v>
      </c>
      <c r="B1" s="191"/>
      <c r="C1" s="191"/>
      <c r="D1" s="191"/>
      <c r="E1" s="191"/>
      <c r="F1" s="191"/>
      <c r="G1" s="191"/>
      <c r="H1" s="191"/>
      <c r="I1" s="191"/>
      <c r="J1" s="191"/>
      <c r="K1" s="191"/>
    </row>
    <row r="2" spans="1:11">
      <c r="A2" s="193" t="s">
        <v>868</v>
      </c>
      <c r="B2" s="193"/>
      <c r="C2" s="193"/>
      <c r="D2" s="193"/>
      <c r="E2" s="193"/>
      <c r="F2" s="193"/>
      <c r="G2" s="193"/>
      <c r="H2" s="193"/>
      <c r="I2" s="193"/>
      <c r="J2" s="193"/>
      <c r="K2" s="193"/>
    </row>
    <row r="3" spans="1:11">
      <c r="A3" s="194" t="s">
        <v>847</v>
      </c>
      <c r="B3" s="194"/>
      <c r="C3" s="194"/>
      <c r="D3" s="194"/>
      <c r="E3" s="194"/>
      <c r="F3" s="194"/>
      <c r="G3" s="194"/>
      <c r="H3" s="194"/>
      <c r="I3" s="194"/>
      <c r="J3" s="194"/>
      <c r="K3" s="194"/>
    </row>
    <row r="5" spans="1:11" ht="26">
      <c r="A5" s="1" t="s">
        <v>869</v>
      </c>
      <c r="B5" s="2" t="s">
        <v>6</v>
      </c>
      <c r="C5" s="2" t="s">
        <v>870</v>
      </c>
      <c r="D5" s="2" t="s">
        <v>871</v>
      </c>
      <c r="E5" s="2" t="s">
        <v>872</v>
      </c>
      <c r="F5" s="2" t="s">
        <v>873</v>
      </c>
      <c r="G5" s="2" t="s">
        <v>26</v>
      </c>
      <c r="H5" s="2" t="s">
        <v>27</v>
      </c>
      <c r="I5" s="2" t="s">
        <v>28</v>
      </c>
      <c r="J5" s="2" t="s">
        <v>29</v>
      </c>
      <c r="K5" s="3" t="s">
        <v>30</v>
      </c>
    </row>
    <row r="6" spans="1:11">
      <c r="A6" s="29" t="s">
        <v>854</v>
      </c>
      <c r="B6" s="8" t="s">
        <v>35</v>
      </c>
      <c r="C6" s="17">
        <v>12049</v>
      </c>
      <c r="D6" s="184">
        <f>424-32</f>
        <v>392</v>
      </c>
      <c r="E6" s="35">
        <f t="shared" ref="E6:E37" si="0">IF(A6="","",MAX(C6-D6,0))</f>
        <v>11657</v>
      </c>
      <c r="F6" s="23">
        <f t="shared" ref="F6:F37" si="1">IF(A6="","",IFERROR(D6/C6,0))</f>
        <v>3.2533820234044317E-2</v>
      </c>
      <c r="G6" s="17">
        <v>2023</v>
      </c>
      <c r="H6" s="8" t="s">
        <v>856</v>
      </c>
      <c r="I6" s="8" t="s">
        <v>857</v>
      </c>
      <c r="J6" s="11"/>
      <c r="K6" s="32"/>
    </row>
    <row r="7" spans="1:11">
      <c r="A7" s="30" t="s">
        <v>858</v>
      </c>
      <c r="B7" s="9" t="s">
        <v>81</v>
      </c>
      <c r="C7" s="18">
        <v>9500</v>
      </c>
      <c r="D7" s="119">
        <f>655-3</f>
        <v>652</v>
      </c>
      <c r="E7" s="36">
        <f t="shared" si="0"/>
        <v>8848</v>
      </c>
      <c r="F7" s="24">
        <f t="shared" si="1"/>
        <v>6.8631578947368418E-2</v>
      </c>
      <c r="G7" s="18">
        <v>2023</v>
      </c>
      <c r="H7" s="9" t="s">
        <v>856</v>
      </c>
      <c r="I7" s="9" t="s">
        <v>857</v>
      </c>
      <c r="J7" s="12"/>
      <c r="K7" s="33"/>
    </row>
    <row r="8" spans="1:11">
      <c r="A8" s="30" t="s">
        <v>859</v>
      </c>
      <c r="B8" s="9" t="s">
        <v>860</v>
      </c>
      <c r="C8" s="18">
        <v>4805</v>
      </c>
      <c r="D8" s="119">
        <f>183-11</f>
        <v>172</v>
      </c>
      <c r="E8" s="36">
        <f t="shared" si="0"/>
        <v>4633</v>
      </c>
      <c r="F8" s="24">
        <f t="shared" si="1"/>
        <v>3.5796045785639961E-2</v>
      </c>
      <c r="G8" s="18">
        <v>2023</v>
      </c>
      <c r="H8" s="9" t="s">
        <v>856</v>
      </c>
      <c r="I8" s="9" t="s">
        <v>857</v>
      </c>
      <c r="J8" s="12"/>
      <c r="K8" s="33"/>
    </row>
    <row r="9" spans="1:11">
      <c r="A9" s="30" t="s">
        <v>861</v>
      </c>
      <c r="B9" s="9" t="s">
        <v>60</v>
      </c>
      <c r="C9" s="18">
        <v>8982</v>
      </c>
      <c r="D9" s="119">
        <v>568</v>
      </c>
      <c r="E9" s="36">
        <f t="shared" si="0"/>
        <v>8414</v>
      </c>
      <c r="F9" s="24">
        <f t="shared" si="1"/>
        <v>6.3237586283678468E-2</v>
      </c>
      <c r="G9" s="18">
        <v>2023</v>
      </c>
      <c r="H9" s="9" t="s">
        <v>856</v>
      </c>
      <c r="I9" s="9" t="s">
        <v>857</v>
      </c>
      <c r="J9" s="12"/>
      <c r="K9" s="33"/>
    </row>
    <row r="10" spans="1:11">
      <c r="A10" s="30" t="s">
        <v>862</v>
      </c>
      <c r="B10" s="9" t="s">
        <v>810</v>
      </c>
      <c r="C10" s="18">
        <v>9679</v>
      </c>
      <c r="D10" s="119">
        <f>362-12</f>
        <v>350</v>
      </c>
      <c r="E10" s="36">
        <f t="shared" si="0"/>
        <v>9329</v>
      </c>
      <c r="F10" s="24">
        <f t="shared" si="1"/>
        <v>3.6160760409133172E-2</v>
      </c>
      <c r="G10" s="18">
        <v>2023</v>
      </c>
      <c r="H10" s="9" t="s">
        <v>856</v>
      </c>
      <c r="I10" s="9" t="s">
        <v>857</v>
      </c>
      <c r="J10" s="12"/>
      <c r="K10" s="33"/>
    </row>
    <row r="11" spans="1:11">
      <c r="A11" s="30" t="s">
        <v>863</v>
      </c>
      <c r="B11" s="9" t="s">
        <v>99</v>
      </c>
      <c r="C11" s="18">
        <v>5789</v>
      </c>
      <c r="D11" s="119">
        <v>757</v>
      </c>
      <c r="E11" s="36">
        <f t="shared" si="0"/>
        <v>5032</v>
      </c>
      <c r="F11" s="24">
        <f t="shared" si="1"/>
        <v>0.13076524442908966</v>
      </c>
      <c r="G11" s="18">
        <v>2023</v>
      </c>
      <c r="H11" s="9" t="s">
        <v>856</v>
      </c>
      <c r="I11" s="9" t="s">
        <v>857</v>
      </c>
      <c r="J11" s="12"/>
      <c r="K11" s="33"/>
    </row>
    <row r="12" spans="1:11">
      <c r="A12" s="30" t="s">
        <v>864</v>
      </c>
      <c r="B12" s="9" t="s">
        <v>304</v>
      </c>
      <c r="C12" s="18">
        <v>4979</v>
      </c>
      <c r="D12" s="119">
        <f>49-3</f>
        <v>46</v>
      </c>
      <c r="E12" s="36">
        <f t="shared" si="0"/>
        <v>4933</v>
      </c>
      <c r="F12" s="24">
        <f t="shared" si="1"/>
        <v>9.2388029724844341E-3</v>
      </c>
      <c r="G12" s="18">
        <v>2023</v>
      </c>
      <c r="H12" s="9" t="s">
        <v>856</v>
      </c>
      <c r="I12" s="9" t="s">
        <v>857</v>
      </c>
      <c r="J12" s="12"/>
      <c r="K12" s="33"/>
    </row>
    <row r="13" spans="1:11">
      <c r="A13" s="30"/>
      <c r="B13" s="9"/>
      <c r="C13" s="18"/>
      <c r="D13" s="18"/>
      <c r="E13" s="36" t="str">
        <f t="shared" si="0"/>
        <v/>
      </c>
      <c r="F13" s="24" t="str">
        <f t="shared" si="1"/>
        <v/>
      </c>
      <c r="G13" s="18"/>
      <c r="H13" s="9"/>
      <c r="I13" s="9"/>
      <c r="J13" s="12"/>
      <c r="K13" s="33"/>
    </row>
    <row r="14" spans="1:11">
      <c r="A14" s="30"/>
      <c r="B14" s="9"/>
      <c r="C14" s="18"/>
      <c r="D14" s="18"/>
      <c r="E14" s="36" t="str">
        <f t="shared" si="0"/>
        <v/>
      </c>
      <c r="F14" s="24" t="str">
        <f t="shared" si="1"/>
        <v/>
      </c>
      <c r="G14" s="18"/>
      <c r="H14" s="9"/>
      <c r="I14" s="9"/>
      <c r="J14" s="12"/>
      <c r="K14" s="33"/>
    </row>
    <row r="15" spans="1:11">
      <c r="A15" s="30"/>
      <c r="B15" s="9"/>
      <c r="C15" s="18"/>
      <c r="D15" s="18"/>
      <c r="E15" s="36" t="str">
        <f t="shared" si="0"/>
        <v/>
      </c>
      <c r="F15" s="24" t="str">
        <f t="shared" si="1"/>
        <v/>
      </c>
      <c r="G15" s="18"/>
      <c r="H15" s="9"/>
      <c r="I15" s="9"/>
      <c r="J15" s="12"/>
      <c r="K15" s="33"/>
    </row>
    <row r="16" spans="1:11">
      <c r="A16" s="30"/>
      <c r="B16" s="9"/>
      <c r="C16" s="18"/>
      <c r="D16" s="18"/>
      <c r="E16" s="36" t="str">
        <f t="shared" si="0"/>
        <v/>
      </c>
      <c r="F16" s="24" t="str">
        <f t="shared" si="1"/>
        <v/>
      </c>
      <c r="G16" s="18"/>
      <c r="H16" s="9"/>
      <c r="I16" s="9"/>
      <c r="J16" s="12"/>
      <c r="K16" s="33"/>
    </row>
    <row r="17" spans="1:11">
      <c r="A17" s="30"/>
      <c r="B17" s="9"/>
      <c r="C17" s="18"/>
      <c r="D17" s="18"/>
      <c r="E17" s="36" t="str">
        <f t="shared" si="0"/>
        <v/>
      </c>
      <c r="F17" s="24" t="str">
        <f t="shared" si="1"/>
        <v/>
      </c>
      <c r="G17" s="18"/>
      <c r="H17" s="9"/>
      <c r="I17" s="9"/>
      <c r="J17" s="12"/>
      <c r="K17" s="33"/>
    </row>
    <row r="18" spans="1:11">
      <c r="A18" s="30"/>
      <c r="B18" s="9"/>
      <c r="C18" s="18"/>
      <c r="D18" s="18"/>
      <c r="E18" s="36" t="str">
        <f t="shared" si="0"/>
        <v/>
      </c>
      <c r="F18" s="24" t="str">
        <f t="shared" si="1"/>
        <v/>
      </c>
      <c r="G18" s="18"/>
      <c r="H18" s="9"/>
      <c r="I18" s="9"/>
      <c r="J18" s="12"/>
      <c r="K18" s="33"/>
    </row>
    <row r="19" spans="1:11">
      <c r="A19" s="30"/>
      <c r="B19" s="9"/>
      <c r="C19" s="18"/>
      <c r="D19" s="18"/>
      <c r="E19" s="36" t="str">
        <f t="shared" si="0"/>
        <v/>
      </c>
      <c r="F19" s="24" t="str">
        <f t="shared" si="1"/>
        <v/>
      </c>
      <c r="G19" s="18"/>
      <c r="H19" s="9"/>
      <c r="I19" s="9"/>
      <c r="J19" s="12"/>
      <c r="K19" s="33"/>
    </row>
    <row r="20" spans="1:11">
      <c r="A20" s="30"/>
      <c r="B20" s="9"/>
      <c r="C20" s="18"/>
      <c r="D20" s="18"/>
      <c r="E20" s="36" t="str">
        <f t="shared" si="0"/>
        <v/>
      </c>
      <c r="F20" s="24" t="str">
        <f t="shared" si="1"/>
        <v/>
      </c>
      <c r="G20" s="18"/>
      <c r="H20" s="9"/>
      <c r="I20" s="9"/>
      <c r="J20" s="12"/>
      <c r="K20" s="33"/>
    </row>
    <row r="21" spans="1:11">
      <c r="A21" s="30"/>
      <c r="B21" s="9"/>
      <c r="C21" s="18"/>
      <c r="D21" s="18"/>
      <c r="E21" s="36" t="str">
        <f t="shared" si="0"/>
        <v/>
      </c>
      <c r="F21" s="24" t="str">
        <f t="shared" si="1"/>
        <v/>
      </c>
      <c r="G21" s="18"/>
      <c r="H21" s="9"/>
      <c r="I21" s="9"/>
      <c r="J21" s="12"/>
      <c r="K21" s="33"/>
    </row>
    <row r="22" spans="1:11">
      <c r="A22" s="30"/>
      <c r="B22" s="9"/>
      <c r="C22" s="18"/>
      <c r="D22" s="18"/>
      <c r="E22" s="36" t="str">
        <f t="shared" si="0"/>
        <v/>
      </c>
      <c r="F22" s="24" t="str">
        <f t="shared" si="1"/>
        <v/>
      </c>
      <c r="G22" s="18"/>
      <c r="H22" s="9"/>
      <c r="I22" s="9"/>
      <c r="J22" s="12"/>
      <c r="K22" s="33"/>
    </row>
    <row r="23" spans="1:11">
      <c r="A23" s="30"/>
      <c r="B23" s="9"/>
      <c r="C23" s="18"/>
      <c r="D23" s="18"/>
      <c r="E23" s="36" t="str">
        <f t="shared" si="0"/>
        <v/>
      </c>
      <c r="F23" s="24" t="str">
        <f t="shared" si="1"/>
        <v/>
      </c>
      <c r="G23" s="18"/>
      <c r="H23" s="9"/>
      <c r="I23" s="9"/>
      <c r="J23" s="12"/>
      <c r="K23" s="33"/>
    </row>
    <row r="24" spans="1:11">
      <c r="A24" s="30"/>
      <c r="B24" s="9"/>
      <c r="C24" s="18"/>
      <c r="D24" s="18"/>
      <c r="E24" s="36" t="str">
        <f t="shared" si="0"/>
        <v/>
      </c>
      <c r="F24" s="24" t="str">
        <f t="shared" si="1"/>
        <v/>
      </c>
      <c r="G24" s="18"/>
      <c r="H24" s="9"/>
      <c r="I24" s="9"/>
      <c r="J24" s="12"/>
      <c r="K24" s="33"/>
    </row>
    <row r="25" spans="1:11">
      <c r="A25" s="30"/>
      <c r="B25" s="9"/>
      <c r="C25" s="18"/>
      <c r="D25" s="18"/>
      <c r="E25" s="36" t="str">
        <f t="shared" si="0"/>
        <v/>
      </c>
      <c r="F25" s="24" t="str">
        <f t="shared" si="1"/>
        <v/>
      </c>
      <c r="G25" s="18"/>
      <c r="H25" s="9"/>
      <c r="I25" s="9"/>
      <c r="J25" s="12"/>
      <c r="K25" s="33"/>
    </row>
    <row r="26" spans="1:11">
      <c r="A26" s="30"/>
      <c r="B26" s="9"/>
      <c r="C26" s="18"/>
      <c r="D26" s="18"/>
      <c r="E26" s="36" t="str">
        <f t="shared" si="0"/>
        <v/>
      </c>
      <c r="F26" s="24" t="str">
        <f t="shared" si="1"/>
        <v/>
      </c>
      <c r="G26" s="18"/>
      <c r="H26" s="9"/>
      <c r="I26" s="9"/>
      <c r="J26" s="12"/>
      <c r="K26" s="33"/>
    </row>
    <row r="27" spans="1:11">
      <c r="A27" s="30"/>
      <c r="B27" s="9"/>
      <c r="C27" s="18"/>
      <c r="D27" s="18"/>
      <c r="E27" s="36" t="str">
        <f t="shared" si="0"/>
        <v/>
      </c>
      <c r="F27" s="24" t="str">
        <f t="shared" si="1"/>
        <v/>
      </c>
      <c r="G27" s="18"/>
      <c r="H27" s="9"/>
      <c r="I27" s="9"/>
      <c r="J27" s="12"/>
      <c r="K27" s="33"/>
    </row>
    <row r="28" spans="1:11">
      <c r="A28" s="30"/>
      <c r="B28" s="9"/>
      <c r="C28" s="18"/>
      <c r="D28" s="18"/>
      <c r="E28" s="36" t="str">
        <f t="shared" si="0"/>
        <v/>
      </c>
      <c r="F28" s="24" t="str">
        <f t="shared" si="1"/>
        <v/>
      </c>
      <c r="G28" s="18"/>
      <c r="H28" s="9"/>
      <c r="I28" s="9"/>
      <c r="J28" s="12"/>
      <c r="K28" s="33"/>
    </row>
    <row r="29" spans="1:11">
      <c r="A29" s="30"/>
      <c r="B29" s="9"/>
      <c r="C29" s="18"/>
      <c r="D29" s="18"/>
      <c r="E29" s="36" t="str">
        <f t="shared" si="0"/>
        <v/>
      </c>
      <c r="F29" s="24" t="str">
        <f t="shared" si="1"/>
        <v/>
      </c>
      <c r="G29" s="18"/>
      <c r="H29" s="9"/>
      <c r="I29" s="9"/>
      <c r="J29" s="12"/>
      <c r="K29" s="33"/>
    </row>
    <row r="30" spans="1:11">
      <c r="A30" s="30"/>
      <c r="B30" s="9"/>
      <c r="C30" s="18"/>
      <c r="D30" s="18"/>
      <c r="E30" s="36" t="str">
        <f t="shared" si="0"/>
        <v/>
      </c>
      <c r="F30" s="24" t="str">
        <f t="shared" si="1"/>
        <v/>
      </c>
      <c r="G30" s="18"/>
      <c r="H30" s="9"/>
      <c r="I30" s="9"/>
      <c r="J30" s="12"/>
      <c r="K30" s="33"/>
    </row>
    <row r="31" spans="1:11">
      <c r="A31" s="30"/>
      <c r="B31" s="9"/>
      <c r="C31" s="18"/>
      <c r="D31" s="18"/>
      <c r="E31" s="36" t="str">
        <f t="shared" si="0"/>
        <v/>
      </c>
      <c r="F31" s="24" t="str">
        <f t="shared" si="1"/>
        <v/>
      </c>
      <c r="G31" s="18"/>
      <c r="H31" s="9"/>
      <c r="I31" s="9"/>
      <c r="J31" s="12"/>
      <c r="K31" s="33"/>
    </row>
    <row r="32" spans="1:11">
      <c r="A32" s="30"/>
      <c r="B32" s="9"/>
      <c r="C32" s="18"/>
      <c r="D32" s="18"/>
      <c r="E32" s="36" t="str">
        <f t="shared" si="0"/>
        <v/>
      </c>
      <c r="F32" s="24" t="str">
        <f t="shared" si="1"/>
        <v/>
      </c>
      <c r="G32" s="18"/>
      <c r="H32" s="9"/>
      <c r="I32" s="9"/>
      <c r="J32" s="12"/>
      <c r="K32" s="33"/>
    </row>
    <row r="33" spans="1:11">
      <c r="A33" s="30"/>
      <c r="B33" s="9"/>
      <c r="C33" s="18"/>
      <c r="D33" s="18"/>
      <c r="E33" s="36" t="str">
        <f t="shared" si="0"/>
        <v/>
      </c>
      <c r="F33" s="24" t="str">
        <f t="shared" si="1"/>
        <v/>
      </c>
      <c r="G33" s="18"/>
      <c r="H33" s="9"/>
      <c r="I33" s="9"/>
      <c r="J33" s="12"/>
      <c r="K33" s="33"/>
    </row>
    <row r="34" spans="1:11">
      <c r="A34" s="30"/>
      <c r="B34" s="9"/>
      <c r="C34" s="18"/>
      <c r="D34" s="18"/>
      <c r="E34" s="36" t="str">
        <f t="shared" si="0"/>
        <v/>
      </c>
      <c r="F34" s="24" t="str">
        <f t="shared" si="1"/>
        <v/>
      </c>
      <c r="G34" s="18"/>
      <c r="H34" s="9"/>
      <c r="I34" s="9"/>
      <c r="J34" s="12"/>
      <c r="K34" s="33"/>
    </row>
    <row r="35" spans="1:11">
      <c r="A35" s="30"/>
      <c r="B35" s="9"/>
      <c r="C35" s="18"/>
      <c r="D35" s="18"/>
      <c r="E35" s="36" t="str">
        <f t="shared" si="0"/>
        <v/>
      </c>
      <c r="F35" s="24" t="str">
        <f t="shared" si="1"/>
        <v/>
      </c>
      <c r="G35" s="18"/>
      <c r="H35" s="9"/>
      <c r="I35" s="9"/>
      <c r="J35" s="12"/>
      <c r="K35" s="33"/>
    </row>
    <row r="36" spans="1:11">
      <c r="A36" s="30"/>
      <c r="B36" s="9"/>
      <c r="C36" s="18"/>
      <c r="D36" s="18"/>
      <c r="E36" s="36" t="str">
        <f t="shared" si="0"/>
        <v/>
      </c>
      <c r="F36" s="24" t="str">
        <f t="shared" si="1"/>
        <v/>
      </c>
      <c r="G36" s="18"/>
      <c r="H36" s="9"/>
      <c r="I36" s="9"/>
      <c r="J36" s="12"/>
      <c r="K36" s="33"/>
    </row>
    <row r="37" spans="1:11">
      <c r="A37" s="30"/>
      <c r="B37" s="9"/>
      <c r="C37" s="18"/>
      <c r="D37" s="18"/>
      <c r="E37" s="36" t="str">
        <f t="shared" si="0"/>
        <v/>
      </c>
      <c r="F37" s="24" t="str">
        <f t="shared" si="1"/>
        <v/>
      </c>
      <c r="G37" s="18"/>
      <c r="H37" s="9"/>
      <c r="I37" s="9"/>
      <c r="J37" s="12"/>
      <c r="K37" s="33"/>
    </row>
    <row r="38" spans="1:11">
      <c r="A38" s="30"/>
      <c r="B38" s="9"/>
      <c r="C38" s="18"/>
      <c r="D38" s="18"/>
      <c r="E38" s="36" t="str">
        <f t="shared" ref="E38:E55" si="2">IF(A38="","",MAX(C38-D38,0))</f>
        <v/>
      </c>
      <c r="F38" s="24" t="str">
        <f t="shared" ref="F38:F55" si="3">IF(A38="","",IFERROR(D38/C38,0))</f>
        <v/>
      </c>
      <c r="G38" s="18"/>
      <c r="H38" s="9"/>
      <c r="I38" s="9"/>
      <c r="J38" s="12"/>
      <c r="K38" s="33"/>
    </row>
    <row r="39" spans="1:11">
      <c r="A39" s="30"/>
      <c r="B39" s="9"/>
      <c r="C39" s="18"/>
      <c r="D39" s="18"/>
      <c r="E39" s="36" t="str">
        <f t="shared" si="2"/>
        <v/>
      </c>
      <c r="F39" s="24" t="str">
        <f t="shared" si="3"/>
        <v/>
      </c>
      <c r="G39" s="18"/>
      <c r="H39" s="9"/>
      <c r="I39" s="9"/>
      <c r="J39" s="12"/>
      <c r="K39" s="33"/>
    </row>
    <row r="40" spans="1:11">
      <c r="A40" s="30"/>
      <c r="B40" s="9"/>
      <c r="C40" s="18"/>
      <c r="D40" s="18"/>
      <c r="E40" s="36" t="str">
        <f t="shared" si="2"/>
        <v/>
      </c>
      <c r="F40" s="24" t="str">
        <f t="shared" si="3"/>
        <v/>
      </c>
      <c r="G40" s="18"/>
      <c r="H40" s="9"/>
      <c r="I40" s="9"/>
      <c r="J40" s="12"/>
      <c r="K40" s="33"/>
    </row>
    <row r="41" spans="1:11">
      <c r="A41" s="30"/>
      <c r="B41" s="9"/>
      <c r="C41" s="18"/>
      <c r="D41" s="18"/>
      <c r="E41" s="36" t="str">
        <f t="shared" si="2"/>
        <v/>
      </c>
      <c r="F41" s="24" t="str">
        <f t="shared" si="3"/>
        <v/>
      </c>
      <c r="G41" s="18"/>
      <c r="H41" s="9"/>
      <c r="I41" s="9"/>
      <c r="J41" s="12"/>
      <c r="K41" s="33"/>
    </row>
    <row r="42" spans="1:11">
      <c r="A42" s="30"/>
      <c r="B42" s="9"/>
      <c r="C42" s="18"/>
      <c r="D42" s="18"/>
      <c r="E42" s="36" t="str">
        <f t="shared" si="2"/>
        <v/>
      </c>
      <c r="F42" s="24" t="str">
        <f t="shared" si="3"/>
        <v/>
      </c>
      <c r="G42" s="18"/>
      <c r="H42" s="9"/>
      <c r="I42" s="9"/>
      <c r="J42" s="12"/>
      <c r="K42" s="33"/>
    </row>
    <row r="43" spans="1:11">
      <c r="A43" s="30"/>
      <c r="B43" s="9"/>
      <c r="C43" s="18"/>
      <c r="D43" s="18"/>
      <c r="E43" s="36" t="str">
        <f t="shared" si="2"/>
        <v/>
      </c>
      <c r="F43" s="24" t="str">
        <f t="shared" si="3"/>
        <v/>
      </c>
      <c r="G43" s="18"/>
      <c r="H43" s="9"/>
      <c r="I43" s="9"/>
      <c r="J43" s="12"/>
      <c r="K43" s="33"/>
    </row>
    <row r="44" spans="1:11">
      <c r="A44" s="30"/>
      <c r="B44" s="9"/>
      <c r="C44" s="18"/>
      <c r="D44" s="18"/>
      <c r="E44" s="36" t="str">
        <f t="shared" si="2"/>
        <v/>
      </c>
      <c r="F44" s="24" t="str">
        <f t="shared" si="3"/>
        <v/>
      </c>
      <c r="G44" s="18"/>
      <c r="H44" s="9"/>
      <c r="I44" s="9"/>
      <c r="J44" s="12"/>
      <c r="K44" s="33"/>
    </row>
    <row r="45" spans="1:11">
      <c r="A45" s="30"/>
      <c r="B45" s="9"/>
      <c r="C45" s="18"/>
      <c r="D45" s="18"/>
      <c r="E45" s="36" t="str">
        <f t="shared" si="2"/>
        <v/>
      </c>
      <c r="F45" s="24" t="str">
        <f t="shared" si="3"/>
        <v/>
      </c>
      <c r="G45" s="18"/>
      <c r="H45" s="9"/>
      <c r="I45" s="9"/>
      <c r="J45" s="12"/>
      <c r="K45" s="33"/>
    </row>
    <row r="46" spans="1:11">
      <c r="A46" s="30"/>
      <c r="B46" s="9"/>
      <c r="C46" s="18"/>
      <c r="D46" s="18"/>
      <c r="E46" s="36" t="str">
        <f t="shared" si="2"/>
        <v/>
      </c>
      <c r="F46" s="24" t="str">
        <f t="shared" si="3"/>
        <v/>
      </c>
      <c r="G46" s="18"/>
      <c r="H46" s="9"/>
      <c r="I46" s="9"/>
      <c r="J46" s="12"/>
      <c r="K46" s="33"/>
    </row>
    <row r="47" spans="1:11">
      <c r="A47" s="30"/>
      <c r="B47" s="9"/>
      <c r="C47" s="18"/>
      <c r="D47" s="18"/>
      <c r="E47" s="36" t="str">
        <f t="shared" si="2"/>
        <v/>
      </c>
      <c r="F47" s="24" t="str">
        <f t="shared" si="3"/>
        <v/>
      </c>
      <c r="G47" s="18"/>
      <c r="H47" s="9"/>
      <c r="I47" s="9"/>
      <c r="J47" s="12"/>
      <c r="K47" s="33"/>
    </row>
    <row r="48" spans="1:11">
      <c r="A48" s="30"/>
      <c r="B48" s="9"/>
      <c r="C48" s="18"/>
      <c r="D48" s="18"/>
      <c r="E48" s="36" t="str">
        <f t="shared" si="2"/>
        <v/>
      </c>
      <c r="F48" s="24" t="str">
        <f t="shared" si="3"/>
        <v/>
      </c>
      <c r="G48" s="18"/>
      <c r="H48" s="9"/>
      <c r="I48" s="9"/>
      <c r="J48" s="12"/>
      <c r="K48" s="33"/>
    </row>
    <row r="49" spans="1:11">
      <c r="A49" s="30"/>
      <c r="B49" s="9"/>
      <c r="C49" s="18"/>
      <c r="D49" s="18"/>
      <c r="E49" s="36" t="str">
        <f t="shared" si="2"/>
        <v/>
      </c>
      <c r="F49" s="24" t="str">
        <f t="shared" si="3"/>
        <v/>
      </c>
      <c r="G49" s="18"/>
      <c r="H49" s="9"/>
      <c r="I49" s="9"/>
      <c r="J49" s="12"/>
      <c r="K49" s="33"/>
    </row>
    <row r="50" spans="1:11">
      <c r="A50" s="30"/>
      <c r="B50" s="9"/>
      <c r="C50" s="18"/>
      <c r="D50" s="18"/>
      <c r="E50" s="36" t="str">
        <f t="shared" si="2"/>
        <v/>
      </c>
      <c r="F50" s="24" t="str">
        <f t="shared" si="3"/>
        <v/>
      </c>
      <c r="G50" s="18"/>
      <c r="H50" s="9"/>
      <c r="I50" s="9"/>
      <c r="J50" s="12"/>
      <c r="K50" s="33"/>
    </row>
    <row r="51" spans="1:11">
      <c r="A51" s="30"/>
      <c r="B51" s="9"/>
      <c r="C51" s="18"/>
      <c r="D51" s="18"/>
      <c r="E51" s="36" t="str">
        <f t="shared" si="2"/>
        <v/>
      </c>
      <c r="F51" s="24" t="str">
        <f t="shared" si="3"/>
        <v/>
      </c>
      <c r="G51" s="18"/>
      <c r="H51" s="9"/>
      <c r="I51" s="9"/>
      <c r="J51" s="12"/>
      <c r="K51" s="33"/>
    </row>
    <row r="52" spans="1:11">
      <c r="A52" s="30"/>
      <c r="B52" s="9"/>
      <c r="C52" s="18"/>
      <c r="D52" s="18"/>
      <c r="E52" s="36" t="str">
        <f t="shared" si="2"/>
        <v/>
      </c>
      <c r="F52" s="24" t="str">
        <f t="shared" si="3"/>
        <v/>
      </c>
      <c r="G52" s="18"/>
      <c r="H52" s="9"/>
      <c r="I52" s="9"/>
      <c r="J52" s="12"/>
      <c r="K52" s="33"/>
    </row>
    <row r="53" spans="1:11">
      <c r="A53" s="30"/>
      <c r="B53" s="9"/>
      <c r="C53" s="18"/>
      <c r="D53" s="18"/>
      <c r="E53" s="36" t="str">
        <f t="shared" si="2"/>
        <v/>
      </c>
      <c r="F53" s="24" t="str">
        <f t="shared" si="3"/>
        <v/>
      </c>
      <c r="G53" s="18"/>
      <c r="H53" s="9"/>
      <c r="I53" s="9"/>
      <c r="J53" s="12"/>
      <c r="K53" s="33"/>
    </row>
    <row r="54" spans="1:11">
      <c r="A54" s="30"/>
      <c r="B54" s="9"/>
      <c r="C54" s="18"/>
      <c r="D54" s="18"/>
      <c r="E54" s="36" t="str">
        <f t="shared" si="2"/>
        <v/>
      </c>
      <c r="F54" s="24" t="str">
        <f t="shared" si="3"/>
        <v/>
      </c>
      <c r="G54" s="18"/>
      <c r="H54" s="9"/>
      <c r="I54" s="9"/>
      <c r="J54" s="12"/>
      <c r="K54" s="33"/>
    </row>
    <row r="55" spans="1:11">
      <c r="A55" s="31"/>
      <c r="B55" s="10"/>
      <c r="C55" s="19"/>
      <c r="D55" s="19"/>
      <c r="E55" s="37" t="str">
        <f t="shared" si="2"/>
        <v/>
      </c>
      <c r="F55" s="25" t="str">
        <f t="shared" si="3"/>
        <v/>
      </c>
      <c r="G55" s="19"/>
      <c r="H55" s="10"/>
      <c r="I55" s="10"/>
      <c r="J55" s="13"/>
      <c r="K55" s="34"/>
    </row>
  </sheetData>
  <mergeCells count="3">
    <mergeCell ref="A1:K1"/>
    <mergeCell ref="A2:K2"/>
    <mergeCell ref="A3:K3"/>
  </mergeCells>
  <conditionalFormatting sqref="F6:F55">
    <cfRule type="colorScale" priority="1">
      <colorScale>
        <cfvo type="min"/>
        <cfvo type="percentile" val="50"/>
        <cfvo type="max"/>
        <color rgb="FFE8F5EE"/>
        <color rgb="FFF6F1DA"/>
        <color rgb="FFFDECEC"/>
      </colorScale>
    </cfRule>
  </conditionalFormatting>
  <dataValidations count="2">
    <dataValidation type="list" sqref="B6:B55" xr:uid="{00000000-0002-0000-0200-000000000000}">
      <formula1>"Bukit Intan,Gabek,Gerunggang,Girimaya,Pangkal Balam,Rangkui,Taman Sari"</formula1>
    </dataValidation>
    <dataValidation type="list" sqref="I6:I55" xr:uid="{00000000-0002-0000-0200-000001000000}">
      <formula1>"Draft,Dalam Verifikasi,Terverifikasi,Perlu Perbaikan"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Y289"/>
  <sheetViews>
    <sheetView topLeftCell="AN1" zoomScaleNormal="100" workbookViewId="0">
      <pane ySplit="5" topLeftCell="A6" activePane="bottomLeft" state="frozen"/>
      <selection pane="bottomLeft" sqref="A1:XFD1048576"/>
    </sheetView>
  </sheetViews>
  <sheetFormatPr defaultRowHeight="14"/>
  <cols>
    <col min="1" max="1" width="15" customWidth="1"/>
    <col min="2" max="2" width="27.75" customWidth="1"/>
    <col min="3" max="3" width="22.83203125" customWidth="1"/>
    <col min="4" max="4" width="39.08203125" customWidth="1"/>
    <col min="5" max="5" width="34" customWidth="1"/>
    <col min="6" max="7" width="18" customWidth="1"/>
    <col min="8" max="8" width="22" customWidth="1"/>
    <col min="9" max="9" width="42" hidden="1" customWidth="1"/>
    <col min="10" max="10" width="22.33203125" bestFit="1" customWidth="1"/>
    <col min="11" max="11" width="22" customWidth="1"/>
    <col min="12" max="12" width="18" customWidth="1"/>
    <col min="13" max="13" width="31" customWidth="1"/>
    <col min="14" max="14" width="18" customWidth="1"/>
    <col min="15" max="15" width="21" customWidth="1"/>
    <col min="16" max="16" width="18" customWidth="1"/>
    <col min="17" max="17" width="30" customWidth="1"/>
    <col min="18" max="18" width="17.08203125" customWidth="1"/>
    <col min="19" max="19" width="24.08203125" customWidth="1"/>
    <col min="20" max="20" width="28.58203125" customWidth="1"/>
    <col min="21" max="21" width="17.75" customWidth="1"/>
    <col min="22" max="22" width="28" customWidth="1"/>
    <col min="23" max="23" width="36" hidden="1" customWidth="1"/>
    <col min="24" max="24" width="48" customWidth="1"/>
    <col min="25" max="25" width="25" customWidth="1"/>
    <col min="26" max="26" width="12" customWidth="1"/>
    <col min="27" max="27" width="16" customWidth="1"/>
    <col min="28" max="28" width="18" customWidth="1"/>
    <col min="29" max="29" width="26" customWidth="1"/>
    <col min="30" max="30" width="29" customWidth="1"/>
    <col min="31" max="31" width="30" customWidth="1"/>
    <col min="32" max="32" width="27" customWidth="1"/>
    <col min="33" max="33" width="26" customWidth="1"/>
    <col min="34" max="34" width="27" customWidth="1"/>
    <col min="35" max="35" width="26.33203125" customWidth="1"/>
    <col min="36" max="36" width="27" customWidth="1"/>
    <col min="37" max="37" width="24" customWidth="1"/>
    <col min="38" max="38" width="35" hidden="1" customWidth="1"/>
    <col min="39" max="39" width="25.5" hidden="1" customWidth="1"/>
    <col min="40" max="40" width="56" customWidth="1"/>
    <col min="41" max="41" width="25" customWidth="1"/>
    <col min="42" max="42" width="38" hidden="1" customWidth="1"/>
    <col min="43" max="43" width="15" customWidth="1"/>
    <col min="44" max="44" width="14" customWidth="1"/>
    <col min="45" max="45" width="16" customWidth="1"/>
    <col min="46" max="46" width="21" customWidth="1"/>
    <col min="47" max="47" width="19" customWidth="1"/>
    <col min="48" max="49" width="21" customWidth="1"/>
    <col min="50" max="50" width="18" customWidth="1"/>
    <col min="51" max="51" width="16" customWidth="1"/>
    <col min="52" max="52" width="24" customWidth="1"/>
    <col min="53" max="53" width="18" customWidth="1"/>
    <col min="54" max="54" width="16" customWidth="1"/>
    <col min="55" max="55" width="13" customWidth="1"/>
    <col min="56" max="56" width="30" customWidth="1"/>
    <col min="57" max="57" width="16" customWidth="1"/>
    <col min="58" max="58" width="28" customWidth="1"/>
    <col min="60" max="77" width="25" customWidth="1"/>
  </cols>
  <sheetData>
    <row r="1" spans="1:77">
      <c r="A1" s="197" t="s">
        <v>1161</v>
      </c>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H1" s="70" t="s">
        <v>1162</v>
      </c>
      <c r="BI1" s="70" t="s">
        <v>1163</v>
      </c>
      <c r="BJ1" s="70" t="s">
        <v>1164</v>
      </c>
      <c r="BK1" s="70" t="s">
        <v>1165</v>
      </c>
      <c r="BL1" s="70" t="s">
        <v>1166</v>
      </c>
      <c r="BM1" s="70" t="s">
        <v>1167</v>
      </c>
      <c r="BN1" s="70" t="s">
        <v>1168</v>
      </c>
      <c r="BO1" s="70" t="s">
        <v>1169</v>
      </c>
      <c r="BP1" s="70" t="s">
        <v>1170</v>
      </c>
      <c r="BQ1" s="70" t="s">
        <v>1171</v>
      </c>
      <c r="BR1" s="70" t="s">
        <v>1172</v>
      </c>
      <c r="BS1" s="70" t="s">
        <v>1173</v>
      </c>
      <c r="BT1" s="70" t="s">
        <v>1174</v>
      </c>
      <c r="BU1" s="70" t="s">
        <v>1175</v>
      </c>
      <c r="BV1" s="70" t="s">
        <v>1176</v>
      </c>
      <c r="BW1" s="70" t="s">
        <v>1177</v>
      </c>
      <c r="BX1" s="70" t="s">
        <v>1178</v>
      </c>
      <c r="BY1" s="70" t="s">
        <v>1179</v>
      </c>
    </row>
    <row r="2" spans="1:77" ht="14.5">
      <c r="A2" s="202" t="s">
        <v>1180</v>
      </c>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H2" t="s">
        <v>81</v>
      </c>
      <c r="BI2" t="s">
        <v>1181</v>
      </c>
      <c r="BJ2" t="s">
        <v>1182</v>
      </c>
      <c r="BK2" t="s">
        <v>1183</v>
      </c>
      <c r="BL2" t="s">
        <v>888</v>
      </c>
      <c r="BM2" t="s">
        <v>1184</v>
      </c>
      <c r="BN2" t="s">
        <v>888</v>
      </c>
      <c r="BO2" t="s">
        <v>1185</v>
      </c>
      <c r="BP2" t="s">
        <v>888</v>
      </c>
      <c r="BQ2" t="s">
        <v>1186</v>
      </c>
      <c r="BR2" t="s">
        <v>1187</v>
      </c>
      <c r="BS2" t="s">
        <v>1188</v>
      </c>
      <c r="BT2" t="s">
        <v>1189</v>
      </c>
      <c r="BU2" t="s">
        <v>927</v>
      </c>
      <c r="BV2" t="s">
        <v>1190</v>
      </c>
      <c r="BW2" t="s">
        <v>1191</v>
      </c>
      <c r="BX2" t="s">
        <v>1192</v>
      </c>
      <c r="BY2" t="s">
        <v>1193</v>
      </c>
    </row>
    <row r="3" spans="1:77">
      <c r="A3" s="203" t="s">
        <v>1194</v>
      </c>
      <c r="B3" s="203"/>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H3" t="s">
        <v>60</v>
      </c>
      <c r="BI3" t="s">
        <v>1195</v>
      </c>
      <c r="BJ3" t="s">
        <v>1196</v>
      </c>
      <c r="BK3" t="s">
        <v>1197</v>
      </c>
      <c r="BL3" t="s">
        <v>891</v>
      </c>
      <c r="BM3" t="s">
        <v>1198</v>
      </c>
      <c r="BN3" t="s">
        <v>891</v>
      </c>
      <c r="BO3" t="s">
        <v>1199</v>
      </c>
      <c r="BP3" t="s">
        <v>891</v>
      </c>
      <c r="BQ3" t="s">
        <v>1200</v>
      </c>
      <c r="BR3" t="s">
        <v>1201</v>
      </c>
      <c r="BS3" t="s">
        <v>1202</v>
      </c>
      <c r="BT3" t="s">
        <v>1203</v>
      </c>
      <c r="BU3" t="s">
        <v>1204</v>
      </c>
      <c r="BV3" t="s">
        <v>1205</v>
      </c>
      <c r="BW3" t="s">
        <v>1206</v>
      </c>
      <c r="BX3" t="s">
        <v>1207</v>
      </c>
      <c r="BY3" t="s">
        <v>1208</v>
      </c>
    </row>
    <row r="4" spans="1:77">
      <c r="BH4" t="s">
        <v>35</v>
      </c>
      <c r="BI4" t="s">
        <v>1209</v>
      </c>
      <c r="BJ4" t="s">
        <v>1210</v>
      </c>
      <c r="BK4" t="s">
        <v>1211</v>
      </c>
      <c r="BL4" t="s">
        <v>905</v>
      </c>
      <c r="BM4" t="s">
        <v>1212</v>
      </c>
      <c r="BN4" t="s">
        <v>905</v>
      </c>
      <c r="BO4" t="s">
        <v>1213</v>
      </c>
      <c r="BP4" t="s">
        <v>905</v>
      </c>
      <c r="BQ4" t="s">
        <v>1214</v>
      </c>
      <c r="BR4" t="s">
        <v>1215</v>
      </c>
      <c r="BS4" t="s">
        <v>1215</v>
      </c>
      <c r="BV4" t="s">
        <v>1216</v>
      </c>
      <c r="BW4" t="s">
        <v>1217</v>
      </c>
      <c r="BX4" t="s">
        <v>1218</v>
      </c>
      <c r="BY4" t="s">
        <v>1219</v>
      </c>
    </row>
    <row r="5" spans="1:77" s="88" customFormat="1" ht="53.5" customHeight="1">
      <c r="A5" s="87" t="s">
        <v>1220</v>
      </c>
      <c r="B5" s="87" t="s">
        <v>1221</v>
      </c>
      <c r="C5" s="87" t="s">
        <v>1222</v>
      </c>
      <c r="D5" s="87" t="s">
        <v>1223</v>
      </c>
      <c r="E5" s="87" t="s">
        <v>1224</v>
      </c>
      <c r="F5" s="87" t="s">
        <v>7</v>
      </c>
      <c r="G5" s="87" t="s">
        <v>6</v>
      </c>
      <c r="H5" s="87" t="s">
        <v>1225</v>
      </c>
      <c r="I5" s="87" t="s">
        <v>1226</v>
      </c>
      <c r="J5" s="87" t="s">
        <v>1227</v>
      </c>
      <c r="K5" s="87" t="s">
        <v>1165</v>
      </c>
      <c r="L5" s="87" t="s">
        <v>1166</v>
      </c>
      <c r="M5" s="87" t="s">
        <v>1167</v>
      </c>
      <c r="N5" s="87" t="s">
        <v>1168</v>
      </c>
      <c r="O5" s="87" t="s">
        <v>1169</v>
      </c>
      <c r="P5" s="87" t="s">
        <v>1170</v>
      </c>
      <c r="Q5" s="87" t="s">
        <v>1228</v>
      </c>
      <c r="R5" s="87" t="s">
        <v>1229</v>
      </c>
      <c r="S5" s="87" t="s">
        <v>1230</v>
      </c>
      <c r="T5" s="87" t="s">
        <v>1231</v>
      </c>
      <c r="U5" s="87" t="s">
        <v>1232</v>
      </c>
      <c r="V5" s="87" t="s">
        <v>1233</v>
      </c>
      <c r="W5" s="87" t="s">
        <v>1234</v>
      </c>
      <c r="X5" s="87" t="s">
        <v>1235</v>
      </c>
      <c r="Y5" s="87" t="s">
        <v>1236</v>
      </c>
      <c r="Z5" s="87" t="s">
        <v>1237</v>
      </c>
      <c r="AA5" s="87" t="s">
        <v>1238</v>
      </c>
      <c r="AB5" s="87" t="s">
        <v>1239</v>
      </c>
      <c r="AC5" s="87" t="s">
        <v>1240</v>
      </c>
      <c r="AD5" s="87" t="s">
        <v>1241</v>
      </c>
      <c r="AE5" s="87" t="s">
        <v>1242</v>
      </c>
      <c r="AF5" s="87" t="s">
        <v>1243</v>
      </c>
      <c r="AG5" s="87" t="s">
        <v>1244</v>
      </c>
      <c r="AH5" s="87" t="s">
        <v>1245</v>
      </c>
      <c r="AI5" s="87" t="s">
        <v>1246</v>
      </c>
      <c r="AJ5" s="87" t="s">
        <v>1247</v>
      </c>
      <c r="AK5" s="87" t="s">
        <v>1248</v>
      </c>
      <c r="AL5" s="87" t="s">
        <v>1249</v>
      </c>
      <c r="AM5" s="87" t="s">
        <v>1173</v>
      </c>
      <c r="AN5" s="87" t="s">
        <v>1250</v>
      </c>
      <c r="AO5" s="87" t="s">
        <v>1251</v>
      </c>
      <c r="AP5" s="87" t="s">
        <v>1252</v>
      </c>
      <c r="AQ5" s="87" t="s">
        <v>1253</v>
      </c>
      <c r="AR5" s="87" t="s">
        <v>1254</v>
      </c>
      <c r="AS5" s="87" t="s">
        <v>1255</v>
      </c>
      <c r="AT5" s="87" t="s">
        <v>1256</v>
      </c>
      <c r="AU5" s="87" t="s">
        <v>1257</v>
      </c>
      <c r="AV5" s="87" t="s">
        <v>28</v>
      </c>
      <c r="AW5" s="87" t="s">
        <v>1258</v>
      </c>
      <c r="AX5" s="87" t="s">
        <v>1177</v>
      </c>
      <c r="AY5" s="87" t="s">
        <v>1259</v>
      </c>
      <c r="AZ5" s="87" t="s">
        <v>1178</v>
      </c>
      <c r="BA5" s="87" t="s">
        <v>1260</v>
      </c>
      <c r="BB5" s="87" t="s">
        <v>1261</v>
      </c>
      <c r="BC5" s="87" t="s">
        <v>26</v>
      </c>
      <c r="BD5" s="87" t="s">
        <v>27</v>
      </c>
      <c r="BE5" s="87" t="s">
        <v>29</v>
      </c>
      <c r="BF5" s="87" t="s">
        <v>30</v>
      </c>
      <c r="BH5" s="88" t="s">
        <v>304</v>
      </c>
      <c r="BI5" s="88" t="s">
        <v>1262</v>
      </c>
      <c r="BJ5" s="88" t="s">
        <v>1263</v>
      </c>
      <c r="BK5" s="88" t="s">
        <v>1264</v>
      </c>
      <c r="BL5" s="88" t="s">
        <v>895</v>
      </c>
      <c r="BM5" s="88" t="s">
        <v>1265</v>
      </c>
      <c r="BN5" s="88" t="s">
        <v>895</v>
      </c>
      <c r="BO5" s="88" t="s">
        <v>1266</v>
      </c>
      <c r="BP5" s="88" t="s">
        <v>895</v>
      </c>
      <c r="BQ5" s="88" t="s">
        <v>1215</v>
      </c>
      <c r="BV5" s="88" t="s">
        <v>1267</v>
      </c>
      <c r="BW5" s="88" t="s">
        <v>1268</v>
      </c>
      <c r="BX5" s="88" t="s">
        <v>1269</v>
      </c>
      <c r="BY5" s="88" t="s">
        <v>1270</v>
      </c>
    </row>
    <row r="6" spans="1:77" ht="24" customHeight="1">
      <c r="A6" s="66" t="s">
        <v>1271</v>
      </c>
      <c r="B6" s="66" t="s">
        <v>1272</v>
      </c>
      <c r="C6" s="66"/>
      <c r="D6" s="66"/>
      <c r="E6" s="66" t="s">
        <v>1273</v>
      </c>
      <c r="F6" s="66" t="s">
        <v>1274</v>
      </c>
      <c r="G6" s="66" t="s">
        <v>1275</v>
      </c>
      <c r="H6" s="66" t="s">
        <v>1181</v>
      </c>
      <c r="I6" s="66" t="s">
        <v>1276</v>
      </c>
      <c r="J6" s="66" t="s">
        <v>1196</v>
      </c>
      <c r="K6" s="66" t="s">
        <v>1211</v>
      </c>
      <c r="L6" s="66" t="s">
        <v>891</v>
      </c>
      <c r="M6" s="66" t="s">
        <v>1305</v>
      </c>
      <c r="N6" s="66" t="s">
        <v>891</v>
      </c>
      <c r="O6" s="66" t="s">
        <v>1213</v>
      </c>
      <c r="P6" s="66" t="s">
        <v>891</v>
      </c>
      <c r="Q6" s="86" t="s">
        <v>1186</v>
      </c>
      <c r="R6" s="86" t="s">
        <v>1201</v>
      </c>
      <c r="S6" s="86" t="s">
        <v>1201</v>
      </c>
      <c r="T6" s="86" t="s">
        <v>1201</v>
      </c>
      <c r="U6" s="86" t="s">
        <v>1201</v>
      </c>
      <c r="V6" s="86" t="s">
        <v>1215</v>
      </c>
      <c r="W6" s="67"/>
      <c r="X6" s="84" t="str">
        <f t="shared" ref="X6:X69" si="0">IF(COUNTIF(R6:V6,"Belum Dinilai")&gt;0,"Belum Dinilai",IF(COUNTIF(R6:V6,"Ya")=0,"Tidak ada faktor rentan",IF(R6="Ya","Lansia; ","")&amp;IF(S6="Ya","Penyandang disabilitas; ","")&amp;IF(T6="Ya","Kepala keluarga perempuan; ","")&amp;IF(U6="Ya","Balita; ","")&amp;IF(V6="Ya","Anggota keluarga dengan ketergantungan tinggi; ","")))</f>
        <v>Belum Dinilai</v>
      </c>
      <c r="Y6" s="84" t="str">
        <f t="shared" ref="Y6:Y69" si="1">IF(COUNTIF(R6:V6,"Belum Dinilai")&gt;0,"Belum Dinilai",IF(COUNTIF(R6:V6,"Ya")=0,"Tidak Ada Faktor Rentan",IF(COUNTIF(R6:V6,"Ya")=1,"1 Faktor Rentan","2 atau Lebih Faktor Rentan")))</f>
        <v>Belum Dinilai</v>
      </c>
      <c r="Z6" s="85">
        <f t="shared" ref="Z6:Z69" si="2">IF(OR(Q6="",Q6="Belum Dinilai"),"",IF(Q6="Terverifikasi DTKS/P3KE/MBR",10,IF(Q6="Diusulkan, Belum Terverifikasi",5,0)))</f>
        <v>10</v>
      </c>
      <c r="AA6" s="85" t="str">
        <f t="shared" ref="AA6:AA69" si="3">IF(COUNTIF(R6:V6,"Belum Dinilai")&gt;0,"",IF(COUNTIF(R6:V6,"Ya")=0,0,IF(COUNTIF(R6:V6,"Ya")=1,5,10)))</f>
        <v/>
      </c>
      <c r="AB6" s="85" t="str">
        <f t="shared" ref="AB6:AB69" si="4">IF(OR(Z6="",AA6=""),"",Z6+AA6)</f>
        <v/>
      </c>
      <c r="AC6" s="68" t="s">
        <v>1201</v>
      </c>
      <c r="AD6" s="68" t="s">
        <v>1201</v>
      </c>
      <c r="AE6" s="68" t="s">
        <v>1201</v>
      </c>
      <c r="AF6" s="68" t="s">
        <v>1201</v>
      </c>
      <c r="AG6" s="68" t="s">
        <v>1201</v>
      </c>
      <c r="AH6" s="68" t="s">
        <v>1187</v>
      </c>
      <c r="AI6" s="68" t="s">
        <v>1187</v>
      </c>
      <c r="AJ6" s="68" t="s">
        <v>1201</v>
      </c>
      <c r="AK6" s="68" t="s">
        <v>1215</v>
      </c>
      <c r="AL6" s="68"/>
      <c r="AM6" s="68" t="s">
        <v>1215</v>
      </c>
      <c r="AN6" s="84" t="str">
        <f t="shared" ref="AN6:AN69" si="5">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f>
        <v xml:space="preserve">Instalasi listrik berbahaya; Komponen bangunan lepas atau lapuk; </v>
      </c>
      <c r="AO6" s="84" t="str">
        <f t="shared" ref="AO6:AO69" si="6">IF(AR6="","Belum Dinilai",IF(AR6=10,"Risiko Tinggi/Darurat",IF(AR6=5,"Risiko Sedang","Tidak Ada Risiko Khusus")))</f>
        <v>Risiko Tinggi/Darurat</v>
      </c>
      <c r="AP6" s="68"/>
      <c r="AQ6" s="71">
        <f t="shared" ref="AQ6:AQ69" si="7">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f>
        <v>22</v>
      </c>
      <c r="AR6" s="71">
        <f t="shared" ref="AR6:AR69" si="8">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f>
        <v>10</v>
      </c>
      <c r="AS6" s="71" t="str">
        <f t="shared" ref="AS6:AS69" si="9">IF(OR(AQ6="",AB6="",AR6=""),"",AQ6+AB6+AR6)</f>
        <v/>
      </c>
      <c r="AT6" s="69" t="str">
        <f t="shared" ref="AT6:AT69" si="10">IF(AS6="","Belum Dapat Ditentukan",IF(AS6&gt;=80,"Sangat Tinggi",IF(OR(AO6="Risiko Tinggi/Darurat",(IF(L6="Rusak Berat",1,0)+IF(L6="Tidak Ada/Terbuka",1,0)+IF(N6="Rusak Berat",1,0)+IF(N6="Tidak Ada/Terbuka",1,0)+IF(P6="Rusak Berat",1,0)+IF(P6="Tidak Layak",1,0))&gt;=2),"Tinggi",IF(AS6&gt;=65,"Tinggi",IF(AS6&gt;=50,"Sedang","Rendah")))))</f>
        <v>Belum Dapat Ditentukan</v>
      </c>
      <c r="AU6" s="66" t="s">
        <v>1189</v>
      </c>
      <c r="AV6" s="66" t="s">
        <v>1204</v>
      </c>
      <c r="AW6" s="66" t="s">
        <v>1190</v>
      </c>
      <c r="AX6" s="66"/>
      <c r="AY6" s="66"/>
      <c r="AZ6" s="66" t="s">
        <v>927</v>
      </c>
      <c r="BA6" s="66"/>
      <c r="BB6" s="178"/>
      <c r="BC6" s="72">
        <v>2026</v>
      </c>
      <c r="BD6" s="66"/>
      <c r="BE6" s="178"/>
      <c r="BF6" s="66" t="s">
        <v>1278</v>
      </c>
      <c r="BH6" t="s">
        <v>99</v>
      </c>
      <c r="BK6" t="s">
        <v>1279</v>
      </c>
      <c r="BL6" t="s">
        <v>1280</v>
      </c>
      <c r="BM6" t="s">
        <v>1266</v>
      </c>
      <c r="BN6" t="s">
        <v>1280</v>
      </c>
      <c r="BO6" t="s">
        <v>1281</v>
      </c>
      <c r="BP6" t="s">
        <v>1282</v>
      </c>
      <c r="BW6" t="s">
        <v>1283</v>
      </c>
      <c r="BX6" t="s">
        <v>927</v>
      </c>
      <c r="BY6" t="s">
        <v>1284</v>
      </c>
    </row>
    <row r="7" spans="1:77" ht="26.25" customHeight="1">
      <c r="A7" s="66" t="s">
        <v>1285</v>
      </c>
      <c r="B7" s="66" t="s">
        <v>1286</v>
      </c>
      <c r="C7" s="66"/>
      <c r="D7" s="66"/>
      <c r="E7" s="66" t="s">
        <v>1287</v>
      </c>
      <c r="F7" s="66" t="s">
        <v>1288</v>
      </c>
      <c r="G7" s="66" t="s">
        <v>1289</v>
      </c>
      <c r="H7" s="66" t="s">
        <v>1181</v>
      </c>
      <c r="I7" s="66" t="s">
        <v>1290</v>
      </c>
      <c r="J7" s="66" t="s">
        <v>1210</v>
      </c>
      <c r="K7" s="66" t="s">
        <v>1211</v>
      </c>
      <c r="L7" s="66" t="s">
        <v>891</v>
      </c>
      <c r="M7" s="66" t="s">
        <v>1266</v>
      </c>
      <c r="N7" s="66" t="s">
        <v>891</v>
      </c>
      <c r="O7" s="66" t="s">
        <v>1213</v>
      </c>
      <c r="P7" s="66" t="s">
        <v>891</v>
      </c>
      <c r="Q7" s="86" t="s">
        <v>1186</v>
      </c>
      <c r="R7" s="86" t="s">
        <v>1201</v>
      </c>
      <c r="S7" s="86" t="s">
        <v>1201</v>
      </c>
      <c r="T7" s="86" t="s">
        <v>1201</v>
      </c>
      <c r="U7" s="86" t="s">
        <v>1187</v>
      </c>
      <c r="V7" s="86" t="s">
        <v>1215</v>
      </c>
      <c r="W7" s="67"/>
      <c r="X7" s="84" t="str">
        <f t="shared" si="0"/>
        <v>Belum Dinilai</v>
      </c>
      <c r="Y7" s="84" t="str">
        <f t="shared" si="1"/>
        <v>Belum Dinilai</v>
      </c>
      <c r="Z7" s="85">
        <f t="shared" si="2"/>
        <v>10</v>
      </c>
      <c r="AA7" s="85" t="str">
        <f t="shared" si="3"/>
        <v/>
      </c>
      <c r="AB7" s="85" t="str">
        <f t="shared" si="4"/>
        <v/>
      </c>
      <c r="AC7" s="68" t="s">
        <v>1201</v>
      </c>
      <c r="AD7" s="68" t="s">
        <v>1201</v>
      </c>
      <c r="AE7" s="68" t="s">
        <v>1201</v>
      </c>
      <c r="AF7" s="68" t="s">
        <v>1201</v>
      </c>
      <c r="AG7" s="68" t="s">
        <v>1201</v>
      </c>
      <c r="AH7" s="68" t="s">
        <v>1187</v>
      </c>
      <c r="AI7" s="68" t="s">
        <v>1187</v>
      </c>
      <c r="AJ7" s="68" t="s">
        <v>1201</v>
      </c>
      <c r="AK7" s="68" t="s">
        <v>1201</v>
      </c>
      <c r="AL7" s="68"/>
      <c r="AM7" s="68" t="s">
        <v>1215</v>
      </c>
      <c r="AN7" s="84" t="str">
        <f t="shared" si="5"/>
        <v xml:space="preserve">Instalasi listrik berbahaya; Komponen bangunan lepas atau lapuk; </v>
      </c>
      <c r="AO7" s="84" t="str">
        <f t="shared" si="6"/>
        <v>Risiko Tinggi/Darurat</v>
      </c>
      <c r="AP7" s="68"/>
      <c r="AQ7" s="71">
        <f t="shared" si="7"/>
        <v>29</v>
      </c>
      <c r="AR7" s="71">
        <f t="shared" si="8"/>
        <v>10</v>
      </c>
      <c r="AS7" s="71" t="str">
        <f t="shared" si="9"/>
        <v/>
      </c>
      <c r="AT7" s="69" t="str">
        <f t="shared" si="10"/>
        <v>Belum Dapat Ditentukan</v>
      </c>
      <c r="AU7" s="66" t="s">
        <v>1189</v>
      </c>
      <c r="AV7" s="66" t="s">
        <v>1204</v>
      </c>
      <c r="AW7" s="66" t="s">
        <v>1190</v>
      </c>
      <c r="AX7" s="66"/>
      <c r="AY7" s="66"/>
      <c r="AZ7" s="66" t="s">
        <v>927</v>
      </c>
      <c r="BA7" s="66"/>
      <c r="BB7" s="178"/>
      <c r="BC7" s="72">
        <v>2026</v>
      </c>
      <c r="BD7" s="66"/>
      <c r="BE7" s="178"/>
      <c r="BF7" s="66" t="s">
        <v>1278</v>
      </c>
      <c r="BH7" t="s">
        <v>810</v>
      </c>
      <c r="BK7" t="s">
        <v>1291</v>
      </c>
      <c r="BL7" t="s">
        <v>1215</v>
      </c>
      <c r="BM7" t="s">
        <v>1292</v>
      </c>
      <c r="BN7" t="s">
        <v>1215</v>
      </c>
      <c r="BO7" t="s">
        <v>1293</v>
      </c>
      <c r="BP7" t="s">
        <v>1215</v>
      </c>
      <c r="BW7" t="s">
        <v>1294</v>
      </c>
    </row>
    <row r="8" spans="1:77" ht="28">
      <c r="A8" s="66" t="s">
        <v>1295</v>
      </c>
      <c r="B8" s="66" t="s">
        <v>1296</v>
      </c>
      <c r="C8" s="66"/>
      <c r="D8" s="66"/>
      <c r="E8" s="66" t="s">
        <v>1297</v>
      </c>
      <c r="F8" s="66" t="s">
        <v>1288</v>
      </c>
      <c r="G8" s="66" t="s">
        <v>1289</v>
      </c>
      <c r="H8" s="66" t="s">
        <v>1181</v>
      </c>
      <c r="I8" s="66" t="s">
        <v>1298</v>
      </c>
      <c r="J8" s="66" t="s">
        <v>1210</v>
      </c>
      <c r="K8" s="66" t="s">
        <v>1197</v>
      </c>
      <c r="L8" s="66" t="s">
        <v>905</v>
      </c>
      <c r="M8" s="66" t="s">
        <v>1266</v>
      </c>
      <c r="N8" s="66" t="s">
        <v>905</v>
      </c>
      <c r="O8" s="66" t="s">
        <v>1277</v>
      </c>
      <c r="P8" s="66" t="s">
        <v>1215</v>
      </c>
      <c r="Q8" s="86" t="s">
        <v>1215</v>
      </c>
      <c r="R8" s="86" t="s">
        <v>1215</v>
      </c>
      <c r="S8" s="86" t="s">
        <v>1215</v>
      </c>
      <c r="T8" s="86" t="s">
        <v>1215</v>
      </c>
      <c r="U8" s="86" t="s">
        <v>1215</v>
      </c>
      <c r="V8" s="86" t="s">
        <v>1215</v>
      </c>
      <c r="W8" s="67"/>
      <c r="X8" s="84" t="str">
        <f t="shared" si="0"/>
        <v>Belum Dinilai</v>
      </c>
      <c r="Y8" s="84" t="str">
        <f t="shared" si="1"/>
        <v>Belum Dinilai</v>
      </c>
      <c r="Z8" s="85" t="str">
        <f t="shared" si="2"/>
        <v/>
      </c>
      <c r="AA8" s="85" t="str">
        <f t="shared" si="3"/>
        <v/>
      </c>
      <c r="AB8" s="85" t="str">
        <f t="shared" si="4"/>
        <v/>
      </c>
      <c r="AC8" s="68" t="s">
        <v>1215</v>
      </c>
      <c r="AD8" s="68" t="s">
        <v>1215</v>
      </c>
      <c r="AE8" s="68" t="s">
        <v>1215</v>
      </c>
      <c r="AF8" s="68" t="s">
        <v>1215</v>
      </c>
      <c r="AG8" s="68" t="s">
        <v>1215</v>
      </c>
      <c r="AH8" s="68" t="s">
        <v>1215</v>
      </c>
      <c r="AI8" s="68" t="s">
        <v>1215</v>
      </c>
      <c r="AJ8" s="68" t="s">
        <v>1215</v>
      </c>
      <c r="AK8" s="68" t="s">
        <v>1215</v>
      </c>
      <c r="AL8" s="68"/>
      <c r="AM8" s="68" t="s">
        <v>1215</v>
      </c>
      <c r="AN8" s="84" t="str">
        <f t="shared" si="5"/>
        <v>Belum Dinilai</v>
      </c>
      <c r="AO8" s="84" t="str">
        <f t="shared" si="6"/>
        <v>Belum Dinilai</v>
      </c>
      <c r="AP8" s="68"/>
      <c r="AQ8" s="71" t="str">
        <f t="shared" si="7"/>
        <v/>
      </c>
      <c r="AR8" s="71" t="str">
        <f t="shared" si="8"/>
        <v/>
      </c>
      <c r="AS8" s="71" t="str">
        <f t="shared" si="9"/>
        <v/>
      </c>
      <c r="AT8" s="69" t="str">
        <f t="shared" si="10"/>
        <v>Belum Dapat Ditentukan</v>
      </c>
      <c r="AU8" s="66" t="s">
        <v>1189</v>
      </c>
      <c r="AV8" s="66" t="s">
        <v>1204</v>
      </c>
      <c r="AW8" s="66" t="s">
        <v>1898</v>
      </c>
      <c r="AX8" s="66" t="s">
        <v>1206</v>
      </c>
      <c r="AY8" s="66">
        <v>2023</v>
      </c>
      <c r="AZ8" s="66" t="s">
        <v>927</v>
      </c>
      <c r="BA8" s="66"/>
      <c r="BB8" s="178"/>
      <c r="BC8" s="72">
        <v>2026</v>
      </c>
      <c r="BD8" s="66"/>
      <c r="BE8" s="178"/>
      <c r="BF8" s="66" t="s">
        <v>1278</v>
      </c>
      <c r="BH8" t="s">
        <v>1304</v>
      </c>
      <c r="BK8" t="s">
        <v>1293</v>
      </c>
      <c r="BM8" t="s">
        <v>1305</v>
      </c>
      <c r="BO8" t="s">
        <v>1284</v>
      </c>
      <c r="BW8" t="s">
        <v>1284</v>
      </c>
    </row>
    <row r="9" spans="1:77" ht="28">
      <c r="A9" s="66" t="s">
        <v>1299</v>
      </c>
      <c r="B9" s="66" t="s">
        <v>1300</v>
      </c>
      <c r="C9" s="66"/>
      <c r="D9" s="66"/>
      <c r="E9" s="66" t="s">
        <v>1301</v>
      </c>
      <c r="F9" s="66" t="s">
        <v>1302</v>
      </c>
      <c r="G9" s="66" t="s">
        <v>1275</v>
      </c>
      <c r="H9" s="66" t="s">
        <v>1181</v>
      </c>
      <c r="I9" s="66" t="s">
        <v>1303</v>
      </c>
      <c r="J9" s="66" t="s">
        <v>1196</v>
      </c>
      <c r="K9" s="66" t="s">
        <v>1197</v>
      </c>
      <c r="L9" s="66" t="s">
        <v>891</v>
      </c>
      <c r="M9" s="66" t="s">
        <v>1266</v>
      </c>
      <c r="N9" s="66" t="s">
        <v>891</v>
      </c>
      <c r="O9" s="66" t="s">
        <v>1277</v>
      </c>
      <c r="P9" s="66" t="s">
        <v>1215</v>
      </c>
      <c r="Q9" s="86" t="s">
        <v>1215</v>
      </c>
      <c r="R9" s="86" t="s">
        <v>1215</v>
      </c>
      <c r="S9" s="86" t="s">
        <v>1215</v>
      </c>
      <c r="T9" s="86" t="s">
        <v>1215</v>
      </c>
      <c r="U9" s="86" t="s">
        <v>1215</v>
      </c>
      <c r="V9" s="86" t="s">
        <v>1215</v>
      </c>
      <c r="W9" s="67"/>
      <c r="X9" s="84" t="str">
        <f t="shared" si="0"/>
        <v>Belum Dinilai</v>
      </c>
      <c r="Y9" s="84" t="str">
        <f t="shared" si="1"/>
        <v>Belum Dinilai</v>
      </c>
      <c r="Z9" s="85" t="str">
        <f t="shared" si="2"/>
        <v/>
      </c>
      <c r="AA9" s="85" t="str">
        <f t="shared" si="3"/>
        <v/>
      </c>
      <c r="AB9" s="85" t="str">
        <f t="shared" si="4"/>
        <v/>
      </c>
      <c r="AC9" s="68" t="s">
        <v>1215</v>
      </c>
      <c r="AD9" s="68" t="s">
        <v>1215</v>
      </c>
      <c r="AE9" s="68" t="s">
        <v>1215</v>
      </c>
      <c r="AF9" s="68" t="s">
        <v>1215</v>
      </c>
      <c r="AG9" s="68" t="s">
        <v>1215</v>
      </c>
      <c r="AH9" s="68" t="s">
        <v>1215</v>
      </c>
      <c r="AI9" s="68" t="s">
        <v>1215</v>
      </c>
      <c r="AJ9" s="68" t="s">
        <v>1215</v>
      </c>
      <c r="AK9" s="68" t="s">
        <v>1215</v>
      </c>
      <c r="AL9" s="68"/>
      <c r="AM9" s="68" t="s">
        <v>1215</v>
      </c>
      <c r="AN9" s="84" t="str">
        <f t="shared" si="5"/>
        <v>Belum Dinilai</v>
      </c>
      <c r="AO9" s="84" t="str">
        <f t="shared" si="6"/>
        <v>Belum Dinilai</v>
      </c>
      <c r="AP9" s="68"/>
      <c r="AQ9" s="71" t="str">
        <f t="shared" si="7"/>
        <v/>
      </c>
      <c r="AR9" s="71" t="str">
        <f t="shared" si="8"/>
        <v/>
      </c>
      <c r="AS9" s="71" t="str">
        <f t="shared" si="9"/>
        <v/>
      </c>
      <c r="AT9" s="69" t="str">
        <f t="shared" si="10"/>
        <v>Belum Dapat Ditentukan</v>
      </c>
      <c r="AU9" s="66" t="s">
        <v>1203</v>
      </c>
      <c r="AV9" s="66" t="s">
        <v>1204</v>
      </c>
      <c r="AW9" s="66" t="s">
        <v>1190</v>
      </c>
      <c r="AX9" s="66"/>
      <c r="AY9" s="66"/>
      <c r="AZ9" s="66" t="s">
        <v>927</v>
      </c>
      <c r="BA9" s="66"/>
      <c r="BB9" s="178"/>
      <c r="BC9" s="72">
        <v>2026</v>
      </c>
      <c r="BD9" s="66"/>
      <c r="BE9" s="178"/>
      <c r="BF9" s="66" t="s">
        <v>1278</v>
      </c>
      <c r="BK9" t="s">
        <v>1277</v>
      </c>
      <c r="BM9" t="s">
        <v>1284</v>
      </c>
    </row>
    <row r="10" spans="1:77" ht="42">
      <c r="A10" s="66" t="s">
        <v>1306</v>
      </c>
      <c r="B10" s="66" t="s">
        <v>1307</v>
      </c>
      <c r="C10" s="66"/>
      <c r="D10" s="66"/>
      <c r="E10" s="66" t="s">
        <v>1308</v>
      </c>
      <c r="F10" s="66" t="s">
        <v>1309</v>
      </c>
      <c r="G10" s="66" t="s">
        <v>1310</v>
      </c>
      <c r="H10" s="66" t="s">
        <v>1195</v>
      </c>
      <c r="I10" s="66" t="s">
        <v>1311</v>
      </c>
      <c r="J10" s="66" t="s">
        <v>1182</v>
      </c>
      <c r="K10" s="66" t="s">
        <v>1277</v>
      </c>
      <c r="L10" s="66" t="s">
        <v>1215</v>
      </c>
      <c r="M10" s="66" t="s">
        <v>1265</v>
      </c>
      <c r="N10" s="66" t="s">
        <v>1215</v>
      </c>
      <c r="O10" s="66" t="s">
        <v>1277</v>
      </c>
      <c r="P10" s="66" t="s">
        <v>1215</v>
      </c>
      <c r="Q10" s="86" t="s">
        <v>1215</v>
      </c>
      <c r="R10" s="86" t="s">
        <v>1215</v>
      </c>
      <c r="S10" s="86" t="s">
        <v>1215</v>
      </c>
      <c r="T10" s="86" t="s">
        <v>1215</v>
      </c>
      <c r="U10" s="86" t="s">
        <v>1215</v>
      </c>
      <c r="V10" s="86" t="s">
        <v>1215</v>
      </c>
      <c r="W10" s="67"/>
      <c r="X10" s="84" t="str">
        <f t="shared" si="0"/>
        <v>Belum Dinilai</v>
      </c>
      <c r="Y10" s="84" t="str">
        <f t="shared" si="1"/>
        <v>Belum Dinilai</v>
      </c>
      <c r="Z10" s="85" t="str">
        <f t="shared" si="2"/>
        <v/>
      </c>
      <c r="AA10" s="85" t="str">
        <f t="shared" si="3"/>
        <v/>
      </c>
      <c r="AB10" s="85" t="str">
        <f t="shared" si="4"/>
        <v/>
      </c>
      <c r="AC10" s="68" t="s">
        <v>1215</v>
      </c>
      <c r="AD10" s="68" t="s">
        <v>1215</v>
      </c>
      <c r="AE10" s="68" t="s">
        <v>1215</v>
      </c>
      <c r="AF10" s="68" t="s">
        <v>1215</v>
      </c>
      <c r="AG10" s="68" t="s">
        <v>1215</v>
      </c>
      <c r="AH10" s="68" t="s">
        <v>1215</v>
      </c>
      <c r="AI10" s="68" t="s">
        <v>1215</v>
      </c>
      <c r="AJ10" s="68" t="s">
        <v>1215</v>
      </c>
      <c r="AK10" s="68" t="s">
        <v>1215</v>
      </c>
      <c r="AL10" s="68"/>
      <c r="AM10" s="68" t="s">
        <v>1215</v>
      </c>
      <c r="AN10" s="84" t="str">
        <f t="shared" si="5"/>
        <v>Belum Dinilai</v>
      </c>
      <c r="AO10" s="84" t="str">
        <f t="shared" si="6"/>
        <v>Belum Dinilai</v>
      </c>
      <c r="AP10" s="68"/>
      <c r="AQ10" s="71" t="str">
        <f t="shared" si="7"/>
        <v/>
      </c>
      <c r="AR10" s="71" t="str">
        <f t="shared" si="8"/>
        <v/>
      </c>
      <c r="AS10" s="71" t="str">
        <f t="shared" si="9"/>
        <v/>
      </c>
      <c r="AT10" s="69" t="str">
        <f t="shared" si="10"/>
        <v>Belum Dapat Ditentukan</v>
      </c>
      <c r="AU10" s="66" t="s">
        <v>1189</v>
      </c>
      <c r="AV10" s="66" t="s">
        <v>1204</v>
      </c>
      <c r="AW10" s="66" t="s">
        <v>1190</v>
      </c>
      <c r="AX10" s="66"/>
      <c r="AY10" s="66"/>
      <c r="AZ10" s="66" t="s">
        <v>927</v>
      </c>
      <c r="BA10" s="66"/>
      <c r="BB10" s="178"/>
      <c r="BC10" s="72">
        <v>2026</v>
      </c>
      <c r="BD10" s="66"/>
      <c r="BE10" s="178"/>
      <c r="BF10" s="66" t="s">
        <v>1278</v>
      </c>
      <c r="BM10" t="s">
        <v>1277</v>
      </c>
    </row>
    <row r="11" spans="1:77" ht="42">
      <c r="A11" s="66" t="s">
        <v>1312</v>
      </c>
      <c r="B11" s="66" t="s">
        <v>1313</v>
      </c>
      <c r="C11" s="66"/>
      <c r="D11" s="66"/>
      <c r="E11" s="66" t="s">
        <v>1314</v>
      </c>
      <c r="F11" s="66" t="s">
        <v>1315</v>
      </c>
      <c r="G11" s="66" t="s">
        <v>1289</v>
      </c>
      <c r="H11" s="66" t="s">
        <v>1181</v>
      </c>
      <c r="I11" s="66" t="s">
        <v>1276</v>
      </c>
      <c r="J11" s="66" t="s">
        <v>1196</v>
      </c>
      <c r="K11" s="66" t="s">
        <v>1211</v>
      </c>
      <c r="L11" s="66" t="s">
        <v>1215</v>
      </c>
      <c r="M11" s="66" t="s">
        <v>1266</v>
      </c>
      <c r="N11" s="66" t="s">
        <v>1215</v>
      </c>
      <c r="O11" s="66" t="s">
        <v>1277</v>
      </c>
      <c r="P11" s="66" t="s">
        <v>1215</v>
      </c>
      <c r="Q11" s="86" t="s">
        <v>1215</v>
      </c>
      <c r="R11" s="86" t="s">
        <v>1215</v>
      </c>
      <c r="S11" s="86" t="s">
        <v>1215</v>
      </c>
      <c r="T11" s="86" t="s">
        <v>1215</v>
      </c>
      <c r="U11" s="86" t="s">
        <v>1215</v>
      </c>
      <c r="V11" s="86" t="s">
        <v>1215</v>
      </c>
      <c r="W11" s="67"/>
      <c r="X11" s="84" t="str">
        <f t="shared" si="0"/>
        <v>Belum Dinilai</v>
      </c>
      <c r="Y11" s="84" t="str">
        <f t="shared" si="1"/>
        <v>Belum Dinilai</v>
      </c>
      <c r="Z11" s="85" t="str">
        <f t="shared" si="2"/>
        <v/>
      </c>
      <c r="AA11" s="85" t="str">
        <f t="shared" si="3"/>
        <v/>
      </c>
      <c r="AB11" s="85" t="str">
        <f t="shared" si="4"/>
        <v/>
      </c>
      <c r="AC11" s="68" t="s">
        <v>1215</v>
      </c>
      <c r="AD11" s="68" t="s">
        <v>1215</v>
      </c>
      <c r="AE11" s="68" t="s">
        <v>1215</v>
      </c>
      <c r="AF11" s="68" t="s">
        <v>1215</v>
      </c>
      <c r="AG11" s="68" t="s">
        <v>1215</v>
      </c>
      <c r="AH11" s="68" t="s">
        <v>1215</v>
      </c>
      <c r="AI11" s="68" t="s">
        <v>1215</v>
      </c>
      <c r="AJ11" s="68" t="s">
        <v>1215</v>
      </c>
      <c r="AK11" s="68" t="s">
        <v>1215</v>
      </c>
      <c r="AL11" s="68"/>
      <c r="AM11" s="68" t="s">
        <v>1215</v>
      </c>
      <c r="AN11" s="84" t="str">
        <f t="shared" si="5"/>
        <v>Belum Dinilai</v>
      </c>
      <c r="AO11" s="84" t="str">
        <f t="shared" si="6"/>
        <v>Belum Dinilai</v>
      </c>
      <c r="AP11" s="68"/>
      <c r="AQ11" s="71" t="str">
        <f t="shared" si="7"/>
        <v/>
      </c>
      <c r="AR11" s="71" t="str">
        <f t="shared" si="8"/>
        <v/>
      </c>
      <c r="AS11" s="71" t="str">
        <f t="shared" si="9"/>
        <v/>
      </c>
      <c r="AT11" s="69" t="str">
        <f t="shared" si="10"/>
        <v>Belum Dapat Ditentukan</v>
      </c>
      <c r="AU11" s="66" t="s">
        <v>1189</v>
      </c>
      <c r="AV11" s="66" t="s">
        <v>1204</v>
      </c>
      <c r="AW11" s="66" t="s">
        <v>1898</v>
      </c>
      <c r="AX11" s="66" t="s">
        <v>1206</v>
      </c>
      <c r="AY11" s="66">
        <v>2023</v>
      </c>
      <c r="AZ11" s="66" t="s">
        <v>927</v>
      </c>
      <c r="BA11" s="66"/>
      <c r="BB11" s="178"/>
      <c r="BC11" s="72">
        <v>2026</v>
      </c>
      <c r="BD11" s="66"/>
      <c r="BE11" s="178"/>
      <c r="BF11" s="66" t="s">
        <v>1278</v>
      </c>
    </row>
    <row r="12" spans="1:77" ht="28">
      <c r="A12" s="66" t="s">
        <v>1316</v>
      </c>
      <c r="B12" s="66" t="s">
        <v>1317</v>
      </c>
      <c r="C12" s="66"/>
      <c r="D12" s="66"/>
      <c r="E12" s="66" t="s">
        <v>1318</v>
      </c>
      <c r="F12" s="66" t="s">
        <v>1319</v>
      </c>
      <c r="G12" s="66" t="s">
        <v>1289</v>
      </c>
      <c r="H12" s="66" t="s">
        <v>1181</v>
      </c>
      <c r="I12" s="66" t="s">
        <v>1320</v>
      </c>
      <c r="J12" s="66" t="s">
        <v>1263</v>
      </c>
      <c r="K12" s="66" t="s">
        <v>1277</v>
      </c>
      <c r="L12" s="66" t="s">
        <v>1215</v>
      </c>
      <c r="M12" s="66" t="s">
        <v>1277</v>
      </c>
      <c r="N12" s="66" t="s">
        <v>1215</v>
      </c>
      <c r="O12" s="66" t="s">
        <v>1277</v>
      </c>
      <c r="P12" s="66" t="s">
        <v>1215</v>
      </c>
      <c r="Q12" s="86" t="s">
        <v>1215</v>
      </c>
      <c r="R12" s="86" t="s">
        <v>1215</v>
      </c>
      <c r="S12" s="86" t="s">
        <v>1215</v>
      </c>
      <c r="T12" s="86" t="s">
        <v>1215</v>
      </c>
      <c r="U12" s="86" t="s">
        <v>1215</v>
      </c>
      <c r="V12" s="86" t="s">
        <v>1215</v>
      </c>
      <c r="W12" s="67"/>
      <c r="X12" s="84" t="str">
        <f t="shared" si="0"/>
        <v>Belum Dinilai</v>
      </c>
      <c r="Y12" s="84" t="str">
        <f t="shared" si="1"/>
        <v>Belum Dinilai</v>
      </c>
      <c r="Z12" s="85" t="str">
        <f t="shared" si="2"/>
        <v/>
      </c>
      <c r="AA12" s="85" t="str">
        <f t="shared" si="3"/>
        <v/>
      </c>
      <c r="AB12" s="85" t="str">
        <f t="shared" si="4"/>
        <v/>
      </c>
      <c r="AC12" s="68" t="s">
        <v>1215</v>
      </c>
      <c r="AD12" s="68" t="s">
        <v>1215</v>
      </c>
      <c r="AE12" s="68" t="s">
        <v>1215</v>
      </c>
      <c r="AF12" s="68" t="s">
        <v>1215</v>
      </c>
      <c r="AG12" s="68" t="s">
        <v>1215</v>
      </c>
      <c r="AH12" s="68" t="s">
        <v>1215</v>
      </c>
      <c r="AI12" s="68" t="s">
        <v>1215</v>
      </c>
      <c r="AJ12" s="68" t="s">
        <v>1215</v>
      </c>
      <c r="AK12" s="68" t="s">
        <v>1215</v>
      </c>
      <c r="AL12" s="68"/>
      <c r="AM12" s="68" t="s">
        <v>1215</v>
      </c>
      <c r="AN12" s="84" t="str">
        <f t="shared" si="5"/>
        <v>Belum Dinilai</v>
      </c>
      <c r="AO12" s="84" t="str">
        <f t="shared" si="6"/>
        <v>Belum Dinilai</v>
      </c>
      <c r="AP12" s="68"/>
      <c r="AQ12" s="71" t="str">
        <f t="shared" si="7"/>
        <v/>
      </c>
      <c r="AR12" s="71" t="str">
        <f t="shared" si="8"/>
        <v/>
      </c>
      <c r="AS12" s="71" t="str">
        <f t="shared" si="9"/>
        <v/>
      </c>
      <c r="AT12" s="69" t="str">
        <f t="shared" si="10"/>
        <v>Belum Dapat Ditentukan</v>
      </c>
      <c r="AU12" s="66" t="s">
        <v>1189</v>
      </c>
      <c r="AV12" s="66" t="s">
        <v>1204</v>
      </c>
      <c r="AW12" s="66" t="s">
        <v>1190</v>
      </c>
      <c r="AX12" s="66"/>
      <c r="AY12" s="66"/>
      <c r="AZ12" s="66" t="s">
        <v>927</v>
      </c>
      <c r="BA12" s="66"/>
      <c r="BB12" s="178"/>
      <c r="BC12" s="72">
        <v>2026</v>
      </c>
      <c r="BD12" s="66"/>
      <c r="BE12" s="178"/>
      <c r="BF12" s="66" t="s">
        <v>1278</v>
      </c>
    </row>
    <row r="13" spans="1:77" ht="28">
      <c r="A13" s="66" t="s">
        <v>1321</v>
      </c>
      <c r="B13" s="66" t="s">
        <v>1322</v>
      </c>
      <c r="C13" s="66"/>
      <c r="D13" s="66"/>
      <c r="E13" s="66" t="s">
        <v>1323</v>
      </c>
      <c r="F13" s="66" t="s">
        <v>1324</v>
      </c>
      <c r="G13" s="66" t="s">
        <v>1325</v>
      </c>
      <c r="H13" s="66" t="s">
        <v>1181</v>
      </c>
      <c r="I13" s="66" t="s">
        <v>1326</v>
      </c>
      <c r="J13" s="66" t="s">
        <v>1263</v>
      </c>
      <c r="K13" s="66" t="s">
        <v>1277</v>
      </c>
      <c r="L13" s="66" t="s">
        <v>895</v>
      </c>
      <c r="M13" s="66" t="s">
        <v>1277</v>
      </c>
      <c r="N13" s="66" t="s">
        <v>895</v>
      </c>
      <c r="O13" s="66" t="s">
        <v>1277</v>
      </c>
      <c r="P13" s="66" t="s">
        <v>1215</v>
      </c>
      <c r="Q13" s="86" t="s">
        <v>1215</v>
      </c>
      <c r="R13" s="86" t="s">
        <v>1215</v>
      </c>
      <c r="S13" s="86" t="s">
        <v>1215</v>
      </c>
      <c r="T13" s="86" t="s">
        <v>1215</v>
      </c>
      <c r="U13" s="86" t="s">
        <v>1215</v>
      </c>
      <c r="V13" s="86" t="s">
        <v>1215</v>
      </c>
      <c r="W13" s="67"/>
      <c r="X13" s="84" t="str">
        <f t="shared" si="0"/>
        <v>Belum Dinilai</v>
      </c>
      <c r="Y13" s="84" t="str">
        <f t="shared" si="1"/>
        <v>Belum Dinilai</v>
      </c>
      <c r="Z13" s="85" t="str">
        <f t="shared" si="2"/>
        <v/>
      </c>
      <c r="AA13" s="85" t="str">
        <f t="shared" si="3"/>
        <v/>
      </c>
      <c r="AB13" s="85" t="str">
        <f t="shared" si="4"/>
        <v/>
      </c>
      <c r="AC13" s="68" t="s">
        <v>1215</v>
      </c>
      <c r="AD13" s="68" t="s">
        <v>1215</v>
      </c>
      <c r="AE13" s="68" t="s">
        <v>1215</v>
      </c>
      <c r="AF13" s="68" t="s">
        <v>1215</v>
      </c>
      <c r="AG13" s="68" t="s">
        <v>1215</v>
      </c>
      <c r="AH13" s="68" t="s">
        <v>1215</v>
      </c>
      <c r="AI13" s="68" t="s">
        <v>1215</v>
      </c>
      <c r="AJ13" s="68" t="s">
        <v>1215</v>
      </c>
      <c r="AK13" s="68" t="s">
        <v>1215</v>
      </c>
      <c r="AL13" s="68"/>
      <c r="AM13" s="68" t="s">
        <v>1215</v>
      </c>
      <c r="AN13" s="84" t="str">
        <f t="shared" si="5"/>
        <v>Belum Dinilai</v>
      </c>
      <c r="AO13" s="84" t="str">
        <f t="shared" si="6"/>
        <v>Belum Dinilai</v>
      </c>
      <c r="AP13" s="68"/>
      <c r="AQ13" s="71" t="str">
        <f t="shared" si="7"/>
        <v/>
      </c>
      <c r="AR13" s="71" t="str">
        <f t="shared" si="8"/>
        <v/>
      </c>
      <c r="AS13" s="71" t="str">
        <f t="shared" si="9"/>
        <v/>
      </c>
      <c r="AT13" s="69" t="str">
        <f t="shared" si="10"/>
        <v>Belum Dapat Ditentukan</v>
      </c>
      <c r="AU13" s="66" t="s">
        <v>1189</v>
      </c>
      <c r="AV13" s="66" t="s">
        <v>1204</v>
      </c>
      <c r="AW13" s="66" t="s">
        <v>1190</v>
      </c>
      <c r="AX13" s="66"/>
      <c r="AY13" s="66"/>
      <c r="AZ13" s="66" t="s">
        <v>927</v>
      </c>
      <c r="BA13" s="66"/>
      <c r="BB13" s="178"/>
      <c r="BC13" s="72">
        <v>2026</v>
      </c>
      <c r="BD13" s="66"/>
      <c r="BE13" s="178"/>
      <c r="BF13" s="66" t="s">
        <v>1278</v>
      </c>
    </row>
    <row r="14" spans="1:77" ht="28">
      <c r="A14" s="66" t="s">
        <v>1327</v>
      </c>
      <c r="B14" s="66" t="s">
        <v>1328</v>
      </c>
      <c r="C14" s="66"/>
      <c r="D14" s="66"/>
      <c r="E14" s="66" t="s">
        <v>1329</v>
      </c>
      <c r="F14" s="66" t="s">
        <v>1330</v>
      </c>
      <c r="G14" s="66" t="s">
        <v>1331</v>
      </c>
      <c r="H14" s="66" t="s">
        <v>1181</v>
      </c>
      <c r="I14" s="66" t="s">
        <v>1332</v>
      </c>
      <c r="J14" s="66" t="s">
        <v>1263</v>
      </c>
      <c r="K14" s="66" t="s">
        <v>1277</v>
      </c>
      <c r="L14" s="66" t="s">
        <v>1215</v>
      </c>
      <c r="M14" s="66" t="s">
        <v>1277</v>
      </c>
      <c r="N14" s="66" t="s">
        <v>1215</v>
      </c>
      <c r="O14" s="66" t="s">
        <v>1277</v>
      </c>
      <c r="P14" s="66" t="s">
        <v>1215</v>
      </c>
      <c r="Q14" s="86" t="s">
        <v>1215</v>
      </c>
      <c r="R14" s="86" t="s">
        <v>1215</v>
      </c>
      <c r="S14" s="86" t="s">
        <v>1215</v>
      </c>
      <c r="T14" s="86" t="s">
        <v>1215</v>
      </c>
      <c r="U14" s="86" t="s">
        <v>1215</v>
      </c>
      <c r="V14" s="86" t="s">
        <v>1215</v>
      </c>
      <c r="W14" s="67"/>
      <c r="X14" s="84" t="str">
        <f t="shared" si="0"/>
        <v>Belum Dinilai</v>
      </c>
      <c r="Y14" s="84" t="str">
        <f t="shared" si="1"/>
        <v>Belum Dinilai</v>
      </c>
      <c r="Z14" s="85" t="str">
        <f t="shared" si="2"/>
        <v/>
      </c>
      <c r="AA14" s="85" t="str">
        <f t="shared" si="3"/>
        <v/>
      </c>
      <c r="AB14" s="85" t="str">
        <f t="shared" si="4"/>
        <v/>
      </c>
      <c r="AC14" s="68" t="s">
        <v>1215</v>
      </c>
      <c r="AD14" s="68" t="s">
        <v>1215</v>
      </c>
      <c r="AE14" s="68" t="s">
        <v>1215</v>
      </c>
      <c r="AF14" s="68" t="s">
        <v>1215</v>
      </c>
      <c r="AG14" s="68" t="s">
        <v>1215</v>
      </c>
      <c r="AH14" s="68" t="s">
        <v>1215</v>
      </c>
      <c r="AI14" s="68" t="s">
        <v>1215</v>
      </c>
      <c r="AJ14" s="68" t="s">
        <v>1215</v>
      </c>
      <c r="AK14" s="68" t="s">
        <v>1215</v>
      </c>
      <c r="AL14" s="68"/>
      <c r="AM14" s="68" t="s">
        <v>1215</v>
      </c>
      <c r="AN14" s="84" t="str">
        <f t="shared" si="5"/>
        <v>Belum Dinilai</v>
      </c>
      <c r="AO14" s="84" t="str">
        <f t="shared" si="6"/>
        <v>Belum Dinilai</v>
      </c>
      <c r="AP14" s="68"/>
      <c r="AQ14" s="71" t="str">
        <f t="shared" si="7"/>
        <v/>
      </c>
      <c r="AR14" s="71" t="str">
        <f t="shared" si="8"/>
        <v/>
      </c>
      <c r="AS14" s="71" t="str">
        <f t="shared" si="9"/>
        <v/>
      </c>
      <c r="AT14" s="69" t="str">
        <f t="shared" si="10"/>
        <v>Belum Dapat Ditentukan</v>
      </c>
      <c r="AU14" s="66" t="s">
        <v>1189</v>
      </c>
      <c r="AV14" s="66" t="s">
        <v>1204</v>
      </c>
      <c r="AW14" s="66" t="s">
        <v>1190</v>
      </c>
      <c r="AX14" s="66"/>
      <c r="AY14" s="66"/>
      <c r="AZ14" s="66" t="s">
        <v>927</v>
      </c>
      <c r="BA14" s="66"/>
      <c r="BB14" s="178"/>
      <c r="BC14" s="72">
        <v>2026</v>
      </c>
      <c r="BD14" s="66"/>
      <c r="BE14" s="178"/>
      <c r="BF14" s="66" t="s">
        <v>1278</v>
      </c>
    </row>
    <row r="15" spans="1:77" ht="28">
      <c r="A15" s="66" t="s">
        <v>1333</v>
      </c>
      <c r="B15" s="66" t="s">
        <v>1334</v>
      </c>
      <c r="C15" s="66"/>
      <c r="D15" s="66"/>
      <c r="E15" s="66" t="s">
        <v>1335</v>
      </c>
      <c r="F15" s="66" t="s">
        <v>1336</v>
      </c>
      <c r="G15" s="66" t="s">
        <v>1331</v>
      </c>
      <c r="H15" s="66" t="s">
        <v>1181</v>
      </c>
      <c r="I15" s="66" t="s">
        <v>1337</v>
      </c>
      <c r="J15" s="66" t="s">
        <v>1263</v>
      </c>
      <c r="K15" s="66" t="s">
        <v>1277</v>
      </c>
      <c r="L15" s="66" t="s">
        <v>895</v>
      </c>
      <c r="M15" s="66" t="s">
        <v>1277</v>
      </c>
      <c r="N15" s="66" t="s">
        <v>1215</v>
      </c>
      <c r="O15" s="66" t="s">
        <v>1277</v>
      </c>
      <c r="P15" s="66" t="s">
        <v>1215</v>
      </c>
      <c r="Q15" s="86" t="s">
        <v>1215</v>
      </c>
      <c r="R15" s="86" t="s">
        <v>1215</v>
      </c>
      <c r="S15" s="86" t="s">
        <v>1215</v>
      </c>
      <c r="T15" s="86" t="s">
        <v>1215</v>
      </c>
      <c r="U15" s="86" t="s">
        <v>1215</v>
      </c>
      <c r="V15" s="86" t="s">
        <v>1215</v>
      </c>
      <c r="W15" s="67"/>
      <c r="X15" s="84" t="str">
        <f t="shared" si="0"/>
        <v>Belum Dinilai</v>
      </c>
      <c r="Y15" s="84" t="str">
        <f t="shared" si="1"/>
        <v>Belum Dinilai</v>
      </c>
      <c r="Z15" s="85" t="str">
        <f t="shared" si="2"/>
        <v/>
      </c>
      <c r="AA15" s="85" t="str">
        <f t="shared" si="3"/>
        <v/>
      </c>
      <c r="AB15" s="85" t="str">
        <f t="shared" si="4"/>
        <v/>
      </c>
      <c r="AC15" s="68" t="s">
        <v>1215</v>
      </c>
      <c r="AD15" s="68" t="s">
        <v>1215</v>
      </c>
      <c r="AE15" s="68" t="s">
        <v>1215</v>
      </c>
      <c r="AF15" s="68" t="s">
        <v>1215</v>
      </c>
      <c r="AG15" s="68" t="s">
        <v>1215</v>
      </c>
      <c r="AH15" s="68" t="s">
        <v>1215</v>
      </c>
      <c r="AI15" s="68" t="s">
        <v>1215</v>
      </c>
      <c r="AJ15" s="68" t="s">
        <v>1215</v>
      </c>
      <c r="AK15" s="68" t="s">
        <v>1215</v>
      </c>
      <c r="AL15" s="68"/>
      <c r="AM15" s="68" t="s">
        <v>1215</v>
      </c>
      <c r="AN15" s="84" t="str">
        <f t="shared" si="5"/>
        <v>Belum Dinilai</v>
      </c>
      <c r="AO15" s="84" t="str">
        <f t="shared" si="6"/>
        <v>Belum Dinilai</v>
      </c>
      <c r="AP15" s="68"/>
      <c r="AQ15" s="71" t="str">
        <f t="shared" si="7"/>
        <v/>
      </c>
      <c r="AR15" s="71" t="str">
        <f t="shared" si="8"/>
        <v/>
      </c>
      <c r="AS15" s="71" t="str">
        <f t="shared" si="9"/>
        <v/>
      </c>
      <c r="AT15" s="69" t="str">
        <f t="shared" si="10"/>
        <v>Belum Dapat Ditentukan</v>
      </c>
      <c r="AU15" s="66" t="s">
        <v>1189</v>
      </c>
      <c r="AV15" s="66" t="s">
        <v>1204</v>
      </c>
      <c r="AW15" s="66" t="s">
        <v>1190</v>
      </c>
      <c r="AX15" s="66"/>
      <c r="AY15" s="66"/>
      <c r="AZ15" s="66" t="s">
        <v>927</v>
      </c>
      <c r="BA15" s="66"/>
      <c r="BB15" s="178"/>
      <c r="BC15" s="72">
        <v>2026</v>
      </c>
      <c r="BD15" s="66"/>
      <c r="BE15" s="178"/>
      <c r="BF15" s="66" t="s">
        <v>1278</v>
      </c>
    </row>
    <row r="16" spans="1:77" ht="28">
      <c r="A16" s="66" t="s">
        <v>1338</v>
      </c>
      <c r="B16" s="66" t="s">
        <v>1339</v>
      </c>
      <c r="C16" s="66"/>
      <c r="D16" s="66"/>
      <c r="E16" s="66" t="s">
        <v>1340</v>
      </c>
      <c r="F16" s="66" t="s">
        <v>1341</v>
      </c>
      <c r="G16" s="66" t="s">
        <v>1331</v>
      </c>
      <c r="H16" s="66" t="s">
        <v>1181</v>
      </c>
      <c r="I16" s="66" t="s">
        <v>1342</v>
      </c>
      <c r="J16" s="66" t="s">
        <v>1263</v>
      </c>
      <c r="K16" s="66" t="s">
        <v>1277</v>
      </c>
      <c r="L16" s="66" t="s">
        <v>1215</v>
      </c>
      <c r="M16" s="66" t="s">
        <v>1277</v>
      </c>
      <c r="N16" s="66" t="s">
        <v>1215</v>
      </c>
      <c r="O16" s="66" t="s">
        <v>1277</v>
      </c>
      <c r="P16" s="66" t="s">
        <v>1215</v>
      </c>
      <c r="Q16" s="86" t="s">
        <v>1215</v>
      </c>
      <c r="R16" s="86" t="s">
        <v>1215</v>
      </c>
      <c r="S16" s="86" t="s">
        <v>1215</v>
      </c>
      <c r="T16" s="86" t="s">
        <v>1215</v>
      </c>
      <c r="U16" s="86" t="s">
        <v>1215</v>
      </c>
      <c r="V16" s="86" t="s">
        <v>1215</v>
      </c>
      <c r="W16" s="67"/>
      <c r="X16" s="84" t="str">
        <f t="shared" si="0"/>
        <v>Belum Dinilai</v>
      </c>
      <c r="Y16" s="84" t="str">
        <f t="shared" si="1"/>
        <v>Belum Dinilai</v>
      </c>
      <c r="Z16" s="85" t="str">
        <f t="shared" si="2"/>
        <v/>
      </c>
      <c r="AA16" s="85" t="str">
        <f t="shared" si="3"/>
        <v/>
      </c>
      <c r="AB16" s="85" t="str">
        <f t="shared" si="4"/>
        <v/>
      </c>
      <c r="AC16" s="68" t="s">
        <v>1215</v>
      </c>
      <c r="AD16" s="68" t="s">
        <v>1215</v>
      </c>
      <c r="AE16" s="68" t="s">
        <v>1215</v>
      </c>
      <c r="AF16" s="68" t="s">
        <v>1215</v>
      </c>
      <c r="AG16" s="68" t="s">
        <v>1215</v>
      </c>
      <c r="AH16" s="68" t="s">
        <v>1215</v>
      </c>
      <c r="AI16" s="68" t="s">
        <v>1215</v>
      </c>
      <c r="AJ16" s="68" t="s">
        <v>1215</v>
      </c>
      <c r="AK16" s="68" t="s">
        <v>1215</v>
      </c>
      <c r="AL16" s="68"/>
      <c r="AM16" s="68" t="s">
        <v>1215</v>
      </c>
      <c r="AN16" s="84" t="str">
        <f t="shared" si="5"/>
        <v>Belum Dinilai</v>
      </c>
      <c r="AO16" s="84" t="str">
        <f t="shared" si="6"/>
        <v>Belum Dinilai</v>
      </c>
      <c r="AP16" s="68"/>
      <c r="AQ16" s="71" t="str">
        <f t="shared" si="7"/>
        <v/>
      </c>
      <c r="AR16" s="71" t="str">
        <f t="shared" si="8"/>
        <v/>
      </c>
      <c r="AS16" s="71" t="str">
        <f t="shared" si="9"/>
        <v/>
      </c>
      <c r="AT16" s="69" t="str">
        <f t="shared" si="10"/>
        <v>Belum Dapat Ditentukan</v>
      </c>
      <c r="AU16" s="66" t="s">
        <v>1189</v>
      </c>
      <c r="AV16" s="66" t="s">
        <v>1204</v>
      </c>
      <c r="AW16" s="66" t="s">
        <v>1190</v>
      </c>
      <c r="AX16" s="66"/>
      <c r="AY16" s="66"/>
      <c r="AZ16" s="66" t="s">
        <v>927</v>
      </c>
      <c r="BA16" s="66"/>
      <c r="BB16" s="178"/>
      <c r="BC16" s="72">
        <v>2026</v>
      </c>
      <c r="BD16" s="66"/>
      <c r="BE16" s="178"/>
      <c r="BF16" s="66" t="s">
        <v>1278</v>
      </c>
    </row>
    <row r="17" spans="1:58" ht="28">
      <c r="A17" s="66" t="s">
        <v>1343</v>
      </c>
      <c r="B17" s="66" t="s">
        <v>1344</v>
      </c>
      <c r="C17" s="66"/>
      <c r="D17" s="66"/>
      <c r="E17" s="66" t="s">
        <v>1345</v>
      </c>
      <c r="F17" s="66" t="s">
        <v>1304</v>
      </c>
      <c r="G17" s="66" t="s">
        <v>1325</v>
      </c>
      <c r="H17" s="66" t="s">
        <v>1181</v>
      </c>
      <c r="I17" s="66" t="s">
        <v>1346</v>
      </c>
      <c r="J17" s="66" t="s">
        <v>1263</v>
      </c>
      <c r="K17" s="66" t="s">
        <v>1277</v>
      </c>
      <c r="L17" s="66" t="s">
        <v>895</v>
      </c>
      <c r="M17" s="66" t="s">
        <v>1277</v>
      </c>
      <c r="N17" s="66" t="s">
        <v>895</v>
      </c>
      <c r="O17" s="66" t="s">
        <v>1277</v>
      </c>
      <c r="P17" s="66" t="s">
        <v>1215</v>
      </c>
      <c r="Q17" s="86" t="s">
        <v>1215</v>
      </c>
      <c r="R17" s="86" t="s">
        <v>1215</v>
      </c>
      <c r="S17" s="86" t="s">
        <v>1215</v>
      </c>
      <c r="T17" s="86" t="s">
        <v>1215</v>
      </c>
      <c r="U17" s="86" t="s">
        <v>1215</v>
      </c>
      <c r="V17" s="86" t="s">
        <v>1215</v>
      </c>
      <c r="W17" s="67"/>
      <c r="X17" s="84" t="str">
        <f t="shared" si="0"/>
        <v>Belum Dinilai</v>
      </c>
      <c r="Y17" s="84" t="str">
        <f t="shared" si="1"/>
        <v>Belum Dinilai</v>
      </c>
      <c r="Z17" s="85" t="str">
        <f t="shared" si="2"/>
        <v/>
      </c>
      <c r="AA17" s="85" t="str">
        <f t="shared" si="3"/>
        <v/>
      </c>
      <c r="AB17" s="85" t="str">
        <f t="shared" si="4"/>
        <v/>
      </c>
      <c r="AC17" s="68" t="s">
        <v>1215</v>
      </c>
      <c r="AD17" s="68" t="s">
        <v>1215</v>
      </c>
      <c r="AE17" s="68" t="s">
        <v>1215</v>
      </c>
      <c r="AF17" s="68" t="s">
        <v>1215</v>
      </c>
      <c r="AG17" s="68" t="s">
        <v>1215</v>
      </c>
      <c r="AH17" s="68" t="s">
        <v>1215</v>
      </c>
      <c r="AI17" s="68" t="s">
        <v>1215</v>
      </c>
      <c r="AJ17" s="68" t="s">
        <v>1215</v>
      </c>
      <c r="AK17" s="68" t="s">
        <v>1215</v>
      </c>
      <c r="AL17" s="68"/>
      <c r="AM17" s="68" t="s">
        <v>1215</v>
      </c>
      <c r="AN17" s="84" t="str">
        <f t="shared" si="5"/>
        <v>Belum Dinilai</v>
      </c>
      <c r="AO17" s="84" t="str">
        <f t="shared" si="6"/>
        <v>Belum Dinilai</v>
      </c>
      <c r="AP17" s="68"/>
      <c r="AQ17" s="71" t="str">
        <f t="shared" si="7"/>
        <v/>
      </c>
      <c r="AR17" s="71" t="str">
        <f t="shared" si="8"/>
        <v/>
      </c>
      <c r="AS17" s="71" t="str">
        <f t="shared" si="9"/>
        <v/>
      </c>
      <c r="AT17" s="69" t="str">
        <f t="shared" si="10"/>
        <v>Belum Dapat Ditentukan</v>
      </c>
      <c r="AU17" s="66" t="s">
        <v>1203</v>
      </c>
      <c r="AV17" s="66" t="s">
        <v>1204</v>
      </c>
      <c r="AW17" s="66" t="s">
        <v>1190</v>
      </c>
      <c r="AX17" s="66"/>
      <c r="AY17" s="66"/>
      <c r="AZ17" s="66" t="s">
        <v>927</v>
      </c>
      <c r="BA17" s="66"/>
      <c r="BB17" s="178"/>
      <c r="BC17" s="72">
        <v>2026</v>
      </c>
      <c r="BD17" s="66"/>
      <c r="BE17" s="178"/>
      <c r="BF17" s="66" t="s">
        <v>1278</v>
      </c>
    </row>
    <row r="18" spans="1:58" ht="28">
      <c r="A18" s="66" t="s">
        <v>1347</v>
      </c>
      <c r="B18" s="66" t="s">
        <v>1348</v>
      </c>
      <c r="C18" s="66"/>
      <c r="D18" s="66"/>
      <c r="E18" s="66" t="s">
        <v>1349</v>
      </c>
      <c r="F18" s="66" t="s">
        <v>1350</v>
      </c>
      <c r="G18" s="66" t="s">
        <v>1351</v>
      </c>
      <c r="H18" s="66" t="s">
        <v>1195</v>
      </c>
      <c r="I18" s="66" t="s">
        <v>1352</v>
      </c>
      <c r="J18" s="66" t="s">
        <v>1263</v>
      </c>
      <c r="K18" s="66" t="s">
        <v>1277</v>
      </c>
      <c r="L18" s="66" t="s">
        <v>895</v>
      </c>
      <c r="M18" s="66" t="s">
        <v>1277</v>
      </c>
      <c r="N18" s="66" t="s">
        <v>1215</v>
      </c>
      <c r="O18" s="66" t="s">
        <v>1277</v>
      </c>
      <c r="P18" s="66" t="s">
        <v>1215</v>
      </c>
      <c r="Q18" s="86" t="s">
        <v>1215</v>
      </c>
      <c r="R18" s="86" t="s">
        <v>1215</v>
      </c>
      <c r="S18" s="86" t="s">
        <v>1215</v>
      </c>
      <c r="T18" s="86" t="s">
        <v>1215</v>
      </c>
      <c r="U18" s="86" t="s">
        <v>1215</v>
      </c>
      <c r="V18" s="86" t="s">
        <v>1215</v>
      </c>
      <c r="W18" s="67"/>
      <c r="X18" s="84" t="str">
        <f t="shared" si="0"/>
        <v>Belum Dinilai</v>
      </c>
      <c r="Y18" s="84" t="str">
        <f t="shared" si="1"/>
        <v>Belum Dinilai</v>
      </c>
      <c r="Z18" s="85" t="str">
        <f t="shared" si="2"/>
        <v/>
      </c>
      <c r="AA18" s="85" t="str">
        <f t="shared" si="3"/>
        <v/>
      </c>
      <c r="AB18" s="85" t="str">
        <f t="shared" si="4"/>
        <v/>
      </c>
      <c r="AC18" s="68" t="s">
        <v>1215</v>
      </c>
      <c r="AD18" s="68" t="s">
        <v>1215</v>
      </c>
      <c r="AE18" s="68" t="s">
        <v>1215</v>
      </c>
      <c r="AF18" s="68" t="s">
        <v>1215</v>
      </c>
      <c r="AG18" s="68" t="s">
        <v>1215</v>
      </c>
      <c r="AH18" s="68" t="s">
        <v>1215</v>
      </c>
      <c r="AI18" s="68" t="s">
        <v>1215</v>
      </c>
      <c r="AJ18" s="68" t="s">
        <v>1215</v>
      </c>
      <c r="AK18" s="68" t="s">
        <v>1215</v>
      </c>
      <c r="AL18" s="68"/>
      <c r="AM18" s="68" t="s">
        <v>1215</v>
      </c>
      <c r="AN18" s="84" t="str">
        <f t="shared" si="5"/>
        <v>Belum Dinilai</v>
      </c>
      <c r="AO18" s="84" t="str">
        <f t="shared" si="6"/>
        <v>Belum Dinilai</v>
      </c>
      <c r="AP18" s="68"/>
      <c r="AQ18" s="71" t="str">
        <f t="shared" si="7"/>
        <v/>
      </c>
      <c r="AR18" s="71" t="str">
        <f t="shared" si="8"/>
        <v/>
      </c>
      <c r="AS18" s="71" t="str">
        <f t="shared" si="9"/>
        <v/>
      </c>
      <c r="AT18" s="69" t="str">
        <f t="shared" si="10"/>
        <v>Belum Dapat Ditentukan</v>
      </c>
      <c r="AU18" s="66" t="s">
        <v>1189</v>
      </c>
      <c r="AV18" s="66" t="s">
        <v>1204</v>
      </c>
      <c r="AW18" s="66" t="s">
        <v>1190</v>
      </c>
      <c r="AX18" s="66"/>
      <c r="AY18" s="66"/>
      <c r="AZ18" s="66" t="s">
        <v>927</v>
      </c>
      <c r="BA18" s="66"/>
      <c r="BB18" s="178"/>
      <c r="BC18" s="72">
        <v>2026</v>
      </c>
      <c r="BD18" s="66"/>
      <c r="BE18" s="178"/>
      <c r="BF18" s="66" t="s">
        <v>1278</v>
      </c>
    </row>
    <row r="19" spans="1:58" ht="28">
      <c r="A19" s="66" t="s">
        <v>1932</v>
      </c>
      <c r="B19" s="66" t="s">
        <v>1354</v>
      </c>
      <c r="C19" s="66"/>
      <c r="D19" s="66"/>
      <c r="E19" s="66" t="s">
        <v>1355</v>
      </c>
      <c r="F19" s="66" t="s">
        <v>1356</v>
      </c>
      <c r="G19" s="66" t="s">
        <v>1289</v>
      </c>
      <c r="H19" s="66" t="s">
        <v>1181</v>
      </c>
      <c r="I19" s="66" t="s">
        <v>1290</v>
      </c>
      <c r="J19" s="66" t="s">
        <v>1210</v>
      </c>
      <c r="K19" s="66" t="s">
        <v>1211</v>
      </c>
      <c r="L19" s="66" t="s">
        <v>891</v>
      </c>
      <c r="M19" s="66" t="s">
        <v>1266</v>
      </c>
      <c r="N19" s="66" t="s">
        <v>891</v>
      </c>
      <c r="O19" s="66" t="s">
        <v>1213</v>
      </c>
      <c r="P19" s="66" t="s">
        <v>891</v>
      </c>
      <c r="Q19" s="86" t="s">
        <v>1186</v>
      </c>
      <c r="R19" s="86" t="s">
        <v>1187</v>
      </c>
      <c r="S19" s="86" t="s">
        <v>1201</v>
      </c>
      <c r="T19" s="86" t="s">
        <v>1187</v>
      </c>
      <c r="U19" s="86" t="s">
        <v>1201</v>
      </c>
      <c r="V19" s="86" t="s">
        <v>1201</v>
      </c>
      <c r="W19" s="67"/>
      <c r="X19" s="84" t="str">
        <f t="shared" si="0"/>
        <v xml:space="preserve">Lansia; Kepala keluarga perempuan; </v>
      </c>
      <c r="Y19" s="84" t="str">
        <f t="shared" si="1"/>
        <v>2 atau Lebih Faktor Rentan</v>
      </c>
      <c r="Z19" s="85">
        <f t="shared" si="2"/>
        <v>10</v>
      </c>
      <c r="AA19" s="85">
        <f t="shared" si="3"/>
        <v>10</v>
      </c>
      <c r="AB19" s="85">
        <f t="shared" si="4"/>
        <v>20</v>
      </c>
      <c r="AC19" s="68" t="s">
        <v>1201</v>
      </c>
      <c r="AD19" s="68" t="s">
        <v>1201</v>
      </c>
      <c r="AE19" s="68" t="s">
        <v>1201</v>
      </c>
      <c r="AF19" s="68" t="s">
        <v>1201</v>
      </c>
      <c r="AG19" s="68" t="s">
        <v>1187</v>
      </c>
      <c r="AH19" s="68" t="s">
        <v>1187</v>
      </c>
      <c r="AI19" s="68" t="s">
        <v>1187</v>
      </c>
      <c r="AJ19" s="68" t="s">
        <v>1201</v>
      </c>
      <c r="AK19" s="68" t="s">
        <v>1201</v>
      </c>
      <c r="AL19" s="68"/>
      <c r="AM19" s="68" t="s">
        <v>1215</v>
      </c>
      <c r="AN19" s="84" t="str">
        <f t="shared" si="5"/>
        <v xml:space="preserve">Struktur rumah tidak stabil; Instalasi listrik berbahaya; Komponen bangunan lepas atau lapuk; </v>
      </c>
      <c r="AO19" s="84" t="str">
        <f t="shared" si="6"/>
        <v>Risiko Tinggi/Darurat</v>
      </c>
      <c r="AP19" s="68"/>
      <c r="AQ19" s="71">
        <f t="shared" si="7"/>
        <v>29</v>
      </c>
      <c r="AR19" s="71">
        <f t="shared" si="8"/>
        <v>10</v>
      </c>
      <c r="AS19" s="71">
        <f t="shared" si="9"/>
        <v>59</v>
      </c>
      <c r="AT19" s="69" t="str">
        <f t="shared" si="10"/>
        <v>Tinggi</v>
      </c>
      <c r="AU19" s="66" t="s">
        <v>1189</v>
      </c>
      <c r="AV19" s="66" t="s">
        <v>1204</v>
      </c>
      <c r="AW19" s="66" t="s">
        <v>1205</v>
      </c>
      <c r="AX19" s="66" t="s">
        <v>1283</v>
      </c>
      <c r="AY19" s="66">
        <v>2026</v>
      </c>
      <c r="AZ19" s="66" t="s">
        <v>1192</v>
      </c>
      <c r="BA19" s="66"/>
      <c r="BB19" s="178"/>
      <c r="BC19" s="72">
        <v>2026</v>
      </c>
      <c r="BD19" s="66" t="s">
        <v>1219</v>
      </c>
      <c r="BE19" s="178"/>
      <c r="BF19" s="66" t="s">
        <v>1278</v>
      </c>
    </row>
    <row r="20" spans="1:58" ht="28">
      <c r="A20" s="66" t="s">
        <v>1933</v>
      </c>
      <c r="B20" s="66" t="s">
        <v>1358</v>
      </c>
      <c r="C20" s="66"/>
      <c r="D20" s="66"/>
      <c r="E20" s="66" t="s">
        <v>1359</v>
      </c>
      <c r="F20" s="66" t="s">
        <v>1360</v>
      </c>
      <c r="G20" s="66" t="s">
        <v>1361</v>
      </c>
      <c r="H20" s="66" t="s">
        <v>1181</v>
      </c>
      <c r="I20" s="66" t="s">
        <v>1362</v>
      </c>
      <c r="J20" s="66" t="s">
        <v>1210</v>
      </c>
      <c r="K20" s="66" t="s">
        <v>1211</v>
      </c>
      <c r="L20" s="66" t="s">
        <v>1215</v>
      </c>
      <c r="M20" s="66" t="s">
        <v>1266</v>
      </c>
      <c r="N20" s="66" t="s">
        <v>1215</v>
      </c>
      <c r="O20" s="66" t="s">
        <v>1213</v>
      </c>
      <c r="P20" s="66" t="s">
        <v>1215</v>
      </c>
      <c r="Q20" s="86" t="s">
        <v>1215</v>
      </c>
      <c r="R20" s="86" t="s">
        <v>1215</v>
      </c>
      <c r="S20" s="86" t="s">
        <v>1215</v>
      </c>
      <c r="T20" s="86" t="s">
        <v>1215</v>
      </c>
      <c r="U20" s="86" t="s">
        <v>1215</v>
      </c>
      <c r="V20" s="86" t="s">
        <v>1215</v>
      </c>
      <c r="W20" s="67"/>
      <c r="X20" s="84" t="str">
        <f t="shared" si="0"/>
        <v>Belum Dinilai</v>
      </c>
      <c r="Y20" s="84" t="str">
        <f t="shared" si="1"/>
        <v>Belum Dinilai</v>
      </c>
      <c r="Z20" s="85" t="str">
        <f t="shared" si="2"/>
        <v/>
      </c>
      <c r="AA20" s="85" t="str">
        <f t="shared" si="3"/>
        <v/>
      </c>
      <c r="AB20" s="85" t="str">
        <f t="shared" si="4"/>
        <v/>
      </c>
      <c r="AC20" s="68" t="s">
        <v>1215</v>
      </c>
      <c r="AD20" s="68" t="s">
        <v>1215</v>
      </c>
      <c r="AE20" s="68" t="s">
        <v>1215</v>
      </c>
      <c r="AF20" s="68" t="s">
        <v>1215</v>
      </c>
      <c r="AG20" s="68" t="s">
        <v>1215</v>
      </c>
      <c r="AH20" s="68" t="s">
        <v>1215</v>
      </c>
      <c r="AI20" s="68" t="s">
        <v>1215</v>
      </c>
      <c r="AJ20" s="68" t="s">
        <v>1215</v>
      </c>
      <c r="AK20" s="68" t="s">
        <v>1215</v>
      </c>
      <c r="AL20" s="68"/>
      <c r="AM20" s="68" t="s">
        <v>1215</v>
      </c>
      <c r="AN20" s="84" t="str">
        <f t="shared" si="5"/>
        <v>Belum Dinilai</v>
      </c>
      <c r="AO20" s="84" t="str">
        <f t="shared" si="6"/>
        <v>Belum Dinilai</v>
      </c>
      <c r="AP20" s="68"/>
      <c r="AQ20" s="71" t="str">
        <f t="shared" si="7"/>
        <v/>
      </c>
      <c r="AR20" s="71" t="str">
        <f t="shared" si="8"/>
        <v/>
      </c>
      <c r="AS20" s="71" t="str">
        <f t="shared" si="9"/>
        <v/>
      </c>
      <c r="AT20" s="69" t="str">
        <f t="shared" si="10"/>
        <v>Belum Dapat Ditentukan</v>
      </c>
      <c r="AU20" s="66" t="s">
        <v>1203</v>
      </c>
      <c r="AV20" s="66" t="s">
        <v>1204</v>
      </c>
      <c r="AW20" s="66" t="s">
        <v>1898</v>
      </c>
      <c r="AX20" s="66" t="s">
        <v>1268</v>
      </c>
      <c r="AY20" s="66">
        <v>2024</v>
      </c>
      <c r="AZ20" s="66" t="s">
        <v>1192</v>
      </c>
      <c r="BA20" s="66"/>
      <c r="BB20" s="178"/>
      <c r="BC20" s="72">
        <v>2026</v>
      </c>
      <c r="BD20" s="66"/>
      <c r="BE20" s="178"/>
      <c r="BF20" s="66" t="s">
        <v>1278</v>
      </c>
    </row>
    <row r="21" spans="1:58" ht="28">
      <c r="A21" s="66" t="s">
        <v>1353</v>
      </c>
      <c r="B21" s="66" t="s">
        <v>1364</v>
      </c>
      <c r="C21" s="66"/>
      <c r="D21" s="66"/>
      <c r="E21" s="66" t="s">
        <v>1365</v>
      </c>
      <c r="F21" s="66" t="s">
        <v>1366</v>
      </c>
      <c r="G21" s="66" t="s">
        <v>1361</v>
      </c>
      <c r="H21" s="66" t="s">
        <v>1181</v>
      </c>
      <c r="I21" s="66" t="s">
        <v>1367</v>
      </c>
      <c r="J21" s="66" t="s">
        <v>1210</v>
      </c>
      <c r="K21" s="66" t="s">
        <v>1211</v>
      </c>
      <c r="L21" s="66" t="s">
        <v>1215</v>
      </c>
      <c r="M21" s="66" t="s">
        <v>1266</v>
      </c>
      <c r="N21" s="66" t="s">
        <v>1215</v>
      </c>
      <c r="O21" s="66" t="s">
        <v>1277</v>
      </c>
      <c r="P21" s="66" t="s">
        <v>1215</v>
      </c>
      <c r="Q21" s="86" t="s">
        <v>1215</v>
      </c>
      <c r="R21" s="86" t="s">
        <v>1215</v>
      </c>
      <c r="S21" s="86" t="s">
        <v>1215</v>
      </c>
      <c r="T21" s="86" t="s">
        <v>1215</v>
      </c>
      <c r="U21" s="86" t="s">
        <v>1215</v>
      </c>
      <c r="V21" s="86" t="s">
        <v>1215</v>
      </c>
      <c r="W21" s="67"/>
      <c r="X21" s="84" t="str">
        <f t="shared" si="0"/>
        <v>Belum Dinilai</v>
      </c>
      <c r="Y21" s="84" t="str">
        <f t="shared" si="1"/>
        <v>Belum Dinilai</v>
      </c>
      <c r="Z21" s="85" t="str">
        <f t="shared" si="2"/>
        <v/>
      </c>
      <c r="AA21" s="85" t="str">
        <f t="shared" si="3"/>
        <v/>
      </c>
      <c r="AB21" s="85" t="str">
        <f t="shared" si="4"/>
        <v/>
      </c>
      <c r="AC21" s="68" t="s">
        <v>1215</v>
      </c>
      <c r="AD21" s="68" t="s">
        <v>1215</v>
      </c>
      <c r="AE21" s="68" t="s">
        <v>1215</v>
      </c>
      <c r="AF21" s="68" t="s">
        <v>1215</v>
      </c>
      <c r="AG21" s="68" t="s">
        <v>1215</v>
      </c>
      <c r="AH21" s="68" t="s">
        <v>1215</v>
      </c>
      <c r="AI21" s="68" t="s">
        <v>1215</v>
      </c>
      <c r="AJ21" s="68" t="s">
        <v>1215</v>
      </c>
      <c r="AK21" s="68" t="s">
        <v>1215</v>
      </c>
      <c r="AL21" s="68"/>
      <c r="AM21" s="68" t="s">
        <v>1215</v>
      </c>
      <c r="AN21" s="84" t="str">
        <f t="shared" si="5"/>
        <v>Belum Dinilai</v>
      </c>
      <c r="AO21" s="84" t="str">
        <f t="shared" si="6"/>
        <v>Belum Dinilai</v>
      </c>
      <c r="AP21" s="68"/>
      <c r="AQ21" s="71" t="str">
        <f t="shared" si="7"/>
        <v/>
      </c>
      <c r="AR21" s="71" t="str">
        <f t="shared" si="8"/>
        <v/>
      </c>
      <c r="AS21" s="71" t="str">
        <f t="shared" si="9"/>
        <v/>
      </c>
      <c r="AT21" s="69" t="str">
        <f t="shared" si="10"/>
        <v>Belum Dapat Ditentukan</v>
      </c>
      <c r="AU21" s="66" t="s">
        <v>1189</v>
      </c>
      <c r="AV21" s="66" t="s">
        <v>1204</v>
      </c>
      <c r="AW21" s="66" t="s">
        <v>1190</v>
      </c>
      <c r="AX21" s="66"/>
      <c r="AY21" s="66"/>
      <c r="AZ21" s="66" t="s">
        <v>927</v>
      </c>
      <c r="BA21" s="66"/>
      <c r="BB21" s="178"/>
      <c r="BC21" s="72">
        <v>2026</v>
      </c>
      <c r="BD21" s="66"/>
      <c r="BE21" s="178"/>
      <c r="BF21" s="66" t="s">
        <v>1278</v>
      </c>
    </row>
    <row r="22" spans="1:58" ht="56">
      <c r="A22" s="66" t="s">
        <v>1934</v>
      </c>
      <c r="B22" s="66" t="s">
        <v>1369</v>
      </c>
      <c r="C22" s="66"/>
      <c r="D22" s="66"/>
      <c r="E22" s="66" t="s">
        <v>1391</v>
      </c>
      <c r="F22" s="66" t="s">
        <v>1319</v>
      </c>
      <c r="G22" s="66" t="s">
        <v>1289</v>
      </c>
      <c r="H22" s="66" t="s">
        <v>1181</v>
      </c>
      <c r="I22" s="66" t="s">
        <v>1370</v>
      </c>
      <c r="J22" s="66" t="s">
        <v>1210</v>
      </c>
      <c r="K22" s="66" t="s">
        <v>1293</v>
      </c>
      <c r="L22" s="66" t="s">
        <v>1215</v>
      </c>
      <c r="M22" s="66" t="s">
        <v>1266</v>
      </c>
      <c r="N22" s="66" t="s">
        <v>895</v>
      </c>
      <c r="O22" s="66" t="s">
        <v>1213</v>
      </c>
      <c r="P22" s="66" t="s">
        <v>895</v>
      </c>
      <c r="Q22" s="86" t="s">
        <v>1215</v>
      </c>
      <c r="R22" s="86" t="s">
        <v>1215</v>
      </c>
      <c r="S22" s="86" t="s">
        <v>1215</v>
      </c>
      <c r="T22" s="86" t="s">
        <v>1215</v>
      </c>
      <c r="U22" s="86" t="s">
        <v>1215</v>
      </c>
      <c r="V22" s="86" t="s">
        <v>1215</v>
      </c>
      <c r="W22" s="67"/>
      <c r="X22" s="84" t="str">
        <f t="shared" si="0"/>
        <v>Belum Dinilai</v>
      </c>
      <c r="Y22" s="84" t="str">
        <f t="shared" si="1"/>
        <v>Belum Dinilai</v>
      </c>
      <c r="Z22" s="85" t="str">
        <f t="shared" si="2"/>
        <v/>
      </c>
      <c r="AA22" s="85" t="str">
        <f t="shared" si="3"/>
        <v/>
      </c>
      <c r="AB22" s="85" t="str">
        <f t="shared" si="4"/>
        <v/>
      </c>
      <c r="AC22" s="68" t="s">
        <v>1215</v>
      </c>
      <c r="AD22" s="68" t="s">
        <v>1215</v>
      </c>
      <c r="AE22" s="68" t="s">
        <v>1215</v>
      </c>
      <c r="AF22" s="68" t="s">
        <v>1215</v>
      </c>
      <c r="AG22" s="68" t="s">
        <v>1215</v>
      </c>
      <c r="AH22" s="68" t="s">
        <v>1215</v>
      </c>
      <c r="AI22" s="68" t="s">
        <v>1215</v>
      </c>
      <c r="AJ22" s="68" t="s">
        <v>1215</v>
      </c>
      <c r="AK22" s="68" t="s">
        <v>1215</v>
      </c>
      <c r="AL22" s="68"/>
      <c r="AM22" s="68" t="s">
        <v>1215</v>
      </c>
      <c r="AN22" s="84" t="str">
        <f t="shared" si="5"/>
        <v>Belum Dinilai</v>
      </c>
      <c r="AO22" s="84" t="str">
        <f t="shared" si="6"/>
        <v>Belum Dinilai</v>
      </c>
      <c r="AP22" s="68"/>
      <c r="AQ22" s="71" t="str">
        <f t="shared" si="7"/>
        <v/>
      </c>
      <c r="AR22" s="71" t="str">
        <f t="shared" si="8"/>
        <v/>
      </c>
      <c r="AS22" s="71" t="str">
        <f t="shared" si="9"/>
        <v/>
      </c>
      <c r="AT22" s="69" t="str">
        <f t="shared" si="10"/>
        <v>Belum Dapat Ditentukan</v>
      </c>
      <c r="AU22" s="66" t="s">
        <v>1189</v>
      </c>
      <c r="AV22" s="66" t="s">
        <v>1204</v>
      </c>
      <c r="AW22" s="66" t="s">
        <v>1190</v>
      </c>
      <c r="AX22" s="66"/>
      <c r="AY22" s="66"/>
      <c r="AZ22" s="66" t="s">
        <v>927</v>
      </c>
      <c r="BA22" s="66"/>
      <c r="BB22" s="178"/>
      <c r="BC22" s="72">
        <v>2026</v>
      </c>
      <c r="BD22" s="66"/>
      <c r="BE22" s="178"/>
      <c r="BF22" s="66" t="s">
        <v>1278</v>
      </c>
    </row>
    <row r="23" spans="1:58" ht="28">
      <c r="A23" s="66" t="s">
        <v>1357</v>
      </c>
      <c r="B23" s="66" t="s">
        <v>1372</v>
      </c>
      <c r="C23" s="66"/>
      <c r="D23" s="66"/>
      <c r="E23" s="66" t="s">
        <v>1373</v>
      </c>
      <c r="F23" s="66" t="s">
        <v>1356</v>
      </c>
      <c r="G23" s="66" t="s">
        <v>1289</v>
      </c>
      <c r="H23" s="66" t="s">
        <v>1181</v>
      </c>
      <c r="I23" s="66" t="s">
        <v>1374</v>
      </c>
      <c r="J23" s="66" t="s">
        <v>1210</v>
      </c>
      <c r="K23" s="66" t="s">
        <v>1197</v>
      </c>
      <c r="L23" s="66" t="s">
        <v>905</v>
      </c>
      <c r="M23" s="66" t="s">
        <v>1266</v>
      </c>
      <c r="N23" s="66" t="s">
        <v>905</v>
      </c>
      <c r="O23" s="66" t="s">
        <v>1213</v>
      </c>
      <c r="P23" s="66" t="s">
        <v>905</v>
      </c>
      <c r="Q23" s="86" t="s">
        <v>1215</v>
      </c>
      <c r="R23" s="86" t="s">
        <v>1215</v>
      </c>
      <c r="S23" s="86" t="s">
        <v>1215</v>
      </c>
      <c r="T23" s="86" t="s">
        <v>1215</v>
      </c>
      <c r="U23" s="86" t="s">
        <v>1215</v>
      </c>
      <c r="V23" s="86" t="s">
        <v>1215</v>
      </c>
      <c r="W23" s="67"/>
      <c r="X23" s="84" t="str">
        <f t="shared" si="0"/>
        <v>Belum Dinilai</v>
      </c>
      <c r="Y23" s="84" t="str">
        <f t="shared" si="1"/>
        <v>Belum Dinilai</v>
      </c>
      <c r="Z23" s="85" t="str">
        <f t="shared" si="2"/>
        <v/>
      </c>
      <c r="AA23" s="85" t="str">
        <f t="shared" si="3"/>
        <v/>
      </c>
      <c r="AB23" s="85" t="str">
        <f t="shared" si="4"/>
        <v/>
      </c>
      <c r="AC23" s="68" t="s">
        <v>1215</v>
      </c>
      <c r="AD23" s="68" t="s">
        <v>1215</v>
      </c>
      <c r="AE23" s="68" t="s">
        <v>1215</v>
      </c>
      <c r="AF23" s="68" t="s">
        <v>1215</v>
      </c>
      <c r="AG23" s="68" t="s">
        <v>1215</v>
      </c>
      <c r="AH23" s="68" t="s">
        <v>1215</v>
      </c>
      <c r="AI23" s="68" t="s">
        <v>1215</v>
      </c>
      <c r="AJ23" s="68" t="s">
        <v>1215</v>
      </c>
      <c r="AK23" s="68" t="s">
        <v>1215</v>
      </c>
      <c r="AL23" s="68"/>
      <c r="AM23" s="68" t="s">
        <v>1215</v>
      </c>
      <c r="AN23" s="84" t="str">
        <f t="shared" si="5"/>
        <v>Belum Dinilai</v>
      </c>
      <c r="AO23" s="84" t="str">
        <f t="shared" si="6"/>
        <v>Belum Dinilai</v>
      </c>
      <c r="AP23" s="68"/>
      <c r="AQ23" s="71">
        <f t="shared" si="7"/>
        <v>43</v>
      </c>
      <c r="AR23" s="71" t="str">
        <f t="shared" si="8"/>
        <v/>
      </c>
      <c r="AS23" s="71" t="str">
        <f t="shared" si="9"/>
        <v/>
      </c>
      <c r="AT23" s="69" t="str">
        <f t="shared" si="10"/>
        <v>Belum Dapat Ditentukan</v>
      </c>
      <c r="AU23" s="66" t="s">
        <v>1189</v>
      </c>
      <c r="AV23" s="66" t="s">
        <v>1204</v>
      </c>
      <c r="AW23" s="66" t="s">
        <v>1190</v>
      </c>
      <c r="AX23" s="66"/>
      <c r="AY23" s="66"/>
      <c r="AZ23" s="66" t="s">
        <v>927</v>
      </c>
      <c r="BA23" s="66"/>
      <c r="BB23" s="178"/>
      <c r="BC23" s="72">
        <v>2026</v>
      </c>
      <c r="BD23" s="66"/>
      <c r="BE23" s="178"/>
      <c r="BF23" s="66" t="s">
        <v>1278</v>
      </c>
    </row>
    <row r="24" spans="1:58" ht="42">
      <c r="A24" s="66" t="s">
        <v>1363</v>
      </c>
      <c r="B24" s="66" t="s">
        <v>1376</v>
      </c>
      <c r="C24" s="66"/>
      <c r="D24" s="66"/>
      <c r="E24" s="66" t="s">
        <v>1377</v>
      </c>
      <c r="F24" s="66" t="s">
        <v>1378</v>
      </c>
      <c r="G24" s="66" t="s">
        <v>1289</v>
      </c>
      <c r="H24" s="66" t="s">
        <v>1195</v>
      </c>
      <c r="I24" s="66" t="s">
        <v>1379</v>
      </c>
      <c r="J24" s="66" t="s">
        <v>1196</v>
      </c>
      <c r="K24" s="66" t="s">
        <v>1197</v>
      </c>
      <c r="L24" s="66" t="s">
        <v>1215</v>
      </c>
      <c r="M24" s="66" t="s">
        <v>1266</v>
      </c>
      <c r="N24" s="66" t="s">
        <v>1215</v>
      </c>
      <c r="O24" s="66" t="s">
        <v>1277</v>
      </c>
      <c r="P24" s="66" t="s">
        <v>1215</v>
      </c>
      <c r="Q24" s="86" t="s">
        <v>1215</v>
      </c>
      <c r="R24" s="86" t="s">
        <v>1215</v>
      </c>
      <c r="S24" s="86" t="s">
        <v>1215</v>
      </c>
      <c r="T24" s="86" t="s">
        <v>1215</v>
      </c>
      <c r="U24" s="86" t="s">
        <v>1215</v>
      </c>
      <c r="V24" s="86" t="s">
        <v>1215</v>
      </c>
      <c r="W24" s="67"/>
      <c r="X24" s="84" t="str">
        <f t="shared" si="0"/>
        <v>Belum Dinilai</v>
      </c>
      <c r="Y24" s="84" t="str">
        <f t="shared" si="1"/>
        <v>Belum Dinilai</v>
      </c>
      <c r="Z24" s="85" t="str">
        <f t="shared" si="2"/>
        <v/>
      </c>
      <c r="AA24" s="85" t="str">
        <f t="shared" si="3"/>
        <v/>
      </c>
      <c r="AB24" s="85" t="str">
        <f t="shared" si="4"/>
        <v/>
      </c>
      <c r="AC24" s="68" t="s">
        <v>1215</v>
      </c>
      <c r="AD24" s="68" t="s">
        <v>1215</v>
      </c>
      <c r="AE24" s="68" t="s">
        <v>1215</v>
      </c>
      <c r="AF24" s="68" t="s">
        <v>1215</v>
      </c>
      <c r="AG24" s="68" t="s">
        <v>1215</v>
      </c>
      <c r="AH24" s="68" t="s">
        <v>1215</v>
      </c>
      <c r="AI24" s="68" t="s">
        <v>1215</v>
      </c>
      <c r="AJ24" s="68" t="s">
        <v>1215</v>
      </c>
      <c r="AK24" s="68" t="s">
        <v>1215</v>
      </c>
      <c r="AL24" s="68"/>
      <c r="AM24" s="68" t="s">
        <v>1215</v>
      </c>
      <c r="AN24" s="84" t="str">
        <f t="shared" si="5"/>
        <v>Belum Dinilai</v>
      </c>
      <c r="AO24" s="84" t="str">
        <f t="shared" si="6"/>
        <v>Belum Dinilai</v>
      </c>
      <c r="AP24" s="68"/>
      <c r="AQ24" s="71" t="str">
        <f t="shared" si="7"/>
        <v/>
      </c>
      <c r="AR24" s="71" t="str">
        <f t="shared" si="8"/>
        <v/>
      </c>
      <c r="AS24" s="71" t="str">
        <f t="shared" si="9"/>
        <v/>
      </c>
      <c r="AT24" s="69" t="str">
        <f t="shared" si="10"/>
        <v>Belum Dapat Ditentukan</v>
      </c>
      <c r="AU24" s="66" t="s">
        <v>1203</v>
      </c>
      <c r="AV24" s="66" t="s">
        <v>1204</v>
      </c>
      <c r="AW24" s="66" t="s">
        <v>1190</v>
      </c>
      <c r="AX24" s="66"/>
      <c r="AY24" s="66"/>
      <c r="AZ24" s="66" t="s">
        <v>927</v>
      </c>
      <c r="BA24" s="66"/>
      <c r="BB24" s="178"/>
      <c r="BC24" s="72">
        <v>2026</v>
      </c>
      <c r="BD24" s="66"/>
      <c r="BE24" s="178"/>
      <c r="BF24" s="66" t="s">
        <v>1278</v>
      </c>
    </row>
    <row r="25" spans="1:58" ht="28">
      <c r="A25" s="66" t="s">
        <v>1368</v>
      </c>
      <c r="B25" s="66" t="s">
        <v>1381</v>
      </c>
      <c r="C25" s="66"/>
      <c r="D25" s="66"/>
      <c r="E25" s="66" t="s">
        <v>1382</v>
      </c>
      <c r="F25" s="66" t="s">
        <v>1383</v>
      </c>
      <c r="G25" s="66" t="s">
        <v>1275</v>
      </c>
      <c r="H25" s="66" t="s">
        <v>1195</v>
      </c>
      <c r="I25" s="66" t="s">
        <v>1384</v>
      </c>
      <c r="J25" s="66" t="s">
        <v>1182</v>
      </c>
      <c r="K25" s="66" t="s">
        <v>1277</v>
      </c>
      <c r="L25" s="66" t="s">
        <v>891</v>
      </c>
      <c r="M25" s="66" t="s">
        <v>1265</v>
      </c>
      <c r="N25" s="66" t="s">
        <v>1215</v>
      </c>
      <c r="O25" s="66" t="s">
        <v>1277</v>
      </c>
      <c r="P25" s="66" t="s">
        <v>1215</v>
      </c>
      <c r="Q25" s="86" t="s">
        <v>1215</v>
      </c>
      <c r="R25" s="86" t="s">
        <v>1215</v>
      </c>
      <c r="S25" s="86" t="s">
        <v>1215</v>
      </c>
      <c r="T25" s="86" t="s">
        <v>1215</v>
      </c>
      <c r="U25" s="86" t="s">
        <v>1215</v>
      </c>
      <c r="V25" s="86" t="s">
        <v>1215</v>
      </c>
      <c r="W25" s="67"/>
      <c r="X25" s="84" t="str">
        <f t="shared" si="0"/>
        <v>Belum Dinilai</v>
      </c>
      <c r="Y25" s="84" t="str">
        <f t="shared" si="1"/>
        <v>Belum Dinilai</v>
      </c>
      <c r="Z25" s="85" t="str">
        <f t="shared" si="2"/>
        <v/>
      </c>
      <c r="AA25" s="85" t="str">
        <f t="shared" si="3"/>
        <v/>
      </c>
      <c r="AB25" s="85" t="str">
        <f t="shared" si="4"/>
        <v/>
      </c>
      <c r="AC25" s="68" t="s">
        <v>1215</v>
      </c>
      <c r="AD25" s="68" t="s">
        <v>1215</v>
      </c>
      <c r="AE25" s="68" t="s">
        <v>1215</v>
      </c>
      <c r="AF25" s="68" t="s">
        <v>1215</v>
      </c>
      <c r="AG25" s="68" t="s">
        <v>1215</v>
      </c>
      <c r="AH25" s="68" t="s">
        <v>1215</v>
      </c>
      <c r="AI25" s="68" t="s">
        <v>1215</v>
      </c>
      <c r="AJ25" s="68" t="s">
        <v>1215</v>
      </c>
      <c r="AK25" s="68" t="s">
        <v>1215</v>
      </c>
      <c r="AL25" s="68"/>
      <c r="AM25" s="68" t="s">
        <v>1215</v>
      </c>
      <c r="AN25" s="84" t="str">
        <f t="shared" si="5"/>
        <v>Belum Dinilai</v>
      </c>
      <c r="AO25" s="84" t="str">
        <f t="shared" si="6"/>
        <v>Belum Dinilai</v>
      </c>
      <c r="AP25" s="68"/>
      <c r="AQ25" s="71" t="str">
        <f t="shared" si="7"/>
        <v/>
      </c>
      <c r="AR25" s="71" t="str">
        <f t="shared" si="8"/>
        <v/>
      </c>
      <c r="AS25" s="71" t="str">
        <f t="shared" si="9"/>
        <v/>
      </c>
      <c r="AT25" s="69" t="str">
        <f t="shared" si="10"/>
        <v>Belum Dapat Ditentukan</v>
      </c>
      <c r="AU25" s="66" t="s">
        <v>1203</v>
      </c>
      <c r="AV25" s="66" t="s">
        <v>1204</v>
      </c>
      <c r="AW25" s="66" t="s">
        <v>1190</v>
      </c>
      <c r="AX25" s="66"/>
      <c r="AY25" s="66"/>
      <c r="AZ25" s="66" t="s">
        <v>927</v>
      </c>
      <c r="BA25" s="66"/>
      <c r="BB25" s="178"/>
      <c r="BC25" s="72">
        <v>2026</v>
      </c>
      <c r="BD25" s="66"/>
      <c r="BE25" s="178"/>
      <c r="BF25" s="66" t="s">
        <v>1278</v>
      </c>
    </row>
    <row r="26" spans="1:58" ht="28">
      <c r="A26" s="66" t="s">
        <v>1935</v>
      </c>
      <c r="B26" s="66" t="s">
        <v>1386</v>
      </c>
      <c r="C26" s="66"/>
      <c r="D26" s="66"/>
      <c r="E26" s="66" t="s">
        <v>1387</v>
      </c>
      <c r="F26" s="66" t="s">
        <v>1388</v>
      </c>
      <c r="G26" s="66" t="s">
        <v>1289</v>
      </c>
      <c r="H26" s="66" t="s">
        <v>1195</v>
      </c>
      <c r="I26" s="66" t="s">
        <v>1389</v>
      </c>
      <c r="J26" s="66" t="s">
        <v>1182</v>
      </c>
      <c r="K26" s="66" t="s">
        <v>1277</v>
      </c>
      <c r="L26" s="66" t="s">
        <v>1215</v>
      </c>
      <c r="M26" s="66" t="s">
        <v>1212</v>
      </c>
      <c r="N26" s="66" t="s">
        <v>1215</v>
      </c>
      <c r="O26" s="66" t="s">
        <v>1277</v>
      </c>
      <c r="P26" s="66" t="s">
        <v>1215</v>
      </c>
      <c r="Q26" s="86" t="s">
        <v>1215</v>
      </c>
      <c r="R26" s="86" t="s">
        <v>1215</v>
      </c>
      <c r="S26" s="86" t="s">
        <v>1215</v>
      </c>
      <c r="T26" s="86" t="s">
        <v>1215</v>
      </c>
      <c r="U26" s="86" t="s">
        <v>1215</v>
      </c>
      <c r="V26" s="86" t="s">
        <v>1215</v>
      </c>
      <c r="W26" s="67"/>
      <c r="X26" s="84" t="str">
        <f t="shared" si="0"/>
        <v>Belum Dinilai</v>
      </c>
      <c r="Y26" s="84" t="str">
        <f t="shared" si="1"/>
        <v>Belum Dinilai</v>
      </c>
      <c r="Z26" s="85" t="str">
        <f t="shared" si="2"/>
        <v/>
      </c>
      <c r="AA26" s="85" t="str">
        <f t="shared" si="3"/>
        <v/>
      </c>
      <c r="AB26" s="85" t="str">
        <f t="shared" si="4"/>
        <v/>
      </c>
      <c r="AC26" s="68" t="s">
        <v>1215</v>
      </c>
      <c r="AD26" s="68" t="s">
        <v>1215</v>
      </c>
      <c r="AE26" s="68" t="s">
        <v>1215</v>
      </c>
      <c r="AF26" s="68" t="s">
        <v>1215</v>
      </c>
      <c r="AG26" s="68" t="s">
        <v>1215</v>
      </c>
      <c r="AH26" s="68" t="s">
        <v>1215</v>
      </c>
      <c r="AI26" s="68" t="s">
        <v>1215</v>
      </c>
      <c r="AJ26" s="68" t="s">
        <v>1215</v>
      </c>
      <c r="AK26" s="68" t="s">
        <v>1215</v>
      </c>
      <c r="AL26" s="68"/>
      <c r="AM26" s="68" t="s">
        <v>1215</v>
      </c>
      <c r="AN26" s="84" t="str">
        <f t="shared" si="5"/>
        <v>Belum Dinilai</v>
      </c>
      <c r="AO26" s="84" t="str">
        <f t="shared" si="6"/>
        <v>Belum Dinilai</v>
      </c>
      <c r="AP26" s="68"/>
      <c r="AQ26" s="71" t="str">
        <f t="shared" si="7"/>
        <v/>
      </c>
      <c r="AR26" s="71" t="str">
        <f t="shared" si="8"/>
        <v/>
      </c>
      <c r="AS26" s="71" t="str">
        <f t="shared" si="9"/>
        <v/>
      </c>
      <c r="AT26" s="69" t="str">
        <f t="shared" si="10"/>
        <v>Belum Dapat Ditentukan</v>
      </c>
      <c r="AU26" s="66" t="s">
        <v>1189</v>
      </c>
      <c r="AV26" s="66" t="s">
        <v>1204</v>
      </c>
      <c r="AW26" s="66" t="s">
        <v>1190</v>
      </c>
      <c r="AX26" s="66"/>
      <c r="AY26" s="66"/>
      <c r="AZ26" s="66" t="s">
        <v>927</v>
      </c>
      <c r="BA26" s="66"/>
      <c r="BB26" s="178"/>
      <c r="BC26" s="72">
        <v>2026</v>
      </c>
      <c r="BD26" s="66"/>
      <c r="BE26" s="178"/>
      <c r="BF26" s="66" t="s">
        <v>1278</v>
      </c>
    </row>
    <row r="27" spans="1:58" ht="42">
      <c r="A27" s="66" t="s">
        <v>1371</v>
      </c>
      <c r="B27" s="66" t="s">
        <v>1393</v>
      </c>
      <c r="C27" s="66"/>
      <c r="D27" s="66"/>
      <c r="E27" s="66" t="s">
        <v>1394</v>
      </c>
      <c r="F27" s="66" t="s">
        <v>1395</v>
      </c>
      <c r="G27" s="66" t="s">
        <v>1361</v>
      </c>
      <c r="H27" s="66" t="s">
        <v>1181</v>
      </c>
      <c r="I27" s="66" t="s">
        <v>1396</v>
      </c>
      <c r="J27" s="66" t="s">
        <v>1210</v>
      </c>
      <c r="K27" s="66" t="s">
        <v>1197</v>
      </c>
      <c r="L27" s="66" t="s">
        <v>905</v>
      </c>
      <c r="M27" s="66" t="s">
        <v>1266</v>
      </c>
      <c r="N27" s="66" t="s">
        <v>905</v>
      </c>
      <c r="O27" s="66" t="s">
        <v>1213</v>
      </c>
      <c r="P27" s="66" t="s">
        <v>905</v>
      </c>
      <c r="Q27" s="86" t="s">
        <v>1215</v>
      </c>
      <c r="R27" s="86" t="s">
        <v>1215</v>
      </c>
      <c r="S27" s="86" t="s">
        <v>1215</v>
      </c>
      <c r="T27" s="86" t="s">
        <v>1215</v>
      </c>
      <c r="U27" s="86" t="s">
        <v>1215</v>
      </c>
      <c r="V27" s="86" t="s">
        <v>1215</v>
      </c>
      <c r="W27" s="67"/>
      <c r="X27" s="84" t="str">
        <f t="shared" si="0"/>
        <v>Belum Dinilai</v>
      </c>
      <c r="Y27" s="84" t="str">
        <f t="shared" si="1"/>
        <v>Belum Dinilai</v>
      </c>
      <c r="Z27" s="85" t="str">
        <f t="shared" si="2"/>
        <v/>
      </c>
      <c r="AA27" s="85" t="str">
        <f t="shared" si="3"/>
        <v/>
      </c>
      <c r="AB27" s="85" t="str">
        <f t="shared" si="4"/>
        <v/>
      </c>
      <c r="AC27" s="68" t="s">
        <v>1215</v>
      </c>
      <c r="AD27" s="68" t="s">
        <v>1215</v>
      </c>
      <c r="AE27" s="68" t="s">
        <v>1215</v>
      </c>
      <c r="AF27" s="68" t="s">
        <v>1215</v>
      </c>
      <c r="AG27" s="68" t="s">
        <v>1215</v>
      </c>
      <c r="AH27" s="68" t="s">
        <v>1215</v>
      </c>
      <c r="AI27" s="68" t="s">
        <v>1215</v>
      </c>
      <c r="AJ27" s="68" t="s">
        <v>1215</v>
      </c>
      <c r="AK27" s="68" t="s">
        <v>1215</v>
      </c>
      <c r="AL27" s="68"/>
      <c r="AM27" s="68" t="s">
        <v>1215</v>
      </c>
      <c r="AN27" s="84" t="str">
        <f t="shared" si="5"/>
        <v>Belum Dinilai</v>
      </c>
      <c r="AO27" s="84" t="str">
        <f t="shared" si="6"/>
        <v>Belum Dinilai</v>
      </c>
      <c r="AP27" s="68"/>
      <c r="AQ27" s="71">
        <f t="shared" si="7"/>
        <v>43</v>
      </c>
      <c r="AR27" s="71" t="str">
        <f t="shared" si="8"/>
        <v/>
      </c>
      <c r="AS27" s="71" t="str">
        <f t="shared" si="9"/>
        <v/>
      </c>
      <c r="AT27" s="69" t="str">
        <f t="shared" si="10"/>
        <v>Belum Dapat Ditentukan</v>
      </c>
      <c r="AU27" s="66" t="s">
        <v>1189</v>
      </c>
      <c r="AV27" s="66" t="s">
        <v>1204</v>
      </c>
      <c r="AW27" s="66" t="s">
        <v>1190</v>
      </c>
      <c r="AX27" s="66"/>
      <c r="AY27" s="66"/>
      <c r="AZ27" s="66" t="s">
        <v>927</v>
      </c>
      <c r="BA27" s="66"/>
      <c r="BB27" s="178"/>
      <c r="BC27" s="72">
        <v>2026</v>
      </c>
      <c r="BD27" s="66"/>
      <c r="BE27" s="178"/>
      <c r="BF27" s="66" t="s">
        <v>1278</v>
      </c>
    </row>
    <row r="28" spans="1:58" ht="28">
      <c r="A28" s="66" t="s">
        <v>1375</v>
      </c>
      <c r="B28" s="66" t="s">
        <v>1398</v>
      </c>
      <c r="C28" s="66"/>
      <c r="D28" s="66"/>
      <c r="E28" s="66" t="s">
        <v>1399</v>
      </c>
      <c r="F28" s="66" t="s">
        <v>1400</v>
      </c>
      <c r="G28" s="66" t="s">
        <v>1361</v>
      </c>
      <c r="H28" s="66" t="s">
        <v>1195</v>
      </c>
      <c r="I28" s="66" t="s">
        <v>1401</v>
      </c>
      <c r="J28" s="66" t="s">
        <v>1182</v>
      </c>
      <c r="K28" s="66" t="s">
        <v>1277</v>
      </c>
      <c r="L28" s="66" t="s">
        <v>891</v>
      </c>
      <c r="M28" s="66" t="s">
        <v>1265</v>
      </c>
      <c r="N28" s="66" t="s">
        <v>1215</v>
      </c>
      <c r="O28" s="66" t="s">
        <v>1277</v>
      </c>
      <c r="P28" s="66" t="s">
        <v>1215</v>
      </c>
      <c r="Q28" s="86" t="s">
        <v>1215</v>
      </c>
      <c r="R28" s="86" t="s">
        <v>1215</v>
      </c>
      <c r="S28" s="86" t="s">
        <v>1215</v>
      </c>
      <c r="T28" s="86" t="s">
        <v>1215</v>
      </c>
      <c r="U28" s="86" t="s">
        <v>1215</v>
      </c>
      <c r="V28" s="86" t="s">
        <v>1215</v>
      </c>
      <c r="W28" s="67"/>
      <c r="X28" s="84" t="str">
        <f t="shared" si="0"/>
        <v>Belum Dinilai</v>
      </c>
      <c r="Y28" s="84" t="str">
        <f t="shared" si="1"/>
        <v>Belum Dinilai</v>
      </c>
      <c r="Z28" s="85" t="str">
        <f t="shared" si="2"/>
        <v/>
      </c>
      <c r="AA28" s="85" t="str">
        <f t="shared" si="3"/>
        <v/>
      </c>
      <c r="AB28" s="85" t="str">
        <f t="shared" si="4"/>
        <v/>
      </c>
      <c r="AC28" s="68" t="s">
        <v>1215</v>
      </c>
      <c r="AD28" s="68" t="s">
        <v>1215</v>
      </c>
      <c r="AE28" s="68" t="s">
        <v>1215</v>
      </c>
      <c r="AF28" s="68" t="s">
        <v>1215</v>
      </c>
      <c r="AG28" s="68" t="s">
        <v>1215</v>
      </c>
      <c r="AH28" s="68" t="s">
        <v>1215</v>
      </c>
      <c r="AI28" s="68" t="s">
        <v>1215</v>
      </c>
      <c r="AJ28" s="68" t="s">
        <v>1215</v>
      </c>
      <c r="AK28" s="68" t="s">
        <v>1215</v>
      </c>
      <c r="AL28" s="68"/>
      <c r="AM28" s="68" t="s">
        <v>1215</v>
      </c>
      <c r="AN28" s="84" t="str">
        <f t="shared" si="5"/>
        <v>Belum Dinilai</v>
      </c>
      <c r="AO28" s="84" t="str">
        <f t="shared" si="6"/>
        <v>Belum Dinilai</v>
      </c>
      <c r="AP28" s="68"/>
      <c r="AQ28" s="71" t="str">
        <f t="shared" si="7"/>
        <v/>
      </c>
      <c r="AR28" s="71" t="str">
        <f t="shared" si="8"/>
        <v/>
      </c>
      <c r="AS28" s="71" t="str">
        <f t="shared" si="9"/>
        <v/>
      </c>
      <c r="AT28" s="69" t="str">
        <f t="shared" si="10"/>
        <v>Belum Dapat Ditentukan</v>
      </c>
      <c r="AU28" s="66" t="s">
        <v>1189</v>
      </c>
      <c r="AV28" s="66" t="s">
        <v>1204</v>
      </c>
      <c r="AW28" s="66" t="s">
        <v>1190</v>
      </c>
      <c r="AX28" s="66"/>
      <c r="AY28" s="66"/>
      <c r="AZ28" s="66" t="s">
        <v>927</v>
      </c>
      <c r="BA28" s="66"/>
      <c r="BB28" s="178"/>
      <c r="BC28" s="72">
        <v>2026</v>
      </c>
      <c r="BD28" s="66"/>
      <c r="BE28" s="178"/>
      <c r="BF28" s="66" t="s">
        <v>1278</v>
      </c>
    </row>
    <row r="29" spans="1:58" ht="42">
      <c r="A29" s="66" t="s">
        <v>1380</v>
      </c>
      <c r="B29" s="66" t="s">
        <v>1403</v>
      </c>
      <c r="C29" s="66"/>
      <c r="D29" s="66"/>
      <c r="E29" s="66" t="s">
        <v>1404</v>
      </c>
      <c r="F29" s="66" t="s">
        <v>1405</v>
      </c>
      <c r="G29" s="66" t="s">
        <v>1361</v>
      </c>
      <c r="H29" s="66" t="s">
        <v>1181</v>
      </c>
      <c r="I29" s="66" t="s">
        <v>1396</v>
      </c>
      <c r="J29" s="66" t="s">
        <v>1210</v>
      </c>
      <c r="K29" s="66" t="s">
        <v>1197</v>
      </c>
      <c r="L29" s="66" t="s">
        <v>905</v>
      </c>
      <c r="M29" s="66" t="s">
        <v>1266</v>
      </c>
      <c r="N29" s="66" t="s">
        <v>905</v>
      </c>
      <c r="O29" s="66" t="s">
        <v>1213</v>
      </c>
      <c r="P29" s="66" t="s">
        <v>905</v>
      </c>
      <c r="Q29" s="86" t="s">
        <v>1215</v>
      </c>
      <c r="R29" s="86" t="s">
        <v>1215</v>
      </c>
      <c r="S29" s="86" t="s">
        <v>1215</v>
      </c>
      <c r="T29" s="86" t="s">
        <v>1215</v>
      </c>
      <c r="U29" s="86" t="s">
        <v>1215</v>
      </c>
      <c r="V29" s="86" t="s">
        <v>1215</v>
      </c>
      <c r="W29" s="67"/>
      <c r="X29" s="84" t="str">
        <f t="shared" si="0"/>
        <v>Belum Dinilai</v>
      </c>
      <c r="Y29" s="84" t="str">
        <f t="shared" si="1"/>
        <v>Belum Dinilai</v>
      </c>
      <c r="Z29" s="85" t="str">
        <f t="shared" si="2"/>
        <v/>
      </c>
      <c r="AA29" s="85" t="str">
        <f t="shared" si="3"/>
        <v/>
      </c>
      <c r="AB29" s="85" t="str">
        <f t="shared" si="4"/>
        <v/>
      </c>
      <c r="AC29" s="68" t="s">
        <v>1215</v>
      </c>
      <c r="AD29" s="68" t="s">
        <v>1215</v>
      </c>
      <c r="AE29" s="68" t="s">
        <v>1215</v>
      </c>
      <c r="AF29" s="68" t="s">
        <v>1215</v>
      </c>
      <c r="AG29" s="68" t="s">
        <v>1215</v>
      </c>
      <c r="AH29" s="68" t="s">
        <v>1215</v>
      </c>
      <c r="AI29" s="68" t="s">
        <v>1215</v>
      </c>
      <c r="AJ29" s="68" t="s">
        <v>1215</v>
      </c>
      <c r="AK29" s="68" t="s">
        <v>1215</v>
      </c>
      <c r="AL29" s="68"/>
      <c r="AM29" s="68" t="s">
        <v>1215</v>
      </c>
      <c r="AN29" s="84" t="str">
        <f t="shared" si="5"/>
        <v>Belum Dinilai</v>
      </c>
      <c r="AO29" s="84" t="str">
        <f t="shared" si="6"/>
        <v>Belum Dinilai</v>
      </c>
      <c r="AP29" s="68"/>
      <c r="AQ29" s="71">
        <f t="shared" si="7"/>
        <v>43</v>
      </c>
      <c r="AR29" s="71" t="str">
        <f t="shared" si="8"/>
        <v/>
      </c>
      <c r="AS29" s="71" t="str">
        <f t="shared" si="9"/>
        <v/>
      </c>
      <c r="AT29" s="69" t="str">
        <f t="shared" si="10"/>
        <v>Belum Dapat Ditentukan</v>
      </c>
      <c r="AU29" s="66" t="s">
        <v>1189</v>
      </c>
      <c r="AV29" s="66" t="s">
        <v>1204</v>
      </c>
      <c r="AW29" s="66" t="s">
        <v>1190</v>
      </c>
      <c r="AX29" s="66"/>
      <c r="AY29" s="66"/>
      <c r="AZ29" s="66" t="s">
        <v>927</v>
      </c>
      <c r="BA29" s="66"/>
      <c r="BB29" s="178"/>
      <c r="BC29" s="72">
        <v>2026</v>
      </c>
      <c r="BD29" s="66"/>
      <c r="BE29" s="178"/>
      <c r="BF29" s="66" t="s">
        <v>1278</v>
      </c>
    </row>
    <row r="30" spans="1:58" ht="42">
      <c r="A30" s="66" t="s">
        <v>1385</v>
      </c>
      <c r="B30" s="66" t="s">
        <v>1407</v>
      </c>
      <c r="C30" s="66"/>
      <c r="D30" s="66"/>
      <c r="E30" s="66" t="s">
        <v>1408</v>
      </c>
      <c r="F30" s="66" t="s">
        <v>1405</v>
      </c>
      <c r="G30" s="66" t="s">
        <v>1361</v>
      </c>
      <c r="H30" s="66" t="s">
        <v>1181</v>
      </c>
      <c r="I30" s="66" t="s">
        <v>1409</v>
      </c>
      <c r="J30" s="66" t="s">
        <v>1196</v>
      </c>
      <c r="K30" s="66" t="s">
        <v>1211</v>
      </c>
      <c r="L30" s="66" t="s">
        <v>891</v>
      </c>
      <c r="M30" s="66" t="s">
        <v>1266</v>
      </c>
      <c r="N30" s="66" t="s">
        <v>891</v>
      </c>
      <c r="O30" s="66" t="s">
        <v>1213</v>
      </c>
      <c r="P30" s="66" t="s">
        <v>891</v>
      </c>
      <c r="Q30" s="86" t="s">
        <v>1215</v>
      </c>
      <c r="R30" s="86" t="s">
        <v>1215</v>
      </c>
      <c r="S30" s="86" t="s">
        <v>1215</v>
      </c>
      <c r="T30" s="86" t="s">
        <v>1215</v>
      </c>
      <c r="U30" s="86" t="s">
        <v>1215</v>
      </c>
      <c r="V30" s="86" t="s">
        <v>1215</v>
      </c>
      <c r="W30" s="67"/>
      <c r="X30" s="84" t="str">
        <f t="shared" si="0"/>
        <v>Belum Dinilai</v>
      </c>
      <c r="Y30" s="84" t="str">
        <f t="shared" si="1"/>
        <v>Belum Dinilai</v>
      </c>
      <c r="Z30" s="85" t="str">
        <f t="shared" si="2"/>
        <v/>
      </c>
      <c r="AA30" s="85" t="str">
        <f t="shared" si="3"/>
        <v/>
      </c>
      <c r="AB30" s="85" t="str">
        <f t="shared" si="4"/>
        <v/>
      </c>
      <c r="AC30" s="68" t="s">
        <v>1215</v>
      </c>
      <c r="AD30" s="68" t="s">
        <v>1215</v>
      </c>
      <c r="AE30" s="68" t="s">
        <v>1215</v>
      </c>
      <c r="AF30" s="68" t="s">
        <v>1215</v>
      </c>
      <c r="AG30" s="68" t="s">
        <v>1215</v>
      </c>
      <c r="AH30" s="68" t="s">
        <v>1215</v>
      </c>
      <c r="AI30" s="68" t="s">
        <v>1215</v>
      </c>
      <c r="AJ30" s="68" t="s">
        <v>1215</v>
      </c>
      <c r="AK30" s="68" t="s">
        <v>1215</v>
      </c>
      <c r="AL30" s="68"/>
      <c r="AM30" s="68" t="s">
        <v>1215</v>
      </c>
      <c r="AN30" s="84" t="str">
        <f t="shared" si="5"/>
        <v>Belum Dinilai</v>
      </c>
      <c r="AO30" s="84" t="str">
        <f t="shared" si="6"/>
        <v>Belum Dinilai</v>
      </c>
      <c r="AP30" s="68"/>
      <c r="AQ30" s="71">
        <f t="shared" si="7"/>
        <v>22</v>
      </c>
      <c r="AR30" s="71" t="str">
        <f t="shared" si="8"/>
        <v/>
      </c>
      <c r="AS30" s="71" t="str">
        <f t="shared" si="9"/>
        <v/>
      </c>
      <c r="AT30" s="69" t="str">
        <f t="shared" si="10"/>
        <v>Belum Dapat Ditentukan</v>
      </c>
      <c r="AU30" s="66" t="s">
        <v>1189</v>
      </c>
      <c r="AV30" s="66" t="s">
        <v>1204</v>
      </c>
      <c r="AW30" s="66" t="s">
        <v>1190</v>
      </c>
      <c r="AX30" s="66"/>
      <c r="AY30" s="66"/>
      <c r="AZ30" s="66" t="s">
        <v>927</v>
      </c>
      <c r="BA30" s="66"/>
      <c r="BB30" s="178"/>
      <c r="BC30" s="72">
        <v>2026</v>
      </c>
      <c r="BD30" s="66"/>
      <c r="BE30" s="178"/>
      <c r="BF30" s="66" t="s">
        <v>1278</v>
      </c>
    </row>
    <row r="31" spans="1:58" ht="28">
      <c r="A31" s="66" t="s">
        <v>1936</v>
      </c>
      <c r="B31" s="66" t="s">
        <v>1411</v>
      </c>
      <c r="C31" s="66"/>
      <c r="D31" s="66"/>
      <c r="E31" s="66" t="s">
        <v>1412</v>
      </c>
      <c r="F31" s="66" t="s">
        <v>1413</v>
      </c>
      <c r="G31" s="66" t="s">
        <v>1361</v>
      </c>
      <c r="H31" s="66" t="s">
        <v>1195</v>
      </c>
      <c r="I31" s="66" t="s">
        <v>1414</v>
      </c>
      <c r="J31" s="66" t="s">
        <v>1182</v>
      </c>
      <c r="K31" s="66" t="s">
        <v>1277</v>
      </c>
      <c r="L31" s="66" t="s">
        <v>1215</v>
      </c>
      <c r="M31" s="66" t="s">
        <v>1265</v>
      </c>
      <c r="N31" s="66" t="s">
        <v>1215</v>
      </c>
      <c r="O31" s="66" t="s">
        <v>1277</v>
      </c>
      <c r="P31" s="66" t="s">
        <v>1215</v>
      </c>
      <c r="Q31" s="86" t="s">
        <v>1215</v>
      </c>
      <c r="R31" s="86" t="s">
        <v>1215</v>
      </c>
      <c r="S31" s="86" t="s">
        <v>1215</v>
      </c>
      <c r="T31" s="86" t="s">
        <v>1215</v>
      </c>
      <c r="U31" s="86" t="s">
        <v>1215</v>
      </c>
      <c r="V31" s="86" t="s">
        <v>1215</v>
      </c>
      <c r="W31" s="67"/>
      <c r="X31" s="84" t="str">
        <f t="shared" si="0"/>
        <v>Belum Dinilai</v>
      </c>
      <c r="Y31" s="84" t="str">
        <f t="shared" si="1"/>
        <v>Belum Dinilai</v>
      </c>
      <c r="Z31" s="85" t="str">
        <f t="shared" si="2"/>
        <v/>
      </c>
      <c r="AA31" s="85" t="str">
        <f t="shared" si="3"/>
        <v/>
      </c>
      <c r="AB31" s="85" t="str">
        <f t="shared" si="4"/>
        <v/>
      </c>
      <c r="AC31" s="68" t="s">
        <v>1215</v>
      </c>
      <c r="AD31" s="68" t="s">
        <v>1215</v>
      </c>
      <c r="AE31" s="68" t="s">
        <v>1215</v>
      </c>
      <c r="AF31" s="68" t="s">
        <v>1215</v>
      </c>
      <c r="AG31" s="68" t="s">
        <v>1215</v>
      </c>
      <c r="AH31" s="68" t="s">
        <v>1215</v>
      </c>
      <c r="AI31" s="68" t="s">
        <v>1215</v>
      </c>
      <c r="AJ31" s="68" t="s">
        <v>1215</v>
      </c>
      <c r="AK31" s="68" t="s">
        <v>1215</v>
      </c>
      <c r="AL31" s="68"/>
      <c r="AM31" s="68" t="s">
        <v>1215</v>
      </c>
      <c r="AN31" s="84" t="str">
        <f t="shared" si="5"/>
        <v>Belum Dinilai</v>
      </c>
      <c r="AO31" s="84" t="str">
        <f t="shared" si="6"/>
        <v>Belum Dinilai</v>
      </c>
      <c r="AP31" s="68"/>
      <c r="AQ31" s="71" t="str">
        <f t="shared" si="7"/>
        <v/>
      </c>
      <c r="AR31" s="71" t="str">
        <f t="shared" si="8"/>
        <v/>
      </c>
      <c r="AS31" s="71" t="str">
        <f t="shared" si="9"/>
        <v/>
      </c>
      <c r="AT31" s="69" t="str">
        <f t="shared" si="10"/>
        <v>Belum Dapat Ditentukan</v>
      </c>
      <c r="AU31" s="66" t="s">
        <v>1203</v>
      </c>
      <c r="AV31" s="66" t="s">
        <v>1204</v>
      </c>
      <c r="AW31" s="66" t="s">
        <v>1190</v>
      </c>
      <c r="AX31" s="66"/>
      <c r="AY31" s="66"/>
      <c r="AZ31" s="66" t="s">
        <v>927</v>
      </c>
      <c r="BA31" s="66"/>
      <c r="BB31" s="178"/>
      <c r="BC31" s="72">
        <v>2026</v>
      </c>
      <c r="BD31" s="66"/>
      <c r="BE31" s="178"/>
      <c r="BF31" s="66" t="s">
        <v>1278</v>
      </c>
    </row>
    <row r="32" spans="1:58" ht="28">
      <c r="A32" s="66" t="s">
        <v>1390</v>
      </c>
      <c r="B32" s="66" t="s">
        <v>1416</v>
      </c>
      <c r="C32" s="66"/>
      <c r="D32" s="66"/>
      <c r="E32" s="66" t="s">
        <v>1417</v>
      </c>
      <c r="F32" s="66" t="s">
        <v>1413</v>
      </c>
      <c r="G32" s="66" t="s">
        <v>1361</v>
      </c>
      <c r="H32" s="66" t="s">
        <v>1195</v>
      </c>
      <c r="I32" s="66" t="s">
        <v>1414</v>
      </c>
      <c r="J32" s="66" t="s">
        <v>1182</v>
      </c>
      <c r="K32" s="66" t="s">
        <v>1277</v>
      </c>
      <c r="L32" s="66" t="s">
        <v>1215</v>
      </c>
      <c r="M32" s="66" t="s">
        <v>1265</v>
      </c>
      <c r="N32" s="66" t="s">
        <v>1215</v>
      </c>
      <c r="O32" s="66" t="s">
        <v>1277</v>
      </c>
      <c r="P32" s="66" t="s">
        <v>1215</v>
      </c>
      <c r="Q32" s="86" t="s">
        <v>1215</v>
      </c>
      <c r="R32" s="86" t="s">
        <v>1215</v>
      </c>
      <c r="S32" s="86" t="s">
        <v>1215</v>
      </c>
      <c r="T32" s="86" t="s">
        <v>1215</v>
      </c>
      <c r="U32" s="86" t="s">
        <v>1215</v>
      </c>
      <c r="V32" s="86" t="s">
        <v>1215</v>
      </c>
      <c r="W32" s="67"/>
      <c r="X32" s="84" t="str">
        <f t="shared" si="0"/>
        <v>Belum Dinilai</v>
      </c>
      <c r="Y32" s="84" t="str">
        <f t="shared" si="1"/>
        <v>Belum Dinilai</v>
      </c>
      <c r="Z32" s="85" t="str">
        <f t="shared" si="2"/>
        <v/>
      </c>
      <c r="AA32" s="85" t="str">
        <f t="shared" si="3"/>
        <v/>
      </c>
      <c r="AB32" s="85" t="str">
        <f t="shared" si="4"/>
        <v/>
      </c>
      <c r="AC32" s="68" t="s">
        <v>1215</v>
      </c>
      <c r="AD32" s="68" t="s">
        <v>1215</v>
      </c>
      <c r="AE32" s="68" t="s">
        <v>1215</v>
      </c>
      <c r="AF32" s="68" t="s">
        <v>1215</v>
      </c>
      <c r="AG32" s="68" t="s">
        <v>1215</v>
      </c>
      <c r="AH32" s="68" t="s">
        <v>1215</v>
      </c>
      <c r="AI32" s="68" t="s">
        <v>1215</v>
      </c>
      <c r="AJ32" s="68" t="s">
        <v>1215</v>
      </c>
      <c r="AK32" s="68" t="s">
        <v>1215</v>
      </c>
      <c r="AL32" s="68"/>
      <c r="AM32" s="68" t="s">
        <v>1215</v>
      </c>
      <c r="AN32" s="84" t="str">
        <f t="shared" si="5"/>
        <v>Belum Dinilai</v>
      </c>
      <c r="AO32" s="84" t="str">
        <f t="shared" si="6"/>
        <v>Belum Dinilai</v>
      </c>
      <c r="AP32" s="68"/>
      <c r="AQ32" s="71" t="str">
        <f t="shared" si="7"/>
        <v/>
      </c>
      <c r="AR32" s="71" t="str">
        <f t="shared" si="8"/>
        <v/>
      </c>
      <c r="AS32" s="71" t="str">
        <f t="shared" si="9"/>
        <v/>
      </c>
      <c r="AT32" s="69" t="str">
        <f t="shared" si="10"/>
        <v>Belum Dapat Ditentukan</v>
      </c>
      <c r="AU32" s="66" t="s">
        <v>1189</v>
      </c>
      <c r="AV32" s="66" t="s">
        <v>1204</v>
      </c>
      <c r="AW32" s="66" t="s">
        <v>1190</v>
      </c>
      <c r="AX32" s="66"/>
      <c r="AY32" s="66"/>
      <c r="AZ32" s="66" t="s">
        <v>927</v>
      </c>
      <c r="BA32" s="66"/>
      <c r="BB32" s="178"/>
      <c r="BC32" s="72">
        <v>2026</v>
      </c>
      <c r="BD32" s="66"/>
      <c r="BE32" s="178"/>
      <c r="BF32" s="66" t="s">
        <v>1278</v>
      </c>
    </row>
    <row r="33" spans="1:58" ht="42">
      <c r="A33" s="66" t="s">
        <v>1937</v>
      </c>
      <c r="B33" s="66" t="s">
        <v>1419</v>
      </c>
      <c r="C33" s="66"/>
      <c r="D33" s="66"/>
      <c r="E33" s="66" t="s">
        <v>1420</v>
      </c>
      <c r="F33" s="66" t="s">
        <v>1413</v>
      </c>
      <c r="G33" s="66" t="s">
        <v>1361</v>
      </c>
      <c r="H33" s="66" t="s">
        <v>1181</v>
      </c>
      <c r="I33" s="66" t="s">
        <v>1396</v>
      </c>
      <c r="J33" s="66" t="s">
        <v>1210</v>
      </c>
      <c r="K33" s="66" t="s">
        <v>1197</v>
      </c>
      <c r="L33" s="66" t="s">
        <v>905</v>
      </c>
      <c r="M33" s="66" t="s">
        <v>1266</v>
      </c>
      <c r="N33" s="66" t="s">
        <v>905</v>
      </c>
      <c r="O33" s="66" t="s">
        <v>1213</v>
      </c>
      <c r="P33" s="66" t="s">
        <v>905</v>
      </c>
      <c r="Q33" s="86" t="s">
        <v>1215</v>
      </c>
      <c r="R33" s="86" t="s">
        <v>1215</v>
      </c>
      <c r="S33" s="86" t="s">
        <v>1215</v>
      </c>
      <c r="T33" s="86" t="s">
        <v>1215</v>
      </c>
      <c r="U33" s="86" t="s">
        <v>1215</v>
      </c>
      <c r="V33" s="86" t="s">
        <v>1215</v>
      </c>
      <c r="W33" s="67"/>
      <c r="X33" s="84" t="str">
        <f t="shared" si="0"/>
        <v>Belum Dinilai</v>
      </c>
      <c r="Y33" s="84" t="str">
        <f t="shared" si="1"/>
        <v>Belum Dinilai</v>
      </c>
      <c r="Z33" s="85" t="str">
        <f t="shared" si="2"/>
        <v/>
      </c>
      <c r="AA33" s="85" t="str">
        <f t="shared" si="3"/>
        <v/>
      </c>
      <c r="AB33" s="85" t="str">
        <f t="shared" si="4"/>
        <v/>
      </c>
      <c r="AC33" s="68" t="s">
        <v>1215</v>
      </c>
      <c r="AD33" s="68" t="s">
        <v>1215</v>
      </c>
      <c r="AE33" s="68" t="s">
        <v>1215</v>
      </c>
      <c r="AF33" s="68" t="s">
        <v>1215</v>
      </c>
      <c r="AG33" s="68" t="s">
        <v>1215</v>
      </c>
      <c r="AH33" s="68" t="s">
        <v>1215</v>
      </c>
      <c r="AI33" s="68" t="s">
        <v>1215</v>
      </c>
      <c r="AJ33" s="68" t="s">
        <v>1215</v>
      </c>
      <c r="AK33" s="68" t="s">
        <v>1215</v>
      </c>
      <c r="AL33" s="68"/>
      <c r="AM33" s="68" t="s">
        <v>1215</v>
      </c>
      <c r="AN33" s="84" t="str">
        <f t="shared" si="5"/>
        <v>Belum Dinilai</v>
      </c>
      <c r="AO33" s="84" t="str">
        <f t="shared" si="6"/>
        <v>Belum Dinilai</v>
      </c>
      <c r="AP33" s="68"/>
      <c r="AQ33" s="71">
        <f t="shared" si="7"/>
        <v>43</v>
      </c>
      <c r="AR33" s="71" t="str">
        <f t="shared" si="8"/>
        <v/>
      </c>
      <c r="AS33" s="71" t="str">
        <f t="shared" si="9"/>
        <v/>
      </c>
      <c r="AT33" s="69" t="str">
        <f t="shared" si="10"/>
        <v>Belum Dapat Ditentukan</v>
      </c>
      <c r="AU33" s="66" t="s">
        <v>1189</v>
      </c>
      <c r="AV33" s="66" t="s">
        <v>1204</v>
      </c>
      <c r="AW33" s="66" t="s">
        <v>1190</v>
      </c>
      <c r="AX33" s="66"/>
      <c r="AY33" s="66"/>
      <c r="AZ33" s="66" t="s">
        <v>927</v>
      </c>
      <c r="BA33" s="66"/>
      <c r="BB33" s="178"/>
      <c r="BC33" s="72">
        <v>2026</v>
      </c>
      <c r="BD33" s="66"/>
      <c r="BE33" s="178"/>
      <c r="BF33" s="66" t="s">
        <v>1278</v>
      </c>
    </row>
    <row r="34" spans="1:58" ht="42">
      <c r="A34" s="66" t="s">
        <v>1392</v>
      </c>
      <c r="B34" s="66" t="s">
        <v>1422</v>
      </c>
      <c r="C34" s="66"/>
      <c r="D34" s="66"/>
      <c r="E34" s="66" t="s">
        <v>1304</v>
      </c>
      <c r="F34" s="66" t="s">
        <v>1304</v>
      </c>
      <c r="G34" s="66" t="s">
        <v>1304</v>
      </c>
      <c r="H34" s="66" t="s">
        <v>1181</v>
      </c>
      <c r="I34" s="66" t="s">
        <v>1396</v>
      </c>
      <c r="J34" s="66" t="s">
        <v>1210</v>
      </c>
      <c r="K34" s="66" t="s">
        <v>1197</v>
      </c>
      <c r="L34" s="66" t="s">
        <v>905</v>
      </c>
      <c r="M34" s="66" t="s">
        <v>1266</v>
      </c>
      <c r="N34" s="66" t="s">
        <v>905</v>
      </c>
      <c r="O34" s="66" t="s">
        <v>1213</v>
      </c>
      <c r="P34" s="66" t="s">
        <v>905</v>
      </c>
      <c r="Q34" s="86" t="s">
        <v>1215</v>
      </c>
      <c r="R34" s="86" t="s">
        <v>1215</v>
      </c>
      <c r="S34" s="86" t="s">
        <v>1215</v>
      </c>
      <c r="T34" s="86" t="s">
        <v>1215</v>
      </c>
      <c r="U34" s="86" t="s">
        <v>1215</v>
      </c>
      <c r="V34" s="86" t="s">
        <v>1215</v>
      </c>
      <c r="W34" s="67"/>
      <c r="X34" s="84" t="str">
        <f t="shared" si="0"/>
        <v>Belum Dinilai</v>
      </c>
      <c r="Y34" s="84" t="str">
        <f t="shared" si="1"/>
        <v>Belum Dinilai</v>
      </c>
      <c r="Z34" s="85" t="str">
        <f t="shared" si="2"/>
        <v/>
      </c>
      <c r="AA34" s="85" t="str">
        <f t="shared" si="3"/>
        <v/>
      </c>
      <c r="AB34" s="85" t="str">
        <f t="shared" si="4"/>
        <v/>
      </c>
      <c r="AC34" s="68" t="s">
        <v>1215</v>
      </c>
      <c r="AD34" s="68" t="s">
        <v>1215</v>
      </c>
      <c r="AE34" s="68" t="s">
        <v>1215</v>
      </c>
      <c r="AF34" s="68" t="s">
        <v>1215</v>
      </c>
      <c r="AG34" s="68" t="s">
        <v>1215</v>
      </c>
      <c r="AH34" s="68" t="s">
        <v>1215</v>
      </c>
      <c r="AI34" s="68" t="s">
        <v>1215</v>
      </c>
      <c r="AJ34" s="68" t="s">
        <v>1215</v>
      </c>
      <c r="AK34" s="68" t="s">
        <v>1215</v>
      </c>
      <c r="AL34" s="68"/>
      <c r="AM34" s="68" t="s">
        <v>1215</v>
      </c>
      <c r="AN34" s="84" t="str">
        <f t="shared" si="5"/>
        <v>Belum Dinilai</v>
      </c>
      <c r="AO34" s="84" t="str">
        <f t="shared" si="6"/>
        <v>Belum Dinilai</v>
      </c>
      <c r="AP34" s="68"/>
      <c r="AQ34" s="71">
        <f t="shared" si="7"/>
        <v>43</v>
      </c>
      <c r="AR34" s="71" t="str">
        <f t="shared" si="8"/>
        <v/>
      </c>
      <c r="AS34" s="71" t="str">
        <f t="shared" si="9"/>
        <v/>
      </c>
      <c r="AT34" s="69" t="str">
        <f t="shared" si="10"/>
        <v>Belum Dapat Ditentukan</v>
      </c>
      <c r="AU34" s="66" t="s">
        <v>1203</v>
      </c>
      <c r="AV34" s="66" t="s">
        <v>1204</v>
      </c>
      <c r="AW34" s="66" t="s">
        <v>1190</v>
      </c>
      <c r="AX34" s="66"/>
      <c r="AY34" s="66"/>
      <c r="AZ34" s="66" t="s">
        <v>927</v>
      </c>
      <c r="BA34" s="66"/>
      <c r="BB34" s="178"/>
      <c r="BC34" s="72">
        <v>2026</v>
      </c>
      <c r="BD34" s="66"/>
      <c r="BE34" s="178"/>
      <c r="BF34" s="66" t="s">
        <v>1278</v>
      </c>
    </row>
    <row r="35" spans="1:58" ht="28">
      <c r="A35" s="66" t="s">
        <v>1397</v>
      </c>
      <c r="B35" s="66" t="s">
        <v>1424</v>
      </c>
      <c r="C35" s="83" t="s">
        <v>1904</v>
      </c>
      <c r="D35" s="83" t="s">
        <v>1905</v>
      </c>
      <c r="E35" s="66" t="s">
        <v>2180</v>
      </c>
      <c r="F35" s="66" t="s">
        <v>1425</v>
      </c>
      <c r="G35" s="66" t="s">
        <v>810</v>
      </c>
      <c r="H35" s="66" t="s">
        <v>1181</v>
      </c>
      <c r="I35" s="66"/>
      <c r="J35" s="66" t="s">
        <v>1210</v>
      </c>
      <c r="K35" s="66" t="s">
        <v>1197</v>
      </c>
      <c r="L35" s="66" t="s">
        <v>895</v>
      </c>
      <c r="M35" s="66" t="s">
        <v>1266</v>
      </c>
      <c r="N35" s="66" t="s">
        <v>905</v>
      </c>
      <c r="O35" s="66" t="s">
        <v>1266</v>
      </c>
      <c r="P35" s="66" t="s">
        <v>895</v>
      </c>
      <c r="Q35" s="86" t="s">
        <v>1186</v>
      </c>
      <c r="R35" s="86" t="s">
        <v>1187</v>
      </c>
      <c r="S35" s="86" t="s">
        <v>1201</v>
      </c>
      <c r="T35" s="86" t="s">
        <v>1187</v>
      </c>
      <c r="U35" s="86" t="s">
        <v>1201</v>
      </c>
      <c r="V35" s="86" t="s">
        <v>1201</v>
      </c>
      <c r="W35" s="67"/>
      <c r="X35" s="84" t="str">
        <f t="shared" si="0"/>
        <v xml:space="preserve">Lansia; Kepala keluarga perempuan; </v>
      </c>
      <c r="Y35" s="84" t="str">
        <f t="shared" si="1"/>
        <v>2 atau Lebih Faktor Rentan</v>
      </c>
      <c r="Z35" s="85">
        <f t="shared" si="2"/>
        <v>10</v>
      </c>
      <c r="AA35" s="85">
        <f t="shared" si="3"/>
        <v>10</v>
      </c>
      <c r="AB35" s="85">
        <f t="shared" si="4"/>
        <v>20</v>
      </c>
      <c r="AC35" s="68" t="s">
        <v>1201</v>
      </c>
      <c r="AD35" s="68" t="s">
        <v>1201</v>
      </c>
      <c r="AE35" s="68" t="s">
        <v>1187</v>
      </c>
      <c r="AF35" s="68" t="s">
        <v>1201</v>
      </c>
      <c r="AG35" s="68" t="s">
        <v>1187</v>
      </c>
      <c r="AH35" s="68" t="s">
        <v>1187</v>
      </c>
      <c r="AI35" s="68" t="s">
        <v>1187</v>
      </c>
      <c r="AJ35" s="68" t="s">
        <v>1201</v>
      </c>
      <c r="AK35" s="68" t="s">
        <v>1201</v>
      </c>
      <c r="AL35" s="68"/>
      <c r="AM35" s="68" t="s">
        <v>1215</v>
      </c>
      <c r="AN35" s="84" t="str">
        <f t="shared" si="5"/>
        <v xml:space="preserve">Atap atau dinding utama hampir runtuh; Struktur rumah tidak stabil; Instalasi listrik berbahaya; Komponen bangunan lepas atau lapuk; </v>
      </c>
      <c r="AO35" s="84" t="str">
        <f t="shared" si="6"/>
        <v>Risiko Tinggi/Darurat</v>
      </c>
      <c r="AP35" s="68"/>
      <c r="AQ35" s="71">
        <f t="shared" si="7"/>
        <v>52</v>
      </c>
      <c r="AR35" s="71">
        <f t="shared" si="8"/>
        <v>10</v>
      </c>
      <c r="AS35" s="71">
        <f t="shared" si="9"/>
        <v>82</v>
      </c>
      <c r="AT35" s="69" t="str">
        <f t="shared" si="10"/>
        <v>Sangat Tinggi</v>
      </c>
      <c r="AU35" s="66" t="s">
        <v>1189</v>
      </c>
      <c r="AV35" s="66" t="s">
        <v>1204</v>
      </c>
      <c r="AW35" s="66" t="s">
        <v>1205</v>
      </c>
      <c r="AX35" s="66" t="s">
        <v>1283</v>
      </c>
      <c r="AY35" s="66">
        <v>2026</v>
      </c>
      <c r="AZ35" s="66" t="s">
        <v>1192</v>
      </c>
      <c r="BA35" s="66"/>
      <c r="BB35" s="178"/>
      <c r="BC35" s="72"/>
      <c r="BD35" s="66" t="s">
        <v>1208</v>
      </c>
      <c r="BE35" s="178"/>
      <c r="BF35" s="66" t="s">
        <v>1278</v>
      </c>
    </row>
    <row r="36" spans="1:58" ht="56">
      <c r="A36" s="66" t="s">
        <v>1402</v>
      </c>
      <c r="B36" s="66" t="s">
        <v>1427</v>
      </c>
      <c r="C36" s="66"/>
      <c r="D36" s="66"/>
      <c r="E36" s="66" t="s">
        <v>1428</v>
      </c>
      <c r="F36" s="66" t="s">
        <v>1429</v>
      </c>
      <c r="G36" s="66" t="s">
        <v>1310</v>
      </c>
      <c r="H36" s="66" t="s">
        <v>1181</v>
      </c>
      <c r="I36" s="66" t="s">
        <v>1430</v>
      </c>
      <c r="J36" s="66" t="s">
        <v>1210</v>
      </c>
      <c r="K36" s="66" t="s">
        <v>1197</v>
      </c>
      <c r="L36" s="66" t="s">
        <v>895</v>
      </c>
      <c r="M36" s="66" t="s">
        <v>1266</v>
      </c>
      <c r="N36" s="66" t="s">
        <v>895</v>
      </c>
      <c r="O36" s="66" t="s">
        <v>1266</v>
      </c>
      <c r="P36" s="66" t="s">
        <v>895</v>
      </c>
      <c r="Q36" s="86" t="s">
        <v>1215</v>
      </c>
      <c r="R36" s="86" t="s">
        <v>1215</v>
      </c>
      <c r="S36" s="86" t="s">
        <v>1215</v>
      </c>
      <c r="T36" s="86" t="s">
        <v>1215</v>
      </c>
      <c r="U36" s="86" t="s">
        <v>1215</v>
      </c>
      <c r="V36" s="86" t="s">
        <v>1215</v>
      </c>
      <c r="W36" s="67"/>
      <c r="X36" s="84" t="str">
        <f t="shared" si="0"/>
        <v>Belum Dinilai</v>
      </c>
      <c r="Y36" s="84" t="str">
        <f t="shared" si="1"/>
        <v>Belum Dinilai</v>
      </c>
      <c r="Z36" s="85" t="str">
        <f t="shared" si="2"/>
        <v/>
      </c>
      <c r="AA36" s="85" t="str">
        <f t="shared" si="3"/>
        <v/>
      </c>
      <c r="AB36" s="85" t="str">
        <f t="shared" si="4"/>
        <v/>
      </c>
      <c r="AC36" s="68" t="s">
        <v>1215</v>
      </c>
      <c r="AD36" s="68" t="s">
        <v>1215</v>
      </c>
      <c r="AE36" s="68" t="s">
        <v>1215</v>
      </c>
      <c r="AF36" s="68" t="s">
        <v>1215</v>
      </c>
      <c r="AG36" s="68" t="s">
        <v>1215</v>
      </c>
      <c r="AH36" s="68" t="s">
        <v>1215</v>
      </c>
      <c r="AI36" s="68" t="s">
        <v>1215</v>
      </c>
      <c r="AJ36" s="68" t="s">
        <v>1215</v>
      </c>
      <c r="AK36" s="68" t="s">
        <v>1215</v>
      </c>
      <c r="AL36" s="68"/>
      <c r="AM36" s="68" t="s">
        <v>1215</v>
      </c>
      <c r="AN36" s="84" t="str">
        <f t="shared" si="5"/>
        <v>Belum Dinilai</v>
      </c>
      <c r="AO36" s="84" t="str">
        <f t="shared" si="6"/>
        <v>Belum Dinilai</v>
      </c>
      <c r="AP36" s="68"/>
      <c r="AQ36" s="71">
        <f t="shared" si="7"/>
        <v>57</v>
      </c>
      <c r="AR36" s="71" t="str">
        <f t="shared" si="8"/>
        <v/>
      </c>
      <c r="AS36" s="71" t="str">
        <f t="shared" si="9"/>
        <v/>
      </c>
      <c r="AT36" s="69" t="str">
        <f t="shared" si="10"/>
        <v>Belum Dapat Ditentukan</v>
      </c>
      <c r="AU36" s="66" t="s">
        <v>1189</v>
      </c>
      <c r="AV36" s="66" t="s">
        <v>1204</v>
      </c>
      <c r="AW36" s="66" t="s">
        <v>1898</v>
      </c>
      <c r="AX36" s="66" t="s">
        <v>1206</v>
      </c>
      <c r="AY36" s="66">
        <v>2023</v>
      </c>
      <c r="AZ36" s="66" t="s">
        <v>927</v>
      </c>
      <c r="BA36" s="66"/>
      <c r="BB36" s="178"/>
      <c r="BC36" s="72">
        <v>2026</v>
      </c>
      <c r="BD36" s="66"/>
      <c r="BE36" s="178"/>
      <c r="BF36" s="66" t="s">
        <v>1278</v>
      </c>
    </row>
    <row r="37" spans="1:58" ht="28">
      <c r="A37" s="66" t="s">
        <v>1406</v>
      </c>
      <c r="B37" s="66" t="s">
        <v>1435</v>
      </c>
      <c r="C37" s="66"/>
      <c r="D37" s="66"/>
      <c r="E37" s="66" t="s">
        <v>1304</v>
      </c>
      <c r="F37" s="66" t="s">
        <v>1429</v>
      </c>
      <c r="G37" s="66" t="s">
        <v>1310</v>
      </c>
      <c r="H37" s="66" t="s">
        <v>1181</v>
      </c>
      <c r="I37" s="66" t="s">
        <v>1436</v>
      </c>
      <c r="J37" s="66" t="s">
        <v>1210</v>
      </c>
      <c r="K37" s="66" t="s">
        <v>1211</v>
      </c>
      <c r="L37" s="66" t="s">
        <v>891</v>
      </c>
      <c r="M37" s="66" t="s">
        <v>1266</v>
      </c>
      <c r="N37" s="66" t="s">
        <v>891</v>
      </c>
      <c r="O37" s="66" t="s">
        <v>1213</v>
      </c>
      <c r="P37" s="66" t="s">
        <v>891</v>
      </c>
      <c r="Q37" s="86" t="s">
        <v>1215</v>
      </c>
      <c r="R37" s="86" t="s">
        <v>1215</v>
      </c>
      <c r="S37" s="86" t="s">
        <v>1215</v>
      </c>
      <c r="T37" s="86" t="s">
        <v>1215</v>
      </c>
      <c r="U37" s="86" t="s">
        <v>1215</v>
      </c>
      <c r="V37" s="86" t="s">
        <v>1215</v>
      </c>
      <c r="W37" s="67"/>
      <c r="X37" s="84" t="str">
        <f t="shared" si="0"/>
        <v>Belum Dinilai</v>
      </c>
      <c r="Y37" s="84" t="str">
        <f t="shared" si="1"/>
        <v>Belum Dinilai</v>
      </c>
      <c r="Z37" s="85" t="str">
        <f t="shared" si="2"/>
        <v/>
      </c>
      <c r="AA37" s="85" t="str">
        <f t="shared" si="3"/>
        <v/>
      </c>
      <c r="AB37" s="85" t="str">
        <f t="shared" si="4"/>
        <v/>
      </c>
      <c r="AC37" s="68" t="s">
        <v>1215</v>
      </c>
      <c r="AD37" s="68" t="s">
        <v>1215</v>
      </c>
      <c r="AE37" s="68" t="s">
        <v>1215</v>
      </c>
      <c r="AF37" s="68" t="s">
        <v>1215</v>
      </c>
      <c r="AG37" s="68" t="s">
        <v>1215</v>
      </c>
      <c r="AH37" s="68" t="s">
        <v>1215</v>
      </c>
      <c r="AI37" s="68" t="s">
        <v>1215</v>
      </c>
      <c r="AJ37" s="68" t="s">
        <v>1215</v>
      </c>
      <c r="AK37" s="68" t="s">
        <v>1215</v>
      </c>
      <c r="AL37" s="68"/>
      <c r="AM37" s="68" t="s">
        <v>1215</v>
      </c>
      <c r="AN37" s="84" t="str">
        <f t="shared" si="5"/>
        <v>Belum Dinilai</v>
      </c>
      <c r="AO37" s="84" t="str">
        <f t="shared" si="6"/>
        <v>Belum Dinilai</v>
      </c>
      <c r="AP37" s="68"/>
      <c r="AQ37" s="71">
        <f t="shared" si="7"/>
        <v>29</v>
      </c>
      <c r="AR37" s="71" t="str">
        <f t="shared" si="8"/>
        <v/>
      </c>
      <c r="AS37" s="71" t="str">
        <f t="shared" si="9"/>
        <v/>
      </c>
      <c r="AT37" s="69" t="str">
        <f t="shared" si="10"/>
        <v>Belum Dapat Ditentukan</v>
      </c>
      <c r="AU37" s="66" t="s">
        <v>1203</v>
      </c>
      <c r="AV37" s="66" t="s">
        <v>1204</v>
      </c>
      <c r="AW37" s="66" t="s">
        <v>1190</v>
      </c>
      <c r="AX37" s="66"/>
      <c r="AY37" s="66"/>
      <c r="AZ37" s="66" t="s">
        <v>927</v>
      </c>
      <c r="BA37" s="66"/>
      <c r="BB37" s="178"/>
      <c r="BC37" s="72">
        <v>2026</v>
      </c>
      <c r="BD37" s="66"/>
      <c r="BE37" s="178"/>
      <c r="BF37" s="66" t="s">
        <v>1278</v>
      </c>
    </row>
    <row r="38" spans="1:58" ht="56">
      <c r="A38" s="66" t="s">
        <v>1938</v>
      </c>
      <c r="B38" s="66" t="s">
        <v>1438</v>
      </c>
      <c r="C38" s="66"/>
      <c r="D38" s="66"/>
      <c r="E38" s="66" t="s">
        <v>1439</v>
      </c>
      <c r="F38" s="66" t="s">
        <v>1429</v>
      </c>
      <c r="G38" s="66" t="s">
        <v>1310</v>
      </c>
      <c r="H38" s="66" t="s">
        <v>1181</v>
      </c>
      <c r="I38" s="66" t="s">
        <v>1440</v>
      </c>
      <c r="J38" s="66" t="s">
        <v>1210</v>
      </c>
      <c r="K38" s="66" t="s">
        <v>1197</v>
      </c>
      <c r="L38" s="66" t="s">
        <v>891</v>
      </c>
      <c r="M38" s="66" t="s">
        <v>1266</v>
      </c>
      <c r="N38" s="66" t="s">
        <v>891</v>
      </c>
      <c r="O38" s="66" t="s">
        <v>1213</v>
      </c>
      <c r="P38" s="66" t="s">
        <v>891</v>
      </c>
      <c r="Q38" s="86" t="s">
        <v>1215</v>
      </c>
      <c r="R38" s="86" t="s">
        <v>1215</v>
      </c>
      <c r="S38" s="86" t="s">
        <v>1215</v>
      </c>
      <c r="T38" s="86" t="s">
        <v>1215</v>
      </c>
      <c r="U38" s="86" t="s">
        <v>1215</v>
      </c>
      <c r="V38" s="86" t="s">
        <v>1215</v>
      </c>
      <c r="W38" s="67"/>
      <c r="X38" s="84" t="str">
        <f t="shared" si="0"/>
        <v>Belum Dinilai</v>
      </c>
      <c r="Y38" s="84" t="str">
        <f t="shared" si="1"/>
        <v>Belum Dinilai</v>
      </c>
      <c r="Z38" s="85" t="str">
        <f t="shared" si="2"/>
        <v/>
      </c>
      <c r="AA38" s="85" t="str">
        <f t="shared" si="3"/>
        <v/>
      </c>
      <c r="AB38" s="85" t="str">
        <f t="shared" si="4"/>
        <v/>
      </c>
      <c r="AC38" s="68" t="s">
        <v>1215</v>
      </c>
      <c r="AD38" s="68" t="s">
        <v>1215</v>
      </c>
      <c r="AE38" s="68" t="s">
        <v>1215</v>
      </c>
      <c r="AF38" s="68" t="s">
        <v>1215</v>
      </c>
      <c r="AG38" s="68" t="s">
        <v>1215</v>
      </c>
      <c r="AH38" s="68" t="s">
        <v>1215</v>
      </c>
      <c r="AI38" s="68" t="s">
        <v>1215</v>
      </c>
      <c r="AJ38" s="68" t="s">
        <v>1215</v>
      </c>
      <c r="AK38" s="68" t="s">
        <v>1215</v>
      </c>
      <c r="AL38" s="68"/>
      <c r="AM38" s="68" t="s">
        <v>1215</v>
      </c>
      <c r="AN38" s="84" t="str">
        <f t="shared" si="5"/>
        <v>Belum Dinilai</v>
      </c>
      <c r="AO38" s="84" t="str">
        <f t="shared" si="6"/>
        <v>Belum Dinilai</v>
      </c>
      <c r="AP38" s="68"/>
      <c r="AQ38" s="71">
        <f t="shared" si="7"/>
        <v>29</v>
      </c>
      <c r="AR38" s="71" t="str">
        <f t="shared" si="8"/>
        <v/>
      </c>
      <c r="AS38" s="71" t="str">
        <f t="shared" si="9"/>
        <v/>
      </c>
      <c r="AT38" s="69" t="str">
        <f t="shared" si="10"/>
        <v>Belum Dapat Ditentukan</v>
      </c>
      <c r="AU38" s="66" t="s">
        <v>1189</v>
      </c>
      <c r="AV38" s="66" t="s">
        <v>1204</v>
      </c>
      <c r="AW38" s="66" t="s">
        <v>1898</v>
      </c>
      <c r="AX38" s="66" t="s">
        <v>1268</v>
      </c>
      <c r="AY38" s="66">
        <v>2023</v>
      </c>
      <c r="AZ38" s="66" t="s">
        <v>1207</v>
      </c>
      <c r="BA38" s="66"/>
      <c r="BB38" s="178"/>
      <c r="BC38" s="72">
        <v>2026</v>
      </c>
      <c r="BD38" s="66"/>
      <c r="BE38" s="178"/>
      <c r="BF38" s="66" t="s">
        <v>1278</v>
      </c>
    </row>
    <row r="39" spans="1:58" ht="56">
      <c r="A39" s="66" t="s">
        <v>1410</v>
      </c>
      <c r="B39" s="66" t="s">
        <v>1442</v>
      </c>
      <c r="C39" s="66"/>
      <c r="D39" s="66"/>
      <c r="E39" s="66" t="s">
        <v>1439</v>
      </c>
      <c r="F39" s="66" t="s">
        <v>1429</v>
      </c>
      <c r="G39" s="66" t="s">
        <v>1310</v>
      </c>
      <c r="H39" s="66" t="s">
        <v>1181</v>
      </c>
      <c r="I39" s="66" t="s">
        <v>1440</v>
      </c>
      <c r="J39" s="66" t="s">
        <v>1210</v>
      </c>
      <c r="K39" s="66" t="s">
        <v>1197</v>
      </c>
      <c r="L39" s="66" t="s">
        <v>891</v>
      </c>
      <c r="M39" s="66" t="s">
        <v>1266</v>
      </c>
      <c r="N39" s="66" t="s">
        <v>891</v>
      </c>
      <c r="O39" s="66" t="s">
        <v>1213</v>
      </c>
      <c r="P39" s="66" t="s">
        <v>891</v>
      </c>
      <c r="Q39" s="86" t="s">
        <v>1215</v>
      </c>
      <c r="R39" s="86" t="s">
        <v>1215</v>
      </c>
      <c r="S39" s="86" t="s">
        <v>1215</v>
      </c>
      <c r="T39" s="86" t="s">
        <v>1215</v>
      </c>
      <c r="U39" s="86" t="s">
        <v>1215</v>
      </c>
      <c r="V39" s="86" t="s">
        <v>1215</v>
      </c>
      <c r="W39" s="67"/>
      <c r="X39" s="84" t="str">
        <f t="shared" si="0"/>
        <v>Belum Dinilai</v>
      </c>
      <c r="Y39" s="84" t="str">
        <f t="shared" si="1"/>
        <v>Belum Dinilai</v>
      </c>
      <c r="Z39" s="85" t="str">
        <f t="shared" si="2"/>
        <v/>
      </c>
      <c r="AA39" s="85" t="str">
        <f t="shared" si="3"/>
        <v/>
      </c>
      <c r="AB39" s="85" t="str">
        <f t="shared" si="4"/>
        <v/>
      </c>
      <c r="AC39" s="68" t="s">
        <v>1215</v>
      </c>
      <c r="AD39" s="68" t="s">
        <v>1215</v>
      </c>
      <c r="AE39" s="68" t="s">
        <v>1215</v>
      </c>
      <c r="AF39" s="68" t="s">
        <v>1215</v>
      </c>
      <c r="AG39" s="68" t="s">
        <v>1215</v>
      </c>
      <c r="AH39" s="68" t="s">
        <v>1215</v>
      </c>
      <c r="AI39" s="68" t="s">
        <v>1215</v>
      </c>
      <c r="AJ39" s="68" t="s">
        <v>1215</v>
      </c>
      <c r="AK39" s="68" t="s">
        <v>1215</v>
      </c>
      <c r="AL39" s="68"/>
      <c r="AM39" s="68" t="s">
        <v>1215</v>
      </c>
      <c r="AN39" s="84" t="str">
        <f t="shared" si="5"/>
        <v>Belum Dinilai</v>
      </c>
      <c r="AO39" s="84" t="str">
        <f t="shared" si="6"/>
        <v>Belum Dinilai</v>
      </c>
      <c r="AP39" s="68"/>
      <c r="AQ39" s="71">
        <f t="shared" si="7"/>
        <v>29</v>
      </c>
      <c r="AR39" s="71" t="str">
        <f t="shared" si="8"/>
        <v/>
      </c>
      <c r="AS39" s="71" t="str">
        <f t="shared" si="9"/>
        <v/>
      </c>
      <c r="AT39" s="69" t="str">
        <f t="shared" si="10"/>
        <v>Belum Dapat Ditentukan</v>
      </c>
      <c r="AU39" s="66" t="s">
        <v>1189</v>
      </c>
      <c r="AV39" s="66" t="s">
        <v>1204</v>
      </c>
      <c r="AW39" s="66" t="s">
        <v>1898</v>
      </c>
      <c r="AX39" s="66" t="s">
        <v>1206</v>
      </c>
      <c r="AY39" s="66">
        <v>2024</v>
      </c>
      <c r="AZ39" s="66" t="s">
        <v>1207</v>
      </c>
      <c r="BA39" s="66"/>
      <c r="BB39" s="178"/>
      <c r="BC39" s="72">
        <v>2026</v>
      </c>
      <c r="BD39" s="66"/>
      <c r="BE39" s="178"/>
      <c r="BF39" s="66" t="s">
        <v>1278</v>
      </c>
    </row>
    <row r="40" spans="1:58" ht="42">
      <c r="A40" s="66" t="s">
        <v>1415</v>
      </c>
      <c r="B40" s="66" t="s">
        <v>1444</v>
      </c>
      <c r="C40" s="66"/>
      <c r="D40" s="66"/>
      <c r="E40" s="66" t="s">
        <v>1445</v>
      </c>
      <c r="F40" s="66" t="s">
        <v>1429</v>
      </c>
      <c r="G40" s="66" t="s">
        <v>1310</v>
      </c>
      <c r="H40" s="66" t="s">
        <v>1195</v>
      </c>
      <c r="I40" s="66" t="s">
        <v>1446</v>
      </c>
      <c r="J40" s="66" t="s">
        <v>1196</v>
      </c>
      <c r="K40" s="66" t="s">
        <v>1197</v>
      </c>
      <c r="L40" s="66" t="s">
        <v>905</v>
      </c>
      <c r="M40" s="66" t="s">
        <v>1305</v>
      </c>
      <c r="N40" s="66" t="s">
        <v>905</v>
      </c>
      <c r="O40" s="66" t="s">
        <v>1185</v>
      </c>
      <c r="P40" s="66" t="s">
        <v>905</v>
      </c>
      <c r="Q40" s="86" t="s">
        <v>1215</v>
      </c>
      <c r="R40" s="86" t="s">
        <v>1215</v>
      </c>
      <c r="S40" s="86" t="s">
        <v>1215</v>
      </c>
      <c r="T40" s="86" t="s">
        <v>1215</v>
      </c>
      <c r="U40" s="86" t="s">
        <v>1215</v>
      </c>
      <c r="V40" s="86" t="s">
        <v>1215</v>
      </c>
      <c r="W40" s="67"/>
      <c r="X40" s="84" t="str">
        <f t="shared" si="0"/>
        <v>Belum Dinilai</v>
      </c>
      <c r="Y40" s="84" t="str">
        <f t="shared" si="1"/>
        <v>Belum Dinilai</v>
      </c>
      <c r="Z40" s="85" t="str">
        <f t="shared" si="2"/>
        <v/>
      </c>
      <c r="AA40" s="85" t="str">
        <f t="shared" si="3"/>
        <v/>
      </c>
      <c r="AB40" s="85" t="str">
        <f t="shared" si="4"/>
        <v/>
      </c>
      <c r="AC40" s="68" t="s">
        <v>1215</v>
      </c>
      <c r="AD40" s="68" t="s">
        <v>1215</v>
      </c>
      <c r="AE40" s="68" t="s">
        <v>1215</v>
      </c>
      <c r="AF40" s="68" t="s">
        <v>1215</v>
      </c>
      <c r="AG40" s="68" t="s">
        <v>1215</v>
      </c>
      <c r="AH40" s="68" t="s">
        <v>1215</v>
      </c>
      <c r="AI40" s="68" t="s">
        <v>1215</v>
      </c>
      <c r="AJ40" s="68" t="s">
        <v>1215</v>
      </c>
      <c r="AK40" s="68" t="s">
        <v>1215</v>
      </c>
      <c r="AL40" s="68"/>
      <c r="AM40" s="68" t="s">
        <v>1215</v>
      </c>
      <c r="AN40" s="84" t="str">
        <f t="shared" si="5"/>
        <v>Belum Dinilai</v>
      </c>
      <c r="AO40" s="84" t="str">
        <f t="shared" si="6"/>
        <v>Belum Dinilai</v>
      </c>
      <c r="AP40" s="68"/>
      <c r="AQ40" s="71">
        <f t="shared" si="7"/>
        <v>36</v>
      </c>
      <c r="AR40" s="71" t="str">
        <f t="shared" si="8"/>
        <v/>
      </c>
      <c r="AS40" s="71" t="str">
        <f t="shared" si="9"/>
        <v/>
      </c>
      <c r="AT40" s="69" t="str">
        <f t="shared" si="10"/>
        <v>Belum Dapat Ditentukan</v>
      </c>
      <c r="AU40" s="66" t="s">
        <v>1203</v>
      </c>
      <c r="AV40" s="66" t="s">
        <v>1204</v>
      </c>
      <c r="AW40" s="66" t="s">
        <v>1898</v>
      </c>
      <c r="AX40" s="66" t="s">
        <v>1268</v>
      </c>
      <c r="AY40" s="66">
        <v>2023</v>
      </c>
      <c r="AZ40" s="66" t="s">
        <v>927</v>
      </c>
      <c r="BA40" s="66"/>
      <c r="BB40" s="178"/>
      <c r="BC40" s="72">
        <v>2026</v>
      </c>
      <c r="BD40" s="66"/>
      <c r="BE40" s="178"/>
      <c r="BF40" s="66" t="s">
        <v>1278</v>
      </c>
    </row>
    <row r="41" spans="1:58" ht="42">
      <c r="A41" s="66" t="s">
        <v>1418</v>
      </c>
      <c r="B41" s="66" t="s">
        <v>1448</v>
      </c>
      <c r="C41" s="66"/>
      <c r="D41" s="66"/>
      <c r="E41" s="66" t="s">
        <v>1449</v>
      </c>
      <c r="F41" s="66" t="s">
        <v>1429</v>
      </c>
      <c r="G41" s="66" t="s">
        <v>1310</v>
      </c>
      <c r="H41" s="66" t="s">
        <v>1181</v>
      </c>
      <c r="I41" s="66" t="s">
        <v>1450</v>
      </c>
      <c r="J41" s="66" t="s">
        <v>1196</v>
      </c>
      <c r="K41" s="66" t="s">
        <v>1183</v>
      </c>
      <c r="L41" s="66" t="s">
        <v>895</v>
      </c>
      <c r="M41" s="66" t="s">
        <v>1266</v>
      </c>
      <c r="N41" s="66" t="s">
        <v>895</v>
      </c>
      <c r="O41" s="66" t="s">
        <v>1213</v>
      </c>
      <c r="P41" s="66" t="s">
        <v>895</v>
      </c>
      <c r="Q41" s="86" t="s">
        <v>1186</v>
      </c>
      <c r="R41" s="86" t="s">
        <v>1201</v>
      </c>
      <c r="S41" s="86" t="s">
        <v>1201</v>
      </c>
      <c r="T41" s="86" t="s">
        <v>1201</v>
      </c>
      <c r="U41" s="86" t="s">
        <v>1201</v>
      </c>
      <c r="V41" s="86" t="s">
        <v>1201</v>
      </c>
      <c r="W41" s="67"/>
      <c r="X41" s="84" t="str">
        <f t="shared" si="0"/>
        <v>Tidak ada faktor rentan</v>
      </c>
      <c r="Y41" s="84" t="str">
        <f t="shared" si="1"/>
        <v>Tidak Ada Faktor Rentan</v>
      </c>
      <c r="Z41" s="85">
        <f t="shared" si="2"/>
        <v>10</v>
      </c>
      <c r="AA41" s="85">
        <f t="shared" si="3"/>
        <v>0</v>
      </c>
      <c r="AB41" s="85">
        <f t="shared" si="4"/>
        <v>10</v>
      </c>
      <c r="AC41" s="68" t="s">
        <v>1187</v>
      </c>
      <c r="AD41" s="68" t="s">
        <v>1201</v>
      </c>
      <c r="AE41" s="68" t="s">
        <v>1215</v>
      </c>
      <c r="AF41" s="68" t="s">
        <v>1201</v>
      </c>
      <c r="AG41" s="68" t="s">
        <v>1187</v>
      </c>
      <c r="AH41" s="68" t="s">
        <v>1187</v>
      </c>
      <c r="AI41" s="68" t="s">
        <v>1187</v>
      </c>
      <c r="AJ41" s="68" t="s">
        <v>1187</v>
      </c>
      <c r="AK41" s="68" t="s">
        <v>1201</v>
      </c>
      <c r="AL41" s="68"/>
      <c r="AM41" s="68" t="s">
        <v>1215</v>
      </c>
      <c r="AN41" s="84" t="str">
        <f t="shared" si="5"/>
        <v xml:space="preserve">Bangunan berpotensi roboh; Struktur rumah tidak stabil; Instalasi listrik berbahaya; Komponen bangunan lepas atau lapuk; Akses keluar atau evakuasi terbatas; </v>
      </c>
      <c r="AO41" s="84" t="str">
        <f t="shared" si="6"/>
        <v>Risiko Tinggi/Darurat</v>
      </c>
      <c r="AP41" s="68"/>
      <c r="AQ41" s="71">
        <f t="shared" si="7"/>
        <v>50</v>
      </c>
      <c r="AR41" s="71">
        <f t="shared" si="8"/>
        <v>10</v>
      </c>
      <c r="AS41" s="71">
        <f t="shared" si="9"/>
        <v>70</v>
      </c>
      <c r="AT41" s="69" t="str">
        <f t="shared" si="10"/>
        <v>Tinggi</v>
      </c>
      <c r="AU41" s="66" t="s">
        <v>1203</v>
      </c>
      <c r="AV41" s="66" t="s">
        <v>1204</v>
      </c>
      <c r="AW41" s="66" t="s">
        <v>1898</v>
      </c>
      <c r="AX41" s="66" t="s">
        <v>1268</v>
      </c>
      <c r="AY41" s="66">
        <v>2023</v>
      </c>
      <c r="AZ41" s="66" t="s">
        <v>927</v>
      </c>
      <c r="BA41" s="66"/>
      <c r="BB41" s="178"/>
      <c r="BC41" s="72">
        <v>2026</v>
      </c>
      <c r="BD41" s="66"/>
      <c r="BE41" s="178"/>
      <c r="BF41" s="66" t="s">
        <v>1278</v>
      </c>
    </row>
    <row r="42" spans="1:58" ht="42">
      <c r="A42" s="66" t="s">
        <v>1421</v>
      </c>
      <c r="B42" s="66" t="s">
        <v>1452</v>
      </c>
      <c r="C42" s="66"/>
      <c r="D42" s="66"/>
      <c r="E42" s="66" t="s">
        <v>1453</v>
      </c>
      <c r="F42" s="66" t="s">
        <v>1425</v>
      </c>
      <c r="G42" s="66" t="s">
        <v>1310</v>
      </c>
      <c r="H42" s="66" t="s">
        <v>1195</v>
      </c>
      <c r="I42" s="66" t="s">
        <v>1454</v>
      </c>
      <c r="J42" s="66" t="s">
        <v>1182</v>
      </c>
      <c r="K42" s="66" t="s">
        <v>1197</v>
      </c>
      <c r="L42" s="66" t="s">
        <v>1215</v>
      </c>
      <c r="M42" s="66" t="s">
        <v>1265</v>
      </c>
      <c r="N42" s="66" t="s">
        <v>1215</v>
      </c>
      <c r="O42" s="66" t="s">
        <v>1213</v>
      </c>
      <c r="P42" s="66" t="s">
        <v>1215</v>
      </c>
      <c r="Q42" s="86" t="s">
        <v>1215</v>
      </c>
      <c r="R42" s="86" t="s">
        <v>1215</v>
      </c>
      <c r="S42" s="86" t="s">
        <v>1215</v>
      </c>
      <c r="T42" s="86" t="s">
        <v>1215</v>
      </c>
      <c r="U42" s="86" t="s">
        <v>1215</v>
      </c>
      <c r="V42" s="86" t="s">
        <v>1215</v>
      </c>
      <c r="W42" s="67"/>
      <c r="X42" s="84" t="str">
        <f t="shared" si="0"/>
        <v>Belum Dinilai</v>
      </c>
      <c r="Y42" s="84" t="str">
        <f t="shared" si="1"/>
        <v>Belum Dinilai</v>
      </c>
      <c r="Z42" s="85" t="str">
        <f t="shared" si="2"/>
        <v/>
      </c>
      <c r="AA42" s="85" t="str">
        <f t="shared" si="3"/>
        <v/>
      </c>
      <c r="AB42" s="85" t="str">
        <f t="shared" si="4"/>
        <v/>
      </c>
      <c r="AC42" s="68" t="s">
        <v>1215</v>
      </c>
      <c r="AD42" s="68" t="s">
        <v>1215</v>
      </c>
      <c r="AE42" s="68" t="s">
        <v>1215</v>
      </c>
      <c r="AF42" s="68" t="s">
        <v>1215</v>
      </c>
      <c r="AG42" s="68" t="s">
        <v>1215</v>
      </c>
      <c r="AH42" s="68" t="s">
        <v>1215</v>
      </c>
      <c r="AI42" s="68" t="s">
        <v>1215</v>
      </c>
      <c r="AJ42" s="68" t="s">
        <v>1215</v>
      </c>
      <c r="AK42" s="68" t="s">
        <v>1215</v>
      </c>
      <c r="AL42" s="68"/>
      <c r="AM42" s="68" t="s">
        <v>1215</v>
      </c>
      <c r="AN42" s="84" t="str">
        <f t="shared" si="5"/>
        <v>Belum Dinilai</v>
      </c>
      <c r="AO42" s="84" t="str">
        <f t="shared" si="6"/>
        <v>Belum Dinilai</v>
      </c>
      <c r="AP42" s="68"/>
      <c r="AQ42" s="71" t="str">
        <f t="shared" si="7"/>
        <v/>
      </c>
      <c r="AR42" s="71" t="str">
        <f t="shared" si="8"/>
        <v/>
      </c>
      <c r="AS42" s="71" t="str">
        <f t="shared" si="9"/>
        <v/>
      </c>
      <c r="AT42" s="69" t="str">
        <f t="shared" si="10"/>
        <v>Belum Dapat Ditentukan</v>
      </c>
      <c r="AU42" s="66" t="s">
        <v>1189</v>
      </c>
      <c r="AV42" s="66" t="s">
        <v>1204</v>
      </c>
      <c r="AW42" s="66" t="s">
        <v>1898</v>
      </c>
      <c r="AX42" s="66" t="s">
        <v>1268</v>
      </c>
      <c r="AY42" s="66">
        <v>2024</v>
      </c>
      <c r="AZ42" s="66" t="s">
        <v>927</v>
      </c>
      <c r="BA42" s="66"/>
      <c r="BB42" s="178"/>
      <c r="BC42" s="72">
        <v>2026</v>
      </c>
      <c r="BD42" s="66"/>
      <c r="BE42" s="178"/>
      <c r="BF42" s="66" t="s">
        <v>1278</v>
      </c>
    </row>
    <row r="43" spans="1:58" ht="42">
      <c r="A43" s="66" t="s">
        <v>1423</v>
      </c>
      <c r="B43" s="66" t="s">
        <v>1456</v>
      </c>
      <c r="C43" s="66"/>
      <c r="D43" s="66"/>
      <c r="E43" s="66" t="s">
        <v>1457</v>
      </c>
      <c r="F43" s="66" t="s">
        <v>1458</v>
      </c>
      <c r="G43" s="66" t="s">
        <v>1310</v>
      </c>
      <c r="H43" s="66" t="s">
        <v>1181</v>
      </c>
      <c r="I43" s="66" t="s">
        <v>1459</v>
      </c>
      <c r="J43" s="66" t="s">
        <v>1210</v>
      </c>
      <c r="K43" s="66" t="s">
        <v>1183</v>
      </c>
      <c r="L43" s="66" t="s">
        <v>905</v>
      </c>
      <c r="M43" s="66" t="s">
        <v>1266</v>
      </c>
      <c r="N43" s="66" t="s">
        <v>905</v>
      </c>
      <c r="O43" s="66" t="s">
        <v>1277</v>
      </c>
      <c r="P43" s="66" t="s">
        <v>1215</v>
      </c>
      <c r="Q43" s="86" t="s">
        <v>1215</v>
      </c>
      <c r="R43" s="86" t="s">
        <v>1215</v>
      </c>
      <c r="S43" s="86" t="s">
        <v>1215</v>
      </c>
      <c r="T43" s="86" t="s">
        <v>1215</v>
      </c>
      <c r="U43" s="86" t="s">
        <v>1215</v>
      </c>
      <c r="V43" s="86" t="s">
        <v>1215</v>
      </c>
      <c r="W43" s="67"/>
      <c r="X43" s="84" t="str">
        <f t="shared" si="0"/>
        <v>Belum Dinilai</v>
      </c>
      <c r="Y43" s="84" t="str">
        <f t="shared" si="1"/>
        <v>Belum Dinilai</v>
      </c>
      <c r="Z43" s="85" t="str">
        <f t="shared" si="2"/>
        <v/>
      </c>
      <c r="AA43" s="85" t="str">
        <f t="shared" si="3"/>
        <v/>
      </c>
      <c r="AB43" s="85" t="str">
        <f t="shared" si="4"/>
        <v/>
      </c>
      <c r="AC43" s="68" t="s">
        <v>1215</v>
      </c>
      <c r="AD43" s="68" t="s">
        <v>1215</v>
      </c>
      <c r="AE43" s="68" t="s">
        <v>1215</v>
      </c>
      <c r="AF43" s="68" t="s">
        <v>1215</v>
      </c>
      <c r="AG43" s="68" t="s">
        <v>1215</v>
      </c>
      <c r="AH43" s="68" t="s">
        <v>1215</v>
      </c>
      <c r="AI43" s="68" t="s">
        <v>1215</v>
      </c>
      <c r="AJ43" s="68" t="s">
        <v>1215</v>
      </c>
      <c r="AK43" s="68" t="s">
        <v>1215</v>
      </c>
      <c r="AL43" s="68"/>
      <c r="AM43" s="68" t="s">
        <v>1215</v>
      </c>
      <c r="AN43" s="84" t="str">
        <f t="shared" si="5"/>
        <v>Belum Dinilai</v>
      </c>
      <c r="AO43" s="84" t="str">
        <f t="shared" si="6"/>
        <v>Belum Dinilai</v>
      </c>
      <c r="AP43" s="68"/>
      <c r="AQ43" s="71" t="str">
        <f t="shared" si="7"/>
        <v/>
      </c>
      <c r="AR43" s="71" t="str">
        <f t="shared" si="8"/>
        <v/>
      </c>
      <c r="AS43" s="71" t="str">
        <f t="shared" si="9"/>
        <v/>
      </c>
      <c r="AT43" s="69" t="str">
        <f t="shared" si="10"/>
        <v>Belum Dapat Ditentukan</v>
      </c>
      <c r="AU43" s="66" t="s">
        <v>1189</v>
      </c>
      <c r="AV43" s="66" t="s">
        <v>1204</v>
      </c>
      <c r="AW43" s="66" t="s">
        <v>1898</v>
      </c>
      <c r="AX43" s="66" t="s">
        <v>1206</v>
      </c>
      <c r="AY43" s="66">
        <v>2023</v>
      </c>
      <c r="AZ43" s="66" t="s">
        <v>927</v>
      </c>
      <c r="BA43" s="66"/>
      <c r="BB43" s="178"/>
      <c r="BC43" s="72">
        <v>2026</v>
      </c>
      <c r="BD43" s="66"/>
      <c r="BE43" s="178"/>
      <c r="BF43" s="66" t="s">
        <v>1278</v>
      </c>
    </row>
    <row r="44" spans="1:58" ht="42">
      <c r="A44" s="66" t="s">
        <v>1939</v>
      </c>
      <c r="B44" s="66" t="s">
        <v>1461</v>
      </c>
      <c r="C44" s="66"/>
      <c r="D44" s="66"/>
      <c r="E44" s="66" t="s">
        <v>1462</v>
      </c>
      <c r="F44" s="66" t="s">
        <v>1425</v>
      </c>
      <c r="G44" s="66" t="s">
        <v>1310</v>
      </c>
      <c r="H44" s="66" t="s">
        <v>1463</v>
      </c>
      <c r="I44" s="66" t="s">
        <v>1464</v>
      </c>
      <c r="J44" s="66" t="s">
        <v>1196</v>
      </c>
      <c r="K44" s="66" t="s">
        <v>1197</v>
      </c>
      <c r="L44" s="66" t="s">
        <v>891</v>
      </c>
      <c r="M44" s="66" t="s">
        <v>1266</v>
      </c>
      <c r="N44" s="66" t="s">
        <v>891</v>
      </c>
      <c r="O44" s="66" t="s">
        <v>1185</v>
      </c>
      <c r="P44" s="66" t="s">
        <v>891</v>
      </c>
      <c r="Q44" s="86" t="s">
        <v>1215</v>
      </c>
      <c r="R44" s="86" t="s">
        <v>1215</v>
      </c>
      <c r="S44" s="86" t="s">
        <v>1215</v>
      </c>
      <c r="T44" s="86" t="s">
        <v>1215</v>
      </c>
      <c r="U44" s="86" t="s">
        <v>1215</v>
      </c>
      <c r="V44" s="86" t="s">
        <v>1215</v>
      </c>
      <c r="W44" s="67"/>
      <c r="X44" s="84" t="str">
        <f t="shared" si="0"/>
        <v>Belum Dinilai</v>
      </c>
      <c r="Y44" s="84" t="str">
        <f t="shared" si="1"/>
        <v>Belum Dinilai</v>
      </c>
      <c r="Z44" s="85" t="str">
        <f t="shared" si="2"/>
        <v/>
      </c>
      <c r="AA44" s="85" t="str">
        <f t="shared" si="3"/>
        <v/>
      </c>
      <c r="AB44" s="85" t="str">
        <f t="shared" si="4"/>
        <v/>
      </c>
      <c r="AC44" s="68" t="s">
        <v>1215</v>
      </c>
      <c r="AD44" s="68" t="s">
        <v>1215</v>
      </c>
      <c r="AE44" s="68" t="s">
        <v>1215</v>
      </c>
      <c r="AF44" s="68" t="s">
        <v>1215</v>
      </c>
      <c r="AG44" s="68" t="s">
        <v>1215</v>
      </c>
      <c r="AH44" s="68" t="s">
        <v>1215</v>
      </c>
      <c r="AI44" s="68" t="s">
        <v>1215</v>
      </c>
      <c r="AJ44" s="68" t="s">
        <v>1215</v>
      </c>
      <c r="AK44" s="68" t="s">
        <v>1215</v>
      </c>
      <c r="AL44" s="68"/>
      <c r="AM44" s="68" t="s">
        <v>1215</v>
      </c>
      <c r="AN44" s="84" t="str">
        <f t="shared" si="5"/>
        <v>Belum Dinilai</v>
      </c>
      <c r="AO44" s="84" t="str">
        <f t="shared" si="6"/>
        <v>Belum Dinilai</v>
      </c>
      <c r="AP44" s="68"/>
      <c r="AQ44" s="71">
        <f t="shared" si="7"/>
        <v>22</v>
      </c>
      <c r="AR44" s="71" t="str">
        <f t="shared" si="8"/>
        <v/>
      </c>
      <c r="AS44" s="71" t="str">
        <f t="shared" si="9"/>
        <v/>
      </c>
      <c r="AT44" s="69" t="str">
        <f t="shared" si="10"/>
        <v>Belum Dapat Ditentukan</v>
      </c>
      <c r="AU44" s="66" t="s">
        <v>1189</v>
      </c>
      <c r="AV44" s="66" t="s">
        <v>1204</v>
      </c>
      <c r="AW44" s="66" t="s">
        <v>1898</v>
      </c>
      <c r="AX44" s="66" t="s">
        <v>1268</v>
      </c>
      <c r="AY44" s="66">
        <v>2024</v>
      </c>
      <c r="AZ44" s="66" t="s">
        <v>927</v>
      </c>
      <c r="BA44" s="66"/>
      <c r="BB44" s="178"/>
      <c r="BC44" s="72">
        <v>2026</v>
      </c>
      <c r="BD44" s="66"/>
      <c r="BE44" s="178"/>
      <c r="BF44" s="66" t="s">
        <v>1278</v>
      </c>
    </row>
    <row r="45" spans="1:58" ht="28">
      <c r="A45" s="66" t="s">
        <v>1940</v>
      </c>
      <c r="B45" s="66" t="s">
        <v>1466</v>
      </c>
      <c r="C45" s="66"/>
      <c r="D45" s="66"/>
      <c r="E45" s="66" t="s">
        <v>1462</v>
      </c>
      <c r="F45" s="66" t="s">
        <v>1425</v>
      </c>
      <c r="G45" s="66" t="s">
        <v>1310</v>
      </c>
      <c r="H45" s="66" t="s">
        <v>1463</v>
      </c>
      <c r="I45" s="66" t="s">
        <v>1467</v>
      </c>
      <c r="J45" s="66" t="s">
        <v>1182</v>
      </c>
      <c r="K45" s="66" t="s">
        <v>1197</v>
      </c>
      <c r="L45" s="66" t="s">
        <v>1215</v>
      </c>
      <c r="M45" s="66" t="s">
        <v>1265</v>
      </c>
      <c r="N45" s="66" t="s">
        <v>1215</v>
      </c>
      <c r="O45" s="66" t="s">
        <v>1213</v>
      </c>
      <c r="P45" s="66" t="s">
        <v>1215</v>
      </c>
      <c r="Q45" s="86" t="s">
        <v>1215</v>
      </c>
      <c r="R45" s="86" t="s">
        <v>1215</v>
      </c>
      <c r="S45" s="86" t="s">
        <v>1215</v>
      </c>
      <c r="T45" s="86" t="s">
        <v>1215</v>
      </c>
      <c r="U45" s="86" t="s">
        <v>1215</v>
      </c>
      <c r="V45" s="86" t="s">
        <v>1215</v>
      </c>
      <c r="W45" s="67"/>
      <c r="X45" s="84" t="str">
        <f t="shared" si="0"/>
        <v>Belum Dinilai</v>
      </c>
      <c r="Y45" s="84" t="str">
        <f t="shared" si="1"/>
        <v>Belum Dinilai</v>
      </c>
      <c r="Z45" s="85" t="str">
        <f t="shared" si="2"/>
        <v/>
      </c>
      <c r="AA45" s="85" t="str">
        <f t="shared" si="3"/>
        <v/>
      </c>
      <c r="AB45" s="85" t="str">
        <f t="shared" si="4"/>
        <v/>
      </c>
      <c r="AC45" s="68" t="s">
        <v>1215</v>
      </c>
      <c r="AD45" s="68" t="s">
        <v>1215</v>
      </c>
      <c r="AE45" s="68" t="s">
        <v>1215</v>
      </c>
      <c r="AF45" s="68" t="s">
        <v>1215</v>
      </c>
      <c r="AG45" s="68" t="s">
        <v>1215</v>
      </c>
      <c r="AH45" s="68" t="s">
        <v>1215</v>
      </c>
      <c r="AI45" s="68" t="s">
        <v>1215</v>
      </c>
      <c r="AJ45" s="68" t="s">
        <v>1215</v>
      </c>
      <c r="AK45" s="68" t="s">
        <v>1215</v>
      </c>
      <c r="AL45" s="68"/>
      <c r="AM45" s="68" t="s">
        <v>1215</v>
      </c>
      <c r="AN45" s="84" t="str">
        <f t="shared" si="5"/>
        <v>Belum Dinilai</v>
      </c>
      <c r="AO45" s="84" t="str">
        <f t="shared" si="6"/>
        <v>Belum Dinilai</v>
      </c>
      <c r="AP45" s="68"/>
      <c r="AQ45" s="71" t="str">
        <f t="shared" si="7"/>
        <v/>
      </c>
      <c r="AR45" s="71" t="str">
        <f t="shared" si="8"/>
        <v/>
      </c>
      <c r="AS45" s="71" t="str">
        <f t="shared" si="9"/>
        <v/>
      </c>
      <c r="AT45" s="69" t="str">
        <f t="shared" si="10"/>
        <v>Belum Dapat Ditentukan</v>
      </c>
      <c r="AU45" s="66" t="s">
        <v>1189</v>
      </c>
      <c r="AV45" s="66" t="s">
        <v>1204</v>
      </c>
      <c r="AW45" s="66" t="s">
        <v>1190</v>
      </c>
      <c r="AX45" s="66"/>
      <c r="AY45" s="66"/>
      <c r="AZ45" s="66" t="s">
        <v>927</v>
      </c>
      <c r="BA45" s="66"/>
      <c r="BB45" s="178"/>
      <c r="BC45" s="72">
        <v>2026</v>
      </c>
      <c r="BD45" s="66"/>
      <c r="BE45" s="178"/>
      <c r="BF45" s="66" t="s">
        <v>1278</v>
      </c>
    </row>
    <row r="46" spans="1:58" ht="28">
      <c r="A46" s="66" t="s">
        <v>1426</v>
      </c>
      <c r="B46" s="66" t="s">
        <v>1469</v>
      </c>
      <c r="C46" s="66"/>
      <c r="D46" s="66"/>
      <c r="E46" s="66" t="s">
        <v>1304</v>
      </c>
      <c r="F46" s="66" t="s">
        <v>1425</v>
      </c>
      <c r="G46" s="66" t="s">
        <v>1310</v>
      </c>
      <c r="H46" s="66" t="s">
        <v>1181</v>
      </c>
      <c r="I46" s="66" t="s">
        <v>1290</v>
      </c>
      <c r="J46" s="66" t="s">
        <v>1210</v>
      </c>
      <c r="K46" s="66" t="s">
        <v>1277</v>
      </c>
      <c r="L46" s="66" t="s">
        <v>1215</v>
      </c>
      <c r="M46" s="66" t="s">
        <v>1266</v>
      </c>
      <c r="N46" s="66" t="s">
        <v>1215</v>
      </c>
      <c r="O46" s="66" t="s">
        <v>1277</v>
      </c>
      <c r="P46" s="66" t="s">
        <v>1215</v>
      </c>
      <c r="Q46" s="86" t="s">
        <v>1215</v>
      </c>
      <c r="R46" s="86" t="s">
        <v>1215</v>
      </c>
      <c r="S46" s="86" t="s">
        <v>1215</v>
      </c>
      <c r="T46" s="86" t="s">
        <v>1215</v>
      </c>
      <c r="U46" s="86" t="s">
        <v>1215</v>
      </c>
      <c r="V46" s="86" t="s">
        <v>1215</v>
      </c>
      <c r="W46" s="67"/>
      <c r="X46" s="84" t="str">
        <f t="shared" si="0"/>
        <v>Belum Dinilai</v>
      </c>
      <c r="Y46" s="84" t="str">
        <f t="shared" si="1"/>
        <v>Belum Dinilai</v>
      </c>
      <c r="Z46" s="85" t="str">
        <f t="shared" si="2"/>
        <v/>
      </c>
      <c r="AA46" s="85" t="str">
        <f t="shared" si="3"/>
        <v/>
      </c>
      <c r="AB46" s="85" t="str">
        <f t="shared" si="4"/>
        <v/>
      </c>
      <c r="AC46" s="68" t="s">
        <v>1215</v>
      </c>
      <c r="AD46" s="68" t="s">
        <v>1215</v>
      </c>
      <c r="AE46" s="68" t="s">
        <v>1215</v>
      </c>
      <c r="AF46" s="68" t="s">
        <v>1215</v>
      </c>
      <c r="AG46" s="68" t="s">
        <v>1215</v>
      </c>
      <c r="AH46" s="68" t="s">
        <v>1215</v>
      </c>
      <c r="AI46" s="68" t="s">
        <v>1215</v>
      </c>
      <c r="AJ46" s="68" t="s">
        <v>1215</v>
      </c>
      <c r="AK46" s="68" t="s">
        <v>1215</v>
      </c>
      <c r="AL46" s="68"/>
      <c r="AM46" s="68" t="s">
        <v>1215</v>
      </c>
      <c r="AN46" s="84" t="str">
        <f t="shared" si="5"/>
        <v>Belum Dinilai</v>
      </c>
      <c r="AO46" s="84" t="str">
        <f t="shared" si="6"/>
        <v>Belum Dinilai</v>
      </c>
      <c r="AP46" s="68"/>
      <c r="AQ46" s="71" t="str">
        <f t="shared" si="7"/>
        <v/>
      </c>
      <c r="AR46" s="71" t="str">
        <f t="shared" si="8"/>
        <v/>
      </c>
      <c r="AS46" s="71" t="str">
        <f t="shared" si="9"/>
        <v/>
      </c>
      <c r="AT46" s="69" t="str">
        <f t="shared" si="10"/>
        <v>Belum Dapat Ditentukan</v>
      </c>
      <c r="AU46" s="66" t="s">
        <v>1189</v>
      </c>
      <c r="AV46" s="66" t="s">
        <v>1204</v>
      </c>
      <c r="AW46" s="66" t="s">
        <v>1898</v>
      </c>
      <c r="AX46" s="66" t="s">
        <v>1268</v>
      </c>
      <c r="AY46" s="66">
        <v>2024</v>
      </c>
      <c r="AZ46" s="66" t="s">
        <v>927</v>
      </c>
      <c r="BA46" s="66"/>
      <c r="BB46" s="178"/>
      <c r="BC46" s="72">
        <v>2026</v>
      </c>
      <c r="BD46" s="66"/>
      <c r="BE46" s="178"/>
      <c r="BF46" s="66" t="s">
        <v>1278</v>
      </c>
    </row>
    <row r="47" spans="1:58" ht="42">
      <c r="A47" s="66" t="s">
        <v>1431</v>
      </c>
      <c r="B47" s="66" t="s">
        <v>1473</v>
      </c>
      <c r="C47" s="66"/>
      <c r="D47" s="66"/>
      <c r="E47" s="66" t="s">
        <v>1304</v>
      </c>
      <c r="F47" s="66" t="s">
        <v>1474</v>
      </c>
      <c r="G47" s="66" t="s">
        <v>1310</v>
      </c>
      <c r="H47" s="66" t="s">
        <v>1181</v>
      </c>
      <c r="I47" s="66" t="s">
        <v>1475</v>
      </c>
      <c r="J47" s="66" t="s">
        <v>1210</v>
      </c>
      <c r="K47" s="66" t="s">
        <v>1197</v>
      </c>
      <c r="L47" s="66" t="s">
        <v>895</v>
      </c>
      <c r="M47" s="66" t="s">
        <v>1266</v>
      </c>
      <c r="N47" s="66" t="s">
        <v>895</v>
      </c>
      <c r="O47" s="66" t="s">
        <v>1213</v>
      </c>
      <c r="P47" s="66" t="s">
        <v>895</v>
      </c>
      <c r="Q47" s="86" t="s">
        <v>1215</v>
      </c>
      <c r="R47" s="86" t="s">
        <v>1215</v>
      </c>
      <c r="S47" s="86" t="s">
        <v>1215</v>
      </c>
      <c r="T47" s="86" t="s">
        <v>1215</v>
      </c>
      <c r="U47" s="86" t="s">
        <v>1215</v>
      </c>
      <c r="V47" s="86" t="s">
        <v>1215</v>
      </c>
      <c r="W47" s="67"/>
      <c r="X47" s="84" t="str">
        <f t="shared" si="0"/>
        <v>Belum Dinilai</v>
      </c>
      <c r="Y47" s="84" t="str">
        <f t="shared" si="1"/>
        <v>Belum Dinilai</v>
      </c>
      <c r="Z47" s="85" t="str">
        <f t="shared" si="2"/>
        <v/>
      </c>
      <c r="AA47" s="85" t="str">
        <f t="shared" si="3"/>
        <v/>
      </c>
      <c r="AB47" s="85" t="str">
        <f t="shared" si="4"/>
        <v/>
      </c>
      <c r="AC47" s="68" t="s">
        <v>1215</v>
      </c>
      <c r="AD47" s="68" t="s">
        <v>1215</v>
      </c>
      <c r="AE47" s="68" t="s">
        <v>1215</v>
      </c>
      <c r="AF47" s="68" t="s">
        <v>1215</v>
      </c>
      <c r="AG47" s="68" t="s">
        <v>1215</v>
      </c>
      <c r="AH47" s="68" t="s">
        <v>1215</v>
      </c>
      <c r="AI47" s="68" t="s">
        <v>1215</v>
      </c>
      <c r="AJ47" s="68" t="s">
        <v>1215</v>
      </c>
      <c r="AK47" s="68" t="s">
        <v>1215</v>
      </c>
      <c r="AL47" s="68"/>
      <c r="AM47" s="68" t="s">
        <v>1215</v>
      </c>
      <c r="AN47" s="84" t="str">
        <f t="shared" si="5"/>
        <v>Belum Dinilai</v>
      </c>
      <c r="AO47" s="84" t="str">
        <f t="shared" si="6"/>
        <v>Belum Dinilai</v>
      </c>
      <c r="AP47" s="68"/>
      <c r="AQ47" s="71">
        <f t="shared" si="7"/>
        <v>57</v>
      </c>
      <c r="AR47" s="71" t="str">
        <f t="shared" si="8"/>
        <v/>
      </c>
      <c r="AS47" s="71" t="str">
        <f t="shared" si="9"/>
        <v/>
      </c>
      <c r="AT47" s="69" t="str">
        <f t="shared" si="10"/>
        <v>Belum Dapat Ditentukan</v>
      </c>
      <c r="AU47" s="66" t="s">
        <v>1189</v>
      </c>
      <c r="AV47" s="66" t="s">
        <v>1204</v>
      </c>
      <c r="AW47" s="66" t="s">
        <v>1898</v>
      </c>
      <c r="AX47" s="66" t="s">
        <v>1268</v>
      </c>
      <c r="AY47" s="66">
        <v>2023</v>
      </c>
      <c r="AZ47" s="66" t="s">
        <v>927</v>
      </c>
      <c r="BA47" s="66"/>
      <c r="BB47" s="178"/>
      <c r="BC47" s="72">
        <v>2026</v>
      </c>
      <c r="BD47" s="66"/>
      <c r="BE47" s="178"/>
      <c r="BF47" s="66" t="s">
        <v>1278</v>
      </c>
    </row>
    <row r="48" spans="1:58" ht="56">
      <c r="A48" s="66" t="s">
        <v>1434</v>
      </c>
      <c r="B48" s="66" t="s">
        <v>1477</v>
      </c>
      <c r="C48" s="66"/>
      <c r="D48" s="66"/>
      <c r="E48" s="66" t="s">
        <v>1478</v>
      </c>
      <c r="F48" s="66" t="s">
        <v>1474</v>
      </c>
      <c r="G48" s="66" t="s">
        <v>1310</v>
      </c>
      <c r="H48" s="66" t="s">
        <v>1463</v>
      </c>
      <c r="I48" s="66" t="s">
        <v>1479</v>
      </c>
      <c r="J48" s="66" t="s">
        <v>1196</v>
      </c>
      <c r="K48" s="66" t="s">
        <v>1183</v>
      </c>
      <c r="L48" s="66" t="s">
        <v>1215</v>
      </c>
      <c r="M48" s="66" t="s">
        <v>1305</v>
      </c>
      <c r="N48" s="66" t="s">
        <v>1215</v>
      </c>
      <c r="O48" s="66" t="s">
        <v>1213</v>
      </c>
      <c r="P48" s="66" t="s">
        <v>1215</v>
      </c>
      <c r="Q48" s="86" t="s">
        <v>1215</v>
      </c>
      <c r="R48" s="86" t="s">
        <v>1215</v>
      </c>
      <c r="S48" s="86" t="s">
        <v>1215</v>
      </c>
      <c r="T48" s="86" t="s">
        <v>1215</v>
      </c>
      <c r="U48" s="86" t="s">
        <v>1215</v>
      </c>
      <c r="V48" s="86" t="s">
        <v>1215</v>
      </c>
      <c r="W48" s="67"/>
      <c r="X48" s="84" t="str">
        <f t="shared" si="0"/>
        <v>Belum Dinilai</v>
      </c>
      <c r="Y48" s="84" t="str">
        <f t="shared" si="1"/>
        <v>Belum Dinilai</v>
      </c>
      <c r="Z48" s="85" t="str">
        <f t="shared" si="2"/>
        <v/>
      </c>
      <c r="AA48" s="85" t="str">
        <f t="shared" si="3"/>
        <v/>
      </c>
      <c r="AB48" s="85" t="str">
        <f t="shared" si="4"/>
        <v/>
      </c>
      <c r="AC48" s="68" t="s">
        <v>1215</v>
      </c>
      <c r="AD48" s="68" t="s">
        <v>1215</v>
      </c>
      <c r="AE48" s="68" t="s">
        <v>1215</v>
      </c>
      <c r="AF48" s="68" t="s">
        <v>1215</v>
      </c>
      <c r="AG48" s="68" t="s">
        <v>1215</v>
      </c>
      <c r="AH48" s="68" t="s">
        <v>1215</v>
      </c>
      <c r="AI48" s="68" t="s">
        <v>1215</v>
      </c>
      <c r="AJ48" s="68" t="s">
        <v>1215</v>
      </c>
      <c r="AK48" s="68" t="s">
        <v>1215</v>
      </c>
      <c r="AL48" s="68"/>
      <c r="AM48" s="68" t="s">
        <v>1215</v>
      </c>
      <c r="AN48" s="84" t="str">
        <f t="shared" si="5"/>
        <v>Belum Dinilai</v>
      </c>
      <c r="AO48" s="84" t="str">
        <f t="shared" si="6"/>
        <v>Belum Dinilai</v>
      </c>
      <c r="AP48" s="68"/>
      <c r="AQ48" s="71" t="str">
        <f t="shared" si="7"/>
        <v/>
      </c>
      <c r="AR48" s="71" t="str">
        <f t="shared" si="8"/>
        <v/>
      </c>
      <c r="AS48" s="71" t="str">
        <f t="shared" si="9"/>
        <v/>
      </c>
      <c r="AT48" s="69" t="str">
        <f t="shared" si="10"/>
        <v>Belum Dapat Ditentukan</v>
      </c>
      <c r="AU48" s="66" t="s">
        <v>1189</v>
      </c>
      <c r="AV48" s="66" t="s">
        <v>1204</v>
      </c>
      <c r="AW48" s="66" t="s">
        <v>1898</v>
      </c>
      <c r="AX48" s="66" t="s">
        <v>1217</v>
      </c>
      <c r="AY48" s="66">
        <v>2023</v>
      </c>
      <c r="AZ48" s="66" t="s">
        <v>927</v>
      </c>
      <c r="BA48" s="66"/>
      <c r="BB48" s="178"/>
      <c r="BC48" s="72">
        <v>2026</v>
      </c>
      <c r="BD48" s="66"/>
      <c r="BE48" s="178"/>
      <c r="BF48" s="66" t="s">
        <v>1278</v>
      </c>
    </row>
    <row r="49" spans="1:58" ht="56">
      <c r="A49" s="66" t="s">
        <v>1437</v>
      </c>
      <c r="B49" s="66" t="s">
        <v>1481</v>
      </c>
      <c r="C49" s="66"/>
      <c r="D49" s="66"/>
      <c r="E49" s="66" t="s">
        <v>1482</v>
      </c>
      <c r="F49" s="66" t="s">
        <v>1474</v>
      </c>
      <c r="G49" s="66" t="s">
        <v>1310</v>
      </c>
      <c r="H49" s="66" t="s">
        <v>1181</v>
      </c>
      <c r="I49" s="66" t="s">
        <v>1483</v>
      </c>
      <c r="J49" s="66" t="s">
        <v>1196</v>
      </c>
      <c r="K49" s="66" t="s">
        <v>1211</v>
      </c>
      <c r="L49" s="66" t="s">
        <v>891</v>
      </c>
      <c r="M49" s="66" t="s">
        <v>1266</v>
      </c>
      <c r="N49" s="66" t="s">
        <v>891</v>
      </c>
      <c r="O49" s="66" t="s">
        <v>1213</v>
      </c>
      <c r="P49" s="66" t="s">
        <v>891</v>
      </c>
      <c r="Q49" s="86" t="s">
        <v>1215</v>
      </c>
      <c r="R49" s="86" t="s">
        <v>1215</v>
      </c>
      <c r="S49" s="86" t="s">
        <v>1215</v>
      </c>
      <c r="T49" s="86" t="s">
        <v>1215</v>
      </c>
      <c r="U49" s="86" t="s">
        <v>1215</v>
      </c>
      <c r="V49" s="86" t="s">
        <v>1215</v>
      </c>
      <c r="W49" s="67"/>
      <c r="X49" s="84" t="str">
        <f t="shared" si="0"/>
        <v>Belum Dinilai</v>
      </c>
      <c r="Y49" s="84" t="str">
        <f t="shared" si="1"/>
        <v>Belum Dinilai</v>
      </c>
      <c r="Z49" s="85" t="str">
        <f t="shared" si="2"/>
        <v/>
      </c>
      <c r="AA49" s="85" t="str">
        <f t="shared" si="3"/>
        <v/>
      </c>
      <c r="AB49" s="85" t="str">
        <f t="shared" si="4"/>
        <v/>
      </c>
      <c r="AC49" s="68" t="s">
        <v>1215</v>
      </c>
      <c r="AD49" s="68" t="s">
        <v>1215</v>
      </c>
      <c r="AE49" s="68" t="s">
        <v>1215</v>
      </c>
      <c r="AF49" s="68" t="s">
        <v>1215</v>
      </c>
      <c r="AG49" s="68" t="s">
        <v>1215</v>
      </c>
      <c r="AH49" s="68" t="s">
        <v>1215</v>
      </c>
      <c r="AI49" s="68" t="s">
        <v>1215</v>
      </c>
      <c r="AJ49" s="68" t="s">
        <v>1215</v>
      </c>
      <c r="AK49" s="68" t="s">
        <v>1215</v>
      </c>
      <c r="AL49" s="68"/>
      <c r="AM49" s="68" t="s">
        <v>1215</v>
      </c>
      <c r="AN49" s="84" t="str">
        <f t="shared" si="5"/>
        <v>Belum Dinilai</v>
      </c>
      <c r="AO49" s="84" t="str">
        <f t="shared" si="6"/>
        <v>Belum Dinilai</v>
      </c>
      <c r="AP49" s="68"/>
      <c r="AQ49" s="71">
        <f t="shared" si="7"/>
        <v>22</v>
      </c>
      <c r="AR49" s="71" t="str">
        <f t="shared" si="8"/>
        <v/>
      </c>
      <c r="AS49" s="71" t="str">
        <f t="shared" si="9"/>
        <v/>
      </c>
      <c r="AT49" s="69" t="str">
        <f t="shared" si="10"/>
        <v>Belum Dapat Ditentukan</v>
      </c>
      <c r="AU49" s="66" t="s">
        <v>1189</v>
      </c>
      <c r="AV49" s="66" t="s">
        <v>1204</v>
      </c>
      <c r="AW49" s="66" t="s">
        <v>1898</v>
      </c>
      <c r="AX49" s="66" t="s">
        <v>1206</v>
      </c>
      <c r="AY49" s="66">
        <v>2023</v>
      </c>
      <c r="AZ49" s="66" t="s">
        <v>927</v>
      </c>
      <c r="BA49" s="66"/>
      <c r="BB49" s="178"/>
      <c r="BC49" s="72">
        <v>2026</v>
      </c>
      <c r="BD49" s="66"/>
      <c r="BE49" s="178"/>
      <c r="BF49" s="66" t="s">
        <v>1278</v>
      </c>
    </row>
    <row r="50" spans="1:58" ht="42">
      <c r="A50" s="66" t="s">
        <v>1441</v>
      </c>
      <c r="B50" s="66" t="s">
        <v>1485</v>
      </c>
      <c r="C50" s="66"/>
      <c r="D50" s="66"/>
      <c r="E50" s="66" t="s">
        <v>1486</v>
      </c>
      <c r="F50" s="66" t="s">
        <v>1315</v>
      </c>
      <c r="G50" s="66" t="s">
        <v>1289</v>
      </c>
      <c r="H50" s="66" t="s">
        <v>1181</v>
      </c>
      <c r="I50" s="66" t="s">
        <v>1487</v>
      </c>
      <c r="J50" s="66" t="s">
        <v>1210</v>
      </c>
      <c r="K50" s="66" t="s">
        <v>1183</v>
      </c>
      <c r="L50" s="66" t="s">
        <v>895</v>
      </c>
      <c r="M50" s="66" t="s">
        <v>1266</v>
      </c>
      <c r="N50" s="66" t="s">
        <v>895</v>
      </c>
      <c r="O50" s="66" t="s">
        <v>1213</v>
      </c>
      <c r="P50" s="66" t="s">
        <v>895</v>
      </c>
      <c r="Q50" s="86" t="s">
        <v>1215</v>
      </c>
      <c r="R50" s="86" t="s">
        <v>1215</v>
      </c>
      <c r="S50" s="86" t="s">
        <v>1215</v>
      </c>
      <c r="T50" s="86" t="s">
        <v>1215</v>
      </c>
      <c r="U50" s="86" t="s">
        <v>1215</v>
      </c>
      <c r="V50" s="86" t="s">
        <v>1215</v>
      </c>
      <c r="W50" s="67"/>
      <c r="X50" s="84" t="str">
        <f t="shared" si="0"/>
        <v>Belum Dinilai</v>
      </c>
      <c r="Y50" s="84" t="str">
        <f t="shared" si="1"/>
        <v>Belum Dinilai</v>
      </c>
      <c r="Z50" s="85" t="str">
        <f t="shared" si="2"/>
        <v/>
      </c>
      <c r="AA50" s="85" t="str">
        <f t="shared" si="3"/>
        <v/>
      </c>
      <c r="AB50" s="85" t="str">
        <f t="shared" si="4"/>
        <v/>
      </c>
      <c r="AC50" s="68" t="s">
        <v>1215</v>
      </c>
      <c r="AD50" s="68" t="s">
        <v>1215</v>
      </c>
      <c r="AE50" s="68" t="s">
        <v>1215</v>
      </c>
      <c r="AF50" s="68" t="s">
        <v>1215</v>
      </c>
      <c r="AG50" s="68" t="s">
        <v>1215</v>
      </c>
      <c r="AH50" s="68" t="s">
        <v>1215</v>
      </c>
      <c r="AI50" s="68" t="s">
        <v>1215</v>
      </c>
      <c r="AJ50" s="68" t="s">
        <v>1215</v>
      </c>
      <c r="AK50" s="68" t="s">
        <v>1215</v>
      </c>
      <c r="AL50" s="68"/>
      <c r="AM50" s="68" t="s">
        <v>1215</v>
      </c>
      <c r="AN50" s="84" t="str">
        <f t="shared" si="5"/>
        <v>Belum Dinilai</v>
      </c>
      <c r="AO50" s="84" t="str">
        <f t="shared" si="6"/>
        <v>Belum Dinilai</v>
      </c>
      <c r="AP50" s="68"/>
      <c r="AQ50" s="71">
        <f t="shared" si="7"/>
        <v>57</v>
      </c>
      <c r="AR50" s="71" t="str">
        <f t="shared" si="8"/>
        <v/>
      </c>
      <c r="AS50" s="71" t="str">
        <f t="shared" si="9"/>
        <v/>
      </c>
      <c r="AT50" s="69" t="str">
        <f t="shared" si="10"/>
        <v>Belum Dapat Ditentukan</v>
      </c>
      <c r="AU50" s="66" t="s">
        <v>1189</v>
      </c>
      <c r="AV50" s="66" t="s">
        <v>1204</v>
      </c>
      <c r="AW50" s="66" t="s">
        <v>1898</v>
      </c>
      <c r="AX50" s="66" t="s">
        <v>1217</v>
      </c>
      <c r="AY50" s="66"/>
      <c r="AZ50" s="66" t="s">
        <v>927</v>
      </c>
      <c r="BA50" s="66"/>
      <c r="BB50" s="178"/>
      <c r="BC50" s="72">
        <v>2026</v>
      </c>
      <c r="BD50" s="66"/>
      <c r="BE50" s="178"/>
      <c r="BF50" s="66" t="s">
        <v>1278</v>
      </c>
    </row>
    <row r="51" spans="1:58" ht="28">
      <c r="A51" s="66" t="s">
        <v>1443</v>
      </c>
      <c r="B51" s="66" t="s">
        <v>1489</v>
      </c>
      <c r="C51" s="66"/>
      <c r="D51" s="66"/>
      <c r="E51" s="66" t="s">
        <v>1490</v>
      </c>
      <c r="F51" s="66" t="s">
        <v>1288</v>
      </c>
      <c r="G51" s="66" t="s">
        <v>1289</v>
      </c>
      <c r="H51" s="66" t="s">
        <v>1181</v>
      </c>
      <c r="I51" s="66" t="s">
        <v>1290</v>
      </c>
      <c r="J51" s="66" t="s">
        <v>1210</v>
      </c>
      <c r="K51" s="66" t="s">
        <v>1277</v>
      </c>
      <c r="L51" s="66" t="s">
        <v>1215</v>
      </c>
      <c r="M51" s="66" t="s">
        <v>1266</v>
      </c>
      <c r="N51" s="66" t="s">
        <v>1215</v>
      </c>
      <c r="O51" s="66" t="s">
        <v>1277</v>
      </c>
      <c r="P51" s="66" t="s">
        <v>1215</v>
      </c>
      <c r="Q51" s="86" t="s">
        <v>1215</v>
      </c>
      <c r="R51" s="86" t="s">
        <v>1215</v>
      </c>
      <c r="S51" s="86" t="s">
        <v>1215</v>
      </c>
      <c r="T51" s="86" t="s">
        <v>1215</v>
      </c>
      <c r="U51" s="86" t="s">
        <v>1215</v>
      </c>
      <c r="V51" s="86" t="s">
        <v>1215</v>
      </c>
      <c r="W51" s="67"/>
      <c r="X51" s="84" t="str">
        <f t="shared" si="0"/>
        <v>Belum Dinilai</v>
      </c>
      <c r="Y51" s="84" t="str">
        <f t="shared" si="1"/>
        <v>Belum Dinilai</v>
      </c>
      <c r="Z51" s="85" t="str">
        <f t="shared" si="2"/>
        <v/>
      </c>
      <c r="AA51" s="85" t="str">
        <f t="shared" si="3"/>
        <v/>
      </c>
      <c r="AB51" s="85" t="str">
        <f t="shared" si="4"/>
        <v/>
      </c>
      <c r="AC51" s="68" t="s">
        <v>1215</v>
      </c>
      <c r="AD51" s="68" t="s">
        <v>1215</v>
      </c>
      <c r="AE51" s="68" t="s">
        <v>1215</v>
      </c>
      <c r="AF51" s="68" t="s">
        <v>1215</v>
      </c>
      <c r="AG51" s="68" t="s">
        <v>1215</v>
      </c>
      <c r="AH51" s="68" t="s">
        <v>1215</v>
      </c>
      <c r="AI51" s="68" t="s">
        <v>1215</v>
      </c>
      <c r="AJ51" s="68" t="s">
        <v>1215</v>
      </c>
      <c r="AK51" s="68" t="s">
        <v>1215</v>
      </c>
      <c r="AL51" s="68"/>
      <c r="AM51" s="68" t="s">
        <v>1215</v>
      </c>
      <c r="AN51" s="84" t="str">
        <f t="shared" si="5"/>
        <v>Belum Dinilai</v>
      </c>
      <c r="AO51" s="84" t="str">
        <f t="shared" si="6"/>
        <v>Belum Dinilai</v>
      </c>
      <c r="AP51" s="68"/>
      <c r="AQ51" s="71" t="str">
        <f t="shared" si="7"/>
        <v/>
      </c>
      <c r="AR51" s="71" t="str">
        <f t="shared" si="8"/>
        <v/>
      </c>
      <c r="AS51" s="71" t="str">
        <f t="shared" si="9"/>
        <v/>
      </c>
      <c r="AT51" s="69" t="str">
        <f t="shared" si="10"/>
        <v>Belum Dapat Ditentukan</v>
      </c>
      <c r="AU51" s="66" t="s">
        <v>1189</v>
      </c>
      <c r="AV51" s="66" t="s">
        <v>1204</v>
      </c>
      <c r="AW51" s="66" t="s">
        <v>1898</v>
      </c>
      <c r="AX51" s="66" t="s">
        <v>1206</v>
      </c>
      <c r="AY51" s="66">
        <v>2023</v>
      </c>
      <c r="AZ51" s="66" t="s">
        <v>927</v>
      </c>
      <c r="BA51" s="66"/>
      <c r="BB51" s="178"/>
      <c r="BC51" s="72">
        <v>2026</v>
      </c>
      <c r="BD51" s="66"/>
      <c r="BE51" s="178"/>
      <c r="BF51" s="66" t="s">
        <v>1278</v>
      </c>
    </row>
    <row r="52" spans="1:58" ht="42">
      <c r="A52" s="66" t="s">
        <v>1447</v>
      </c>
      <c r="B52" s="66" t="s">
        <v>1492</v>
      </c>
      <c r="C52" s="66"/>
      <c r="D52" s="66"/>
      <c r="E52" s="66" t="s">
        <v>1493</v>
      </c>
      <c r="F52" s="66" t="s">
        <v>1356</v>
      </c>
      <c r="G52" s="66" t="s">
        <v>1289</v>
      </c>
      <c r="H52" s="66" t="s">
        <v>1181</v>
      </c>
      <c r="I52" s="66" t="s">
        <v>1494</v>
      </c>
      <c r="J52" s="66" t="s">
        <v>1196</v>
      </c>
      <c r="K52" s="66" t="s">
        <v>1211</v>
      </c>
      <c r="L52" s="66" t="s">
        <v>1215</v>
      </c>
      <c r="M52" s="66" t="s">
        <v>1266</v>
      </c>
      <c r="N52" s="66" t="s">
        <v>1215</v>
      </c>
      <c r="O52" s="66" t="s">
        <v>1213</v>
      </c>
      <c r="P52" s="66" t="s">
        <v>1215</v>
      </c>
      <c r="Q52" s="86" t="s">
        <v>1215</v>
      </c>
      <c r="R52" s="86" t="s">
        <v>1215</v>
      </c>
      <c r="S52" s="86" t="s">
        <v>1215</v>
      </c>
      <c r="T52" s="86" t="s">
        <v>1215</v>
      </c>
      <c r="U52" s="86" t="s">
        <v>1215</v>
      </c>
      <c r="V52" s="86" t="s">
        <v>1215</v>
      </c>
      <c r="W52" s="67"/>
      <c r="X52" s="84" t="str">
        <f t="shared" si="0"/>
        <v>Belum Dinilai</v>
      </c>
      <c r="Y52" s="84" t="str">
        <f t="shared" si="1"/>
        <v>Belum Dinilai</v>
      </c>
      <c r="Z52" s="85" t="str">
        <f t="shared" si="2"/>
        <v/>
      </c>
      <c r="AA52" s="85" t="str">
        <f t="shared" si="3"/>
        <v/>
      </c>
      <c r="AB52" s="85" t="str">
        <f t="shared" si="4"/>
        <v/>
      </c>
      <c r="AC52" s="68" t="s">
        <v>1215</v>
      </c>
      <c r="AD52" s="68" t="s">
        <v>1215</v>
      </c>
      <c r="AE52" s="68" t="s">
        <v>1215</v>
      </c>
      <c r="AF52" s="68" t="s">
        <v>1215</v>
      </c>
      <c r="AG52" s="68" t="s">
        <v>1215</v>
      </c>
      <c r="AH52" s="68" t="s">
        <v>1215</v>
      </c>
      <c r="AI52" s="68" t="s">
        <v>1215</v>
      </c>
      <c r="AJ52" s="68" t="s">
        <v>1215</v>
      </c>
      <c r="AK52" s="68" t="s">
        <v>1215</v>
      </c>
      <c r="AL52" s="68"/>
      <c r="AM52" s="68" t="s">
        <v>1215</v>
      </c>
      <c r="AN52" s="84" t="str">
        <f t="shared" si="5"/>
        <v>Belum Dinilai</v>
      </c>
      <c r="AO52" s="84" t="str">
        <f t="shared" si="6"/>
        <v>Belum Dinilai</v>
      </c>
      <c r="AP52" s="68"/>
      <c r="AQ52" s="71" t="str">
        <f t="shared" si="7"/>
        <v/>
      </c>
      <c r="AR52" s="71" t="str">
        <f t="shared" si="8"/>
        <v/>
      </c>
      <c r="AS52" s="71" t="str">
        <f t="shared" si="9"/>
        <v/>
      </c>
      <c r="AT52" s="69" t="str">
        <f t="shared" si="10"/>
        <v>Belum Dapat Ditentukan</v>
      </c>
      <c r="AU52" s="66" t="s">
        <v>1203</v>
      </c>
      <c r="AV52" s="66" t="s">
        <v>1204</v>
      </c>
      <c r="AW52" s="66" t="s">
        <v>1190</v>
      </c>
      <c r="AX52" s="66"/>
      <c r="AY52" s="66"/>
      <c r="AZ52" s="66" t="s">
        <v>927</v>
      </c>
      <c r="BA52" s="66"/>
      <c r="BB52" s="178"/>
      <c r="BC52" s="72">
        <v>2026</v>
      </c>
      <c r="BD52" s="66"/>
      <c r="BE52" s="178"/>
      <c r="BF52" s="66" t="s">
        <v>1278</v>
      </c>
    </row>
    <row r="53" spans="1:58" ht="28">
      <c r="A53" s="66" t="s">
        <v>1451</v>
      </c>
      <c r="B53" s="66" t="s">
        <v>1496</v>
      </c>
      <c r="C53" s="66"/>
      <c r="D53" s="66"/>
      <c r="E53" s="66" t="s">
        <v>1497</v>
      </c>
      <c r="F53" s="66" t="s">
        <v>1356</v>
      </c>
      <c r="G53" s="66" t="s">
        <v>1289</v>
      </c>
      <c r="H53" s="66" t="s">
        <v>1195</v>
      </c>
      <c r="I53" s="66" t="s">
        <v>1498</v>
      </c>
      <c r="J53" s="66" t="s">
        <v>1263</v>
      </c>
      <c r="K53" s="66" t="s">
        <v>1277</v>
      </c>
      <c r="L53" s="66" t="s">
        <v>1215</v>
      </c>
      <c r="M53" s="66" t="s">
        <v>1277</v>
      </c>
      <c r="N53" s="66" t="s">
        <v>1215</v>
      </c>
      <c r="O53" s="66" t="s">
        <v>1277</v>
      </c>
      <c r="P53" s="66" t="s">
        <v>1215</v>
      </c>
      <c r="Q53" s="86" t="s">
        <v>1215</v>
      </c>
      <c r="R53" s="86" t="s">
        <v>1215</v>
      </c>
      <c r="S53" s="86" t="s">
        <v>1215</v>
      </c>
      <c r="T53" s="86" t="s">
        <v>1215</v>
      </c>
      <c r="U53" s="86" t="s">
        <v>1215</v>
      </c>
      <c r="V53" s="86" t="s">
        <v>1215</v>
      </c>
      <c r="W53" s="67"/>
      <c r="X53" s="84" t="str">
        <f t="shared" si="0"/>
        <v>Belum Dinilai</v>
      </c>
      <c r="Y53" s="84" t="str">
        <f t="shared" si="1"/>
        <v>Belum Dinilai</v>
      </c>
      <c r="Z53" s="85" t="str">
        <f t="shared" si="2"/>
        <v/>
      </c>
      <c r="AA53" s="85" t="str">
        <f t="shared" si="3"/>
        <v/>
      </c>
      <c r="AB53" s="85" t="str">
        <f t="shared" si="4"/>
        <v/>
      </c>
      <c r="AC53" s="68" t="s">
        <v>1215</v>
      </c>
      <c r="AD53" s="68" t="s">
        <v>1215</v>
      </c>
      <c r="AE53" s="68" t="s">
        <v>1215</v>
      </c>
      <c r="AF53" s="68" t="s">
        <v>1215</v>
      </c>
      <c r="AG53" s="68" t="s">
        <v>1215</v>
      </c>
      <c r="AH53" s="68" t="s">
        <v>1215</v>
      </c>
      <c r="AI53" s="68" t="s">
        <v>1215</v>
      </c>
      <c r="AJ53" s="68" t="s">
        <v>1215</v>
      </c>
      <c r="AK53" s="68" t="s">
        <v>1215</v>
      </c>
      <c r="AL53" s="68"/>
      <c r="AM53" s="68" t="s">
        <v>1215</v>
      </c>
      <c r="AN53" s="84" t="str">
        <f t="shared" si="5"/>
        <v>Belum Dinilai</v>
      </c>
      <c r="AO53" s="84" t="str">
        <f t="shared" si="6"/>
        <v>Belum Dinilai</v>
      </c>
      <c r="AP53" s="68"/>
      <c r="AQ53" s="71" t="str">
        <f t="shared" si="7"/>
        <v/>
      </c>
      <c r="AR53" s="71" t="str">
        <f t="shared" si="8"/>
        <v/>
      </c>
      <c r="AS53" s="71" t="str">
        <f t="shared" si="9"/>
        <v/>
      </c>
      <c r="AT53" s="69" t="str">
        <f t="shared" si="10"/>
        <v>Belum Dapat Ditentukan</v>
      </c>
      <c r="AU53" s="66" t="s">
        <v>1203</v>
      </c>
      <c r="AV53" s="66" t="s">
        <v>1204</v>
      </c>
      <c r="AW53" s="66" t="s">
        <v>1190</v>
      </c>
      <c r="AX53" s="66"/>
      <c r="AY53" s="66"/>
      <c r="AZ53" s="66" t="s">
        <v>927</v>
      </c>
      <c r="BA53" s="66"/>
      <c r="BB53" s="178"/>
      <c r="BC53" s="72">
        <v>2026</v>
      </c>
      <c r="BD53" s="66"/>
      <c r="BE53" s="178"/>
      <c r="BF53" s="66" t="s">
        <v>1278</v>
      </c>
    </row>
    <row r="54" spans="1:58" ht="28">
      <c r="A54" s="66" t="s">
        <v>1941</v>
      </c>
      <c r="B54" s="66" t="s">
        <v>1500</v>
      </c>
      <c r="C54" s="66"/>
      <c r="D54" s="66"/>
      <c r="E54" s="66" t="s">
        <v>1501</v>
      </c>
      <c r="F54" s="66" t="s">
        <v>1378</v>
      </c>
      <c r="G54" s="66" t="s">
        <v>1289</v>
      </c>
      <c r="H54" s="66" t="s">
        <v>1181</v>
      </c>
      <c r="I54" s="66" t="s">
        <v>1502</v>
      </c>
      <c r="J54" s="66" t="s">
        <v>1263</v>
      </c>
      <c r="K54" s="66" t="s">
        <v>1293</v>
      </c>
      <c r="L54" s="66" t="s">
        <v>1215</v>
      </c>
      <c r="M54" s="66" t="s">
        <v>1277</v>
      </c>
      <c r="N54" s="66" t="s">
        <v>1215</v>
      </c>
      <c r="O54" s="66" t="s">
        <v>1213</v>
      </c>
      <c r="P54" s="66" t="s">
        <v>1215</v>
      </c>
      <c r="Q54" s="86" t="s">
        <v>1215</v>
      </c>
      <c r="R54" s="86" t="s">
        <v>1215</v>
      </c>
      <c r="S54" s="86" t="s">
        <v>1215</v>
      </c>
      <c r="T54" s="86" t="s">
        <v>1215</v>
      </c>
      <c r="U54" s="86" t="s">
        <v>1215</v>
      </c>
      <c r="V54" s="86" t="s">
        <v>1215</v>
      </c>
      <c r="W54" s="67"/>
      <c r="X54" s="84" t="str">
        <f t="shared" si="0"/>
        <v>Belum Dinilai</v>
      </c>
      <c r="Y54" s="84" t="str">
        <f t="shared" si="1"/>
        <v>Belum Dinilai</v>
      </c>
      <c r="Z54" s="85" t="str">
        <f t="shared" si="2"/>
        <v/>
      </c>
      <c r="AA54" s="85" t="str">
        <f t="shared" si="3"/>
        <v/>
      </c>
      <c r="AB54" s="85" t="str">
        <f t="shared" si="4"/>
        <v/>
      </c>
      <c r="AC54" s="68" t="s">
        <v>1215</v>
      </c>
      <c r="AD54" s="68" t="s">
        <v>1215</v>
      </c>
      <c r="AE54" s="68" t="s">
        <v>1215</v>
      </c>
      <c r="AF54" s="68" t="s">
        <v>1215</v>
      </c>
      <c r="AG54" s="68" t="s">
        <v>1215</v>
      </c>
      <c r="AH54" s="68" t="s">
        <v>1215</v>
      </c>
      <c r="AI54" s="68" t="s">
        <v>1215</v>
      </c>
      <c r="AJ54" s="68" t="s">
        <v>1215</v>
      </c>
      <c r="AK54" s="68" t="s">
        <v>1215</v>
      </c>
      <c r="AL54" s="68"/>
      <c r="AM54" s="68" t="s">
        <v>1215</v>
      </c>
      <c r="AN54" s="84" t="str">
        <f t="shared" si="5"/>
        <v>Belum Dinilai</v>
      </c>
      <c r="AO54" s="84" t="str">
        <f t="shared" si="6"/>
        <v>Belum Dinilai</v>
      </c>
      <c r="AP54" s="68"/>
      <c r="AQ54" s="71" t="str">
        <f t="shared" si="7"/>
        <v/>
      </c>
      <c r="AR54" s="71" t="str">
        <f t="shared" si="8"/>
        <v/>
      </c>
      <c r="AS54" s="71" t="str">
        <f t="shared" si="9"/>
        <v/>
      </c>
      <c r="AT54" s="69" t="str">
        <f t="shared" si="10"/>
        <v>Belum Dapat Ditentukan</v>
      </c>
      <c r="AU54" s="66" t="s">
        <v>1203</v>
      </c>
      <c r="AV54" s="66" t="s">
        <v>1204</v>
      </c>
      <c r="AW54" s="66" t="s">
        <v>1190</v>
      </c>
      <c r="AX54" s="66"/>
      <c r="AY54" s="66"/>
      <c r="AZ54" s="66" t="s">
        <v>927</v>
      </c>
      <c r="BA54" s="66"/>
      <c r="BB54" s="178"/>
      <c r="BC54" s="72">
        <v>2026</v>
      </c>
      <c r="BD54" s="66"/>
      <c r="BE54" s="178"/>
      <c r="BF54" s="66" t="s">
        <v>1278</v>
      </c>
    </row>
    <row r="55" spans="1:58" ht="28">
      <c r="A55" s="66" t="s">
        <v>1455</v>
      </c>
      <c r="B55" s="66" t="s">
        <v>1504</v>
      </c>
      <c r="C55" s="66"/>
      <c r="D55" s="66"/>
      <c r="E55" s="66" t="s">
        <v>1505</v>
      </c>
      <c r="F55" s="66" t="s">
        <v>1506</v>
      </c>
      <c r="G55" s="66" t="s">
        <v>1289</v>
      </c>
      <c r="H55" s="66" t="s">
        <v>1195</v>
      </c>
      <c r="I55" s="66" t="s">
        <v>1507</v>
      </c>
      <c r="J55" s="66" t="s">
        <v>1182</v>
      </c>
      <c r="K55" s="66" t="s">
        <v>1277</v>
      </c>
      <c r="L55" s="66" t="s">
        <v>1215</v>
      </c>
      <c r="M55" s="66" t="s">
        <v>1265</v>
      </c>
      <c r="N55" s="66" t="s">
        <v>1215</v>
      </c>
      <c r="O55" s="66" t="s">
        <v>1277</v>
      </c>
      <c r="P55" s="66" t="s">
        <v>1215</v>
      </c>
      <c r="Q55" s="86" t="s">
        <v>1215</v>
      </c>
      <c r="R55" s="86" t="s">
        <v>1215</v>
      </c>
      <c r="S55" s="86" t="s">
        <v>1215</v>
      </c>
      <c r="T55" s="86" t="s">
        <v>1215</v>
      </c>
      <c r="U55" s="86" t="s">
        <v>1215</v>
      </c>
      <c r="V55" s="86" t="s">
        <v>1215</v>
      </c>
      <c r="W55" s="67"/>
      <c r="X55" s="84" t="str">
        <f t="shared" si="0"/>
        <v>Belum Dinilai</v>
      </c>
      <c r="Y55" s="84" t="str">
        <f t="shared" si="1"/>
        <v>Belum Dinilai</v>
      </c>
      <c r="Z55" s="85" t="str">
        <f t="shared" si="2"/>
        <v/>
      </c>
      <c r="AA55" s="85" t="str">
        <f t="shared" si="3"/>
        <v/>
      </c>
      <c r="AB55" s="85" t="str">
        <f t="shared" si="4"/>
        <v/>
      </c>
      <c r="AC55" s="68" t="s">
        <v>1215</v>
      </c>
      <c r="AD55" s="68" t="s">
        <v>1215</v>
      </c>
      <c r="AE55" s="68" t="s">
        <v>1215</v>
      </c>
      <c r="AF55" s="68" t="s">
        <v>1215</v>
      </c>
      <c r="AG55" s="68" t="s">
        <v>1215</v>
      </c>
      <c r="AH55" s="68" t="s">
        <v>1215</v>
      </c>
      <c r="AI55" s="68" t="s">
        <v>1215</v>
      </c>
      <c r="AJ55" s="68" t="s">
        <v>1215</v>
      </c>
      <c r="AK55" s="68" t="s">
        <v>1215</v>
      </c>
      <c r="AL55" s="68"/>
      <c r="AM55" s="68" t="s">
        <v>1215</v>
      </c>
      <c r="AN55" s="84" t="str">
        <f t="shared" si="5"/>
        <v>Belum Dinilai</v>
      </c>
      <c r="AO55" s="84" t="str">
        <f t="shared" si="6"/>
        <v>Belum Dinilai</v>
      </c>
      <c r="AP55" s="68"/>
      <c r="AQ55" s="71" t="str">
        <f t="shared" si="7"/>
        <v/>
      </c>
      <c r="AR55" s="71" t="str">
        <f t="shared" si="8"/>
        <v/>
      </c>
      <c r="AS55" s="71" t="str">
        <f t="shared" si="9"/>
        <v/>
      </c>
      <c r="AT55" s="69" t="str">
        <f t="shared" si="10"/>
        <v>Belum Dapat Ditentukan</v>
      </c>
      <c r="AU55" s="66" t="s">
        <v>1203</v>
      </c>
      <c r="AV55" s="66" t="s">
        <v>1204</v>
      </c>
      <c r="AW55" s="66" t="s">
        <v>1190</v>
      </c>
      <c r="AX55" s="66"/>
      <c r="AY55" s="66"/>
      <c r="AZ55" s="66" t="s">
        <v>927</v>
      </c>
      <c r="BA55" s="66"/>
      <c r="BB55" s="178"/>
      <c r="BC55" s="72">
        <v>2026</v>
      </c>
      <c r="BD55" s="66"/>
      <c r="BE55" s="178"/>
      <c r="BF55" s="66" t="s">
        <v>1278</v>
      </c>
    </row>
    <row r="56" spans="1:58" ht="42">
      <c r="A56" s="66" t="s">
        <v>1460</v>
      </c>
      <c r="B56" s="66" t="s">
        <v>1509</v>
      </c>
      <c r="C56" s="66"/>
      <c r="D56" s="66"/>
      <c r="E56" s="66" t="s">
        <v>1510</v>
      </c>
      <c r="F56" s="66" t="s">
        <v>1506</v>
      </c>
      <c r="G56" s="66" t="s">
        <v>1289</v>
      </c>
      <c r="H56" s="66" t="s">
        <v>1195</v>
      </c>
      <c r="I56" s="66" t="s">
        <v>1511</v>
      </c>
      <c r="J56" s="66" t="s">
        <v>1196</v>
      </c>
      <c r="K56" s="66" t="s">
        <v>1183</v>
      </c>
      <c r="L56" s="66" t="s">
        <v>905</v>
      </c>
      <c r="M56" s="66" t="s">
        <v>1266</v>
      </c>
      <c r="N56" s="66" t="s">
        <v>905</v>
      </c>
      <c r="O56" s="66" t="s">
        <v>1213</v>
      </c>
      <c r="P56" s="66" t="s">
        <v>891</v>
      </c>
      <c r="Q56" s="86" t="s">
        <v>1215</v>
      </c>
      <c r="R56" s="86" t="s">
        <v>1215</v>
      </c>
      <c r="S56" s="86" t="s">
        <v>1215</v>
      </c>
      <c r="T56" s="86" t="s">
        <v>1215</v>
      </c>
      <c r="U56" s="86" t="s">
        <v>1215</v>
      </c>
      <c r="V56" s="86" t="s">
        <v>1215</v>
      </c>
      <c r="W56" s="67"/>
      <c r="X56" s="84" t="str">
        <f t="shared" si="0"/>
        <v>Belum Dinilai</v>
      </c>
      <c r="Y56" s="84" t="str">
        <f t="shared" si="1"/>
        <v>Belum Dinilai</v>
      </c>
      <c r="Z56" s="85" t="str">
        <f t="shared" si="2"/>
        <v/>
      </c>
      <c r="AA56" s="85" t="str">
        <f t="shared" si="3"/>
        <v/>
      </c>
      <c r="AB56" s="85" t="str">
        <f t="shared" si="4"/>
        <v/>
      </c>
      <c r="AC56" s="68" t="s">
        <v>1215</v>
      </c>
      <c r="AD56" s="68" t="s">
        <v>1215</v>
      </c>
      <c r="AE56" s="68" t="s">
        <v>1215</v>
      </c>
      <c r="AF56" s="68" t="s">
        <v>1215</v>
      </c>
      <c r="AG56" s="68" t="s">
        <v>1215</v>
      </c>
      <c r="AH56" s="68" t="s">
        <v>1215</v>
      </c>
      <c r="AI56" s="68" t="s">
        <v>1215</v>
      </c>
      <c r="AJ56" s="68" t="s">
        <v>1215</v>
      </c>
      <c r="AK56" s="68" t="s">
        <v>1215</v>
      </c>
      <c r="AL56" s="68"/>
      <c r="AM56" s="68" t="s">
        <v>1215</v>
      </c>
      <c r="AN56" s="84" t="str">
        <f t="shared" si="5"/>
        <v>Belum Dinilai</v>
      </c>
      <c r="AO56" s="84" t="str">
        <f t="shared" si="6"/>
        <v>Belum Dinilai</v>
      </c>
      <c r="AP56" s="68"/>
      <c r="AQ56" s="71">
        <f t="shared" si="7"/>
        <v>32</v>
      </c>
      <c r="AR56" s="71" t="str">
        <f t="shared" si="8"/>
        <v/>
      </c>
      <c r="AS56" s="71" t="str">
        <f t="shared" si="9"/>
        <v/>
      </c>
      <c r="AT56" s="69" t="str">
        <f t="shared" si="10"/>
        <v>Belum Dapat Ditentukan</v>
      </c>
      <c r="AU56" s="66" t="s">
        <v>1189</v>
      </c>
      <c r="AV56" s="66" t="s">
        <v>1204</v>
      </c>
      <c r="AW56" s="66" t="s">
        <v>1190</v>
      </c>
      <c r="AX56" s="66"/>
      <c r="AY56" s="66"/>
      <c r="AZ56" s="66" t="s">
        <v>927</v>
      </c>
      <c r="BA56" s="66"/>
      <c r="BB56" s="178"/>
      <c r="BC56" s="72">
        <v>2026</v>
      </c>
      <c r="BD56" s="66"/>
      <c r="BE56" s="178"/>
      <c r="BF56" s="66" t="s">
        <v>1278</v>
      </c>
    </row>
    <row r="57" spans="1:58" ht="56">
      <c r="A57" s="66" t="s">
        <v>1465</v>
      </c>
      <c r="B57" s="66" t="s">
        <v>1513</v>
      </c>
      <c r="C57" s="66"/>
      <c r="D57" s="66"/>
      <c r="E57" s="66" t="s">
        <v>1505</v>
      </c>
      <c r="F57" s="66" t="s">
        <v>1506</v>
      </c>
      <c r="G57" s="66" t="s">
        <v>1289</v>
      </c>
      <c r="H57" s="66" t="s">
        <v>1181</v>
      </c>
      <c r="I57" s="66" t="s">
        <v>1514</v>
      </c>
      <c r="J57" s="66" t="s">
        <v>1196</v>
      </c>
      <c r="K57" s="66" t="s">
        <v>1197</v>
      </c>
      <c r="L57" s="66" t="s">
        <v>905</v>
      </c>
      <c r="M57" s="66" t="s">
        <v>1266</v>
      </c>
      <c r="N57" s="66" t="s">
        <v>905</v>
      </c>
      <c r="O57" s="66" t="s">
        <v>1293</v>
      </c>
      <c r="P57" s="66" t="s">
        <v>905</v>
      </c>
      <c r="Q57" s="86" t="s">
        <v>1215</v>
      </c>
      <c r="R57" s="86" t="s">
        <v>1215</v>
      </c>
      <c r="S57" s="86" t="s">
        <v>1215</v>
      </c>
      <c r="T57" s="86" t="s">
        <v>1215</v>
      </c>
      <c r="U57" s="86" t="s">
        <v>1215</v>
      </c>
      <c r="V57" s="86" t="s">
        <v>1215</v>
      </c>
      <c r="W57" s="67"/>
      <c r="X57" s="84" t="str">
        <f t="shared" si="0"/>
        <v>Belum Dinilai</v>
      </c>
      <c r="Y57" s="84" t="str">
        <f t="shared" si="1"/>
        <v>Belum Dinilai</v>
      </c>
      <c r="Z57" s="85" t="str">
        <f t="shared" si="2"/>
        <v/>
      </c>
      <c r="AA57" s="85" t="str">
        <f t="shared" si="3"/>
        <v/>
      </c>
      <c r="AB57" s="85" t="str">
        <f t="shared" si="4"/>
        <v/>
      </c>
      <c r="AC57" s="68" t="s">
        <v>1215</v>
      </c>
      <c r="AD57" s="68" t="s">
        <v>1215</v>
      </c>
      <c r="AE57" s="68" t="s">
        <v>1215</v>
      </c>
      <c r="AF57" s="68" t="s">
        <v>1215</v>
      </c>
      <c r="AG57" s="68" t="s">
        <v>1215</v>
      </c>
      <c r="AH57" s="68" t="s">
        <v>1215</v>
      </c>
      <c r="AI57" s="68" t="s">
        <v>1215</v>
      </c>
      <c r="AJ57" s="68" t="s">
        <v>1215</v>
      </c>
      <c r="AK57" s="68" t="s">
        <v>1215</v>
      </c>
      <c r="AL57" s="68"/>
      <c r="AM57" s="68" t="s">
        <v>1215</v>
      </c>
      <c r="AN57" s="84" t="str">
        <f t="shared" si="5"/>
        <v>Belum Dinilai</v>
      </c>
      <c r="AO57" s="84" t="str">
        <f t="shared" si="6"/>
        <v>Belum Dinilai</v>
      </c>
      <c r="AP57" s="68"/>
      <c r="AQ57" s="71">
        <f t="shared" si="7"/>
        <v>36</v>
      </c>
      <c r="AR57" s="71" t="str">
        <f t="shared" si="8"/>
        <v/>
      </c>
      <c r="AS57" s="71" t="str">
        <f t="shared" si="9"/>
        <v/>
      </c>
      <c r="AT57" s="69" t="str">
        <f t="shared" si="10"/>
        <v>Belum Dapat Ditentukan</v>
      </c>
      <c r="AU57" s="66" t="s">
        <v>1203</v>
      </c>
      <c r="AV57" s="66" t="s">
        <v>1204</v>
      </c>
      <c r="AW57" s="66" t="s">
        <v>1190</v>
      </c>
      <c r="AX57" s="66"/>
      <c r="AY57" s="66"/>
      <c r="AZ57" s="66" t="s">
        <v>927</v>
      </c>
      <c r="BA57" s="66"/>
      <c r="BB57" s="178"/>
      <c r="BC57" s="72">
        <v>2026</v>
      </c>
      <c r="BD57" s="66"/>
      <c r="BE57" s="178"/>
      <c r="BF57" s="66" t="s">
        <v>1278</v>
      </c>
    </row>
    <row r="58" spans="1:58" ht="42">
      <c r="A58" s="66" t="s">
        <v>1468</v>
      </c>
      <c r="B58" s="66" t="s">
        <v>1516</v>
      </c>
      <c r="C58" s="66"/>
      <c r="D58" s="66"/>
      <c r="E58" s="66" t="s">
        <v>1304</v>
      </c>
      <c r="F58" s="66" t="s">
        <v>1506</v>
      </c>
      <c r="G58" s="66" t="s">
        <v>1289</v>
      </c>
      <c r="H58" s="66" t="s">
        <v>1181</v>
      </c>
      <c r="I58" s="66" t="s">
        <v>1517</v>
      </c>
      <c r="J58" s="66" t="s">
        <v>1196</v>
      </c>
      <c r="K58" s="66" t="s">
        <v>1211</v>
      </c>
      <c r="L58" s="66" t="s">
        <v>905</v>
      </c>
      <c r="M58" s="66" t="s">
        <v>1266</v>
      </c>
      <c r="N58" s="66" t="s">
        <v>905</v>
      </c>
      <c r="O58" s="66" t="s">
        <v>1277</v>
      </c>
      <c r="P58" s="66" t="s">
        <v>1215</v>
      </c>
      <c r="Q58" s="86" t="s">
        <v>1215</v>
      </c>
      <c r="R58" s="86" t="s">
        <v>1215</v>
      </c>
      <c r="S58" s="86" t="s">
        <v>1215</v>
      </c>
      <c r="T58" s="86" t="s">
        <v>1215</v>
      </c>
      <c r="U58" s="86" t="s">
        <v>1215</v>
      </c>
      <c r="V58" s="86" t="s">
        <v>1215</v>
      </c>
      <c r="W58" s="67"/>
      <c r="X58" s="84" t="str">
        <f t="shared" si="0"/>
        <v>Belum Dinilai</v>
      </c>
      <c r="Y58" s="84" t="str">
        <f t="shared" si="1"/>
        <v>Belum Dinilai</v>
      </c>
      <c r="Z58" s="85" t="str">
        <f t="shared" si="2"/>
        <v/>
      </c>
      <c r="AA58" s="85" t="str">
        <f t="shared" si="3"/>
        <v/>
      </c>
      <c r="AB58" s="85" t="str">
        <f t="shared" si="4"/>
        <v/>
      </c>
      <c r="AC58" s="68" t="s">
        <v>1215</v>
      </c>
      <c r="AD58" s="68" t="s">
        <v>1215</v>
      </c>
      <c r="AE58" s="68" t="s">
        <v>1215</v>
      </c>
      <c r="AF58" s="68" t="s">
        <v>1215</v>
      </c>
      <c r="AG58" s="68" t="s">
        <v>1215</v>
      </c>
      <c r="AH58" s="68" t="s">
        <v>1215</v>
      </c>
      <c r="AI58" s="68" t="s">
        <v>1215</v>
      </c>
      <c r="AJ58" s="68" t="s">
        <v>1215</v>
      </c>
      <c r="AK58" s="68" t="s">
        <v>1215</v>
      </c>
      <c r="AL58" s="68"/>
      <c r="AM58" s="68" t="s">
        <v>1215</v>
      </c>
      <c r="AN58" s="84" t="str">
        <f t="shared" si="5"/>
        <v>Belum Dinilai</v>
      </c>
      <c r="AO58" s="84" t="str">
        <f t="shared" si="6"/>
        <v>Belum Dinilai</v>
      </c>
      <c r="AP58" s="68"/>
      <c r="AQ58" s="71" t="str">
        <f t="shared" si="7"/>
        <v/>
      </c>
      <c r="AR58" s="71" t="str">
        <f t="shared" si="8"/>
        <v/>
      </c>
      <c r="AS58" s="71" t="str">
        <f t="shared" si="9"/>
        <v/>
      </c>
      <c r="AT58" s="69" t="str">
        <f t="shared" si="10"/>
        <v>Belum Dapat Ditentukan</v>
      </c>
      <c r="AU58" s="66" t="s">
        <v>1203</v>
      </c>
      <c r="AV58" s="66" t="s">
        <v>1204</v>
      </c>
      <c r="AW58" s="66" t="s">
        <v>1190</v>
      </c>
      <c r="AX58" s="66"/>
      <c r="AY58" s="66"/>
      <c r="AZ58" s="66" t="s">
        <v>927</v>
      </c>
      <c r="BA58" s="66"/>
      <c r="BB58" s="178"/>
      <c r="BC58" s="72">
        <v>2026</v>
      </c>
      <c r="BD58" s="66"/>
      <c r="BE58" s="178"/>
      <c r="BF58" s="66" t="s">
        <v>1278</v>
      </c>
    </row>
    <row r="59" spans="1:58" ht="28">
      <c r="A59" s="66" t="s">
        <v>1470</v>
      </c>
      <c r="B59" s="66" t="s">
        <v>1519</v>
      </c>
      <c r="C59" s="66"/>
      <c r="D59" s="66"/>
      <c r="E59" s="66" t="s">
        <v>1520</v>
      </c>
      <c r="F59" s="66" t="s">
        <v>1521</v>
      </c>
      <c r="G59" s="66" t="s">
        <v>1325</v>
      </c>
      <c r="H59" s="66" t="s">
        <v>1195</v>
      </c>
      <c r="I59" s="66" t="s">
        <v>1522</v>
      </c>
      <c r="J59" s="66" t="s">
        <v>1263</v>
      </c>
      <c r="K59" s="66" t="s">
        <v>1211</v>
      </c>
      <c r="L59" s="66" t="s">
        <v>1215</v>
      </c>
      <c r="M59" s="66" t="s">
        <v>1277</v>
      </c>
      <c r="N59" s="66" t="s">
        <v>1215</v>
      </c>
      <c r="O59" s="66" t="s">
        <v>1277</v>
      </c>
      <c r="P59" s="66" t="s">
        <v>1215</v>
      </c>
      <c r="Q59" s="86" t="s">
        <v>1215</v>
      </c>
      <c r="R59" s="86" t="s">
        <v>1215</v>
      </c>
      <c r="S59" s="86" t="s">
        <v>1215</v>
      </c>
      <c r="T59" s="86" t="s">
        <v>1215</v>
      </c>
      <c r="U59" s="86" t="s">
        <v>1215</v>
      </c>
      <c r="V59" s="86" t="s">
        <v>1215</v>
      </c>
      <c r="W59" s="67"/>
      <c r="X59" s="84" t="str">
        <f t="shared" si="0"/>
        <v>Belum Dinilai</v>
      </c>
      <c r="Y59" s="84" t="str">
        <f t="shared" si="1"/>
        <v>Belum Dinilai</v>
      </c>
      <c r="Z59" s="85" t="str">
        <f t="shared" si="2"/>
        <v/>
      </c>
      <c r="AA59" s="85" t="str">
        <f t="shared" si="3"/>
        <v/>
      </c>
      <c r="AB59" s="85" t="str">
        <f t="shared" si="4"/>
        <v/>
      </c>
      <c r="AC59" s="68" t="s">
        <v>1215</v>
      </c>
      <c r="AD59" s="68" t="s">
        <v>1215</v>
      </c>
      <c r="AE59" s="68" t="s">
        <v>1215</v>
      </c>
      <c r="AF59" s="68" t="s">
        <v>1215</v>
      </c>
      <c r="AG59" s="68" t="s">
        <v>1215</v>
      </c>
      <c r="AH59" s="68" t="s">
        <v>1215</v>
      </c>
      <c r="AI59" s="68" t="s">
        <v>1215</v>
      </c>
      <c r="AJ59" s="68" t="s">
        <v>1215</v>
      </c>
      <c r="AK59" s="68" t="s">
        <v>1215</v>
      </c>
      <c r="AL59" s="68"/>
      <c r="AM59" s="68" t="s">
        <v>1215</v>
      </c>
      <c r="AN59" s="84" t="str">
        <f t="shared" si="5"/>
        <v>Belum Dinilai</v>
      </c>
      <c r="AO59" s="84" t="str">
        <f t="shared" si="6"/>
        <v>Belum Dinilai</v>
      </c>
      <c r="AP59" s="68"/>
      <c r="AQ59" s="71" t="str">
        <f t="shared" si="7"/>
        <v/>
      </c>
      <c r="AR59" s="71" t="str">
        <f t="shared" si="8"/>
        <v/>
      </c>
      <c r="AS59" s="71" t="str">
        <f t="shared" si="9"/>
        <v/>
      </c>
      <c r="AT59" s="69" t="str">
        <f t="shared" si="10"/>
        <v>Belum Dapat Ditentukan</v>
      </c>
      <c r="AU59" s="66" t="s">
        <v>1203</v>
      </c>
      <c r="AV59" s="66" t="s">
        <v>1204</v>
      </c>
      <c r="AW59" s="66" t="s">
        <v>1190</v>
      </c>
      <c r="AX59" s="66"/>
      <c r="AY59" s="66"/>
      <c r="AZ59" s="66" t="s">
        <v>927</v>
      </c>
      <c r="BA59" s="66"/>
      <c r="BB59" s="178"/>
      <c r="BC59" s="72">
        <v>2026</v>
      </c>
      <c r="BD59" s="66"/>
      <c r="BE59" s="178"/>
      <c r="BF59" s="66" t="s">
        <v>1278</v>
      </c>
    </row>
    <row r="60" spans="1:58" ht="28">
      <c r="A60" s="66" t="s">
        <v>1472</v>
      </c>
      <c r="B60" s="66" t="s">
        <v>1524</v>
      </c>
      <c r="C60" s="66"/>
      <c r="D60" s="66"/>
      <c r="E60" s="66" t="s">
        <v>1525</v>
      </c>
      <c r="F60" s="66" t="s">
        <v>1413</v>
      </c>
      <c r="G60" s="66" t="s">
        <v>1361</v>
      </c>
      <c r="H60" s="66" t="s">
        <v>1195</v>
      </c>
      <c r="I60" s="66" t="s">
        <v>1526</v>
      </c>
      <c r="J60" s="66" t="s">
        <v>1263</v>
      </c>
      <c r="K60" s="66" t="s">
        <v>1211</v>
      </c>
      <c r="L60" s="66" t="s">
        <v>895</v>
      </c>
      <c r="M60" s="66" t="s">
        <v>1277</v>
      </c>
      <c r="N60" s="66" t="s">
        <v>895</v>
      </c>
      <c r="O60" s="66" t="s">
        <v>1277</v>
      </c>
      <c r="P60" s="66" t="s">
        <v>1215</v>
      </c>
      <c r="Q60" s="86" t="s">
        <v>1215</v>
      </c>
      <c r="R60" s="86" t="s">
        <v>1215</v>
      </c>
      <c r="S60" s="86" t="s">
        <v>1215</v>
      </c>
      <c r="T60" s="86" t="s">
        <v>1215</v>
      </c>
      <c r="U60" s="86" t="s">
        <v>1215</v>
      </c>
      <c r="V60" s="86" t="s">
        <v>1215</v>
      </c>
      <c r="W60" s="67"/>
      <c r="X60" s="84" t="str">
        <f t="shared" si="0"/>
        <v>Belum Dinilai</v>
      </c>
      <c r="Y60" s="84" t="str">
        <f t="shared" si="1"/>
        <v>Belum Dinilai</v>
      </c>
      <c r="Z60" s="85" t="str">
        <f t="shared" si="2"/>
        <v/>
      </c>
      <c r="AA60" s="85" t="str">
        <f t="shared" si="3"/>
        <v/>
      </c>
      <c r="AB60" s="85" t="str">
        <f t="shared" si="4"/>
        <v/>
      </c>
      <c r="AC60" s="68" t="s">
        <v>1215</v>
      </c>
      <c r="AD60" s="68" t="s">
        <v>1215</v>
      </c>
      <c r="AE60" s="68" t="s">
        <v>1215</v>
      </c>
      <c r="AF60" s="68" t="s">
        <v>1215</v>
      </c>
      <c r="AG60" s="68" t="s">
        <v>1215</v>
      </c>
      <c r="AH60" s="68" t="s">
        <v>1215</v>
      </c>
      <c r="AI60" s="68" t="s">
        <v>1215</v>
      </c>
      <c r="AJ60" s="68" t="s">
        <v>1215</v>
      </c>
      <c r="AK60" s="68" t="s">
        <v>1215</v>
      </c>
      <c r="AL60" s="68"/>
      <c r="AM60" s="68" t="s">
        <v>1215</v>
      </c>
      <c r="AN60" s="84" t="str">
        <f t="shared" si="5"/>
        <v>Belum Dinilai</v>
      </c>
      <c r="AO60" s="84" t="str">
        <f t="shared" si="6"/>
        <v>Belum Dinilai</v>
      </c>
      <c r="AP60" s="68"/>
      <c r="AQ60" s="71" t="str">
        <f t="shared" si="7"/>
        <v/>
      </c>
      <c r="AR60" s="71" t="str">
        <f t="shared" si="8"/>
        <v/>
      </c>
      <c r="AS60" s="71" t="str">
        <f t="shared" si="9"/>
        <v/>
      </c>
      <c r="AT60" s="69" t="str">
        <f t="shared" si="10"/>
        <v>Belum Dapat Ditentukan</v>
      </c>
      <c r="AU60" s="66" t="s">
        <v>1203</v>
      </c>
      <c r="AV60" s="66" t="s">
        <v>1204</v>
      </c>
      <c r="AW60" s="66" t="s">
        <v>1898</v>
      </c>
      <c r="AX60" s="66" t="s">
        <v>1206</v>
      </c>
      <c r="AY60" s="66">
        <v>2024</v>
      </c>
      <c r="AZ60" s="66" t="s">
        <v>927</v>
      </c>
      <c r="BA60" s="66"/>
      <c r="BB60" s="178"/>
      <c r="BC60" s="72">
        <v>2026</v>
      </c>
      <c r="BD60" s="66"/>
      <c r="BE60" s="178"/>
      <c r="BF60" s="66" t="s">
        <v>1278</v>
      </c>
    </row>
    <row r="61" spans="1:58" ht="28">
      <c r="A61" s="66" t="s">
        <v>1476</v>
      </c>
      <c r="B61" s="66" t="s">
        <v>1528</v>
      </c>
      <c r="C61" s="66"/>
      <c r="D61" s="66"/>
      <c r="E61" s="66" t="s">
        <v>1529</v>
      </c>
      <c r="F61" s="66" t="s">
        <v>1474</v>
      </c>
      <c r="G61" s="66" t="s">
        <v>1310</v>
      </c>
      <c r="H61" s="66" t="s">
        <v>1181</v>
      </c>
      <c r="I61" s="66" t="s">
        <v>1530</v>
      </c>
      <c r="J61" s="66" t="s">
        <v>1263</v>
      </c>
      <c r="K61" s="66" t="s">
        <v>1293</v>
      </c>
      <c r="L61" s="66" t="s">
        <v>1215</v>
      </c>
      <c r="M61" s="66" t="s">
        <v>1197</v>
      </c>
      <c r="N61" s="66" t="s">
        <v>1215</v>
      </c>
      <c r="O61" s="66" t="s">
        <v>1277</v>
      </c>
      <c r="P61" s="66" t="s">
        <v>1215</v>
      </c>
      <c r="Q61" s="86" t="s">
        <v>1215</v>
      </c>
      <c r="R61" s="86" t="s">
        <v>1215</v>
      </c>
      <c r="S61" s="86" t="s">
        <v>1215</v>
      </c>
      <c r="T61" s="86" t="s">
        <v>1215</v>
      </c>
      <c r="U61" s="86" t="s">
        <v>1215</v>
      </c>
      <c r="V61" s="86" t="s">
        <v>1215</v>
      </c>
      <c r="W61" s="67"/>
      <c r="X61" s="84" t="str">
        <f t="shared" si="0"/>
        <v>Belum Dinilai</v>
      </c>
      <c r="Y61" s="84" t="str">
        <f t="shared" si="1"/>
        <v>Belum Dinilai</v>
      </c>
      <c r="Z61" s="85" t="str">
        <f t="shared" si="2"/>
        <v/>
      </c>
      <c r="AA61" s="85" t="str">
        <f t="shared" si="3"/>
        <v/>
      </c>
      <c r="AB61" s="85" t="str">
        <f t="shared" si="4"/>
        <v/>
      </c>
      <c r="AC61" s="68" t="s">
        <v>1215</v>
      </c>
      <c r="AD61" s="68" t="s">
        <v>1215</v>
      </c>
      <c r="AE61" s="68" t="s">
        <v>1215</v>
      </c>
      <c r="AF61" s="68" t="s">
        <v>1215</v>
      </c>
      <c r="AG61" s="68" t="s">
        <v>1215</v>
      </c>
      <c r="AH61" s="68" t="s">
        <v>1215</v>
      </c>
      <c r="AI61" s="68" t="s">
        <v>1215</v>
      </c>
      <c r="AJ61" s="68" t="s">
        <v>1215</v>
      </c>
      <c r="AK61" s="68" t="s">
        <v>1215</v>
      </c>
      <c r="AL61" s="68"/>
      <c r="AM61" s="68" t="s">
        <v>1215</v>
      </c>
      <c r="AN61" s="84" t="str">
        <f t="shared" si="5"/>
        <v>Belum Dinilai</v>
      </c>
      <c r="AO61" s="84" t="str">
        <f t="shared" si="6"/>
        <v>Belum Dinilai</v>
      </c>
      <c r="AP61" s="68"/>
      <c r="AQ61" s="71" t="str">
        <f t="shared" si="7"/>
        <v/>
      </c>
      <c r="AR61" s="71" t="str">
        <f t="shared" si="8"/>
        <v/>
      </c>
      <c r="AS61" s="71" t="str">
        <f t="shared" si="9"/>
        <v/>
      </c>
      <c r="AT61" s="69" t="str">
        <f t="shared" si="10"/>
        <v>Belum Dapat Ditentukan</v>
      </c>
      <c r="AU61" s="66" t="s">
        <v>1203</v>
      </c>
      <c r="AV61" s="66" t="s">
        <v>1204</v>
      </c>
      <c r="AW61" s="66" t="s">
        <v>1190</v>
      </c>
      <c r="AX61" s="66"/>
      <c r="AY61" s="66"/>
      <c r="AZ61" s="66" t="s">
        <v>927</v>
      </c>
      <c r="BA61" s="66"/>
      <c r="BB61" s="178"/>
      <c r="BC61" s="72">
        <v>2026</v>
      </c>
      <c r="BD61" s="66"/>
      <c r="BE61" s="178"/>
      <c r="BF61" s="66" t="s">
        <v>1278</v>
      </c>
    </row>
    <row r="62" spans="1:58" ht="28">
      <c r="A62" s="66" t="s">
        <v>1480</v>
      </c>
      <c r="B62" s="66" t="s">
        <v>1535</v>
      </c>
      <c r="C62" s="66"/>
      <c r="D62" s="66"/>
      <c r="E62" s="66" t="s">
        <v>1536</v>
      </c>
      <c r="F62" s="66" t="s">
        <v>1537</v>
      </c>
      <c r="G62" s="66" t="s">
        <v>1351</v>
      </c>
      <c r="H62" s="66" t="s">
        <v>1195</v>
      </c>
      <c r="I62" s="66" t="s">
        <v>1538</v>
      </c>
      <c r="J62" s="66" t="s">
        <v>1263</v>
      </c>
      <c r="K62" s="66" t="s">
        <v>1277</v>
      </c>
      <c r="L62" s="66" t="s">
        <v>1215</v>
      </c>
      <c r="M62" s="66" t="s">
        <v>1277</v>
      </c>
      <c r="N62" s="66" t="s">
        <v>1215</v>
      </c>
      <c r="O62" s="66" t="s">
        <v>1277</v>
      </c>
      <c r="P62" s="66" t="s">
        <v>1215</v>
      </c>
      <c r="Q62" s="86" t="s">
        <v>1215</v>
      </c>
      <c r="R62" s="86" t="s">
        <v>1215</v>
      </c>
      <c r="S62" s="86" t="s">
        <v>1215</v>
      </c>
      <c r="T62" s="86" t="s">
        <v>1215</v>
      </c>
      <c r="U62" s="86" t="s">
        <v>1215</v>
      </c>
      <c r="V62" s="86" t="s">
        <v>1215</v>
      </c>
      <c r="W62" s="67"/>
      <c r="X62" s="84" t="str">
        <f t="shared" si="0"/>
        <v>Belum Dinilai</v>
      </c>
      <c r="Y62" s="84" t="str">
        <f t="shared" si="1"/>
        <v>Belum Dinilai</v>
      </c>
      <c r="Z62" s="85" t="str">
        <f t="shared" si="2"/>
        <v/>
      </c>
      <c r="AA62" s="85" t="str">
        <f t="shared" si="3"/>
        <v/>
      </c>
      <c r="AB62" s="85" t="str">
        <f t="shared" si="4"/>
        <v/>
      </c>
      <c r="AC62" s="68" t="s">
        <v>1215</v>
      </c>
      <c r="AD62" s="68" t="s">
        <v>1215</v>
      </c>
      <c r="AE62" s="68" t="s">
        <v>1215</v>
      </c>
      <c r="AF62" s="68" t="s">
        <v>1215</v>
      </c>
      <c r="AG62" s="68" t="s">
        <v>1215</v>
      </c>
      <c r="AH62" s="68" t="s">
        <v>1215</v>
      </c>
      <c r="AI62" s="68" t="s">
        <v>1215</v>
      </c>
      <c r="AJ62" s="68" t="s">
        <v>1215</v>
      </c>
      <c r="AK62" s="68" t="s">
        <v>1215</v>
      </c>
      <c r="AL62" s="68"/>
      <c r="AM62" s="68" t="s">
        <v>1215</v>
      </c>
      <c r="AN62" s="84" t="str">
        <f t="shared" si="5"/>
        <v>Belum Dinilai</v>
      </c>
      <c r="AO62" s="84" t="str">
        <f t="shared" si="6"/>
        <v>Belum Dinilai</v>
      </c>
      <c r="AP62" s="68"/>
      <c r="AQ62" s="71" t="str">
        <f t="shared" si="7"/>
        <v/>
      </c>
      <c r="AR62" s="71" t="str">
        <f t="shared" si="8"/>
        <v/>
      </c>
      <c r="AS62" s="71" t="str">
        <f t="shared" si="9"/>
        <v/>
      </c>
      <c r="AT62" s="69" t="str">
        <f t="shared" si="10"/>
        <v>Belum Dapat Ditentukan</v>
      </c>
      <c r="AU62" s="66" t="s">
        <v>1203</v>
      </c>
      <c r="AV62" s="66" t="s">
        <v>1204</v>
      </c>
      <c r="AW62" s="66" t="s">
        <v>1190</v>
      </c>
      <c r="AX62" s="66"/>
      <c r="AY62" s="66"/>
      <c r="AZ62" s="66" t="s">
        <v>927</v>
      </c>
      <c r="BA62" s="66"/>
      <c r="BB62" s="178"/>
      <c r="BC62" s="72">
        <v>2026</v>
      </c>
      <c r="BD62" s="66"/>
      <c r="BE62" s="178"/>
      <c r="BF62" s="66" t="s">
        <v>1278</v>
      </c>
    </row>
    <row r="63" spans="1:58" ht="28">
      <c r="A63" s="66" t="s">
        <v>1942</v>
      </c>
      <c r="B63" s="66" t="s">
        <v>1540</v>
      </c>
      <c r="C63" s="66"/>
      <c r="D63" s="66"/>
      <c r="E63" s="66" t="s">
        <v>1541</v>
      </c>
      <c r="F63" s="66" t="s">
        <v>1542</v>
      </c>
      <c r="G63" s="66" t="s">
        <v>1351</v>
      </c>
      <c r="H63" s="66" t="s">
        <v>1195</v>
      </c>
      <c r="I63" s="66" t="s">
        <v>1538</v>
      </c>
      <c r="J63" s="66" t="s">
        <v>1263</v>
      </c>
      <c r="K63" s="66" t="s">
        <v>1277</v>
      </c>
      <c r="L63" s="66" t="s">
        <v>1215</v>
      </c>
      <c r="M63" s="66" t="s">
        <v>1277</v>
      </c>
      <c r="N63" s="66" t="s">
        <v>1215</v>
      </c>
      <c r="O63" s="66" t="s">
        <v>1277</v>
      </c>
      <c r="P63" s="66" t="s">
        <v>1215</v>
      </c>
      <c r="Q63" s="86" t="s">
        <v>1215</v>
      </c>
      <c r="R63" s="86" t="s">
        <v>1215</v>
      </c>
      <c r="S63" s="86" t="s">
        <v>1215</v>
      </c>
      <c r="T63" s="86" t="s">
        <v>1215</v>
      </c>
      <c r="U63" s="86" t="s">
        <v>1215</v>
      </c>
      <c r="V63" s="86" t="s">
        <v>1215</v>
      </c>
      <c r="W63" s="67"/>
      <c r="X63" s="84" t="str">
        <f t="shared" si="0"/>
        <v>Belum Dinilai</v>
      </c>
      <c r="Y63" s="84" t="str">
        <f t="shared" si="1"/>
        <v>Belum Dinilai</v>
      </c>
      <c r="Z63" s="85" t="str">
        <f t="shared" si="2"/>
        <v/>
      </c>
      <c r="AA63" s="85" t="str">
        <f t="shared" si="3"/>
        <v/>
      </c>
      <c r="AB63" s="85" t="str">
        <f t="shared" si="4"/>
        <v/>
      </c>
      <c r="AC63" s="68" t="s">
        <v>1215</v>
      </c>
      <c r="AD63" s="68" t="s">
        <v>1215</v>
      </c>
      <c r="AE63" s="68" t="s">
        <v>1215</v>
      </c>
      <c r="AF63" s="68" t="s">
        <v>1215</v>
      </c>
      <c r="AG63" s="68" t="s">
        <v>1215</v>
      </c>
      <c r="AH63" s="68" t="s">
        <v>1215</v>
      </c>
      <c r="AI63" s="68" t="s">
        <v>1215</v>
      </c>
      <c r="AJ63" s="68" t="s">
        <v>1215</v>
      </c>
      <c r="AK63" s="68" t="s">
        <v>1215</v>
      </c>
      <c r="AL63" s="68"/>
      <c r="AM63" s="68" t="s">
        <v>1215</v>
      </c>
      <c r="AN63" s="84" t="str">
        <f t="shared" si="5"/>
        <v>Belum Dinilai</v>
      </c>
      <c r="AO63" s="84" t="str">
        <f t="shared" si="6"/>
        <v>Belum Dinilai</v>
      </c>
      <c r="AP63" s="68"/>
      <c r="AQ63" s="71" t="str">
        <f t="shared" si="7"/>
        <v/>
      </c>
      <c r="AR63" s="71" t="str">
        <f t="shared" si="8"/>
        <v/>
      </c>
      <c r="AS63" s="71" t="str">
        <f t="shared" si="9"/>
        <v/>
      </c>
      <c r="AT63" s="69" t="str">
        <f t="shared" si="10"/>
        <v>Belum Dapat Ditentukan</v>
      </c>
      <c r="AU63" s="66" t="s">
        <v>1203</v>
      </c>
      <c r="AV63" s="66" t="s">
        <v>1204</v>
      </c>
      <c r="AW63" s="66" t="s">
        <v>1190</v>
      </c>
      <c r="AX63" s="66"/>
      <c r="AY63" s="66"/>
      <c r="AZ63" s="66" t="s">
        <v>927</v>
      </c>
      <c r="BA63" s="66"/>
      <c r="BB63" s="178"/>
      <c r="BC63" s="72">
        <v>2026</v>
      </c>
      <c r="BD63" s="66"/>
      <c r="BE63" s="178"/>
      <c r="BF63" s="66" t="s">
        <v>1278</v>
      </c>
    </row>
    <row r="64" spans="1:58" ht="28">
      <c r="A64" s="66" t="s">
        <v>1943</v>
      </c>
      <c r="B64" s="66" t="s">
        <v>1544</v>
      </c>
      <c r="C64" s="66"/>
      <c r="D64" s="66"/>
      <c r="E64" s="66" t="s">
        <v>1541</v>
      </c>
      <c r="F64" s="66" t="s">
        <v>1542</v>
      </c>
      <c r="G64" s="66" t="s">
        <v>1351</v>
      </c>
      <c r="H64" s="66" t="s">
        <v>1195</v>
      </c>
      <c r="I64" s="66" t="s">
        <v>1538</v>
      </c>
      <c r="J64" s="66" t="s">
        <v>1263</v>
      </c>
      <c r="K64" s="66" t="s">
        <v>1277</v>
      </c>
      <c r="L64" s="66" t="s">
        <v>1215</v>
      </c>
      <c r="M64" s="66" t="s">
        <v>1277</v>
      </c>
      <c r="N64" s="66" t="s">
        <v>1215</v>
      </c>
      <c r="O64" s="66" t="s">
        <v>1277</v>
      </c>
      <c r="P64" s="66" t="s">
        <v>1215</v>
      </c>
      <c r="Q64" s="86" t="s">
        <v>1215</v>
      </c>
      <c r="R64" s="86" t="s">
        <v>1215</v>
      </c>
      <c r="S64" s="86" t="s">
        <v>1215</v>
      </c>
      <c r="T64" s="86" t="s">
        <v>1215</v>
      </c>
      <c r="U64" s="86" t="s">
        <v>1215</v>
      </c>
      <c r="V64" s="86" t="s">
        <v>1215</v>
      </c>
      <c r="W64" s="67"/>
      <c r="X64" s="84" t="str">
        <f t="shared" si="0"/>
        <v>Belum Dinilai</v>
      </c>
      <c r="Y64" s="84" t="str">
        <f t="shared" si="1"/>
        <v>Belum Dinilai</v>
      </c>
      <c r="Z64" s="85" t="str">
        <f t="shared" si="2"/>
        <v/>
      </c>
      <c r="AA64" s="85" t="str">
        <f t="shared" si="3"/>
        <v/>
      </c>
      <c r="AB64" s="85" t="str">
        <f t="shared" si="4"/>
        <v/>
      </c>
      <c r="AC64" s="68" t="s">
        <v>1215</v>
      </c>
      <c r="AD64" s="68" t="s">
        <v>1215</v>
      </c>
      <c r="AE64" s="68" t="s">
        <v>1215</v>
      </c>
      <c r="AF64" s="68" t="s">
        <v>1215</v>
      </c>
      <c r="AG64" s="68" t="s">
        <v>1215</v>
      </c>
      <c r="AH64" s="68" t="s">
        <v>1215</v>
      </c>
      <c r="AI64" s="68" t="s">
        <v>1215</v>
      </c>
      <c r="AJ64" s="68" t="s">
        <v>1215</v>
      </c>
      <c r="AK64" s="68" t="s">
        <v>1215</v>
      </c>
      <c r="AL64" s="68"/>
      <c r="AM64" s="68" t="s">
        <v>1215</v>
      </c>
      <c r="AN64" s="84" t="str">
        <f t="shared" si="5"/>
        <v>Belum Dinilai</v>
      </c>
      <c r="AO64" s="84" t="str">
        <f t="shared" si="6"/>
        <v>Belum Dinilai</v>
      </c>
      <c r="AP64" s="68"/>
      <c r="AQ64" s="71" t="str">
        <f t="shared" si="7"/>
        <v/>
      </c>
      <c r="AR64" s="71" t="str">
        <f t="shared" si="8"/>
        <v/>
      </c>
      <c r="AS64" s="71" t="str">
        <f t="shared" si="9"/>
        <v/>
      </c>
      <c r="AT64" s="69" t="str">
        <f t="shared" si="10"/>
        <v>Belum Dapat Ditentukan</v>
      </c>
      <c r="AU64" s="66" t="s">
        <v>1203</v>
      </c>
      <c r="AV64" s="66" t="s">
        <v>1204</v>
      </c>
      <c r="AW64" s="66" t="s">
        <v>1190</v>
      </c>
      <c r="AX64" s="66"/>
      <c r="AY64" s="66"/>
      <c r="AZ64" s="66" t="s">
        <v>927</v>
      </c>
      <c r="BA64" s="66"/>
      <c r="BB64" s="178"/>
      <c r="BC64" s="72">
        <v>2026</v>
      </c>
      <c r="BD64" s="66"/>
      <c r="BE64" s="178"/>
      <c r="BF64" s="66" t="s">
        <v>1278</v>
      </c>
    </row>
    <row r="65" spans="1:58" ht="42">
      <c r="A65" s="66" t="s">
        <v>1484</v>
      </c>
      <c r="B65" s="66" t="s">
        <v>1546</v>
      </c>
      <c r="C65" s="66"/>
      <c r="D65" s="66"/>
      <c r="E65" s="66" t="s">
        <v>1547</v>
      </c>
      <c r="F65" s="66" t="s">
        <v>1324</v>
      </c>
      <c r="G65" s="66" t="s">
        <v>1325</v>
      </c>
      <c r="H65" s="66" t="s">
        <v>1195</v>
      </c>
      <c r="I65" s="66" t="s">
        <v>1548</v>
      </c>
      <c r="J65" s="66" t="s">
        <v>1182</v>
      </c>
      <c r="K65" s="66" t="s">
        <v>1183</v>
      </c>
      <c r="L65" s="66" t="s">
        <v>1215</v>
      </c>
      <c r="M65" s="66" t="s">
        <v>1184</v>
      </c>
      <c r="N65" s="66" t="s">
        <v>1215</v>
      </c>
      <c r="O65" s="66" t="s">
        <v>1277</v>
      </c>
      <c r="P65" s="66" t="s">
        <v>1215</v>
      </c>
      <c r="Q65" s="86" t="s">
        <v>1215</v>
      </c>
      <c r="R65" s="86" t="s">
        <v>1215</v>
      </c>
      <c r="S65" s="86" t="s">
        <v>1215</v>
      </c>
      <c r="T65" s="86" t="s">
        <v>1215</v>
      </c>
      <c r="U65" s="86" t="s">
        <v>1215</v>
      </c>
      <c r="V65" s="86" t="s">
        <v>1215</v>
      </c>
      <c r="W65" s="67"/>
      <c r="X65" s="84" t="str">
        <f t="shared" si="0"/>
        <v>Belum Dinilai</v>
      </c>
      <c r="Y65" s="84" t="str">
        <f t="shared" si="1"/>
        <v>Belum Dinilai</v>
      </c>
      <c r="Z65" s="85" t="str">
        <f t="shared" si="2"/>
        <v/>
      </c>
      <c r="AA65" s="85" t="str">
        <f t="shared" si="3"/>
        <v/>
      </c>
      <c r="AB65" s="85" t="str">
        <f t="shared" si="4"/>
        <v/>
      </c>
      <c r="AC65" s="68" t="s">
        <v>1215</v>
      </c>
      <c r="AD65" s="68" t="s">
        <v>1215</v>
      </c>
      <c r="AE65" s="68" t="s">
        <v>1215</v>
      </c>
      <c r="AF65" s="68" t="s">
        <v>1215</v>
      </c>
      <c r="AG65" s="68" t="s">
        <v>1215</v>
      </c>
      <c r="AH65" s="68" t="s">
        <v>1215</v>
      </c>
      <c r="AI65" s="68" t="s">
        <v>1215</v>
      </c>
      <c r="AJ65" s="68" t="s">
        <v>1215</v>
      </c>
      <c r="AK65" s="68" t="s">
        <v>1215</v>
      </c>
      <c r="AL65" s="68"/>
      <c r="AM65" s="68" t="s">
        <v>1215</v>
      </c>
      <c r="AN65" s="84" t="str">
        <f t="shared" si="5"/>
        <v>Belum Dinilai</v>
      </c>
      <c r="AO65" s="84" t="str">
        <f t="shared" si="6"/>
        <v>Belum Dinilai</v>
      </c>
      <c r="AP65" s="68"/>
      <c r="AQ65" s="71" t="str">
        <f t="shared" si="7"/>
        <v/>
      </c>
      <c r="AR65" s="71" t="str">
        <f t="shared" si="8"/>
        <v/>
      </c>
      <c r="AS65" s="71" t="str">
        <f t="shared" si="9"/>
        <v/>
      </c>
      <c r="AT65" s="69" t="str">
        <f t="shared" si="10"/>
        <v>Belum Dapat Ditentukan</v>
      </c>
      <c r="AU65" s="66" t="s">
        <v>1189</v>
      </c>
      <c r="AV65" s="66" t="s">
        <v>1204</v>
      </c>
      <c r="AW65" s="66" t="s">
        <v>1190</v>
      </c>
      <c r="AX65" s="66"/>
      <c r="AY65" s="66"/>
      <c r="AZ65" s="66" t="s">
        <v>927</v>
      </c>
      <c r="BA65" s="66"/>
      <c r="BB65" s="178"/>
      <c r="BC65" s="72">
        <v>2026</v>
      </c>
      <c r="BD65" s="66"/>
      <c r="BE65" s="178"/>
      <c r="BF65" s="66" t="s">
        <v>1278</v>
      </c>
    </row>
    <row r="66" spans="1:58" ht="28">
      <c r="A66" s="66" t="s">
        <v>1944</v>
      </c>
      <c r="B66" s="66" t="s">
        <v>1550</v>
      </c>
      <c r="C66" s="66"/>
      <c r="D66" s="66"/>
      <c r="E66" s="66" t="s">
        <v>1551</v>
      </c>
      <c r="F66" s="66" t="s">
        <v>1324</v>
      </c>
      <c r="G66" s="66" t="s">
        <v>1325</v>
      </c>
      <c r="H66" s="66" t="s">
        <v>1195</v>
      </c>
      <c r="I66" s="66" t="s">
        <v>1552</v>
      </c>
      <c r="J66" s="66" t="s">
        <v>1182</v>
      </c>
      <c r="K66" s="66" t="s">
        <v>1183</v>
      </c>
      <c r="L66" s="66" t="s">
        <v>1215</v>
      </c>
      <c r="M66" s="66" t="s">
        <v>1184</v>
      </c>
      <c r="N66" s="66" t="s">
        <v>1215</v>
      </c>
      <c r="O66" s="66" t="s">
        <v>1277</v>
      </c>
      <c r="P66" s="66" t="s">
        <v>1215</v>
      </c>
      <c r="Q66" s="86" t="s">
        <v>1215</v>
      </c>
      <c r="R66" s="86" t="s">
        <v>1215</v>
      </c>
      <c r="S66" s="86" t="s">
        <v>1215</v>
      </c>
      <c r="T66" s="86" t="s">
        <v>1215</v>
      </c>
      <c r="U66" s="86" t="s">
        <v>1215</v>
      </c>
      <c r="V66" s="86" t="s">
        <v>1215</v>
      </c>
      <c r="W66" s="67"/>
      <c r="X66" s="84" t="str">
        <f t="shared" si="0"/>
        <v>Belum Dinilai</v>
      </c>
      <c r="Y66" s="84" t="str">
        <f t="shared" si="1"/>
        <v>Belum Dinilai</v>
      </c>
      <c r="Z66" s="85" t="str">
        <f t="shared" si="2"/>
        <v/>
      </c>
      <c r="AA66" s="85" t="str">
        <f t="shared" si="3"/>
        <v/>
      </c>
      <c r="AB66" s="85" t="str">
        <f t="shared" si="4"/>
        <v/>
      </c>
      <c r="AC66" s="68" t="s">
        <v>1215</v>
      </c>
      <c r="AD66" s="68" t="s">
        <v>1215</v>
      </c>
      <c r="AE66" s="68" t="s">
        <v>1215</v>
      </c>
      <c r="AF66" s="68" t="s">
        <v>1215</v>
      </c>
      <c r="AG66" s="68" t="s">
        <v>1215</v>
      </c>
      <c r="AH66" s="68" t="s">
        <v>1215</v>
      </c>
      <c r="AI66" s="68" t="s">
        <v>1215</v>
      </c>
      <c r="AJ66" s="68" t="s">
        <v>1215</v>
      </c>
      <c r="AK66" s="68" t="s">
        <v>1215</v>
      </c>
      <c r="AL66" s="68"/>
      <c r="AM66" s="68" t="s">
        <v>1215</v>
      </c>
      <c r="AN66" s="84" t="str">
        <f t="shared" si="5"/>
        <v>Belum Dinilai</v>
      </c>
      <c r="AO66" s="84" t="str">
        <f t="shared" si="6"/>
        <v>Belum Dinilai</v>
      </c>
      <c r="AP66" s="68"/>
      <c r="AQ66" s="71" t="str">
        <f t="shared" si="7"/>
        <v/>
      </c>
      <c r="AR66" s="71" t="str">
        <f t="shared" si="8"/>
        <v/>
      </c>
      <c r="AS66" s="71" t="str">
        <f t="shared" si="9"/>
        <v/>
      </c>
      <c r="AT66" s="69" t="str">
        <f t="shared" si="10"/>
        <v>Belum Dapat Ditentukan</v>
      </c>
      <c r="AU66" s="66" t="s">
        <v>1189</v>
      </c>
      <c r="AV66" s="66" t="s">
        <v>1204</v>
      </c>
      <c r="AW66" s="66" t="s">
        <v>1190</v>
      </c>
      <c r="AX66" s="66"/>
      <c r="AY66" s="66"/>
      <c r="AZ66" s="66" t="s">
        <v>927</v>
      </c>
      <c r="BA66" s="66"/>
      <c r="BB66" s="178"/>
      <c r="BC66" s="72">
        <v>2026</v>
      </c>
      <c r="BD66" s="66"/>
      <c r="BE66" s="178"/>
      <c r="BF66" s="66" t="s">
        <v>1278</v>
      </c>
    </row>
    <row r="67" spans="1:58" ht="28">
      <c r="A67" s="66" t="s">
        <v>1945</v>
      </c>
      <c r="B67" s="66" t="s">
        <v>1554</v>
      </c>
      <c r="C67" s="66"/>
      <c r="D67" s="66"/>
      <c r="E67" s="66" t="s">
        <v>1555</v>
      </c>
      <c r="F67" s="66" t="s">
        <v>1556</v>
      </c>
      <c r="G67" s="66" t="s">
        <v>1325</v>
      </c>
      <c r="H67" s="66" t="s">
        <v>1195</v>
      </c>
      <c r="I67" s="66" t="s">
        <v>1557</v>
      </c>
      <c r="J67" s="66" t="s">
        <v>1210</v>
      </c>
      <c r="K67" s="66" t="s">
        <v>1197</v>
      </c>
      <c r="L67" s="66" t="s">
        <v>1215</v>
      </c>
      <c r="M67" s="66" t="s">
        <v>1266</v>
      </c>
      <c r="N67" s="66" t="s">
        <v>905</v>
      </c>
      <c r="O67" s="66" t="s">
        <v>1277</v>
      </c>
      <c r="P67" s="66" t="s">
        <v>905</v>
      </c>
      <c r="Q67" s="86" t="s">
        <v>1215</v>
      </c>
      <c r="R67" s="86" t="s">
        <v>1215</v>
      </c>
      <c r="S67" s="86" t="s">
        <v>1215</v>
      </c>
      <c r="T67" s="86" t="s">
        <v>1215</v>
      </c>
      <c r="U67" s="86" t="s">
        <v>1215</v>
      </c>
      <c r="V67" s="86" t="s">
        <v>1215</v>
      </c>
      <c r="W67" s="67"/>
      <c r="X67" s="84" t="str">
        <f t="shared" si="0"/>
        <v>Belum Dinilai</v>
      </c>
      <c r="Y67" s="84" t="str">
        <f t="shared" si="1"/>
        <v>Belum Dinilai</v>
      </c>
      <c r="Z67" s="85" t="str">
        <f t="shared" si="2"/>
        <v/>
      </c>
      <c r="AA67" s="85" t="str">
        <f t="shared" si="3"/>
        <v/>
      </c>
      <c r="AB67" s="85" t="str">
        <f t="shared" si="4"/>
        <v/>
      </c>
      <c r="AC67" s="68" t="s">
        <v>1215</v>
      </c>
      <c r="AD67" s="68" t="s">
        <v>1215</v>
      </c>
      <c r="AE67" s="68" t="s">
        <v>1215</v>
      </c>
      <c r="AF67" s="68" t="s">
        <v>1215</v>
      </c>
      <c r="AG67" s="68" t="s">
        <v>1215</v>
      </c>
      <c r="AH67" s="68" t="s">
        <v>1215</v>
      </c>
      <c r="AI67" s="68" t="s">
        <v>1215</v>
      </c>
      <c r="AJ67" s="68" t="s">
        <v>1215</v>
      </c>
      <c r="AK67" s="68" t="s">
        <v>1215</v>
      </c>
      <c r="AL67" s="68"/>
      <c r="AM67" s="68" t="s">
        <v>1215</v>
      </c>
      <c r="AN67" s="84" t="str">
        <f t="shared" si="5"/>
        <v>Belum Dinilai</v>
      </c>
      <c r="AO67" s="84" t="str">
        <f t="shared" si="6"/>
        <v>Belum Dinilai</v>
      </c>
      <c r="AP67" s="68"/>
      <c r="AQ67" s="71" t="str">
        <f t="shared" si="7"/>
        <v/>
      </c>
      <c r="AR67" s="71" t="str">
        <f t="shared" si="8"/>
        <v/>
      </c>
      <c r="AS67" s="71" t="str">
        <f t="shared" si="9"/>
        <v/>
      </c>
      <c r="AT67" s="69" t="str">
        <f t="shared" si="10"/>
        <v>Belum Dapat Ditentukan</v>
      </c>
      <c r="AU67" s="66" t="s">
        <v>1189</v>
      </c>
      <c r="AV67" s="66" t="s">
        <v>1204</v>
      </c>
      <c r="AW67" s="66" t="s">
        <v>1898</v>
      </c>
      <c r="AX67" s="66" t="s">
        <v>1206</v>
      </c>
      <c r="AY67" s="66">
        <v>2024</v>
      </c>
      <c r="AZ67" s="66" t="s">
        <v>927</v>
      </c>
      <c r="BA67" s="66"/>
      <c r="BB67" s="178"/>
      <c r="BC67" s="72">
        <v>2026</v>
      </c>
      <c r="BD67" s="66"/>
      <c r="BE67" s="178"/>
      <c r="BF67" s="66" t="s">
        <v>1278</v>
      </c>
    </row>
    <row r="68" spans="1:58" ht="28">
      <c r="A68" s="66" t="s">
        <v>1488</v>
      </c>
      <c r="B68" s="66" t="s">
        <v>1559</v>
      </c>
      <c r="C68" s="66"/>
      <c r="D68" s="66"/>
      <c r="E68" s="66" t="s">
        <v>1560</v>
      </c>
      <c r="F68" s="66" t="s">
        <v>1350</v>
      </c>
      <c r="G68" s="66" t="s">
        <v>1351</v>
      </c>
      <c r="H68" s="66" t="s">
        <v>1195</v>
      </c>
      <c r="I68" s="66" t="s">
        <v>1561</v>
      </c>
      <c r="J68" s="66" t="s">
        <v>1182</v>
      </c>
      <c r="K68" s="66" t="s">
        <v>1197</v>
      </c>
      <c r="L68" s="66" t="s">
        <v>905</v>
      </c>
      <c r="M68" s="66" t="s">
        <v>1212</v>
      </c>
      <c r="N68" s="66" t="s">
        <v>905</v>
      </c>
      <c r="O68" s="66" t="s">
        <v>1277</v>
      </c>
      <c r="P68" s="66" t="s">
        <v>905</v>
      </c>
      <c r="Q68" s="86" t="s">
        <v>1215</v>
      </c>
      <c r="R68" s="86" t="s">
        <v>1215</v>
      </c>
      <c r="S68" s="86" t="s">
        <v>1215</v>
      </c>
      <c r="T68" s="86" t="s">
        <v>1215</v>
      </c>
      <c r="U68" s="86" t="s">
        <v>1215</v>
      </c>
      <c r="V68" s="86" t="s">
        <v>1215</v>
      </c>
      <c r="W68" s="67"/>
      <c r="X68" s="84" t="str">
        <f t="shared" si="0"/>
        <v>Belum Dinilai</v>
      </c>
      <c r="Y68" s="84" t="str">
        <f t="shared" si="1"/>
        <v>Belum Dinilai</v>
      </c>
      <c r="Z68" s="85" t="str">
        <f t="shared" si="2"/>
        <v/>
      </c>
      <c r="AA68" s="85" t="str">
        <f t="shared" si="3"/>
        <v/>
      </c>
      <c r="AB68" s="85" t="str">
        <f t="shared" si="4"/>
        <v/>
      </c>
      <c r="AC68" s="68" t="s">
        <v>1215</v>
      </c>
      <c r="AD68" s="68" t="s">
        <v>1215</v>
      </c>
      <c r="AE68" s="68" t="s">
        <v>1215</v>
      </c>
      <c r="AF68" s="68" t="s">
        <v>1215</v>
      </c>
      <c r="AG68" s="68" t="s">
        <v>1215</v>
      </c>
      <c r="AH68" s="68" t="s">
        <v>1215</v>
      </c>
      <c r="AI68" s="68" t="s">
        <v>1215</v>
      </c>
      <c r="AJ68" s="68" t="s">
        <v>1215</v>
      </c>
      <c r="AK68" s="68" t="s">
        <v>1215</v>
      </c>
      <c r="AL68" s="68"/>
      <c r="AM68" s="68" t="s">
        <v>1215</v>
      </c>
      <c r="AN68" s="84" t="str">
        <f t="shared" si="5"/>
        <v>Belum Dinilai</v>
      </c>
      <c r="AO68" s="84" t="str">
        <f t="shared" si="6"/>
        <v>Belum Dinilai</v>
      </c>
      <c r="AP68" s="68"/>
      <c r="AQ68" s="71">
        <f t="shared" si="7"/>
        <v>28</v>
      </c>
      <c r="AR68" s="71" t="str">
        <f t="shared" si="8"/>
        <v/>
      </c>
      <c r="AS68" s="71" t="str">
        <f t="shared" si="9"/>
        <v/>
      </c>
      <c r="AT68" s="69" t="str">
        <f t="shared" si="10"/>
        <v>Belum Dapat Ditentukan</v>
      </c>
      <c r="AU68" s="66" t="s">
        <v>1189</v>
      </c>
      <c r="AV68" s="66" t="s">
        <v>1204</v>
      </c>
      <c r="AW68" s="66" t="s">
        <v>1190</v>
      </c>
      <c r="AX68" s="66"/>
      <c r="AY68" s="66"/>
      <c r="AZ68" s="66" t="s">
        <v>927</v>
      </c>
      <c r="BA68" s="66"/>
      <c r="BB68" s="178"/>
      <c r="BC68" s="72">
        <v>2026</v>
      </c>
      <c r="BD68" s="66"/>
      <c r="BE68" s="178"/>
      <c r="BF68" s="66" t="s">
        <v>1278</v>
      </c>
    </row>
    <row r="69" spans="1:58" ht="56">
      <c r="A69" s="66" t="s">
        <v>1491</v>
      </c>
      <c r="B69" s="66" t="s">
        <v>1563</v>
      </c>
      <c r="C69" s="66"/>
      <c r="D69" s="66"/>
      <c r="E69" s="66" t="s">
        <v>1564</v>
      </c>
      <c r="F69" s="66" t="s">
        <v>1565</v>
      </c>
      <c r="G69" s="66" t="s">
        <v>1275</v>
      </c>
      <c r="H69" s="66" t="s">
        <v>1195</v>
      </c>
      <c r="I69" s="66" t="s">
        <v>1566</v>
      </c>
      <c r="J69" s="66" t="s">
        <v>1263</v>
      </c>
      <c r="K69" s="66" t="s">
        <v>1277</v>
      </c>
      <c r="L69" s="66" t="s">
        <v>891</v>
      </c>
      <c r="M69" s="66" t="s">
        <v>1277</v>
      </c>
      <c r="N69" s="66" t="s">
        <v>1215</v>
      </c>
      <c r="O69" s="66" t="s">
        <v>1213</v>
      </c>
      <c r="P69" s="66" t="s">
        <v>1215</v>
      </c>
      <c r="Q69" s="86" t="s">
        <v>1215</v>
      </c>
      <c r="R69" s="86" t="s">
        <v>1215</v>
      </c>
      <c r="S69" s="86" t="s">
        <v>1215</v>
      </c>
      <c r="T69" s="86" t="s">
        <v>1215</v>
      </c>
      <c r="U69" s="86" t="s">
        <v>1215</v>
      </c>
      <c r="V69" s="86" t="s">
        <v>1215</v>
      </c>
      <c r="W69" s="67"/>
      <c r="X69" s="84" t="str">
        <f t="shared" si="0"/>
        <v>Belum Dinilai</v>
      </c>
      <c r="Y69" s="84" t="str">
        <f t="shared" si="1"/>
        <v>Belum Dinilai</v>
      </c>
      <c r="Z69" s="85" t="str">
        <f t="shared" si="2"/>
        <v/>
      </c>
      <c r="AA69" s="85" t="str">
        <f t="shared" si="3"/>
        <v/>
      </c>
      <c r="AB69" s="85" t="str">
        <f t="shared" si="4"/>
        <v/>
      </c>
      <c r="AC69" s="68" t="s">
        <v>1215</v>
      </c>
      <c r="AD69" s="68" t="s">
        <v>1215</v>
      </c>
      <c r="AE69" s="68" t="s">
        <v>1215</v>
      </c>
      <c r="AF69" s="68" t="s">
        <v>1215</v>
      </c>
      <c r="AG69" s="68" t="s">
        <v>1215</v>
      </c>
      <c r="AH69" s="68" t="s">
        <v>1215</v>
      </c>
      <c r="AI69" s="68" t="s">
        <v>1215</v>
      </c>
      <c r="AJ69" s="68" t="s">
        <v>1215</v>
      </c>
      <c r="AK69" s="68" t="s">
        <v>1215</v>
      </c>
      <c r="AL69" s="68"/>
      <c r="AM69" s="68" t="s">
        <v>1215</v>
      </c>
      <c r="AN69" s="84" t="str">
        <f t="shared" si="5"/>
        <v>Belum Dinilai</v>
      </c>
      <c r="AO69" s="84" t="str">
        <f t="shared" si="6"/>
        <v>Belum Dinilai</v>
      </c>
      <c r="AP69" s="68"/>
      <c r="AQ69" s="71" t="str">
        <f t="shared" si="7"/>
        <v/>
      </c>
      <c r="AR69" s="71" t="str">
        <f t="shared" si="8"/>
        <v/>
      </c>
      <c r="AS69" s="71" t="str">
        <f t="shared" si="9"/>
        <v/>
      </c>
      <c r="AT69" s="69" t="str">
        <f t="shared" si="10"/>
        <v>Belum Dapat Ditentukan</v>
      </c>
      <c r="AU69" s="66" t="s">
        <v>1189</v>
      </c>
      <c r="AV69" s="66" t="s">
        <v>1204</v>
      </c>
      <c r="AW69" s="66" t="s">
        <v>1190</v>
      </c>
      <c r="AX69" s="66"/>
      <c r="AY69" s="66"/>
      <c r="AZ69" s="66" t="s">
        <v>1207</v>
      </c>
      <c r="BA69" s="66"/>
      <c r="BB69" s="178"/>
      <c r="BC69" s="72">
        <v>2026</v>
      </c>
      <c r="BD69" s="66"/>
      <c r="BE69" s="178"/>
      <c r="BF69" s="66" t="s">
        <v>1278</v>
      </c>
    </row>
    <row r="70" spans="1:58" ht="42">
      <c r="A70" s="66" t="s">
        <v>1495</v>
      </c>
      <c r="B70" s="66" t="s">
        <v>1568</v>
      </c>
      <c r="C70" s="66"/>
      <c r="D70" s="66"/>
      <c r="E70" s="66" t="s">
        <v>1569</v>
      </c>
      <c r="F70" s="66" t="s">
        <v>1274</v>
      </c>
      <c r="G70" s="66" t="s">
        <v>1275</v>
      </c>
      <c r="H70" s="66" t="s">
        <v>1181</v>
      </c>
      <c r="I70" s="66" t="s">
        <v>1570</v>
      </c>
      <c r="J70" s="66" t="s">
        <v>1210</v>
      </c>
      <c r="K70" s="66" t="s">
        <v>1197</v>
      </c>
      <c r="L70" s="66" t="s">
        <v>895</v>
      </c>
      <c r="M70" s="66" t="s">
        <v>1266</v>
      </c>
      <c r="N70" s="66" t="s">
        <v>895</v>
      </c>
      <c r="O70" s="66" t="s">
        <v>1277</v>
      </c>
      <c r="P70" s="66" t="s">
        <v>1215</v>
      </c>
      <c r="Q70" s="86" t="s">
        <v>1215</v>
      </c>
      <c r="R70" s="86" t="s">
        <v>1215</v>
      </c>
      <c r="S70" s="86" t="s">
        <v>1215</v>
      </c>
      <c r="T70" s="86" t="s">
        <v>1215</v>
      </c>
      <c r="U70" s="86" t="s">
        <v>1215</v>
      </c>
      <c r="V70" s="86" t="s">
        <v>1215</v>
      </c>
      <c r="W70" s="67"/>
      <c r="X70" s="84" t="str">
        <f t="shared" ref="X70:X133" si="11">IF(COUNTIF(R70:V70,"Belum Dinilai")&gt;0,"Belum Dinilai",IF(COUNTIF(R70:V70,"Ya")=0,"Tidak ada faktor rentan",IF(R70="Ya","Lansia; ","")&amp;IF(S70="Ya","Penyandang disabilitas; ","")&amp;IF(T70="Ya","Kepala keluarga perempuan; ","")&amp;IF(U70="Ya","Balita; ","")&amp;IF(V70="Ya","Anggota keluarga dengan ketergantungan tinggi; ","")))</f>
        <v>Belum Dinilai</v>
      </c>
      <c r="Y70" s="84" t="str">
        <f t="shared" ref="Y70:Y133" si="12">IF(COUNTIF(R70:V70,"Belum Dinilai")&gt;0,"Belum Dinilai",IF(COUNTIF(R70:V70,"Ya")=0,"Tidak Ada Faktor Rentan",IF(COUNTIF(R70:V70,"Ya")=1,"1 Faktor Rentan","2 atau Lebih Faktor Rentan")))</f>
        <v>Belum Dinilai</v>
      </c>
      <c r="Z70" s="85" t="str">
        <f t="shared" ref="Z70:Z133" si="13">IF(OR(Q70="",Q70="Belum Dinilai"),"",IF(Q70="Terverifikasi DTKS/P3KE/MBR",10,IF(Q70="Diusulkan, Belum Terverifikasi",5,0)))</f>
        <v/>
      </c>
      <c r="AA70" s="85" t="str">
        <f t="shared" ref="AA70:AA133" si="14">IF(COUNTIF(R70:V70,"Belum Dinilai")&gt;0,"",IF(COUNTIF(R70:V70,"Ya")=0,0,IF(COUNTIF(R70:V70,"Ya")=1,5,10)))</f>
        <v/>
      </c>
      <c r="AB70" s="85" t="str">
        <f t="shared" ref="AB70:AB133" si="15">IF(OR(Z70="",AA70=""),"",Z70+AA70)</f>
        <v/>
      </c>
      <c r="AC70" s="68" t="s">
        <v>1215</v>
      </c>
      <c r="AD70" s="68" t="s">
        <v>1215</v>
      </c>
      <c r="AE70" s="68" t="s">
        <v>1215</v>
      </c>
      <c r="AF70" s="68" t="s">
        <v>1215</v>
      </c>
      <c r="AG70" s="68" t="s">
        <v>1215</v>
      </c>
      <c r="AH70" s="68" t="s">
        <v>1215</v>
      </c>
      <c r="AI70" s="68" t="s">
        <v>1215</v>
      </c>
      <c r="AJ70" s="68" t="s">
        <v>1215</v>
      </c>
      <c r="AK70" s="68" t="s">
        <v>1215</v>
      </c>
      <c r="AL70" s="68"/>
      <c r="AM70" s="68" t="s">
        <v>1215</v>
      </c>
      <c r="AN70" s="84" t="str">
        <f t="shared" ref="AN70:AN133" si="16">IF(AND(COUNTIF(AC70:AK70,"Ya")=0,AL70=""),IF(COUNTIF(AC70:AK70,"Belum Dinilai")&gt;0,"Belum Dinilai","Tidak ada risiko khusus"),IF(AC70="Ya","Bangunan berpotensi roboh; ","")&amp;IF(AD70="Ya","Bekas kebakaran dan tidak aman dihuni; ","")&amp;IF(AE70="Ya","Atap atau dinding utama hampir runtuh; ","")&amp;IF(AF70="Ya","Genangan yang membahayakan; ","")&amp;IF(AG70="Ya","Struktur rumah tidak stabil; ","")&amp;IF(AH70="Ya","Instalasi listrik berbahaya; ","")&amp;IF(AI70="Ya","Komponen bangunan lepas atau lapuk; ","")&amp;IF(AJ70="Ya","Akses keluar atau evakuasi terbatas; ","")&amp;IF(AK70="Ya","Lokasi rawan bencana; ","")&amp;IF(AL70&lt;&gt;"","Lainnya: "&amp;AL70,""))</f>
        <v>Belum Dinilai</v>
      </c>
      <c r="AO70" s="84" t="str">
        <f t="shared" ref="AO70:AO133" si="17">IF(AR70="","Belum Dinilai",IF(AR70=10,"Risiko Tinggi/Darurat",IF(AR70=5,"Risiko Sedang","Tidak Ada Risiko Khusus")))</f>
        <v>Belum Dinilai</v>
      </c>
      <c r="AP70" s="68"/>
      <c r="AQ70" s="71" t="str">
        <f t="shared" ref="AQ70:AQ133" si="18">IF(OR(J70="",J70="Belum Dapat Ditentukan",L70="",L70="Belum Dinilai",N70="",N70="Belum Dinilai",P70="",P70="Belum Dinilai"),"",IF(J70="Permanen",0,IF(J70="Semipermanen",8,IF(J70="Nonpermanen",15,0)))+IF(L70="Baik",0,IF(L70="Rusak Ringan",5,IF(L70="Rusak Sedang",10,IF(L70="Rusak Berat",15,IF(L70="Tidak Ada/Terbuka",20,0)))))+IF(N70="Baik",0,IF(N70="Rusak Ringan",5,IF(N70="Rusak Sedang",10,IF(N70="Rusak Berat",15,IF(N70="Tidak Ada/Terbuka",20,0)))))+IF(P70="Baik",0,IF(P70="Rusak Ringan",4,IF(P70="Rusak Sedang",8,IF(P70="Rusak Berat",12,IF(P70="Tidak Layak",15,0))))))</f>
        <v/>
      </c>
      <c r="AR70" s="71" t="str">
        <f t="shared" ref="AR70:AR133" si="19">IF(
 OR(
  COUNTIF(AC70:AH70,"Ya")&gt;0,
  AND(AL70&lt;&gt;"",AM70="Risiko Tinggi/Darurat"),
  COUNTIF(AI70:AK70,"Ya")+IF(AND(AL70&lt;&gt;"",AM70="Risiko Sedang"),1,0)&gt;=2
 ),
 10,
 IF(
  OR(
   COUNTIF(AC70:AK70,"Belum Dinilai")&gt;0,
   AND(AL70&lt;&gt;"",OR(AM70="",AM70="Belum Dinilai")),
   AND(AL70="",OR(AM70="Risiko Sedang",AM70="Risiko Tinggi/Darurat"))
  ),
  "",
  IF(
   COUNTIF(AI70:AK70,"Ya")+IF(AND(AL70&lt;&gt;"",AM70="Risiko Sedang"),1,0)=1,
   5,
   0
  )
 )
)</f>
        <v/>
      </c>
      <c r="AS70" s="71" t="str">
        <f t="shared" ref="AS70:AS133" si="20">IF(OR(AQ70="",AB70="",AR70=""),"",AQ70+AB70+AR70)</f>
        <v/>
      </c>
      <c r="AT70" s="69" t="str">
        <f t="shared" ref="AT70:AT133" si="21">IF(AS70="","Belum Dapat Ditentukan",IF(AS70&gt;=80,"Sangat Tinggi",IF(OR(AO70="Risiko Tinggi/Darurat",(IF(L70="Rusak Berat",1,0)+IF(L70="Tidak Ada/Terbuka",1,0)+IF(N70="Rusak Berat",1,0)+IF(N70="Tidak Ada/Terbuka",1,0)+IF(P70="Rusak Berat",1,0)+IF(P70="Tidak Layak",1,0))&gt;=2),"Tinggi",IF(AS70&gt;=65,"Tinggi",IF(AS70&gt;=50,"Sedang","Rendah")))))</f>
        <v>Belum Dapat Ditentukan</v>
      </c>
      <c r="AU70" s="66" t="s">
        <v>1189</v>
      </c>
      <c r="AV70" s="66" t="s">
        <v>1204</v>
      </c>
      <c r="AW70" s="66" t="s">
        <v>1190</v>
      </c>
      <c r="AX70" s="66"/>
      <c r="AY70" s="66"/>
      <c r="AZ70" s="66" t="s">
        <v>1207</v>
      </c>
      <c r="BA70" s="66"/>
      <c r="BB70" s="178"/>
      <c r="BC70" s="72">
        <v>2026</v>
      </c>
      <c r="BD70" s="66"/>
      <c r="BE70" s="178"/>
      <c r="BF70" s="66" t="s">
        <v>1278</v>
      </c>
    </row>
    <row r="71" spans="1:58" ht="56">
      <c r="A71" s="66" t="s">
        <v>1499</v>
      </c>
      <c r="B71" s="66" t="s">
        <v>1572</v>
      </c>
      <c r="C71" s="66"/>
      <c r="D71" s="66"/>
      <c r="E71" s="66" t="s">
        <v>1573</v>
      </c>
      <c r="F71" s="66" t="s">
        <v>1383</v>
      </c>
      <c r="G71" s="66" t="s">
        <v>1275</v>
      </c>
      <c r="H71" s="66" t="s">
        <v>1181</v>
      </c>
      <c r="I71" s="66" t="s">
        <v>1574</v>
      </c>
      <c r="J71" s="66" t="s">
        <v>1196</v>
      </c>
      <c r="K71" s="66" t="s">
        <v>1183</v>
      </c>
      <c r="L71" s="66" t="s">
        <v>905</v>
      </c>
      <c r="M71" s="66" t="s">
        <v>1305</v>
      </c>
      <c r="N71" s="66" t="s">
        <v>1215</v>
      </c>
      <c r="O71" s="66" t="s">
        <v>1213</v>
      </c>
      <c r="P71" s="66" t="s">
        <v>905</v>
      </c>
      <c r="Q71" s="86" t="s">
        <v>1215</v>
      </c>
      <c r="R71" s="86" t="s">
        <v>1215</v>
      </c>
      <c r="S71" s="86" t="s">
        <v>1215</v>
      </c>
      <c r="T71" s="86" t="s">
        <v>1215</v>
      </c>
      <c r="U71" s="86" t="s">
        <v>1215</v>
      </c>
      <c r="V71" s="86" t="s">
        <v>1215</v>
      </c>
      <c r="W71" s="67"/>
      <c r="X71" s="84" t="str">
        <f t="shared" si="11"/>
        <v>Belum Dinilai</v>
      </c>
      <c r="Y71" s="84" t="str">
        <f t="shared" si="12"/>
        <v>Belum Dinilai</v>
      </c>
      <c r="Z71" s="85" t="str">
        <f t="shared" si="13"/>
        <v/>
      </c>
      <c r="AA71" s="85" t="str">
        <f t="shared" si="14"/>
        <v/>
      </c>
      <c r="AB71" s="85" t="str">
        <f t="shared" si="15"/>
        <v/>
      </c>
      <c r="AC71" s="68" t="s">
        <v>1215</v>
      </c>
      <c r="AD71" s="68" t="s">
        <v>1215</v>
      </c>
      <c r="AE71" s="68" t="s">
        <v>1215</v>
      </c>
      <c r="AF71" s="68" t="s">
        <v>1215</v>
      </c>
      <c r="AG71" s="68" t="s">
        <v>1215</v>
      </c>
      <c r="AH71" s="68" t="s">
        <v>1215</v>
      </c>
      <c r="AI71" s="68" t="s">
        <v>1215</v>
      </c>
      <c r="AJ71" s="68" t="s">
        <v>1215</v>
      </c>
      <c r="AK71" s="68" t="s">
        <v>1215</v>
      </c>
      <c r="AL71" s="68"/>
      <c r="AM71" s="68" t="s">
        <v>1215</v>
      </c>
      <c r="AN71" s="84" t="str">
        <f t="shared" si="16"/>
        <v>Belum Dinilai</v>
      </c>
      <c r="AO71" s="84" t="str">
        <f t="shared" si="17"/>
        <v>Belum Dinilai</v>
      </c>
      <c r="AP71" s="68"/>
      <c r="AQ71" s="71" t="str">
        <f t="shared" si="18"/>
        <v/>
      </c>
      <c r="AR71" s="71" t="str">
        <f t="shared" si="19"/>
        <v/>
      </c>
      <c r="AS71" s="71" t="str">
        <f t="shared" si="20"/>
        <v/>
      </c>
      <c r="AT71" s="69" t="str">
        <f t="shared" si="21"/>
        <v>Belum Dapat Ditentukan</v>
      </c>
      <c r="AU71" s="66" t="s">
        <v>1189</v>
      </c>
      <c r="AV71" s="66" t="s">
        <v>1204</v>
      </c>
      <c r="AW71" s="66" t="s">
        <v>1190</v>
      </c>
      <c r="AX71" s="66"/>
      <c r="AY71" s="66"/>
      <c r="AZ71" s="66" t="s">
        <v>1207</v>
      </c>
      <c r="BA71" s="66"/>
      <c r="BB71" s="178"/>
      <c r="BC71" s="72">
        <v>2026</v>
      </c>
      <c r="BD71" s="66"/>
      <c r="BE71" s="178"/>
      <c r="BF71" s="66" t="s">
        <v>1278</v>
      </c>
    </row>
    <row r="72" spans="1:58" ht="56">
      <c r="A72" s="66" t="s">
        <v>1503</v>
      </c>
      <c r="B72" s="66" t="s">
        <v>1576</v>
      </c>
      <c r="C72" s="66"/>
      <c r="D72" s="66"/>
      <c r="E72" s="66" t="s">
        <v>1577</v>
      </c>
      <c r="F72" s="66" t="s">
        <v>1383</v>
      </c>
      <c r="G72" s="66" t="s">
        <v>1275</v>
      </c>
      <c r="H72" s="66" t="s">
        <v>1181</v>
      </c>
      <c r="I72" s="66" t="s">
        <v>1574</v>
      </c>
      <c r="J72" s="66" t="s">
        <v>1196</v>
      </c>
      <c r="K72" s="66" t="s">
        <v>1183</v>
      </c>
      <c r="L72" s="66" t="s">
        <v>905</v>
      </c>
      <c r="M72" s="66" t="s">
        <v>1305</v>
      </c>
      <c r="N72" s="66" t="s">
        <v>1215</v>
      </c>
      <c r="O72" s="66" t="s">
        <v>1213</v>
      </c>
      <c r="P72" s="66" t="s">
        <v>905</v>
      </c>
      <c r="Q72" s="86" t="s">
        <v>1215</v>
      </c>
      <c r="R72" s="86" t="s">
        <v>1215</v>
      </c>
      <c r="S72" s="86" t="s">
        <v>1215</v>
      </c>
      <c r="T72" s="86" t="s">
        <v>1215</v>
      </c>
      <c r="U72" s="86" t="s">
        <v>1215</v>
      </c>
      <c r="V72" s="86" t="s">
        <v>1215</v>
      </c>
      <c r="W72" s="67"/>
      <c r="X72" s="84" t="str">
        <f t="shared" si="11"/>
        <v>Belum Dinilai</v>
      </c>
      <c r="Y72" s="84" t="str">
        <f t="shared" si="12"/>
        <v>Belum Dinilai</v>
      </c>
      <c r="Z72" s="85" t="str">
        <f t="shared" si="13"/>
        <v/>
      </c>
      <c r="AA72" s="85" t="str">
        <f t="shared" si="14"/>
        <v/>
      </c>
      <c r="AB72" s="85" t="str">
        <f t="shared" si="15"/>
        <v/>
      </c>
      <c r="AC72" s="68" t="s">
        <v>1215</v>
      </c>
      <c r="AD72" s="68" t="s">
        <v>1215</v>
      </c>
      <c r="AE72" s="68" t="s">
        <v>1215</v>
      </c>
      <c r="AF72" s="68" t="s">
        <v>1215</v>
      </c>
      <c r="AG72" s="68" t="s">
        <v>1215</v>
      </c>
      <c r="AH72" s="68" t="s">
        <v>1215</v>
      </c>
      <c r="AI72" s="68" t="s">
        <v>1215</v>
      </c>
      <c r="AJ72" s="68" t="s">
        <v>1215</v>
      </c>
      <c r="AK72" s="68" t="s">
        <v>1215</v>
      </c>
      <c r="AL72" s="68"/>
      <c r="AM72" s="68" t="s">
        <v>1215</v>
      </c>
      <c r="AN72" s="84" t="str">
        <f t="shared" si="16"/>
        <v>Belum Dinilai</v>
      </c>
      <c r="AO72" s="84" t="str">
        <f t="shared" si="17"/>
        <v>Belum Dinilai</v>
      </c>
      <c r="AP72" s="68"/>
      <c r="AQ72" s="71" t="str">
        <f t="shared" si="18"/>
        <v/>
      </c>
      <c r="AR72" s="71" t="str">
        <f t="shared" si="19"/>
        <v/>
      </c>
      <c r="AS72" s="71" t="str">
        <f t="shared" si="20"/>
        <v/>
      </c>
      <c r="AT72" s="69" t="str">
        <f t="shared" si="21"/>
        <v>Belum Dapat Ditentukan</v>
      </c>
      <c r="AU72" s="66" t="s">
        <v>1189</v>
      </c>
      <c r="AV72" s="66" t="s">
        <v>1204</v>
      </c>
      <c r="AW72" s="66" t="s">
        <v>1898</v>
      </c>
      <c r="AX72" s="66" t="s">
        <v>1206</v>
      </c>
      <c r="AY72" s="66">
        <v>2024</v>
      </c>
      <c r="AZ72" s="66" t="s">
        <v>1207</v>
      </c>
      <c r="BA72" s="66"/>
      <c r="BB72" s="178"/>
      <c r="BC72" s="72">
        <v>2026</v>
      </c>
      <c r="BD72" s="66"/>
      <c r="BE72" s="178"/>
      <c r="BF72" s="66" t="s">
        <v>1278</v>
      </c>
    </row>
    <row r="73" spans="1:58" ht="42">
      <c r="A73" s="66" t="s">
        <v>1946</v>
      </c>
      <c r="B73" s="66" t="s">
        <v>1579</v>
      </c>
      <c r="C73" s="66"/>
      <c r="D73" s="66"/>
      <c r="E73" s="66" t="s">
        <v>1580</v>
      </c>
      <c r="F73" s="66" t="s">
        <v>1274</v>
      </c>
      <c r="G73" s="66" t="s">
        <v>1275</v>
      </c>
      <c r="H73" s="66" t="s">
        <v>1195</v>
      </c>
      <c r="I73" s="66" t="s">
        <v>1581</v>
      </c>
      <c r="J73" s="66" t="s">
        <v>1182</v>
      </c>
      <c r="K73" s="66" t="s">
        <v>1197</v>
      </c>
      <c r="L73" s="66" t="s">
        <v>905</v>
      </c>
      <c r="M73" s="66" t="s">
        <v>1265</v>
      </c>
      <c r="N73" s="66" t="s">
        <v>1215</v>
      </c>
      <c r="O73" s="66" t="s">
        <v>1277</v>
      </c>
      <c r="P73" s="66" t="s">
        <v>905</v>
      </c>
      <c r="Q73" s="86" t="s">
        <v>1215</v>
      </c>
      <c r="R73" s="86" t="s">
        <v>1215</v>
      </c>
      <c r="S73" s="86" t="s">
        <v>1215</v>
      </c>
      <c r="T73" s="86" t="s">
        <v>1215</v>
      </c>
      <c r="U73" s="86" t="s">
        <v>1215</v>
      </c>
      <c r="V73" s="86" t="s">
        <v>1215</v>
      </c>
      <c r="W73" s="67"/>
      <c r="X73" s="84" t="str">
        <f t="shared" si="11"/>
        <v>Belum Dinilai</v>
      </c>
      <c r="Y73" s="84" t="str">
        <f t="shared" si="12"/>
        <v>Belum Dinilai</v>
      </c>
      <c r="Z73" s="85" t="str">
        <f t="shared" si="13"/>
        <v/>
      </c>
      <c r="AA73" s="85" t="str">
        <f t="shared" si="14"/>
        <v/>
      </c>
      <c r="AB73" s="85" t="str">
        <f t="shared" si="15"/>
        <v/>
      </c>
      <c r="AC73" s="68" t="s">
        <v>1215</v>
      </c>
      <c r="AD73" s="68" t="s">
        <v>1215</v>
      </c>
      <c r="AE73" s="68" t="s">
        <v>1215</v>
      </c>
      <c r="AF73" s="68" t="s">
        <v>1215</v>
      </c>
      <c r="AG73" s="68" t="s">
        <v>1215</v>
      </c>
      <c r="AH73" s="68" t="s">
        <v>1215</v>
      </c>
      <c r="AI73" s="68" t="s">
        <v>1215</v>
      </c>
      <c r="AJ73" s="68" t="s">
        <v>1215</v>
      </c>
      <c r="AK73" s="68" t="s">
        <v>1215</v>
      </c>
      <c r="AL73" s="68"/>
      <c r="AM73" s="68" t="s">
        <v>1215</v>
      </c>
      <c r="AN73" s="84" t="str">
        <f t="shared" si="16"/>
        <v>Belum Dinilai</v>
      </c>
      <c r="AO73" s="84" t="str">
        <f t="shared" si="17"/>
        <v>Belum Dinilai</v>
      </c>
      <c r="AP73" s="68"/>
      <c r="AQ73" s="71" t="str">
        <f t="shared" si="18"/>
        <v/>
      </c>
      <c r="AR73" s="71" t="str">
        <f t="shared" si="19"/>
        <v/>
      </c>
      <c r="AS73" s="71" t="str">
        <f t="shared" si="20"/>
        <v/>
      </c>
      <c r="AT73" s="69" t="str">
        <f t="shared" si="21"/>
        <v>Belum Dapat Ditentukan</v>
      </c>
      <c r="AU73" s="66" t="s">
        <v>1189</v>
      </c>
      <c r="AV73" s="66" t="s">
        <v>1204</v>
      </c>
      <c r="AW73" s="66" t="s">
        <v>1190</v>
      </c>
      <c r="AX73" s="66"/>
      <c r="AY73" s="66"/>
      <c r="AZ73" s="66" t="s">
        <v>927</v>
      </c>
      <c r="BA73" s="66"/>
      <c r="BB73" s="178"/>
      <c r="BC73" s="72">
        <v>2026</v>
      </c>
      <c r="BD73" s="66"/>
      <c r="BE73" s="178"/>
      <c r="BF73" s="66" t="s">
        <v>1278</v>
      </c>
    </row>
    <row r="74" spans="1:58" ht="28">
      <c r="A74" s="66" t="s">
        <v>1508</v>
      </c>
      <c r="B74" s="66" t="s">
        <v>1583</v>
      </c>
      <c r="C74" s="66"/>
      <c r="D74" s="66"/>
      <c r="E74" s="66" t="s">
        <v>1584</v>
      </c>
      <c r="F74" s="66" t="s">
        <v>1356</v>
      </c>
      <c r="G74" s="66" t="s">
        <v>1289</v>
      </c>
      <c r="H74" s="66" t="s">
        <v>1195</v>
      </c>
      <c r="I74" s="66" t="s">
        <v>1585</v>
      </c>
      <c r="J74" s="66" t="s">
        <v>1182</v>
      </c>
      <c r="K74" s="66" t="s">
        <v>1277</v>
      </c>
      <c r="L74" s="66" t="s">
        <v>1215</v>
      </c>
      <c r="M74" s="66" t="s">
        <v>1265</v>
      </c>
      <c r="N74" s="66" t="s">
        <v>1215</v>
      </c>
      <c r="O74" s="66" t="s">
        <v>1277</v>
      </c>
      <c r="P74" s="66" t="s">
        <v>1215</v>
      </c>
      <c r="Q74" s="86" t="s">
        <v>1215</v>
      </c>
      <c r="R74" s="86" t="s">
        <v>1215</v>
      </c>
      <c r="S74" s="86" t="s">
        <v>1215</v>
      </c>
      <c r="T74" s="86" t="s">
        <v>1215</v>
      </c>
      <c r="U74" s="86" t="s">
        <v>1215</v>
      </c>
      <c r="V74" s="86" t="s">
        <v>1215</v>
      </c>
      <c r="W74" s="67"/>
      <c r="X74" s="84" t="str">
        <f t="shared" si="11"/>
        <v>Belum Dinilai</v>
      </c>
      <c r="Y74" s="84" t="str">
        <f t="shared" si="12"/>
        <v>Belum Dinilai</v>
      </c>
      <c r="Z74" s="85" t="str">
        <f t="shared" si="13"/>
        <v/>
      </c>
      <c r="AA74" s="85" t="str">
        <f t="shared" si="14"/>
        <v/>
      </c>
      <c r="AB74" s="85" t="str">
        <f t="shared" si="15"/>
        <v/>
      </c>
      <c r="AC74" s="68" t="s">
        <v>1215</v>
      </c>
      <c r="AD74" s="68" t="s">
        <v>1215</v>
      </c>
      <c r="AE74" s="68" t="s">
        <v>1215</v>
      </c>
      <c r="AF74" s="68" t="s">
        <v>1215</v>
      </c>
      <c r="AG74" s="68" t="s">
        <v>1215</v>
      </c>
      <c r="AH74" s="68" t="s">
        <v>1215</v>
      </c>
      <c r="AI74" s="68" t="s">
        <v>1215</v>
      </c>
      <c r="AJ74" s="68" t="s">
        <v>1215</v>
      </c>
      <c r="AK74" s="68" t="s">
        <v>1215</v>
      </c>
      <c r="AL74" s="68"/>
      <c r="AM74" s="68" t="s">
        <v>1215</v>
      </c>
      <c r="AN74" s="84" t="str">
        <f t="shared" si="16"/>
        <v>Belum Dinilai</v>
      </c>
      <c r="AO74" s="84" t="str">
        <f t="shared" si="17"/>
        <v>Belum Dinilai</v>
      </c>
      <c r="AP74" s="68"/>
      <c r="AQ74" s="71" t="str">
        <f t="shared" si="18"/>
        <v/>
      </c>
      <c r="AR74" s="71" t="str">
        <f t="shared" si="19"/>
        <v/>
      </c>
      <c r="AS74" s="71" t="str">
        <f t="shared" si="20"/>
        <v/>
      </c>
      <c r="AT74" s="69" t="str">
        <f t="shared" si="21"/>
        <v>Belum Dapat Ditentukan</v>
      </c>
      <c r="AU74" s="66" t="s">
        <v>1189</v>
      </c>
      <c r="AV74" s="66" t="s">
        <v>1204</v>
      </c>
      <c r="AW74" s="66" t="s">
        <v>1190</v>
      </c>
      <c r="AX74" s="66"/>
      <c r="AY74" s="66"/>
      <c r="AZ74" s="66" t="s">
        <v>927</v>
      </c>
      <c r="BA74" s="66"/>
      <c r="BB74" s="178"/>
      <c r="BC74" s="72">
        <v>2026</v>
      </c>
      <c r="BD74" s="66"/>
      <c r="BE74" s="178"/>
      <c r="BF74" s="66" t="s">
        <v>1278</v>
      </c>
    </row>
    <row r="75" spans="1:58" ht="28">
      <c r="A75" s="66" t="s">
        <v>1512</v>
      </c>
      <c r="B75" s="66" t="s">
        <v>1587</v>
      </c>
      <c r="C75" s="66"/>
      <c r="D75" s="66"/>
      <c r="E75" s="66" t="s">
        <v>1588</v>
      </c>
      <c r="F75" s="66" t="s">
        <v>1356</v>
      </c>
      <c r="G75" s="66" t="s">
        <v>1289</v>
      </c>
      <c r="H75" s="66" t="s">
        <v>1181</v>
      </c>
      <c r="I75" s="66" t="s">
        <v>1589</v>
      </c>
      <c r="J75" s="66" t="s">
        <v>1210</v>
      </c>
      <c r="K75" s="66" t="s">
        <v>1211</v>
      </c>
      <c r="L75" s="66" t="s">
        <v>895</v>
      </c>
      <c r="M75" s="66" t="s">
        <v>1266</v>
      </c>
      <c r="N75" s="66" t="s">
        <v>895</v>
      </c>
      <c r="O75" s="66" t="s">
        <v>1277</v>
      </c>
      <c r="P75" s="66" t="s">
        <v>1215</v>
      </c>
      <c r="Q75" s="86" t="s">
        <v>1215</v>
      </c>
      <c r="R75" s="86" t="s">
        <v>1215</v>
      </c>
      <c r="S75" s="86" t="s">
        <v>1215</v>
      </c>
      <c r="T75" s="86" t="s">
        <v>1215</v>
      </c>
      <c r="U75" s="86" t="s">
        <v>1215</v>
      </c>
      <c r="V75" s="86" t="s">
        <v>1215</v>
      </c>
      <c r="W75" s="67"/>
      <c r="X75" s="84" t="str">
        <f t="shared" si="11"/>
        <v>Belum Dinilai</v>
      </c>
      <c r="Y75" s="84" t="str">
        <f t="shared" si="12"/>
        <v>Belum Dinilai</v>
      </c>
      <c r="Z75" s="85" t="str">
        <f t="shared" si="13"/>
        <v/>
      </c>
      <c r="AA75" s="85" t="str">
        <f t="shared" si="14"/>
        <v/>
      </c>
      <c r="AB75" s="85" t="str">
        <f t="shared" si="15"/>
        <v/>
      </c>
      <c r="AC75" s="68" t="s">
        <v>1215</v>
      </c>
      <c r="AD75" s="68" t="s">
        <v>1215</v>
      </c>
      <c r="AE75" s="68" t="s">
        <v>1215</v>
      </c>
      <c r="AF75" s="68" t="s">
        <v>1215</v>
      </c>
      <c r="AG75" s="68" t="s">
        <v>1215</v>
      </c>
      <c r="AH75" s="68" t="s">
        <v>1215</v>
      </c>
      <c r="AI75" s="68" t="s">
        <v>1215</v>
      </c>
      <c r="AJ75" s="68" t="s">
        <v>1215</v>
      </c>
      <c r="AK75" s="68" t="s">
        <v>1215</v>
      </c>
      <c r="AL75" s="68"/>
      <c r="AM75" s="68" t="s">
        <v>1215</v>
      </c>
      <c r="AN75" s="84" t="str">
        <f t="shared" si="16"/>
        <v>Belum Dinilai</v>
      </c>
      <c r="AO75" s="84" t="str">
        <f t="shared" si="17"/>
        <v>Belum Dinilai</v>
      </c>
      <c r="AP75" s="68"/>
      <c r="AQ75" s="71" t="str">
        <f t="shared" si="18"/>
        <v/>
      </c>
      <c r="AR75" s="71" t="str">
        <f t="shared" si="19"/>
        <v/>
      </c>
      <c r="AS75" s="71" t="str">
        <f t="shared" si="20"/>
        <v/>
      </c>
      <c r="AT75" s="69" t="str">
        <f t="shared" si="21"/>
        <v>Belum Dapat Ditentukan</v>
      </c>
      <c r="AU75" s="66" t="s">
        <v>1189</v>
      </c>
      <c r="AV75" s="66" t="s">
        <v>1204</v>
      </c>
      <c r="AW75" s="66" t="s">
        <v>1190</v>
      </c>
      <c r="AX75" s="66"/>
      <c r="AY75" s="66"/>
      <c r="AZ75" s="66" t="s">
        <v>927</v>
      </c>
      <c r="BA75" s="66"/>
      <c r="BB75" s="178"/>
      <c r="BC75" s="72">
        <v>2026</v>
      </c>
      <c r="BD75" s="66"/>
      <c r="BE75" s="178"/>
      <c r="BF75" s="66" t="s">
        <v>1278</v>
      </c>
    </row>
    <row r="76" spans="1:58" ht="28">
      <c r="A76" s="66" t="s">
        <v>1515</v>
      </c>
      <c r="B76" s="66" t="s">
        <v>1900</v>
      </c>
      <c r="C76" s="83" t="s">
        <v>1901</v>
      </c>
      <c r="D76" s="83" t="s">
        <v>1903</v>
      </c>
      <c r="E76" s="66" t="s">
        <v>1902</v>
      </c>
      <c r="F76" s="66" t="s">
        <v>1356</v>
      </c>
      <c r="G76" s="66" t="s">
        <v>81</v>
      </c>
      <c r="H76" s="66" t="s">
        <v>1181</v>
      </c>
      <c r="I76" s="66"/>
      <c r="J76" s="66" t="s">
        <v>1210</v>
      </c>
      <c r="K76" s="66" t="s">
        <v>1211</v>
      </c>
      <c r="L76" s="66" t="s">
        <v>891</v>
      </c>
      <c r="M76" s="66" t="s">
        <v>1266</v>
      </c>
      <c r="N76" s="66" t="s">
        <v>891</v>
      </c>
      <c r="O76" s="66" t="s">
        <v>1213</v>
      </c>
      <c r="P76" s="66" t="s">
        <v>891</v>
      </c>
      <c r="Q76" s="86" t="s">
        <v>1186</v>
      </c>
      <c r="R76" s="86" t="s">
        <v>1201</v>
      </c>
      <c r="S76" s="86" t="s">
        <v>1201</v>
      </c>
      <c r="T76" s="86" t="s">
        <v>1201</v>
      </c>
      <c r="U76" s="86" t="s">
        <v>1201</v>
      </c>
      <c r="V76" s="86" t="s">
        <v>1215</v>
      </c>
      <c r="W76" s="67"/>
      <c r="X76" s="84" t="str">
        <f t="shared" si="11"/>
        <v>Belum Dinilai</v>
      </c>
      <c r="Y76" s="84" t="str">
        <f t="shared" si="12"/>
        <v>Belum Dinilai</v>
      </c>
      <c r="Z76" s="85">
        <f t="shared" si="13"/>
        <v>10</v>
      </c>
      <c r="AA76" s="85" t="str">
        <f t="shared" si="14"/>
        <v/>
      </c>
      <c r="AB76" s="85" t="str">
        <f t="shared" si="15"/>
        <v/>
      </c>
      <c r="AC76" s="68" t="s">
        <v>1215</v>
      </c>
      <c r="AD76" s="68" t="s">
        <v>1201</v>
      </c>
      <c r="AE76" s="68" t="s">
        <v>1215</v>
      </c>
      <c r="AF76" s="68" t="s">
        <v>1215</v>
      </c>
      <c r="AG76" s="68" t="s">
        <v>1215</v>
      </c>
      <c r="AH76" s="68" t="s">
        <v>1187</v>
      </c>
      <c r="AI76" s="68" t="s">
        <v>1187</v>
      </c>
      <c r="AJ76" s="68" t="s">
        <v>1215</v>
      </c>
      <c r="AK76" s="68" t="s">
        <v>1215</v>
      </c>
      <c r="AL76" s="68"/>
      <c r="AM76" s="68" t="s">
        <v>1215</v>
      </c>
      <c r="AN76" s="84" t="str">
        <f t="shared" si="16"/>
        <v xml:space="preserve">Instalasi listrik berbahaya; Komponen bangunan lepas atau lapuk; </v>
      </c>
      <c r="AO76" s="84" t="str">
        <f t="shared" si="17"/>
        <v>Risiko Tinggi/Darurat</v>
      </c>
      <c r="AP76" s="68"/>
      <c r="AQ76" s="71">
        <f t="shared" si="18"/>
        <v>29</v>
      </c>
      <c r="AR76" s="71">
        <f t="shared" si="19"/>
        <v>10</v>
      </c>
      <c r="AS76" s="71" t="str">
        <f t="shared" si="20"/>
        <v/>
      </c>
      <c r="AT76" s="69" t="str">
        <f t="shared" si="21"/>
        <v>Belum Dapat Ditentukan</v>
      </c>
      <c r="AU76" s="66"/>
      <c r="AV76" s="66"/>
      <c r="AW76" s="66" t="s">
        <v>1190</v>
      </c>
      <c r="AX76" s="66"/>
      <c r="AY76" s="66"/>
      <c r="AZ76" s="66" t="s">
        <v>1192</v>
      </c>
      <c r="BA76" s="66"/>
      <c r="BB76" s="178"/>
      <c r="BC76" s="72"/>
      <c r="BD76" s="66"/>
      <c r="BE76" s="178"/>
      <c r="BF76" s="66"/>
    </row>
    <row r="77" spans="1:58" ht="42">
      <c r="A77" s="66" t="s">
        <v>1518</v>
      </c>
      <c r="B77" s="66" t="s">
        <v>1592</v>
      </c>
      <c r="C77" s="66"/>
      <c r="D77" s="66"/>
      <c r="E77" s="66" t="s">
        <v>1593</v>
      </c>
      <c r="F77" s="66" t="s">
        <v>1537</v>
      </c>
      <c r="G77" s="66" t="s">
        <v>1351</v>
      </c>
      <c r="H77" s="66" t="s">
        <v>1181</v>
      </c>
      <c r="I77" s="66" t="s">
        <v>1594</v>
      </c>
      <c r="J77" s="66" t="s">
        <v>1210</v>
      </c>
      <c r="K77" s="66" t="s">
        <v>1183</v>
      </c>
      <c r="L77" s="66" t="s">
        <v>1215</v>
      </c>
      <c r="M77" s="66" t="s">
        <v>1266</v>
      </c>
      <c r="N77" s="66" t="s">
        <v>1215</v>
      </c>
      <c r="O77" s="66" t="s">
        <v>1213</v>
      </c>
      <c r="P77" s="66" t="s">
        <v>905</v>
      </c>
      <c r="Q77" s="86" t="s">
        <v>1215</v>
      </c>
      <c r="R77" s="86" t="s">
        <v>1215</v>
      </c>
      <c r="S77" s="86" t="s">
        <v>1215</v>
      </c>
      <c r="T77" s="86" t="s">
        <v>1215</v>
      </c>
      <c r="U77" s="86" t="s">
        <v>1215</v>
      </c>
      <c r="V77" s="86" t="s">
        <v>1215</v>
      </c>
      <c r="W77" s="67"/>
      <c r="X77" s="84" t="str">
        <f t="shared" si="11"/>
        <v>Belum Dinilai</v>
      </c>
      <c r="Y77" s="84" t="str">
        <f t="shared" si="12"/>
        <v>Belum Dinilai</v>
      </c>
      <c r="Z77" s="85" t="str">
        <f t="shared" si="13"/>
        <v/>
      </c>
      <c r="AA77" s="85" t="str">
        <f t="shared" si="14"/>
        <v/>
      </c>
      <c r="AB77" s="85" t="str">
        <f t="shared" si="15"/>
        <v/>
      </c>
      <c r="AC77" s="68" t="s">
        <v>1215</v>
      </c>
      <c r="AD77" s="68" t="s">
        <v>1215</v>
      </c>
      <c r="AE77" s="68" t="s">
        <v>1215</v>
      </c>
      <c r="AF77" s="68" t="s">
        <v>1215</v>
      </c>
      <c r="AG77" s="68" t="s">
        <v>1215</v>
      </c>
      <c r="AH77" s="68" t="s">
        <v>1215</v>
      </c>
      <c r="AI77" s="68" t="s">
        <v>1215</v>
      </c>
      <c r="AJ77" s="68" t="s">
        <v>1215</v>
      </c>
      <c r="AK77" s="68" t="s">
        <v>1215</v>
      </c>
      <c r="AL77" s="68"/>
      <c r="AM77" s="68" t="s">
        <v>1215</v>
      </c>
      <c r="AN77" s="84" t="str">
        <f t="shared" si="16"/>
        <v>Belum Dinilai</v>
      </c>
      <c r="AO77" s="84" t="str">
        <f t="shared" si="17"/>
        <v>Belum Dinilai</v>
      </c>
      <c r="AP77" s="68"/>
      <c r="AQ77" s="71" t="str">
        <f t="shared" si="18"/>
        <v/>
      </c>
      <c r="AR77" s="71" t="str">
        <f t="shared" si="19"/>
        <v/>
      </c>
      <c r="AS77" s="71" t="str">
        <f t="shared" si="20"/>
        <v/>
      </c>
      <c r="AT77" s="69" t="str">
        <f t="shared" si="21"/>
        <v>Belum Dapat Ditentukan</v>
      </c>
      <c r="AU77" s="66" t="s">
        <v>1189</v>
      </c>
      <c r="AV77" s="66" t="s">
        <v>1204</v>
      </c>
      <c r="AW77" s="66" t="s">
        <v>1190</v>
      </c>
      <c r="AX77" s="66"/>
      <c r="AY77" s="66"/>
      <c r="AZ77" s="66" t="s">
        <v>927</v>
      </c>
      <c r="BA77" s="66"/>
      <c r="BB77" s="178"/>
      <c r="BC77" s="72">
        <v>2026</v>
      </c>
      <c r="BD77" s="66"/>
      <c r="BE77" s="178"/>
      <c r="BF77" s="66" t="s">
        <v>1278</v>
      </c>
    </row>
    <row r="78" spans="1:58" ht="28">
      <c r="A78" s="66" t="s">
        <v>1523</v>
      </c>
      <c r="B78" s="66" t="s">
        <v>1596</v>
      </c>
      <c r="C78" s="83" t="s">
        <v>1906</v>
      </c>
      <c r="D78" s="83" t="s">
        <v>1907</v>
      </c>
      <c r="E78" s="66" t="s">
        <v>1908</v>
      </c>
      <c r="F78" s="66" t="s">
        <v>1598</v>
      </c>
      <c r="G78" s="66" t="s">
        <v>1325</v>
      </c>
      <c r="H78" s="66" t="s">
        <v>1181</v>
      </c>
      <c r="I78" s="66" t="s">
        <v>1599</v>
      </c>
      <c r="J78" s="66" t="s">
        <v>1210</v>
      </c>
      <c r="K78" s="66" t="s">
        <v>1211</v>
      </c>
      <c r="L78" s="66" t="s">
        <v>905</v>
      </c>
      <c r="M78" s="66" t="s">
        <v>1266</v>
      </c>
      <c r="N78" s="66" t="s">
        <v>891</v>
      </c>
      <c r="O78" s="66" t="s">
        <v>1213</v>
      </c>
      <c r="P78" s="66" t="s">
        <v>891</v>
      </c>
      <c r="Q78" s="86" t="s">
        <v>1186</v>
      </c>
      <c r="R78" s="86" t="s">
        <v>1187</v>
      </c>
      <c r="S78" s="86" t="s">
        <v>1201</v>
      </c>
      <c r="T78" s="86" t="s">
        <v>1201</v>
      </c>
      <c r="U78" s="86" t="s">
        <v>1201</v>
      </c>
      <c r="V78" s="86" t="s">
        <v>1201</v>
      </c>
      <c r="W78" s="67"/>
      <c r="X78" s="84" t="str">
        <f t="shared" si="11"/>
        <v xml:space="preserve">Lansia; </v>
      </c>
      <c r="Y78" s="84" t="str">
        <f t="shared" si="12"/>
        <v>1 Faktor Rentan</v>
      </c>
      <c r="Z78" s="85">
        <f t="shared" si="13"/>
        <v>10</v>
      </c>
      <c r="AA78" s="85">
        <f t="shared" si="14"/>
        <v>5</v>
      </c>
      <c r="AB78" s="85">
        <f t="shared" si="15"/>
        <v>15</v>
      </c>
      <c r="AC78" s="68" t="s">
        <v>1201</v>
      </c>
      <c r="AD78" s="68" t="s">
        <v>1201</v>
      </c>
      <c r="AE78" s="68" t="s">
        <v>1187</v>
      </c>
      <c r="AF78" s="68" t="s">
        <v>1201</v>
      </c>
      <c r="AG78" s="68" t="s">
        <v>1187</v>
      </c>
      <c r="AH78" s="68" t="s">
        <v>1187</v>
      </c>
      <c r="AI78" s="68" t="s">
        <v>1187</v>
      </c>
      <c r="AJ78" s="68" t="s">
        <v>1201</v>
      </c>
      <c r="AK78" s="68" t="s">
        <v>1201</v>
      </c>
      <c r="AL78" s="68"/>
      <c r="AM78" s="68" t="s">
        <v>1215</v>
      </c>
      <c r="AN78" s="84" t="str">
        <f t="shared" si="16"/>
        <v xml:space="preserve">Atap atau dinding utama hampir runtuh; Struktur rumah tidak stabil; Instalasi listrik berbahaya; Komponen bangunan lepas atau lapuk; </v>
      </c>
      <c r="AO78" s="84" t="str">
        <f t="shared" si="17"/>
        <v>Risiko Tinggi/Darurat</v>
      </c>
      <c r="AP78" s="68"/>
      <c r="AQ78" s="71">
        <f t="shared" si="18"/>
        <v>34</v>
      </c>
      <c r="AR78" s="71">
        <f t="shared" si="19"/>
        <v>10</v>
      </c>
      <c r="AS78" s="71">
        <f t="shared" si="20"/>
        <v>59</v>
      </c>
      <c r="AT78" s="69" t="str">
        <f t="shared" si="21"/>
        <v>Tinggi</v>
      </c>
      <c r="AU78" s="66" t="s">
        <v>1189</v>
      </c>
      <c r="AV78" s="66" t="s">
        <v>1204</v>
      </c>
      <c r="AW78" s="66" t="s">
        <v>1205</v>
      </c>
      <c r="AX78" s="66" t="s">
        <v>1283</v>
      </c>
      <c r="AY78" s="66">
        <v>2026</v>
      </c>
      <c r="AZ78" s="66" t="s">
        <v>927</v>
      </c>
      <c r="BA78" s="66"/>
      <c r="BB78" s="178"/>
      <c r="BC78" s="72">
        <v>2026</v>
      </c>
      <c r="BD78" s="66"/>
      <c r="BE78" s="178"/>
      <c r="BF78" s="66" t="s">
        <v>1278</v>
      </c>
    </row>
    <row r="79" spans="1:58" ht="28">
      <c r="A79" s="66" t="s">
        <v>1527</v>
      </c>
      <c r="B79" s="66" t="s">
        <v>1601</v>
      </c>
      <c r="C79" s="66"/>
      <c r="D79" s="66"/>
      <c r="E79" s="66" t="s">
        <v>1597</v>
      </c>
      <c r="F79" s="66" t="s">
        <v>1598</v>
      </c>
      <c r="G79" s="66" t="s">
        <v>1325</v>
      </c>
      <c r="H79" s="66" t="s">
        <v>1195</v>
      </c>
      <c r="I79" s="66" t="s">
        <v>1602</v>
      </c>
      <c r="J79" s="66" t="s">
        <v>1263</v>
      </c>
      <c r="K79" s="66" t="s">
        <v>1277</v>
      </c>
      <c r="L79" s="66" t="s">
        <v>1215</v>
      </c>
      <c r="M79" s="66" t="s">
        <v>1277</v>
      </c>
      <c r="N79" s="66" t="s">
        <v>1215</v>
      </c>
      <c r="O79" s="66" t="s">
        <v>1277</v>
      </c>
      <c r="P79" s="66" t="s">
        <v>1215</v>
      </c>
      <c r="Q79" s="86" t="s">
        <v>1215</v>
      </c>
      <c r="R79" s="86" t="s">
        <v>1215</v>
      </c>
      <c r="S79" s="86" t="s">
        <v>1215</v>
      </c>
      <c r="T79" s="86" t="s">
        <v>1215</v>
      </c>
      <c r="U79" s="86" t="s">
        <v>1215</v>
      </c>
      <c r="V79" s="86" t="s">
        <v>1215</v>
      </c>
      <c r="W79" s="67"/>
      <c r="X79" s="84" t="str">
        <f t="shared" si="11"/>
        <v>Belum Dinilai</v>
      </c>
      <c r="Y79" s="84" t="str">
        <f t="shared" si="12"/>
        <v>Belum Dinilai</v>
      </c>
      <c r="Z79" s="85" t="str">
        <f t="shared" si="13"/>
        <v/>
      </c>
      <c r="AA79" s="85" t="str">
        <f t="shared" si="14"/>
        <v/>
      </c>
      <c r="AB79" s="85" t="str">
        <f t="shared" si="15"/>
        <v/>
      </c>
      <c r="AC79" s="68" t="s">
        <v>1215</v>
      </c>
      <c r="AD79" s="68" t="s">
        <v>1215</v>
      </c>
      <c r="AE79" s="68" t="s">
        <v>1215</v>
      </c>
      <c r="AF79" s="68" t="s">
        <v>1215</v>
      </c>
      <c r="AG79" s="68" t="s">
        <v>1215</v>
      </c>
      <c r="AH79" s="68" t="s">
        <v>1215</v>
      </c>
      <c r="AI79" s="68" t="s">
        <v>1215</v>
      </c>
      <c r="AJ79" s="68" t="s">
        <v>1215</v>
      </c>
      <c r="AK79" s="68" t="s">
        <v>1215</v>
      </c>
      <c r="AL79" s="68"/>
      <c r="AM79" s="68" t="s">
        <v>1215</v>
      </c>
      <c r="AN79" s="84" t="str">
        <f t="shared" si="16"/>
        <v>Belum Dinilai</v>
      </c>
      <c r="AO79" s="84" t="str">
        <f t="shared" si="17"/>
        <v>Belum Dinilai</v>
      </c>
      <c r="AP79" s="68"/>
      <c r="AQ79" s="71" t="str">
        <f t="shared" si="18"/>
        <v/>
      </c>
      <c r="AR79" s="71" t="str">
        <f t="shared" si="19"/>
        <v/>
      </c>
      <c r="AS79" s="71" t="str">
        <f t="shared" si="20"/>
        <v/>
      </c>
      <c r="AT79" s="69" t="str">
        <f t="shared" si="21"/>
        <v>Belum Dapat Ditentukan</v>
      </c>
      <c r="AU79" s="66" t="s">
        <v>1189</v>
      </c>
      <c r="AV79" s="66" t="s">
        <v>1204</v>
      </c>
      <c r="AW79" s="66" t="s">
        <v>1190</v>
      </c>
      <c r="AX79" s="66"/>
      <c r="AY79" s="66"/>
      <c r="AZ79" s="66" t="s">
        <v>927</v>
      </c>
      <c r="BA79" s="66"/>
      <c r="BB79" s="178"/>
      <c r="BC79" s="72">
        <v>2026</v>
      </c>
      <c r="BD79" s="66"/>
      <c r="BE79" s="178"/>
      <c r="BF79" s="66" t="s">
        <v>1278</v>
      </c>
    </row>
    <row r="80" spans="1:58" ht="28">
      <c r="A80" s="66" t="s">
        <v>1531</v>
      </c>
      <c r="B80" s="66" t="s">
        <v>1604</v>
      </c>
      <c r="C80" s="66"/>
      <c r="D80" s="66"/>
      <c r="E80" s="66" t="s">
        <v>1605</v>
      </c>
      <c r="F80" s="66" t="s">
        <v>1606</v>
      </c>
      <c r="G80" s="66" t="s">
        <v>1325</v>
      </c>
      <c r="H80" s="66" t="s">
        <v>1181</v>
      </c>
      <c r="I80" s="66" t="s">
        <v>1607</v>
      </c>
      <c r="J80" s="66" t="s">
        <v>1263</v>
      </c>
      <c r="K80" s="66" t="s">
        <v>1293</v>
      </c>
      <c r="L80" s="66" t="s">
        <v>1215</v>
      </c>
      <c r="M80" s="66" t="s">
        <v>1277</v>
      </c>
      <c r="N80" s="66" t="s">
        <v>1215</v>
      </c>
      <c r="O80" s="66" t="s">
        <v>1277</v>
      </c>
      <c r="P80" s="66" t="s">
        <v>1215</v>
      </c>
      <c r="Q80" s="86" t="s">
        <v>1215</v>
      </c>
      <c r="R80" s="86" t="s">
        <v>1215</v>
      </c>
      <c r="S80" s="86" t="s">
        <v>1215</v>
      </c>
      <c r="T80" s="86" t="s">
        <v>1215</v>
      </c>
      <c r="U80" s="86" t="s">
        <v>1215</v>
      </c>
      <c r="V80" s="86" t="s">
        <v>1215</v>
      </c>
      <c r="W80" s="67"/>
      <c r="X80" s="84" t="str">
        <f t="shared" si="11"/>
        <v>Belum Dinilai</v>
      </c>
      <c r="Y80" s="84" t="str">
        <f t="shared" si="12"/>
        <v>Belum Dinilai</v>
      </c>
      <c r="Z80" s="85" t="str">
        <f t="shared" si="13"/>
        <v/>
      </c>
      <c r="AA80" s="85" t="str">
        <f t="shared" si="14"/>
        <v/>
      </c>
      <c r="AB80" s="85" t="str">
        <f t="shared" si="15"/>
        <v/>
      </c>
      <c r="AC80" s="68" t="s">
        <v>1215</v>
      </c>
      <c r="AD80" s="68" t="s">
        <v>1215</v>
      </c>
      <c r="AE80" s="68" t="s">
        <v>1215</v>
      </c>
      <c r="AF80" s="68" t="s">
        <v>1215</v>
      </c>
      <c r="AG80" s="68" t="s">
        <v>1215</v>
      </c>
      <c r="AH80" s="68" t="s">
        <v>1215</v>
      </c>
      <c r="AI80" s="68" t="s">
        <v>1215</v>
      </c>
      <c r="AJ80" s="68" t="s">
        <v>1215</v>
      </c>
      <c r="AK80" s="68" t="s">
        <v>1215</v>
      </c>
      <c r="AL80" s="68"/>
      <c r="AM80" s="68" t="s">
        <v>1215</v>
      </c>
      <c r="AN80" s="84" t="str">
        <f t="shared" si="16"/>
        <v>Belum Dinilai</v>
      </c>
      <c r="AO80" s="84" t="str">
        <f t="shared" si="17"/>
        <v>Belum Dinilai</v>
      </c>
      <c r="AP80" s="68"/>
      <c r="AQ80" s="71" t="str">
        <f t="shared" si="18"/>
        <v/>
      </c>
      <c r="AR80" s="71" t="str">
        <f t="shared" si="19"/>
        <v/>
      </c>
      <c r="AS80" s="71" t="str">
        <f t="shared" si="20"/>
        <v/>
      </c>
      <c r="AT80" s="69" t="str">
        <f t="shared" si="21"/>
        <v>Belum Dapat Ditentukan</v>
      </c>
      <c r="AU80" s="66" t="s">
        <v>1203</v>
      </c>
      <c r="AV80" s="66" t="s">
        <v>1204</v>
      </c>
      <c r="AW80" s="66" t="s">
        <v>1898</v>
      </c>
      <c r="AX80" s="66" t="s">
        <v>1283</v>
      </c>
      <c r="AY80" s="66">
        <v>2024</v>
      </c>
      <c r="AZ80" s="66" t="s">
        <v>927</v>
      </c>
      <c r="BA80" s="66"/>
      <c r="BB80" s="178"/>
      <c r="BC80" s="72">
        <v>2026</v>
      </c>
      <c r="BD80" s="66"/>
      <c r="BE80" s="178"/>
      <c r="BF80" s="66" t="s">
        <v>1278</v>
      </c>
    </row>
    <row r="81" spans="1:58" ht="28">
      <c r="A81" s="66" t="s">
        <v>1947</v>
      </c>
      <c r="B81" s="66" t="s">
        <v>1609</v>
      </c>
      <c r="C81" s="66"/>
      <c r="D81" s="66"/>
      <c r="E81" s="66" t="s">
        <v>1529</v>
      </c>
      <c r="F81" s="66" t="s">
        <v>1474</v>
      </c>
      <c r="G81" s="66" t="s">
        <v>1310</v>
      </c>
      <c r="H81" s="66" t="s">
        <v>1195</v>
      </c>
      <c r="I81" s="66" t="s">
        <v>1610</v>
      </c>
      <c r="J81" s="66" t="s">
        <v>1263</v>
      </c>
      <c r="K81" s="66" t="s">
        <v>1277</v>
      </c>
      <c r="L81" s="66" t="s">
        <v>1215</v>
      </c>
      <c r="M81" s="66" t="s">
        <v>1277</v>
      </c>
      <c r="N81" s="66" t="s">
        <v>1215</v>
      </c>
      <c r="O81" s="66" t="s">
        <v>1185</v>
      </c>
      <c r="P81" s="66" t="s">
        <v>1215</v>
      </c>
      <c r="Q81" s="86" t="s">
        <v>1215</v>
      </c>
      <c r="R81" s="86" t="s">
        <v>1215</v>
      </c>
      <c r="S81" s="86" t="s">
        <v>1215</v>
      </c>
      <c r="T81" s="86" t="s">
        <v>1215</v>
      </c>
      <c r="U81" s="86" t="s">
        <v>1215</v>
      </c>
      <c r="V81" s="86" t="s">
        <v>1215</v>
      </c>
      <c r="W81" s="67"/>
      <c r="X81" s="84" t="str">
        <f t="shared" si="11"/>
        <v>Belum Dinilai</v>
      </c>
      <c r="Y81" s="84" t="str">
        <f t="shared" si="12"/>
        <v>Belum Dinilai</v>
      </c>
      <c r="Z81" s="85" t="str">
        <f t="shared" si="13"/>
        <v/>
      </c>
      <c r="AA81" s="85" t="str">
        <f t="shared" si="14"/>
        <v/>
      </c>
      <c r="AB81" s="85" t="str">
        <f t="shared" si="15"/>
        <v/>
      </c>
      <c r="AC81" s="68" t="s">
        <v>1215</v>
      </c>
      <c r="AD81" s="68" t="s">
        <v>1215</v>
      </c>
      <c r="AE81" s="68" t="s">
        <v>1215</v>
      </c>
      <c r="AF81" s="68" t="s">
        <v>1215</v>
      </c>
      <c r="AG81" s="68" t="s">
        <v>1215</v>
      </c>
      <c r="AH81" s="68" t="s">
        <v>1215</v>
      </c>
      <c r="AI81" s="68" t="s">
        <v>1215</v>
      </c>
      <c r="AJ81" s="68" t="s">
        <v>1215</v>
      </c>
      <c r="AK81" s="68" t="s">
        <v>1215</v>
      </c>
      <c r="AL81" s="68"/>
      <c r="AM81" s="68" t="s">
        <v>1215</v>
      </c>
      <c r="AN81" s="84" t="str">
        <f t="shared" si="16"/>
        <v>Belum Dinilai</v>
      </c>
      <c r="AO81" s="84" t="str">
        <f t="shared" si="17"/>
        <v>Belum Dinilai</v>
      </c>
      <c r="AP81" s="68"/>
      <c r="AQ81" s="71" t="str">
        <f t="shared" si="18"/>
        <v/>
      </c>
      <c r="AR81" s="71" t="str">
        <f t="shared" si="19"/>
        <v/>
      </c>
      <c r="AS81" s="71" t="str">
        <f t="shared" si="20"/>
        <v/>
      </c>
      <c r="AT81" s="69" t="str">
        <f t="shared" si="21"/>
        <v>Belum Dapat Ditentukan</v>
      </c>
      <c r="AU81" s="66" t="s">
        <v>1189</v>
      </c>
      <c r="AV81" s="66" t="s">
        <v>1204</v>
      </c>
      <c r="AW81" s="66" t="s">
        <v>1190</v>
      </c>
      <c r="AX81" s="66"/>
      <c r="AY81" s="66"/>
      <c r="AZ81" s="66" t="s">
        <v>927</v>
      </c>
      <c r="BA81" s="66"/>
      <c r="BB81" s="178"/>
      <c r="BC81" s="72">
        <v>2026</v>
      </c>
      <c r="BD81" s="66"/>
      <c r="BE81" s="178"/>
      <c r="BF81" s="66" t="s">
        <v>1278</v>
      </c>
    </row>
    <row r="82" spans="1:58" ht="28">
      <c r="A82" s="66" t="s">
        <v>1948</v>
      </c>
      <c r="B82" s="66" t="s">
        <v>1612</v>
      </c>
      <c r="C82" s="66"/>
      <c r="D82" s="66"/>
      <c r="E82" s="66" t="s">
        <v>1613</v>
      </c>
      <c r="F82" s="66" t="s">
        <v>1474</v>
      </c>
      <c r="G82" s="66" t="s">
        <v>1310</v>
      </c>
      <c r="H82" s="66" t="s">
        <v>1195</v>
      </c>
      <c r="I82" s="66" t="s">
        <v>1614</v>
      </c>
      <c r="J82" s="66" t="s">
        <v>1182</v>
      </c>
      <c r="K82" s="66" t="s">
        <v>1277</v>
      </c>
      <c r="L82" s="66" t="s">
        <v>1215</v>
      </c>
      <c r="M82" s="66" t="s">
        <v>1212</v>
      </c>
      <c r="N82" s="66" t="s">
        <v>1215</v>
      </c>
      <c r="O82" s="66" t="s">
        <v>1213</v>
      </c>
      <c r="P82" s="66" t="s">
        <v>1215</v>
      </c>
      <c r="Q82" s="86" t="s">
        <v>1215</v>
      </c>
      <c r="R82" s="86" t="s">
        <v>1215</v>
      </c>
      <c r="S82" s="86" t="s">
        <v>1215</v>
      </c>
      <c r="T82" s="86" t="s">
        <v>1215</v>
      </c>
      <c r="U82" s="86" t="s">
        <v>1215</v>
      </c>
      <c r="V82" s="86" t="s">
        <v>1215</v>
      </c>
      <c r="W82" s="67"/>
      <c r="X82" s="84" t="str">
        <f t="shared" si="11"/>
        <v>Belum Dinilai</v>
      </c>
      <c r="Y82" s="84" t="str">
        <f t="shared" si="12"/>
        <v>Belum Dinilai</v>
      </c>
      <c r="Z82" s="85" t="str">
        <f t="shared" si="13"/>
        <v/>
      </c>
      <c r="AA82" s="85" t="str">
        <f t="shared" si="14"/>
        <v/>
      </c>
      <c r="AB82" s="85" t="str">
        <f t="shared" si="15"/>
        <v/>
      </c>
      <c r="AC82" s="68" t="s">
        <v>1215</v>
      </c>
      <c r="AD82" s="68" t="s">
        <v>1215</v>
      </c>
      <c r="AE82" s="68" t="s">
        <v>1215</v>
      </c>
      <c r="AF82" s="68" t="s">
        <v>1215</v>
      </c>
      <c r="AG82" s="68" t="s">
        <v>1215</v>
      </c>
      <c r="AH82" s="68" t="s">
        <v>1215</v>
      </c>
      <c r="AI82" s="68" t="s">
        <v>1215</v>
      </c>
      <c r="AJ82" s="68" t="s">
        <v>1215</v>
      </c>
      <c r="AK82" s="68" t="s">
        <v>1215</v>
      </c>
      <c r="AL82" s="68"/>
      <c r="AM82" s="68" t="s">
        <v>1215</v>
      </c>
      <c r="AN82" s="84" t="str">
        <f t="shared" si="16"/>
        <v>Belum Dinilai</v>
      </c>
      <c r="AO82" s="84" t="str">
        <f t="shared" si="17"/>
        <v>Belum Dinilai</v>
      </c>
      <c r="AP82" s="68"/>
      <c r="AQ82" s="71" t="str">
        <f t="shared" si="18"/>
        <v/>
      </c>
      <c r="AR82" s="71" t="str">
        <f t="shared" si="19"/>
        <v/>
      </c>
      <c r="AS82" s="71" t="str">
        <f t="shared" si="20"/>
        <v/>
      </c>
      <c r="AT82" s="69" t="str">
        <f t="shared" si="21"/>
        <v>Belum Dapat Ditentukan</v>
      </c>
      <c r="AU82" s="66" t="s">
        <v>1189</v>
      </c>
      <c r="AV82" s="66" t="s">
        <v>1204</v>
      </c>
      <c r="AW82" s="66" t="s">
        <v>1190</v>
      </c>
      <c r="AX82" s="66"/>
      <c r="AY82" s="66"/>
      <c r="AZ82" s="66" t="s">
        <v>927</v>
      </c>
      <c r="BA82" s="66"/>
      <c r="BB82" s="178"/>
      <c r="BC82" s="72">
        <v>2026</v>
      </c>
      <c r="BD82" s="66"/>
      <c r="BE82" s="178"/>
      <c r="BF82" s="66" t="s">
        <v>1278</v>
      </c>
    </row>
    <row r="83" spans="1:58" ht="28">
      <c r="A83" s="66" t="s">
        <v>1949</v>
      </c>
      <c r="B83" s="66" t="s">
        <v>1364</v>
      </c>
      <c r="C83" s="66"/>
      <c r="D83" s="66"/>
      <c r="E83" s="66" t="s">
        <v>1613</v>
      </c>
      <c r="F83" s="66" t="s">
        <v>1474</v>
      </c>
      <c r="G83" s="66" t="s">
        <v>1310</v>
      </c>
      <c r="H83" s="66" t="s">
        <v>1181</v>
      </c>
      <c r="I83" s="66" t="s">
        <v>1616</v>
      </c>
      <c r="J83" s="66" t="s">
        <v>1210</v>
      </c>
      <c r="K83" s="66" t="s">
        <v>1277</v>
      </c>
      <c r="L83" s="66" t="s">
        <v>895</v>
      </c>
      <c r="M83" s="66" t="s">
        <v>1266</v>
      </c>
      <c r="N83" s="66" t="s">
        <v>895</v>
      </c>
      <c r="O83" s="66" t="s">
        <v>1213</v>
      </c>
      <c r="P83" s="66" t="s">
        <v>895</v>
      </c>
      <c r="Q83" s="86" t="s">
        <v>1215</v>
      </c>
      <c r="R83" s="86" t="s">
        <v>1215</v>
      </c>
      <c r="S83" s="86" t="s">
        <v>1215</v>
      </c>
      <c r="T83" s="86" t="s">
        <v>1215</v>
      </c>
      <c r="U83" s="86" t="s">
        <v>1215</v>
      </c>
      <c r="V83" s="86" t="s">
        <v>1215</v>
      </c>
      <c r="W83" s="67"/>
      <c r="X83" s="84" t="str">
        <f t="shared" si="11"/>
        <v>Belum Dinilai</v>
      </c>
      <c r="Y83" s="84" t="str">
        <f t="shared" si="12"/>
        <v>Belum Dinilai</v>
      </c>
      <c r="Z83" s="85" t="str">
        <f t="shared" si="13"/>
        <v/>
      </c>
      <c r="AA83" s="85" t="str">
        <f t="shared" si="14"/>
        <v/>
      </c>
      <c r="AB83" s="85" t="str">
        <f t="shared" si="15"/>
        <v/>
      </c>
      <c r="AC83" s="68" t="s">
        <v>1215</v>
      </c>
      <c r="AD83" s="68" t="s">
        <v>1215</v>
      </c>
      <c r="AE83" s="68" t="s">
        <v>1215</v>
      </c>
      <c r="AF83" s="68" t="s">
        <v>1215</v>
      </c>
      <c r="AG83" s="68" t="s">
        <v>1215</v>
      </c>
      <c r="AH83" s="68" t="s">
        <v>1215</v>
      </c>
      <c r="AI83" s="68" t="s">
        <v>1215</v>
      </c>
      <c r="AJ83" s="68" t="s">
        <v>1215</v>
      </c>
      <c r="AK83" s="68" t="s">
        <v>1215</v>
      </c>
      <c r="AL83" s="68"/>
      <c r="AM83" s="68" t="s">
        <v>1215</v>
      </c>
      <c r="AN83" s="84" t="str">
        <f t="shared" si="16"/>
        <v>Belum Dinilai</v>
      </c>
      <c r="AO83" s="84" t="str">
        <f t="shared" si="17"/>
        <v>Belum Dinilai</v>
      </c>
      <c r="AP83" s="68"/>
      <c r="AQ83" s="71">
        <f t="shared" si="18"/>
        <v>57</v>
      </c>
      <c r="AR83" s="71" t="str">
        <f t="shared" si="19"/>
        <v/>
      </c>
      <c r="AS83" s="71" t="str">
        <f t="shared" si="20"/>
        <v/>
      </c>
      <c r="AT83" s="69" t="str">
        <f t="shared" si="21"/>
        <v>Belum Dapat Ditentukan</v>
      </c>
      <c r="AU83" s="66" t="s">
        <v>1189</v>
      </c>
      <c r="AV83" s="66" t="s">
        <v>1204</v>
      </c>
      <c r="AW83" s="66" t="s">
        <v>1898</v>
      </c>
      <c r="AX83" s="66" t="s">
        <v>1217</v>
      </c>
      <c r="AY83" s="66">
        <v>2023</v>
      </c>
      <c r="AZ83" s="66" t="s">
        <v>927</v>
      </c>
      <c r="BA83" s="66"/>
      <c r="BB83" s="178"/>
      <c r="BC83" s="72">
        <v>2026</v>
      </c>
      <c r="BD83" s="66"/>
      <c r="BE83" s="178"/>
      <c r="BF83" s="66" t="s">
        <v>1278</v>
      </c>
    </row>
    <row r="84" spans="1:58" ht="28">
      <c r="A84" s="66" t="s">
        <v>1950</v>
      </c>
      <c r="B84" s="66" t="s">
        <v>1618</v>
      </c>
      <c r="C84" s="66"/>
      <c r="D84" s="66"/>
      <c r="E84" s="66" t="s">
        <v>1619</v>
      </c>
      <c r="F84" s="66" t="s">
        <v>1474</v>
      </c>
      <c r="G84" s="66" t="s">
        <v>1310</v>
      </c>
      <c r="H84" s="66" t="s">
        <v>1181</v>
      </c>
      <c r="I84" s="66" t="s">
        <v>1620</v>
      </c>
      <c r="J84" s="66" t="s">
        <v>1210</v>
      </c>
      <c r="K84" s="66" t="s">
        <v>1277</v>
      </c>
      <c r="L84" s="66" t="s">
        <v>1215</v>
      </c>
      <c r="M84" s="66" t="s">
        <v>1266</v>
      </c>
      <c r="N84" s="66" t="s">
        <v>895</v>
      </c>
      <c r="O84" s="66" t="s">
        <v>1213</v>
      </c>
      <c r="P84" s="66" t="s">
        <v>895</v>
      </c>
      <c r="Q84" s="86" t="s">
        <v>1215</v>
      </c>
      <c r="R84" s="86" t="s">
        <v>1215</v>
      </c>
      <c r="S84" s="86" t="s">
        <v>1215</v>
      </c>
      <c r="T84" s="86" t="s">
        <v>1215</v>
      </c>
      <c r="U84" s="86" t="s">
        <v>1215</v>
      </c>
      <c r="V84" s="86" t="s">
        <v>1215</v>
      </c>
      <c r="W84" s="67"/>
      <c r="X84" s="84" t="str">
        <f t="shared" si="11"/>
        <v>Belum Dinilai</v>
      </c>
      <c r="Y84" s="84" t="str">
        <f t="shared" si="12"/>
        <v>Belum Dinilai</v>
      </c>
      <c r="Z84" s="85" t="str">
        <f t="shared" si="13"/>
        <v/>
      </c>
      <c r="AA84" s="85" t="str">
        <f t="shared" si="14"/>
        <v/>
      </c>
      <c r="AB84" s="85" t="str">
        <f t="shared" si="15"/>
        <v/>
      </c>
      <c r="AC84" s="68" t="s">
        <v>1215</v>
      </c>
      <c r="AD84" s="68" t="s">
        <v>1215</v>
      </c>
      <c r="AE84" s="68" t="s">
        <v>1215</v>
      </c>
      <c r="AF84" s="68" t="s">
        <v>1215</v>
      </c>
      <c r="AG84" s="68" t="s">
        <v>1215</v>
      </c>
      <c r="AH84" s="68" t="s">
        <v>1215</v>
      </c>
      <c r="AI84" s="68" t="s">
        <v>1215</v>
      </c>
      <c r="AJ84" s="68" t="s">
        <v>1215</v>
      </c>
      <c r="AK84" s="68" t="s">
        <v>1215</v>
      </c>
      <c r="AL84" s="68"/>
      <c r="AM84" s="68" t="s">
        <v>1215</v>
      </c>
      <c r="AN84" s="84" t="str">
        <f t="shared" si="16"/>
        <v>Belum Dinilai</v>
      </c>
      <c r="AO84" s="84" t="str">
        <f t="shared" si="17"/>
        <v>Belum Dinilai</v>
      </c>
      <c r="AP84" s="68"/>
      <c r="AQ84" s="71" t="str">
        <f t="shared" si="18"/>
        <v/>
      </c>
      <c r="AR84" s="71" t="str">
        <f t="shared" si="19"/>
        <v/>
      </c>
      <c r="AS84" s="71" t="str">
        <f t="shared" si="20"/>
        <v/>
      </c>
      <c r="AT84" s="69" t="str">
        <f t="shared" si="21"/>
        <v>Belum Dapat Ditentukan</v>
      </c>
      <c r="AU84" s="66" t="s">
        <v>1189</v>
      </c>
      <c r="AV84" s="66" t="s">
        <v>1204</v>
      </c>
      <c r="AW84" s="66" t="s">
        <v>1190</v>
      </c>
      <c r="AX84" s="66"/>
      <c r="AY84" s="66"/>
      <c r="AZ84" s="66" t="s">
        <v>927</v>
      </c>
      <c r="BA84" s="66"/>
      <c r="BB84" s="178"/>
      <c r="BC84" s="72">
        <v>2026</v>
      </c>
      <c r="BD84" s="66"/>
      <c r="BE84" s="178"/>
      <c r="BF84" s="66" t="s">
        <v>1278</v>
      </c>
    </row>
    <row r="85" spans="1:58" ht="28">
      <c r="A85" s="66" t="s">
        <v>1951</v>
      </c>
      <c r="B85" s="66" t="s">
        <v>1622</v>
      </c>
      <c r="C85" s="66"/>
      <c r="D85" s="66"/>
      <c r="E85" s="66" t="s">
        <v>1623</v>
      </c>
      <c r="F85" s="66" t="s">
        <v>1624</v>
      </c>
      <c r="G85" s="66" t="s">
        <v>1310</v>
      </c>
      <c r="H85" s="66" t="s">
        <v>1181</v>
      </c>
      <c r="I85" s="66" t="s">
        <v>1620</v>
      </c>
      <c r="J85" s="66" t="s">
        <v>1210</v>
      </c>
      <c r="K85" s="66" t="s">
        <v>1277</v>
      </c>
      <c r="L85" s="66" t="s">
        <v>1215</v>
      </c>
      <c r="M85" s="66" t="s">
        <v>1266</v>
      </c>
      <c r="N85" s="66" t="s">
        <v>895</v>
      </c>
      <c r="O85" s="66" t="s">
        <v>1213</v>
      </c>
      <c r="P85" s="66" t="s">
        <v>895</v>
      </c>
      <c r="Q85" s="86" t="s">
        <v>1215</v>
      </c>
      <c r="R85" s="86" t="s">
        <v>1215</v>
      </c>
      <c r="S85" s="86" t="s">
        <v>1215</v>
      </c>
      <c r="T85" s="86" t="s">
        <v>1215</v>
      </c>
      <c r="U85" s="86" t="s">
        <v>1215</v>
      </c>
      <c r="V85" s="86" t="s">
        <v>1215</v>
      </c>
      <c r="W85" s="67"/>
      <c r="X85" s="84" t="str">
        <f t="shared" si="11"/>
        <v>Belum Dinilai</v>
      </c>
      <c r="Y85" s="84" t="str">
        <f t="shared" si="12"/>
        <v>Belum Dinilai</v>
      </c>
      <c r="Z85" s="85" t="str">
        <f t="shared" si="13"/>
        <v/>
      </c>
      <c r="AA85" s="85" t="str">
        <f t="shared" si="14"/>
        <v/>
      </c>
      <c r="AB85" s="85" t="str">
        <f t="shared" si="15"/>
        <v/>
      </c>
      <c r="AC85" s="68" t="s">
        <v>1215</v>
      </c>
      <c r="AD85" s="68" t="s">
        <v>1215</v>
      </c>
      <c r="AE85" s="68" t="s">
        <v>1215</v>
      </c>
      <c r="AF85" s="68" t="s">
        <v>1215</v>
      </c>
      <c r="AG85" s="68" t="s">
        <v>1215</v>
      </c>
      <c r="AH85" s="68" t="s">
        <v>1215</v>
      </c>
      <c r="AI85" s="68" t="s">
        <v>1215</v>
      </c>
      <c r="AJ85" s="68" t="s">
        <v>1215</v>
      </c>
      <c r="AK85" s="68" t="s">
        <v>1215</v>
      </c>
      <c r="AL85" s="68"/>
      <c r="AM85" s="68" t="s">
        <v>1215</v>
      </c>
      <c r="AN85" s="84" t="str">
        <f t="shared" si="16"/>
        <v>Belum Dinilai</v>
      </c>
      <c r="AO85" s="84" t="str">
        <f t="shared" si="17"/>
        <v>Belum Dinilai</v>
      </c>
      <c r="AP85" s="68"/>
      <c r="AQ85" s="71" t="str">
        <f t="shared" si="18"/>
        <v/>
      </c>
      <c r="AR85" s="71" t="str">
        <f t="shared" si="19"/>
        <v/>
      </c>
      <c r="AS85" s="71" t="str">
        <f t="shared" si="20"/>
        <v/>
      </c>
      <c r="AT85" s="69" t="str">
        <f t="shared" si="21"/>
        <v>Belum Dapat Ditentukan</v>
      </c>
      <c r="AU85" s="66" t="s">
        <v>1189</v>
      </c>
      <c r="AV85" s="66" t="s">
        <v>1204</v>
      </c>
      <c r="AW85" s="66" t="s">
        <v>1898</v>
      </c>
      <c r="AX85" s="66" t="s">
        <v>1206</v>
      </c>
      <c r="AY85" s="66">
        <v>2021</v>
      </c>
      <c r="AZ85" s="66" t="s">
        <v>927</v>
      </c>
      <c r="BA85" s="66"/>
      <c r="BB85" s="178"/>
      <c r="BC85" s="72">
        <v>2026</v>
      </c>
      <c r="BD85" s="66"/>
      <c r="BE85" s="178"/>
      <c r="BF85" s="66" t="s">
        <v>1278</v>
      </c>
    </row>
    <row r="86" spans="1:58" ht="28">
      <c r="A86" s="66" t="s">
        <v>1952</v>
      </c>
      <c r="B86" s="66" t="s">
        <v>1626</v>
      </c>
      <c r="C86" s="66"/>
      <c r="D86" s="66"/>
      <c r="E86" s="66" t="s">
        <v>1627</v>
      </c>
      <c r="F86" s="66" t="s">
        <v>1624</v>
      </c>
      <c r="G86" s="66" t="s">
        <v>1310</v>
      </c>
      <c r="H86" s="66" t="s">
        <v>1181</v>
      </c>
      <c r="I86" s="66" t="s">
        <v>1620</v>
      </c>
      <c r="J86" s="66" t="s">
        <v>1210</v>
      </c>
      <c r="K86" s="66" t="s">
        <v>1277</v>
      </c>
      <c r="L86" s="66" t="s">
        <v>1215</v>
      </c>
      <c r="M86" s="66" t="s">
        <v>1266</v>
      </c>
      <c r="N86" s="66" t="s">
        <v>895</v>
      </c>
      <c r="O86" s="66" t="s">
        <v>1213</v>
      </c>
      <c r="P86" s="66" t="s">
        <v>895</v>
      </c>
      <c r="Q86" s="86" t="s">
        <v>1215</v>
      </c>
      <c r="R86" s="86" t="s">
        <v>1215</v>
      </c>
      <c r="S86" s="86" t="s">
        <v>1215</v>
      </c>
      <c r="T86" s="86" t="s">
        <v>1215</v>
      </c>
      <c r="U86" s="86" t="s">
        <v>1215</v>
      </c>
      <c r="V86" s="86" t="s">
        <v>1215</v>
      </c>
      <c r="W86" s="67"/>
      <c r="X86" s="84" t="str">
        <f t="shared" si="11"/>
        <v>Belum Dinilai</v>
      </c>
      <c r="Y86" s="84" t="str">
        <f t="shared" si="12"/>
        <v>Belum Dinilai</v>
      </c>
      <c r="Z86" s="85" t="str">
        <f t="shared" si="13"/>
        <v/>
      </c>
      <c r="AA86" s="85" t="str">
        <f t="shared" si="14"/>
        <v/>
      </c>
      <c r="AB86" s="85" t="str">
        <f t="shared" si="15"/>
        <v/>
      </c>
      <c r="AC86" s="68" t="s">
        <v>1215</v>
      </c>
      <c r="AD86" s="68" t="s">
        <v>1215</v>
      </c>
      <c r="AE86" s="68" t="s">
        <v>1215</v>
      </c>
      <c r="AF86" s="68" t="s">
        <v>1215</v>
      </c>
      <c r="AG86" s="68" t="s">
        <v>1215</v>
      </c>
      <c r="AH86" s="68" t="s">
        <v>1215</v>
      </c>
      <c r="AI86" s="68" t="s">
        <v>1215</v>
      </c>
      <c r="AJ86" s="68" t="s">
        <v>1215</v>
      </c>
      <c r="AK86" s="68" t="s">
        <v>1215</v>
      </c>
      <c r="AL86" s="68"/>
      <c r="AM86" s="68" t="s">
        <v>1215</v>
      </c>
      <c r="AN86" s="84" t="str">
        <f t="shared" si="16"/>
        <v>Belum Dinilai</v>
      </c>
      <c r="AO86" s="84" t="str">
        <f t="shared" si="17"/>
        <v>Belum Dinilai</v>
      </c>
      <c r="AP86" s="68"/>
      <c r="AQ86" s="71" t="str">
        <f t="shared" si="18"/>
        <v/>
      </c>
      <c r="AR86" s="71" t="str">
        <f t="shared" si="19"/>
        <v/>
      </c>
      <c r="AS86" s="71" t="str">
        <f t="shared" si="20"/>
        <v/>
      </c>
      <c r="AT86" s="69" t="str">
        <f t="shared" si="21"/>
        <v>Belum Dapat Ditentukan</v>
      </c>
      <c r="AU86" s="66" t="s">
        <v>1189</v>
      </c>
      <c r="AV86" s="66" t="s">
        <v>1204</v>
      </c>
      <c r="AW86" s="66" t="s">
        <v>1898</v>
      </c>
      <c r="AX86" s="66" t="s">
        <v>1206</v>
      </c>
      <c r="AY86" s="66">
        <v>2022</v>
      </c>
      <c r="AZ86" s="66" t="s">
        <v>927</v>
      </c>
      <c r="BA86" s="66"/>
      <c r="BB86" s="178"/>
      <c r="BC86" s="72">
        <v>2026</v>
      </c>
      <c r="BD86" s="66"/>
      <c r="BE86" s="178"/>
      <c r="BF86" s="66" t="s">
        <v>1278</v>
      </c>
    </row>
    <row r="87" spans="1:58" ht="28">
      <c r="A87" s="66" t="s">
        <v>1953</v>
      </c>
      <c r="B87" s="66" t="s">
        <v>1629</v>
      </c>
      <c r="C87" s="66"/>
      <c r="D87" s="66"/>
      <c r="E87" s="66" t="s">
        <v>1630</v>
      </c>
      <c r="F87" s="66" t="s">
        <v>1624</v>
      </c>
      <c r="G87" s="66" t="s">
        <v>1310</v>
      </c>
      <c r="H87" s="66" t="s">
        <v>1181</v>
      </c>
      <c r="I87" s="66" t="s">
        <v>1631</v>
      </c>
      <c r="J87" s="66" t="s">
        <v>1210</v>
      </c>
      <c r="K87" s="66" t="s">
        <v>1277</v>
      </c>
      <c r="L87" s="66" t="s">
        <v>1215</v>
      </c>
      <c r="M87" s="66" t="s">
        <v>1266</v>
      </c>
      <c r="N87" s="66" t="s">
        <v>1215</v>
      </c>
      <c r="O87" s="66" t="s">
        <v>1281</v>
      </c>
      <c r="P87" s="66" t="s">
        <v>1282</v>
      </c>
      <c r="Q87" s="86" t="s">
        <v>1215</v>
      </c>
      <c r="R87" s="86" t="s">
        <v>1215</v>
      </c>
      <c r="S87" s="86" t="s">
        <v>1215</v>
      </c>
      <c r="T87" s="86" t="s">
        <v>1215</v>
      </c>
      <c r="U87" s="86" t="s">
        <v>1215</v>
      </c>
      <c r="V87" s="86" t="s">
        <v>1215</v>
      </c>
      <c r="W87" s="67"/>
      <c r="X87" s="84" t="str">
        <f t="shared" si="11"/>
        <v>Belum Dinilai</v>
      </c>
      <c r="Y87" s="84" t="str">
        <f t="shared" si="12"/>
        <v>Belum Dinilai</v>
      </c>
      <c r="Z87" s="85" t="str">
        <f t="shared" si="13"/>
        <v/>
      </c>
      <c r="AA87" s="85" t="str">
        <f t="shared" si="14"/>
        <v/>
      </c>
      <c r="AB87" s="85" t="str">
        <f t="shared" si="15"/>
        <v/>
      </c>
      <c r="AC87" s="68" t="s">
        <v>1215</v>
      </c>
      <c r="AD87" s="68" t="s">
        <v>1215</v>
      </c>
      <c r="AE87" s="68" t="s">
        <v>1215</v>
      </c>
      <c r="AF87" s="68" t="s">
        <v>1215</v>
      </c>
      <c r="AG87" s="68" t="s">
        <v>1215</v>
      </c>
      <c r="AH87" s="68" t="s">
        <v>1215</v>
      </c>
      <c r="AI87" s="68" t="s">
        <v>1215</v>
      </c>
      <c r="AJ87" s="68" t="s">
        <v>1215</v>
      </c>
      <c r="AK87" s="68" t="s">
        <v>1215</v>
      </c>
      <c r="AL87" s="68"/>
      <c r="AM87" s="68" t="s">
        <v>1215</v>
      </c>
      <c r="AN87" s="84" t="str">
        <f t="shared" si="16"/>
        <v>Belum Dinilai</v>
      </c>
      <c r="AO87" s="84" t="str">
        <f t="shared" si="17"/>
        <v>Belum Dinilai</v>
      </c>
      <c r="AP87" s="68"/>
      <c r="AQ87" s="71" t="str">
        <f t="shared" si="18"/>
        <v/>
      </c>
      <c r="AR87" s="71" t="str">
        <f t="shared" si="19"/>
        <v/>
      </c>
      <c r="AS87" s="71" t="str">
        <f t="shared" si="20"/>
        <v/>
      </c>
      <c r="AT87" s="69" t="str">
        <f t="shared" si="21"/>
        <v>Belum Dapat Ditentukan</v>
      </c>
      <c r="AU87" s="66" t="s">
        <v>1189</v>
      </c>
      <c r="AV87" s="66" t="s">
        <v>1204</v>
      </c>
      <c r="AW87" s="66" t="s">
        <v>1898</v>
      </c>
      <c r="AX87" s="66" t="s">
        <v>1206</v>
      </c>
      <c r="AY87" s="66">
        <v>2022</v>
      </c>
      <c r="AZ87" s="66" t="s">
        <v>927</v>
      </c>
      <c r="BA87" s="66"/>
      <c r="BB87" s="178"/>
      <c r="BC87" s="72">
        <v>2026</v>
      </c>
      <c r="BD87" s="66"/>
      <c r="BE87" s="178"/>
      <c r="BF87" s="66" t="s">
        <v>1278</v>
      </c>
    </row>
    <row r="88" spans="1:58" ht="28">
      <c r="A88" s="66" t="s">
        <v>1534</v>
      </c>
      <c r="B88" s="66" t="s">
        <v>1633</v>
      </c>
      <c r="C88" s="66"/>
      <c r="D88" s="66"/>
      <c r="E88" s="66" t="s">
        <v>1634</v>
      </c>
      <c r="F88" s="66" t="s">
        <v>1624</v>
      </c>
      <c r="G88" s="66" t="s">
        <v>1310</v>
      </c>
      <c r="H88" s="66" t="s">
        <v>1181</v>
      </c>
      <c r="I88" s="66" t="s">
        <v>1290</v>
      </c>
      <c r="J88" s="66" t="s">
        <v>1210</v>
      </c>
      <c r="K88" s="66" t="s">
        <v>1277</v>
      </c>
      <c r="L88" s="66" t="s">
        <v>1215</v>
      </c>
      <c r="M88" s="66" t="s">
        <v>1266</v>
      </c>
      <c r="N88" s="66" t="s">
        <v>1215</v>
      </c>
      <c r="O88" s="66" t="s">
        <v>1277</v>
      </c>
      <c r="P88" s="66" t="s">
        <v>1215</v>
      </c>
      <c r="Q88" s="86" t="s">
        <v>1215</v>
      </c>
      <c r="R88" s="86" t="s">
        <v>1215</v>
      </c>
      <c r="S88" s="86" t="s">
        <v>1215</v>
      </c>
      <c r="T88" s="86" t="s">
        <v>1215</v>
      </c>
      <c r="U88" s="86" t="s">
        <v>1215</v>
      </c>
      <c r="V88" s="86" t="s">
        <v>1215</v>
      </c>
      <c r="W88" s="67"/>
      <c r="X88" s="84" t="str">
        <f t="shared" si="11"/>
        <v>Belum Dinilai</v>
      </c>
      <c r="Y88" s="84" t="str">
        <f t="shared" si="12"/>
        <v>Belum Dinilai</v>
      </c>
      <c r="Z88" s="85" t="str">
        <f t="shared" si="13"/>
        <v/>
      </c>
      <c r="AA88" s="85" t="str">
        <f t="shared" si="14"/>
        <v/>
      </c>
      <c r="AB88" s="85" t="str">
        <f t="shared" si="15"/>
        <v/>
      </c>
      <c r="AC88" s="68" t="s">
        <v>1215</v>
      </c>
      <c r="AD88" s="68" t="s">
        <v>1215</v>
      </c>
      <c r="AE88" s="68" t="s">
        <v>1215</v>
      </c>
      <c r="AF88" s="68" t="s">
        <v>1215</v>
      </c>
      <c r="AG88" s="68" t="s">
        <v>1215</v>
      </c>
      <c r="AH88" s="68" t="s">
        <v>1215</v>
      </c>
      <c r="AI88" s="68" t="s">
        <v>1215</v>
      </c>
      <c r="AJ88" s="68" t="s">
        <v>1215</v>
      </c>
      <c r="AK88" s="68" t="s">
        <v>1215</v>
      </c>
      <c r="AL88" s="68"/>
      <c r="AM88" s="68" t="s">
        <v>1215</v>
      </c>
      <c r="AN88" s="84" t="str">
        <f t="shared" si="16"/>
        <v>Belum Dinilai</v>
      </c>
      <c r="AO88" s="84" t="str">
        <f t="shared" si="17"/>
        <v>Belum Dinilai</v>
      </c>
      <c r="AP88" s="68"/>
      <c r="AQ88" s="71" t="str">
        <f t="shared" si="18"/>
        <v/>
      </c>
      <c r="AR88" s="71" t="str">
        <f t="shared" si="19"/>
        <v/>
      </c>
      <c r="AS88" s="71" t="str">
        <f t="shared" si="20"/>
        <v/>
      </c>
      <c r="AT88" s="69" t="str">
        <f t="shared" si="21"/>
        <v>Belum Dapat Ditentukan</v>
      </c>
      <c r="AU88" s="66" t="s">
        <v>1189</v>
      </c>
      <c r="AV88" s="66" t="s">
        <v>1204</v>
      </c>
      <c r="AW88" s="66" t="s">
        <v>1190</v>
      </c>
      <c r="AX88" s="66"/>
      <c r="AY88" s="66"/>
      <c r="AZ88" s="66" t="s">
        <v>927</v>
      </c>
      <c r="BA88" s="66"/>
      <c r="BB88" s="178"/>
      <c r="BC88" s="72">
        <v>2026</v>
      </c>
      <c r="BD88" s="66"/>
      <c r="BE88" s="178"/>
      <c r="BF88" s="66" t="s">
        <v>1278</v>
      </c>
    </row>
    <row r="89" spans="1:58" ht="28">
      <c r="A89" s="66" t="s">
        <v>1539</v>
      </c>
      <c r="B89" s="66" t="s">
        <v>1471</v>
      </c>
      <c r="C89" s="66"/>
      <c r="D89" s="66"/>
      <c r="E89" s="66" t="s">
        <v>1636</v>
      </c>
      <c r="F89" s="66" t="s">
        <v>1425</v>
      </c>
      <c r="G89" s="66" t="s">
        <v>1310</v>
      </c>
      <c r="H89" s="66" t="s">
        <v>1195</v>
      </c>
      <c r="I89" s="66" t="s">
        <v>1637</v>
      </c>
      <c r="J89" s="66" t="s">
        <v>1182</v>
      </c>
      <c r="K89" s="66" t="s">
        <v>1277</v>
      </c>
      <c r="L89" s="66" t="s">
        <v>1215</v>
      </c>
      <c r="M89" s="66" t="s">
        <v>1212</v>
      </c>
      <c r="N89" s="66" t="s">
        <v>1215</v>
      </c>
      <c r="O89" s="66" t="s">
        <v>1277</v>
      </c>
      <c r="P89" s="66" t="s">
        <v>1215</v>
      </c>
      <c r="Q89" s="86" t="s">
        <v>1215</v>
      </c>
      <c r="R89" s="86" t="s">
        <v>1215</v>
      </c>
      <c r="S89" s="86" t="s">
        <v>1215</v>
      </c>
      <c r="T89" s="86" t="s">
        <v>1215</v>
      </c>
      <c r="U89" s="86" t="s">
        <v>1215</v>
      </c>
      <c r="V89" s="86" t="s">
        <v>1215</v>
      </c>
      <c r="W89" s="67"/>
      <c r="X89" s="84" t="str">
        <f t="shared" si="11"/>
        <v>Belum Dinilai</v>
      </c>
      <c r="Y89" s="84" t="str">
        <f t="shared" si="12"/>
        <v>Belum Dinilai</v>
      </c>
      <c r="Z89" s="85" t="str">
        <f t="shared" si="13"/>
        <v/>
      </c>
      <c r="AA89" s="85" t="str">
        <f t="shared" si="14"/>
        <v/>
      </c>
      <c r="AB89" s="85" t="str">
        <f t="shared" si="15"/>
        <v/>
      </c>
      <c r="AC89" s="68" t="s">
        <v>1215</v>
      </c>
      <c r="AD89" s="68" t="s">
        <v>1215</v>
      </c>
      <c r="AE89" s="68" t="s">
        <v>1215</v>
      </c>
      <c r="AF89" s="68" t="s">
        <v>1215</v>
      </c>
      <c r="AG89" s="68" t="s">
        <v>1215</v>
      </c>
      <c r="AH89" s="68" t="s">
        <v>1215</v>
      </c>
      <c r="AI89" s="68" t="s">
        <v>1215</v>
      </c>
      <c r="AJ89" s="68" t="s">
        <v>1215</v>
      </c>
      <c r="AK89" s="68" t="s">
        <v>1215</v>
      </c>
      <c r="AL89" s="68"/>
      <c r="AM89" s="68" t="s">
        <v>1215</v>
      </c>
      <c r="AN89" s="84" t="str">
        <f t="shared" si="16"/>
        <v>Belum Dinilai</v>
      </c>
      <c r="AO89" s="84" t="str">
        <f t="shared" si="17"/>
        <v>Belum Dinilai</v>
      </c>
      <c r="AP89" s="68"/>
      <c r="AQ89" s="71" t="str">
        <f t="shared" si="18"/>
        <v/>
      </c>
      <c r="AR89" s="71" t="str">
        <f t="shared" si="19"/>
        <v/>
      </c>
      <c r="AS89" s="71" t="str">
        <f t="shared" si="20"/>
        <v/>
      </c>
      <c r="AT89" s="69" t="str">
        <f t="shared" si="21"/>
        <v>Belum Dapat Ditentukan</v>
      </c>
      <c r="AU89" s="66" t="s">
        <v>1189</v>
      </c>
      <c r="AV89" s="66" t="s">
        <v>1204</v>
      </c>
      <c r="AW89" s="66" t="s">
        <v>1190</v>
      </c>
      <c r="AX89" s="66" t="s">
        <v>1268</v>
      </c>
      <c r="AY89" s="66"/>
      <c r="AZ89" s="66" t="s">
        <v>927</v>
      </c>
      <c r="BA89" s="66"/>
      <c r="BB89" s="178"/>
      <c r="BC89" s="72">
        <v>2026</v>
      </c>
      <c r="BD89" s="66"/>
      <c r="BE89" s="178"/>
      <c r="BF89" s="66" t="s">
        <v>1278</v>
      </c>
    </row>
    <row r="90" spans="1:58" ht="42">
      <c r="A90" s="66" t="s">
        <v>1543</v>
      </c>
      <c r="B90" s="66" t="s">
        <v>1639</v>
      </c>
      <c r="C90" s="66"/>
      <c r="D90" s="66"/>
      <c r="E90" s="66" t="s">
        <v>1640</v>
      </c>
      <c r="F90" s="66" t="s">
        <v>1641</v>
      </c>
      <c r="G90" s="66" t="s">
        <v>1275</v>
      </c>
      <c r="H90" s="66" t="s">
        <v>1262</v>
      </c>
      <c r="I90" s="66" t="s">
        <v>1642</v>
      </c>
      <c r="J90" s="66" t="s">
        <v>1263</v>
      </c>
      <c r="K90" s="66" t="s">
        <v>1277</v>
      </c>
      <c r="L90" s="66" t="s">
        <v>1215</v>
      </c>
      <c r="M90" s="66" t="s">
        <v>1277</v>
      </c>
      <c r="N90" s="66" t="s">
        <v>1215</v>
      </c>
      <c r="O90" s="66" t="s">
        <v>1277</v>
      </c>
      <c r="P90" s="66" t="s">
        <v>1215</v>
      </c>
      <c r="Q90" s="86" t="s">
        <v>1215</v>
      </c>
      <c r="R90" s="86" t="s">
        <v>1215</v>
      </c>
      <c r="S90" s="86" t="s">
        <v>1215</v>
      </c>
      <c r="T90" s="86" t="s">
        <v>1215</v>
      </c>
      <c r="U90" s="86" t="s">
        <v>1215</v>
      </c>
      <c r="V90" s="86" t="s">
        <v>1215</v>
      </c>
      <c r="W90" s="67"/>
      <c r="X90" s="84" t="str">
        <f t="shared" si="11"/>
        <v>Belum Dinilai</v>
      </c>
      <c r="Y90" s="84" t="str">
        <f t="shared" si="12"/>
        <v>Belum Dinilai</v>
      </c>
      <c r="Z90" s="85" t="str">
        <f t="shared" si="13"/>
        <v/>
      </c>
      <c r="AA90" s="85" t="str">
        <f t="shared" si="14"/>
        <v/>
      </c>
      <c r="AB90" s="85" t="str">
        <f t="shared" si="15"/>
        <v/>
      </c>
      <c r="AC90" s="68" t="s">
        <v>1215</v>
      </c>
      <c r="AD90" s="68" t="s">
        <v>1215</v>
      </c>
      <c r="AE90" s="68" t="s">
        <v>1215</v>
      </c>
      <c r="AF90" s="68" t="s">
        <v>1215</v>
      </c>
      <c r="AG90" s="68" t="s">
        <v>1215</v>
      </c>
      <c r="AH90" s="68" t="s">
        <v>1215</v>
      </c>
      <c r="AI90" s="68" t="s">
        <v>1215</v>
      </c>
      <c r="AJ90" s="68" t="s">
        <v>1215</v>
      </c>
      <c r="AK90" s="68" t="s">
        <v>1215</v>
      </c>
      <c r="AL90" s="68"/>
      <c r="AM90" s="68" t="s">
        <v>1215</v>
      </c>
      <c r="AN90" s="84" t="str">
        <f t="shared" si="16"/>
        <v>Belum Dinilai</v>
      </c>
      <c r="AO90" s="84" t="str">
        <f t="shared" si="17"/>
        <v>Belum Dinilai</v>
      </c>
      <c r="AP90" s="68"/>
      <c r="AQ90" s="71" t="str">
        <f t="shared" si="18"/>
        <v/>
      </c>
      <c r="AR90" s="71" t="str">
        <f t="shared" si="19"/>
        <v/>
      </c>
      <c r="AS90" s="71" t="str">
        <f t="shared" si="20"/>
        <v/>
      </c>
      <c r="AT90" s="69" t="str">
        <f t="shared" si="21"/>
        <v>Belum Dapat Ditentukan</v>
      </c>
      <c r="AU90" s="66" t="s">
        <v>1189</v>
      </c>
      <c r="AV90" s="66" t="s">
        <v>1204</v>
      </c>
      <c r="AW90" s="66" t="s">
        <v>1190</v>
      </c>
      <c r="AX90" s="66"/>
      <c r="AY90" s="66"/>
      <c r="AZ90" s="66" t="s">
        <v>1218</v>
      </c>
      <c r="BA90" s="66"/>
      <c r="BB90" s="178"/>
      <c r="BC90" s="72">
        <v>2026</v>
      </c>
      <c r="BD90" s="66"/>
      <c r="BE90" s="178"/>
      <c r="BF90" s="66" t="s">
        <v>1278</v>
      </c>
    </row>
    <row r="91" spans="1:58" ht="42">
      <c r="A91" s="66" t="s">
        <v>1954</v>
      </c>
      <c r="B91" s="66" t="s">
        <v>1644</v>
      </c>
      <c r="C91" s="66"/>
      <c r="D91" s="66"/>
      <c r="E91" s="66" t="s">
        <v>1640</v>
      </c>
      <c r="F91" s="66" t="s">
        <v>1641</v>
      </c>
      <c r="G91" s="66" t="s">
        <v>1275</v>
      </c>
      <c r="H91" s="66" t="s">
        <v>1262</v>
      </c>
      <c r="I91" s="66" t="s">
        <v>1645</v>
      </c>
      <c r="J91" s="66" t="s">
        <v>1263</v>
      </c>
      <c r="K91" s="66" t="s">
        <v>1277</v>
      </c>
      <c r="L91" s="66" t="s">
        <v>1215</v>
      </c>
      <c r="M91" s="66" t="s">
        <v>1277</v>
      </c>
      <c r="N91" s="66" t="s">
        <v>1215</v>
      </c>
      <c r="O91" s="66" t="s">
        <v>1277</v>
      </c>
      <c r="P91" s="66" t="s">
        <v>1215</v>
      </c>
      <c r="Q91" s="86" t="s">
        <v>1215</v>
      </c>
      <c r="R91" s="86" t="s">
        <v>1215</v>
      </c>
      <c r="S91" s="86" t="s">
        <v>1215</v>
      </c>
      <c r="T91" s="86" t="s">
        <v>1215</v>
      </c>
      <c r="U91" s="86" t="s">
        <v>1215</v>
      </c>
      <c r="V91" s="86" t="s">
        <v>1215</v>
      </c>
      <c r="W91" s="67"/>
      <c r="X91" s="84" t="str">
        <f t="shared" si="11"/>
        <v>Belum Dinilai</v>
      </c>
      <c r="Y91" s="84" t="str">
        <f t="shared" si="12"/>
        <v>Belum Dinilai</v>
      </c>
      <c r="Z91" s="85" t="str">
        <f t="shared" si="13"/>
        <v/>
      </c>
      <c r="AA91" s="85" t="str">
        <f t="shared" si="14"/>
        <v/>
      </c>
      <c r="AB91" s="85" t="str">
        <f t="shared" si="15"/>
        <v/>
      </c>
      <c r="AC91" s="68" t="s">
        <v>1215</v>
      </c>
      <c r="AD91" s="68" t="s">
        <v>1215</v>
      </c>
      <c r="AE91" s="68" t="s">
        <v>1215</v>
      </c>
      <c r="AF91" s="68" t="s">
        <v>1215</v>
      </c>
      <c r="AG91" s="68" t="s">
        <v>1215</v>
      </c>
      <c r="AH91" s="68" t="s">
        <v>1215</v>
      </c>
      <c r="AI91" s="68" t="s">
        <v>1215</v>
      </c>
      <c r="AJ91" s="68" t="s">
        <v>1215</v>
      </c>
      <c r="AK91" s="68" t="s">
        <v>1215</v>
      </c>
      <c r="AL91" s="68"/>
      <c r="AM91" s="68" t="s">
        <v>1215</v>
      </c>
      <c r="AN91" s="84" t="str">
        <f t="shared" si="16"/>
        <v>Belum Dinilai</v>
      </c>
      <c r="AO91" s="84" t="str">
        <f t="shared" si="17"/>
        <v>Belum Dinilai</v>
      </c>
      <c r="AP91" s="68"/>
      <c r="AQ91" s="71" t="str">
        <f t="shared" si="18"/>
        <v/>
      </c>
      <c r="AR91" s="71" t="str">
        <f t="shared" si="19"/>
        <v/>
      </c>
      <c r="AS91" s="71" t="str">
        <f t="shared" si="20"/>
        <v/>
      </c>
      <c r="AT91" s="69" t="str">
        <f t="shared" si="21"/>
        <v>Belum Dapat Ditentukan</v>
      </c>
      <c r="AU91" s="66" t="s">
        <v>1189</v>
      </c>
      <c r="AV91" s="66" t="s">
        <v>1204</v>
      </c>
      <c r="AW91" s="66" t="s">
        <v>1190</v>
      </c>
      <c r="AX91" s="66"/>
      <c r="AY91" s="66"/>
      <c r="AZ91" s="66" t="s">
        <v>927</v>
      </c>
      <c r="BA91" s="66"/>
      <c r="BB91" s="178"/>
      <c r="BC91" s="72">
        <v>2026</v>
      </c>
      <c r="BD91" s="66"/>
      <c r="BE91" s="178"/>
      <c r="BF91" s="66" t="s">
        <v>1278</v>
      </c>
    </row>
    <row r="92" spans="1:58" ht="28">
      <c r="A92" s="66" t="s">
        <v>1955</v>
      </c>
      <c r="B92" s="66" t="s">
        <v>1647</v>
      </c>
      <c r="C92" s="66"/>
      <c r="D92" s="66"/>
      <c r="E92" s="66" t="s">
        <v>1304</v>
      </c>
      <c r="F92" s="66" t="s">
        <v>1319</v>
      </c>
      <c r="G92" s="66" t="s">
        <v>1289</v>
      </c>
      <c r="H92" s="66" t="s">
        <v>1262</v>
      </c>
      <c r="I92" s="66" t="s">
        <v>1648</v>
      </c>
      <c r="J92" s="66" t="s">
        <v>1263</v>
      </c>
      <c r="K92" s="66" t="s">
        <v>1277</v>
      </c>
      <c r="L92" s="66" t="s">
        <v>1215</v>
      </c>
      <c r="M92" s="66" t="s">
        <v>1277</v>
      </c>
      <c r="N92" s="66" t="s">
        <v>1215</v>
      </c>
      <c r="O92" s="66" t="s">
        <v>1277</v>
      </c>
      <c r="P92" s="66" t="s">
        <v>1215</v>
      </c>
      <c r="Q92" s="86" t="s">
        <v>1215</v>
      </c>
      <c r="R92" s="86" t="s">
        <v>1215</v>
      </c>
      <c r="S92" s="86" t="s">
        <v>1215</v>
      </c>
      <c r="T92" s="86" t="s">
        <v>1215</v>
      </c>
      <c r="U92" s="86" t="s">
        <v>1215</v>
      </c>
      <c r="V92" s="86" t="s">
        <v>1215</v>
      </c>
      <c r="W92" s="67"/>
      <c r="X92" s="84" t="str">
        <f t="shared" si="11"/>
        <v>Belum Dinilai</v>
      </c>
      <c r="Y92" s="84" t="str">
        <f t="shared" si="12"/>
        <v>Belum Dinilai</v>
      </c>
      <c r="Z92" s="85" t="str">
        <f t="shared" si="13"/>
        <v/>
      </c>
      <c r="AA92" s="85" t="str">
        <f t="shared" si="14"/>
        <v/>
      </c>
      <c r="AB92" s="85" t="str">
        <f t="shared" si="15"/>
        <v/>
      </c>
      <c r="AC92" s="68" t="s">
        <v>1215</v>
      </c>
      <c r="AD92" s="68" t="s">
        <v>1215</v>
      </c>
      <c r="AE92" s="68" t="s">
        <v>1215</v>
      </c>
      <c r="AF92" s="68" t="s">
        <v>1215</v>
      </c>
      <c r="AG92" s="68" t="s">
        <v>1215</v>
      </c>
      <c r="AH92" s="68" t="s">
        <v>1215</v>
      </c>
      <c r="AI92" s="68" t="s">
        <v>1215</v>
      </c>
      <c r="AJ92" s="68" t="s">
        <v>1215</v>
      </c>
      <c r="AK92" s="68" t="s">
        <v>1215</v>
      </c>
      <c r="AL92" s="68"/>
      <c r="AM92" s="68" t="s">
        <v>1215</v>
      </c>
      <c r="AN92" s="84" t="str">
        <f t="shared" si="16"/>
        <v>Belum Dinilai</v>
      </c>
      <c r="AO92" s="84" t="str">
        <f t="shared" si="17"/>
        <v>Belum Dinilai</v>
      </c>
      <c r="AP92" s="68"/>
      <c r="AQ92" s="71" t="str">
        <f t="shared" si="18"/>
        <v/>
      </c>
      <c r="AR92" s="71" t="str">
        <f t="shared" si="19"/>
        <v/>
      </c>
      <c r="AS92" s="71" t="str">
        <f t="shared" si="20"/>
        <v/>
      </c>
      <c r="AT92" s="69" t="str">
        <f t="shared" si="21"/>
        <v>Belum Dapat Ditentukan</v>
      </c>
      <c r="AU92" s="66" t="s">
        <v>1189</v>
      </c>
      <c r="AV92" s="66" t="s">
        <v>1204</v>
      </c>
      <c r="AW92" s="66" t="s">
        <v>1190</v>
      </c>
      <c r="AX92" s="66"/>
      <c r="AY92" s="66"/>
      <c r="AZ92" s="66" t="s">
        <v>927</v>
      </c>
      <c r="BA92" s="66"/>
      <c r="BB92" s="178"/>
      <c r="BC92" s="72">
        <v>2026</v>
      </c>
      <c r="BD92" s="66"/>
      <c r="BE92" s="178"/>
      <c r="BF92" s="66" t="s">
        <v>1278</v>
      </c>
    </row>
    <row r="93" spans="1:58" ht="28">
      <c r="A93" s="66" t="s">
        <v>1545</v>
      </c>
      <c r="B93" s="66" t="s">
        <v>1650</v>
      </c>
      <c r="C93" s="66"/>
      <c r="D93" s="66"/>
      <c r="E93" s="66" t="s">
        <v>1651</v>
      </c>
      <c r="F93" s="66" t="s">
        <v>1474</v>
      </c>
      <c r="G93" s="66" t="s">
        <v>1310</v>
      </c>
      <c r="H93" s="66" t="s">
        <v>1262</v>
      </c>
      <c r="I93" s="66" t="s">
        <v>1652</v>
      </c>
      <c r="J93" s="66" t="s">
        <v>1263</v>
      </c>
      <c r="K93" s="66" t="s">
        <v>1277</v>
      </c>
      <c r="L93" s="66" t="s">
        <v>1215</v>
      </c>
      <c r="M93" s="66" t="s">
        <v>1277</v>
      </c>
      <c r="N93" s="66" t="s">
        <v>1215</v>
      </c>
      <c r="O93" s="66" t="s">
        <v>1277</v>
      </c>
      <c r="P93" s="66" t="s">
        <v>1215</v>
      </c>
      <c r="Q93" s="86" t="s">
        <v>1215</v>
      </c>
      <c r="R93" s="86" t="s">
        <v>1215</v>
      </c>
      <c r="S93" s="86" t="s">
        <v>1215</v>
      </c>
      <c r="T93" s="86" t="s">
        <v>1215</v>
      </c>
      <c r="U93" s="86" t="s">
        <v>1215</v>
      </c>
      <c r="V93" s="86" t="s">
        <v>1215</v>
      </c>
      <c r="W93" s="67"/>
      <c r="X93" s="84" t="str">
        <f t="shared" si="11"/>
        <v>Belum Dinilai</v>
      </c>
      <c r="Y93" s="84" t="str">
        <f t="shared" si="12"/>
        <v>Belum Dinilai</v>
      </c>
      <c r="Z93" s="85" t="str">
        <f t="shared" si="13"/>
        <v/>
      </c>
      <c r="AA93" s="85" t="str">
        <f t="shared" si="14"/>
        <v/>
      </c>
      <c r="AB93" s="85" t="str">
        <f t="shared" si="15"/>
        <v/>
      </c>
      <c r="AC93" s="68" t="s">
        <v>1215</v>
      </c>
      <c r="AD93" s="68" t="s">
        <v>1215</v>
      </c>
      <c r="AE93" s="68" t="s">
        <v>1215</v>
      </c>
      <c r="AF93" s="68" t="s">
        <v>1215</v>
      </c>
      <c r="AG93" s="68" t="s">
        <v>1215</v>
      </c>
      <c r="AH93" s="68" t="s">
        <v>1215</v>
      </c>
      <c r="AI93" s="68" t="s">
        <v>1215</v>
      </c>
      <c r="AJ93" s="68" t="s">
        <v>1215</v>
      </c>
      <c r="AK93" s="68" t="s">
        <v>1215</v>
      </c>
      <c r="AL93" s="68"/>
      <c r="AM93" s="68" t="s">
        <v>1215</v>
      </c>
      <c r="AN93" s="84" t="str">
        <f t="shared" si="16"/>
        <v>Belum Dinilai</v>
      </c>
      <c r="AO93" s="84" t="str">
        <f t="shared" si="17"/>
        <v>Belum Dinilai</v>
      </c>
      <c r="AP93" s="68"/>
      <c r="AQ93" s="71" t="str">
        <f t="shared" si="18"/>
        <v/>
      </c>
      <c r="AR93" s="71" t="str">
        <f t="shared" si="19"/>
        <v/>
      </c>
      <c r="AS93" s="71" t="str">
        <f t="shared" si="20"/>
        <v/>
      </c>
      <c r="AT93" s="69" t="str">
        <f t="shared" si="21"/>
        <v>Belum Dapat Ditentukan</v>
      </c>
      <c r="AU93" s="66" t="s">
        <v>1189</v>
      </c>
      <c r="AV93" s="66" t="s">
        <v>1204</v>
      </c>
      <c r="AW93" s="66" t="s">
        <v>1190</v>
      </c>
      <c r="AX93" s="66"/>
      <c r="AY93" s="66"/>
      <c r="AZ93" s="66" t="s">
        <v>1218</v>
      </c>
      <c r="BA93" s="66"/>
      <c r="BB93" s="178"/>
      <c r="BC93" s="72">
        <v>2026</v>
      </c>
      <c r="BD93" s="66"/>
      <c r="BE93" s="178"/>
      <c r="BF93" s="66" t="s">
        <v>1278</v>
      </c>
    </row>
    <row r="94" spans="1:58" ht="42">
      <c r="A94" s="66" t="s">
        <v>1549</v>
      </c>
      <c r="B94" s="66" t="s">
        <v>1654</v>
      </c>
      <c r="C94" s="66"/>
      <c r="D94" s="66"/>
      <c r="E94" s="66" t="s">
        <v>1304</v>
      </c>
      <c r="F94" s="66" t="s">
        <v>1474</v>
      </c>
      <c r="G94" s="66" t="s">
        <v>1310</v>
      </c>
      <c r="H94" s="66" t="s">
        <v>1262</v>
      </c>
      <c r="I94" s="66" t="s">
        <v>1655</v>
      </c>
      <c r="J94" s="66" t="s">
        <v>1210</v>
      </c>
      <c r="K94" s="66" t="s">
        <v>1277</v>
      </c>
      <c r="L94" s="66" t="s">
        <v>895</v>
      </c>
      <c r="M94" s="66" t="s">
        <v>1266</v>
      </c>
      <c r="N94" s="66" t="s">
        <v>895</v>
      </c>
      <c r="O94" s="66" t="s">
        <v>1213</v>
      </c>
      <c r="P94" s="66" t="s">
        <v>895</v>
      </c>
      <c r="Q94" s="86" t="s">
        <v>1215</v>
      </c>
      <c r="R94" s="86" t="s">
        <v>1215</v>
      </c>
      <c r="S94" s="86" t="s">
        <v>1215</v>
      </c>
      <c r="T94" s="86" t="s">
        <v>1215</v>
      </c>
      <c r="U94" s="86" t="s">
        <v>1215</v>
      </c>
      <c r="V94" s="86" t="s">
        <v>1215</v>
      </c>
      <c r="W94" s="67"/>
      <c r="X94" s="84" t="str">
        <f t="shared" si="11"/>
        <v>Belum Dinilai</v>
      </c>
      <c r="Y94" s="84" t="str">
        <f t="shared" si="12"/>
        <v>Belum Dinilai</v>
      </c>
      <c r="Z94" s="85" t="str">
        <f t="shared" si="13"/>
        <v/>
      </c>
      <c r="AA94" s="85" t="str">
        <f t="shared" si="14"/>
        <v/>
      </c>
      <c r="AB94" s="85" t="str">
        <f t="shared" si="15"/>
        <v/>
      </c>
      <c r="AC94" s="68" t="s">
        <v>1215</v>
      </c>
      <c r="AD94" s="68" t="s">
        <v>1215</v>
      </c>
      <c r="AE94" s="68" t="s">
        <v>1215</v>
      </c>
      <c r="AF94" s="68" t="s">
        <v>1215</v>
      </c>
      <c r="AG94" s="68" t="s">
        <v>1215</v>
      </c>
      <c r="AH94" s="68" t="s">
        <v>1215</v>
      </c>
      <c r="AI94" s="68" t="s">
        <v>1215</v>
      </c>
      <c r="AJ94" s="68" t="s">
        <v>1215</v>
      </c>
      <c r="AK94" s="68" t="s">
        <v>1215</v>
      </c>
      <c r="AL94" s="68"/>
      <c r="AM94" s="68" t="s">
        <v>1215</v>
      </c>
      <c r="AN94" s="84" t="str">
        <f t="shared" si="16"/>
        <v>Belum Dinilai</v>
      </c>
      <c r="AO94" s="84" t="str">
        <f t="shared" si="17"/>
        <v>Belum Dinilai</v>
      </c>
      <c r="AP94" s="68"/>
      <c r="AQ94" s="71">
        <f t="shared" si="18"/>
        <v>57</v>
      </c>
      <c r="AR94" s="71" t="str">
        <f t="shared" si="19"/>
        <v/>
      </c>
      <c r="AS94" s="71" t="str">
        <f t="shared" si="20"/>
        <v/>
      </c>
      <c r="AT94" s="69" t="str">
        <f t="shared" si="21"/>
        <v>Belum Dapat Ditentukan</v>
      </c>
      <c r="AU94" s="66" t="s">
        <v>1189</v>
      </c>
      <c r="AV94" s="66" t="s">
        <v>1204</v>
      </c>
      <c r="AW94" s="66" t="s">
        <v>1190</v>
      </c>
      <c r="AX94" s="66"/>
      <c r="AY94" s="66"/>
      <c r="AZ94" s="66" t="s">
        <v>1207</v>
      </c>
      <c r="BA94" s="66"/>
      <c r="BB94" s="178"/>
      <c r="BC94" s="72">
        <v>2026</v>
      </c>
      <c r="BD94" s="66"/>
      <c r="BE94" s="178"/>
      <c r="BF94" s="66" t="s">
        <v>1278</v>
      </c>
    </row>
    <row r="95" spans="1:58" ht="28">
      <c r="A95" s="66" t="s">
        <v>1553</v>
      </c>
      <c r="B95" s="66" t="s">
        <v>1657</v>
      </c>
      <c r="C95" s="66"/>
      <c r="D95" s="66"/>
      <c r="E95" s="66" t="s">
        <v>1658</v>
      </c>
      <c r="F95" s="66" t="s">
        <v>1474</v>
      </c>
      <c r="G95" s="66" t="s">
        <v>1310</v>
      </c>
      <c r="H95" s="66" t="s">
        <v>1181</v>
      </c>
      <c r="I95" s="66" t="s">
        <v>1659</v>
      </c>
      <c r="J95" s="66" t="s">
        <v>1210</v>
      </c>
      <c r="K95" s="66" t="s">
        <v>1277</v>
      </c>
      <c r="L95" s="66" t="s">
        <v>1215</v>
      </c>
      <c r="M95" s="66" t="s">
        <v>1266</v>
      </c>
      <c r="N95" s="66" t="s">
        <v>1215</v>
      </c>
      <c r="O95" s="66" t="s">
        <v>1213</v>
      </c>
      <c r="P95" s="66" t="s">
        <v>1215</v>
      </c>
      <c r="Q95" s="86" t="s">
        <v>1215</v>
      </c>
      <c r="R95" s="86" t="s">
        <v>1215</v>
      </c>
      <c r="S95" s="86" t="s">
        <v>1215</v>
      </c>
      <c r="T95" s="86" t="s">
        <v>1215</v>
      </c>
      <c r="U95" s="86" t="s">
        <v>1215</v>
      </c>
      <c r="V95" s="86" t="s">
        <v>1215</v>
      </c>
      <c r="W95" s="67"/>
      <c r="X95" s="84" t="str">
        <f t="shared" si="11"/>
        <v>Belum Dinilai</v>
      </c>
      <c r="Y95" s="84" t="str">
        <f t="shared" si="12"/>
        <v>Belum Dinilai</v>
      </c>
      <c r="Z95" s="85" t="str">
        <f t="shared" si="13"/>
        <v/>
      </c>
      <c r="AA95" s="85" t="str">
        <f t="shared" si="14"/>
        <v/>
      </c>
      <c r="AB95" s="85" t="str">
        <f t="shared" si="15"/>
        <v/>
      </c>
      <c r="AC95" s="68" t="s">
        <v>1215</v>
      </c>
      <c r="AD95" s="68" t="s">
        <v>1215</v>
      </c>
      <c r="AE95" s="68" t="s">
        <v>1215</v>
      </c>
      <c r="AF95" s="68" t="s">
        <v>1215</v>
      </c>
      <c r="AG95" s="68" t="s">
        <v>1215</v>
      </c>
      <c r="AH95" s="68" t="s">
        <v>1215</v>
      </c>
      <c r="AI95" s="68" t="s">
        <v>1215</v>
      </c>
      <c r="AJ95" s="68" t="s">
        <v>1215</v>
      </c>
      <c r="AK95" s="68" t="s">
        <v>1215</v>
      </c>
      <c r="AL95" s="68"/>
      <c r="AM95" s="68" t="s">
        <v>1215</v>
      </c>
      <c r="AN95" s="84" t="str">
        <f t="shared" si="16"/>
        <v>Belum Dinilai</v>
      </c>
      <c r="AO95" s="84" t="str">
        <f t="shared" si="17"/>
        <v>Belum Dinilai</v>
      </c>
      <c r="AP95" s="68"/>
      <c r="AQ95" s="71" t="str">
        <f t="shared" si="18"/>
        <v/>
      </c>
      <c r="AR95" s="71" t="str">
        <f t="shared" si="19"/>
        <v/>
      </c>
      <c r="AS95" s="71" t="str">
        <f t="shared" si="20"/>
        <v/>
      </c>
      <c r="AT95" s="69" t="str">
        <f t="shared" si="21"/>
        <v>Belum Dapat Ditentukan</v>
      </c>
      <c r="AU95" s="66" t="s">
        <v>1203</v>
      </c>
      <c r="AV95" s="66" t="s">
        <v>1204</v>
      </c>
      <c r="AW95" s="66" t="s">
        <v>1898</v>
      </c>
      <c r="AX95" s="66" t="s">
        <v>1217</v>
      </c>
      <c r="AY95" s="66">
        <v>2023</v>
      </c>
      <c r="AZ95" s="66" t="s">
        <v>927</v>
      </c>
      <c r="BA95" s="66"/>
      <c r="BB95" s="178"/>
      <c r="BC95" s="72">
        <v>2026</v>
      </c>
      <c r="BD95" s="66"/>
      <c r="BE95" s="178"/>
      <c r="BF95" s="66" t="s">
        <v>1278</v>
      </c>
    </row>
    <row r="96" spans="1:58" ht="28">
      <c r="A96" s="66" t="s">
        <v>1558</v>
      </c>
      <c r="B96" s="66" t="s">
        <v>1661</v>
      </c>
      <c r="C96" s="66"/>
      <c r="D96" s="66"/>
      <c r="E96" s="66" t="s">
        <v>1304</v>
      </c>
      <c r="F96" s="66" t="s">
        <v>1474</v>
      </c>
      <c r="G96" s="66" t="s">
        <v>1310</v>
      </c>
      <c r="H96" s="66" t="s">
        <v>1181</v>
      </c>
      <c r="I96" s="66" t="s">
        <v>1662</v>
      </c>
      <c r="J96" s="66" t="s">
        <v>1210</v>
      </c>
      <c r="K96" s="66" t="s">
        <v>1277</v>
      </c>
      <c r="L96" s="66" t="s">
        <v>895</v>
      </c>
      <c r="M96" s="66" t="s">
        <v>1266</v>
      </c>
      <c r="N96" s="66" t="s">
        <v>895</v>
      </c>
      <c r="O96" s="66" t="s">
        <v>1213</v>
      </c>
      <c r="P96" s="66" t="s">
        <v>895</v>
      </c>
      <c r="Q96" s="86" t="s">
        <v>1215</v>
      </c>
      <c r="R96" s="86" t="s">
        <v>1215</v>
      </c>
      <c r="S96" s="86" t="s">
        <v>1215</v>
      </c>
      <c r="T96" s="86" t="s">
        <v>1215</v>
      </c>
      <c r="U96" s="86" t="s">
        <v>1215</v>
      </c>
      <c r="V96" s="86" t="s">
        <v>1215</v>
      </c>
      <c r="W96" s="67"/>
      <c r="X96" s="84" t="str">
        <f t="shared" si="11"/>
        <v>Belum Dinilai</v>
      </c>
      <c r="Y96" s="84" t="str">
        <f t="shared" si="12"/>
        <v>Belum Dinilai</v>
      </c>
      <c r="Z96" s="85" t="str">
        <f t="shared" si="13"/>
        <v/>
      </c>
      <c r="AA96" s="85" t="str">
        <f t="shared" si="14"/>
        <v/>
      </c>
      <c r="AB96" s="85" t="str">
        <f t="shared" si="15"/>
        <v/>
      </c>
      <c r="AC96" s="68" t="s">
        <v>1215</v>
      </c>
      <c r="AD96" s="68" t="s">
        <v>1215</v>
      </c>
      <c r="AE96" s="68" t="s">
        <v>1215</v>
      </c>
      <c r="AF96" s="68" t="s">
        <v>1215</v>
      </c>
      <c r="AG96" s="68" t="s">
        <v>1215</v>
      </c>
      <c r="AH96" s="68" t="s">
        <v>1215</v>
      </c>
      <c r="AI96" s="68" t="s">
        <v>1215</v>
      </c>
      <c r="AJ96" s="68" t="s">
        <v>1215</v>
      </c>
      <c r="AK96" s="68" t="s">
        <v>1215</v>
      </c>
      <c r="AL96" s="68"/>
      <c r="AM96" s="68" t="s">
        <v>1215</v>
      </c>
      <c r="AN96" s="84" t="str">
        <f t="shared" si="16"/>
        <v>Belum Dinilai</v>
      </c>
      <c r="AO96" s="84" t="str">
        <f t="shared" si="17"/>
        <v>Belum Dinilai</v>
      </c>
      <c r="AP96" s="68"/>
      <c r="AQ96" s="71">
        <f t="shared" si="18"/>
        <v>57</v>
      </c>
      <c r="AR96" s="71" t="str">
        <f t="shared" si="19"/>
        <v/>
      </c>
      <c r="AS96" s="71" t="str">
        <f t="shared" si="20"/>
        <v/>
      </c>
      <c r="AT96" s="69" t="str">
        <f t="shared" si="21"/>
        <v>Belum Dapat Ditentukan</v>
      </c>
      <c r="AU96" s="66" t="s">
        <v>1203</v>
      </c>
      <c r="AV96" s="66" t="s">
        <v>1204</v>
      </c>
      <c r="AW96" s="66" t="s">
        <v>1190</v>
      </c>
      <c r="AX96" s="66"/>
      <c r="AY96" s="66"/>
      <c r="AZ96" s="66" t="s">
        <v>927</v>
      </c>
      <c r="BA96" s="66"/>
      <c r="BB96" s="178"/>
      <c r="BC96" s="72">
        <v>2026</v>
      </c>
      <c r="BD96" s="66"/>
      <c r="BE96" s="178"/>
      <c r="BF96" s="66" t="s">
        <v>1278</v>
      </c>
    </row>
    <row r="97" spans="1:58" ht="28">
      <c r="A97" s="66" t="s">
        <v>1562</v>
      </c>
      <c r="B97" s="66" t="s">
        <v>1568</v>
      </c>
      <c r="C97" s="66"/>
      <c r="D97" s="66"/>
      <c r="E97" s="66" t="s">
        <v>1664</v>
      </c>
      <c r="F97" s="66" t="s">
        <v>1356</v>
      </c>
      <c r="G97" s="66" t="s">
        <v>1289</v>
      </c>
      <c r="H97" s="66" t="s">
        <v>1195</v>
      </c>
      <c r="I97" s="66" t="s">
        <v>1665</v>
      </c>
      <c r="J97" s="66" t="s">
        <v>1182</v>
      </c>
      <c r="K97" s="66" t="s">
        <v>1277</v>
      </c>
      <c r="L97" s="66" t="s">
        <v>1215</v>
      </c>
      <c r="M97" s="66" t="s">
        <v>1212</v>
      </c>
      <c r="N97" s="66" t="s">
        <v>1215</v>
      </c>
      <c r="O97" s="66" t="s">
        <v>1213</v>
      </c>
      <c r="P97" s="66" t="s">
        <v>1215</v>
      </c>
      <c r="Q97" s="86" t="s">
        <v>1215</v>
      </c>
      <c r="R97" s="86" t="s">
        <v>1215</v>
      </c>
      <c r="S97" s="86" t="s">
        <v>1215</v>
      </c>
      <c r="T97" s="86" t="s">
        <v>1215</v>
      </c>
      <c r="U97" s="86" t="s">
        <v>1215</v>
      </c>
      <c r="V97" s="86" t="s">
        <v>1215</v>
      </c>
      <c r="W97" s="67"/>
      <c r="X97" s="84" t="str">
        <f t="shared" si="11"/>
        <v>Belum Dinilai</v>
      </c>
      <c r="Y97" s="84" t="str">
        <f t="shared" si="12"/>
        <v>Belum Dinilai</v>
      </c>
      <c r="Z97" s="85" t="str">
        <f t="shared" si="13"/>
        <v/>
      </c>
      <c r="AA97" s="85" t="str">
        <f t="shared" si="14"/>
        <v/>
      </c>
      <c r="AB97" s="85" t="str">
        <f t="shared" si="15"/>
        <v/>
      </c>
      <c r="AC97" s="68" t="s">
        <v>1215</v>
      </c>
      <c r="AD97" s="68" t="s">
        <v>1215</v>
      </c>
      <c r="AE97" s="68" t="s">
        <v>1215</v>
      </c>
      <c r="AF97" s="68" t="s">
        <v>1215</v>
      </c>
      <c r="AG97" s="68" t="s">
        <v>1215</v>
      </c>
      <c r="AH97" s="68" t="s">
        <v>1215</v>
      </c>
      <c r="AI97" s="68" t="s">
        <v>1215</v>
      </c>
      <c r="AJ97" s="68" t="s">
        <v>1215</v>
      </c>
      <c r="AK97" s="68" t="s">
        <v>1215</v>
      </c>
      <c r="AL97" s="68"/>
      <c r="AM97" s="68" t="s">
        <v>1215</v>
      </c>
      <c r="AN97" s="84" t="str">
        <f t="shared" si="16"/>
        <v>Belum Dinilai</v>
      </c>
      <c r="AO97" s="84" t="str">
        <f t="shared" si="17"/>
        <v>Belum Dinilai</v>
      </c>
      <c r="AP97" s="68"/>
      <c r="AQ97" s="71" t="str">
        <f t="shared" si="18"/>
        <v/>
      </c>
      <c r="AR97" s="71" t="str">
        <f t="shared" si="19"/>
        <v/>
      </c>
      <c r="AS97" s="71" t="str">
        <f t="shared" si="20"/>
        <v/>
      </c>
      <c r="AT97" s="69" t="str">
        <f t="shared" si="21"/>
        <v>Belum Dapat Ditentukan</v>
      </c>
      <c r="AU97" s="66" t="s">
        <v>1189</v>
      </c>
      <c r="AV97" s="66" t="s">
        <v>1204</v>
      </c>
      <c r="AW97" s="66" t="s">
        <v>1898</v>
      </c>
      <c r="AX97" s="66" t="s">
        <v>1206</v>
      </c>
      <c r="AY97" s="66">
        <v>2021</v>
      </c>
      <c r="AZ97" s="66" t="s">
        <v>927</v>
      </c>
      <c r="BA97" s="66"/>
      <c r="BB97" s="178"/>
      <c r="BC97" s="72">
        <v>2026</v>
      </c>
      <c r="BD97" s="66"/>
      <c r="BE97" s="178"/>
      <c r="BF97" s="66" t="s">
        <v>1278</v>
      </c>
    </row>
    <row r="98" spans="1:58" ht="28">
      <c r="A98" s="66" t="s">
        <v>1567</v>
      </c>
      <c r="B98" s="66" t="s">
        <v>1667</v>
      </c>
      <c r="C98" s="66"/>
      <c r="D98" s="66"/>
      <c r="E98" s="66" t="s">
        <v>1668</v>
      </c>
      <c r="F98" s="66" t="s">
        <v>1356</v>
      </c>
      <c r="G98" s="66" t="s">
        <v>1289</v>
      </c>
      <c r="H98" s="66" t="s">
        <v>1262</v>
      </c>
      <c r="I98" s="66" t="s">
        <v>1669</v>
      </c>
      <c r="J98" s="66" t="s">
        <v>1210</v>
      </c>
      <c r="K98" s="66" t="s">
        <v>1277</v>
      </c>
      <c r="L98" s="66" t="s">
        <v>1215</v>
      </c>
      <c r="M98" s="66" t="s">
        <v>1266</v>
      </c>
      <c r="N98" s="66" t="s">
        <v>1215</v>
      </c>
      <c r="O98" s="66" t="s">
        <v>1277</v>
      </c>
      <c r="P98" s="66" t="s">
        <v>1215</v>
      </c>
      <c r="Q98" s="86" t="s">
        <v>1215</v>
      </c>
      <c r="R98" s="86" t="s">
        <v>1215</v>
      </c>
      <c r="S98" s="86" t="s">
        <v>1215</v>
      </c>
      <c r="T98" s="86" t="s">
        <v>1215</v>
      </c>
      <c r="U98" s="86" t="s">
        <v>1215</v>
      </c>
      <c r="V98" s="86" t="s">
        <v>1215</v>
      </c>
      <c r="W98" s="67"/>
      <c r="X98" s="84" t="str">
        <f t="shared" si="11"/>
        <v>Belum Dinilai</v>
      </c>
      <c r="Y98" s="84" t="str">
        <f t="shared" si="12"/>
        <v>Belum Dinilai</v>
      </c>
      <c r="Z98" s="85" t="str">
        <f t="shared" si="13"/>
        <v/>
      </c>
      <c r="AA98" s="85" t="str">
        <f t="shared" si="14"/>
        <v/>
      </c>
      <c r="AB98" s="85" t="str">
        <f t="shared" si="15"/>
        <v/>
      </c>
      <c r="AC98" s="68" t="s">
        <v>1215</v>
      </c>
      <c r="AD98" s="68" t="s">
        <v>1215</v>
      </c>
      <c r="AE98" s="68" t="s">
        <v>1215</v>
      </c>
      <c r="AF98" s="68" t="s">
        <v>1215</v>
      </c>
      <c r="AG98" s="68" t="s">
        <v>1215</v>
      </c>
      <c r="AH98" s="68" t="s">
        <v>1215</v>
      </c>
      <c r="AI98" s="68" t="s">
        <v>1215</v>
      </c>
      <c r="AJ98" s="68" t="s">
        <v>1215</v>
      </c>
      <c r="AK98" s="68" t="s">
        <v>1215</v>
      </c>
      <c r="AL98" s="68"/>
      <c r="AM98" s="68" t="s">
        <v>1215</v>
      </c>
      <c r="AN98" s="84" t="str">
        <f t="shared" si="16"/>
        <v>Belum Dinilai</v>
      </c>
      <c r="AO98" s="84" t="str">
        <f t="shared" si="17"/>
        <v>Belum Dinilai</v>
      </c>
      <c r="AP98" s="68"/>
      <c r="AQ98" s="71" t="str">
        <f t="shared" si="18"/>
        <v/>
      </c>
      <c r="AR98" s="71" t="str">
        <f t="shared" si="19"/>
        <v/>
      </c>
      <c r="AS98" s="71" t="str">
        <f t="shared" si="20"/>
        <v/>
      </c>
      <c r="AT98" s="69" t="str">
        <f t="shared" si="21"/>
        <v>Belum Dapat Ditentukan</v>
      </c>
      <c r="AU98" s="66" t="s">
        <v>1203</v>
      </c>
      <c r="AV98" s="66" t="s">
        <v>1204</v>
      </c>
      <c r="AW98" s="66" t="s">
        <v>1190</v>
      </c>
      <c r="AX98" s="66"/>
      <c r="AY98" s="66"/>
      <c r="AZ98" s="66" t="s">
        <v>927</v>
      </c>
      <c r="BA98" s="66"/>
      <c r="BB98" s="178"/>
      <c r="BC98" s="72">
        <v>2026</v>
      </c>
      <c r="BD98" s="66"/>
      <c r="BE98" s="178"/>
      <c r="BF98" s="66" t="s">
        <v>1278</v>
      </c>
    </row>
    <row r="99" spans="1:58" ht="28">
      <c r="A99" s="66" t="s">
        <v>1571</v>
      </c>
      <c r="B99" s="66" t="s">
        <v>1671</v>
      </c>
      <c r="C99" s="66"/>
      <c r="D99" s="66"/>
      <c r="E99" s="66" t="s">
        <v>1664</v>
      </c>
      <c r="F99" s="66" t="s">
        <v>1356</v>
      </c>
      <c r="G99" s="66" t="s">
        <v>1289</v>
      </c>
      <c r="H99" s="66" t="s">
        <v>1181</v>
      </c>
      <c r="I99" s="66" t="s">
        <v>1672</v>
      </c>
      <c r="J99" s="66" t="s">
        <v>1182</v>
      </c>
      <c r="K99" s="66" t="s">
        <v>1277</v>
      </c>
      <c r="L99" s="66" t="s">
        <v>1215</v>
      </c>
      <c r="M99" s="66" t="s">
        <v>1212</v>
      </c>
      <c r="N99" s="66" t="s">
        <v>1215</v>
      </c>
      <c r="O99" s="66" t="s">
        <v>1277</v>
      </c>
      <c r="P99" s="66" t="s">
        <v>1215</v>
      </c>
      <c r="Q99" s="86" t="s">
        <v>1215</v>
      </c>
      <c r="R99" s="86" t="s">
        <v>1215</v>
      </c>
      <c r="S99" s="86" t="s">
        <v>1215</v>
      </c>
      <c r="T99" s="86" t="s">
        <v>1215</v>
      </c>
      <c r="U99" s="86" t="s">
        <v>1215</v>
      </c>
      <c r="V99" s="86" t="s">
        <v>1215</v>
      </c>
      <c r="W99" s="67"/>
      <c r="X99" s="84" t="str">
        <f t="shared" si="11"/>
        <v>Belum Dinilai</v>
      </c>
      <c r="Y99" s="84" t="str">
        <f t="shared" si="12"/>
        <v>Belum Dinilai</v>
      </c>
      <c r="Z99" s="85" t="str">
        <f t="shared" si="13"/>
        <v/>
      </c>
      <c r="AA99" s="85" t="str">
        <f t="shared" si="14"/>
        <v/>
      </c>
      <c r="AB99" s="85" t="str">
        <f t="shared" si="15"/>
        <v/>
      </c>
      <c r="AC99" s="68" t="s">
        <v>1215</v>
      </c>
      <c r="AD99" s="68" t="s">
        <v>1215</v>
      </c>
      <c r="AE99" s="68" t="s">
        <v>1215</v>
      </c>
      <c r="AF99" s="68" t="s">
        <v>1215</v>
      </c>
      <c r="AG99" s="68" t="s">
        <v>1215</v>
      </c>
      <c r="AH99" s="68" t="s">
        <v>1215</v>
      </c>
      <c r="AI99" s="68" t="s">
        <v>1215</v>
      </c>
      <c r="AJ99" s="68" t="s">
        <v>1215</v>
      </c>
      <c r="AK99" s="68" t="s">
        <v>1215</v>
      </c>
      <c r="AL99" s="68"/>
      <c r="AM99" s="68" t="s">
        <v>1215</v>
      </c>
      <c r="AN99" s="84" t="str">
        <f t="shared" si="16"/>
        <v>Belum Dinilai</v>
      </c>
      <c r="AO99" s="84" t="str">
        <f t="shared" si="17"/>
        <v>Belum Dinilai</v>
      </c>
      <c r="AP99" s="68"/>
      <c r="AQ99" s="71" t="str">
        <f t="shared" si="18"/>
        <v/>
      </c>
      <c r="AR99" s="71" t="str">
        <f t="shared" si="19"/>
        <v/>
      </c>
      <c r="AS99" s="71" t="str">
        <f t="shared" si="20"/>
        <v/>
      </c>
      <c r="AT99" s="69" t="str">
        <f t="shared" si="21"/>
        <v>Belum Dapat Ditentukan</v>
      </c>
      <c r="AU99" s="66" t="s">
        <v>1189</v>
      </c>
      <c r="AV99" s="66" t="s">
        <v>1204</v>
      </c>
      <c r="AW99" s="66" t="s">
        <v>1898</v>
      </c>
      <c r="AX99" s="66" t="s">
        <v>1206</v>
      </c>
      <c r="AY99" s="66">
        <v>2021</v>
      </c>
      <c r="AZ99" s="66" t="s">
        <v>927</v>
      </c>
      <c r="BA99" s="66"/>
      <c r="BB99" s="178"/>
      <c r="BC99" s="72">
        <v>2026</v>
      </c>
      <c r="BD99" s="66"/>
      <c r="BE99" s="178"/>
      <c r="BF99" s="66" t="s">
        <v>1278</v>
      </c>
    </row>
    <row r="100" spans="1:58" ht="28">
      <c r="A100" s="66" t="s">
        <v>1575</v>
      </c>
      <c r="B100" s="66" t="s">
        <v>1674</v>
      </c>
      <c r="C100" s="66"/>
      <c r="D100" s="66"/>
      <c r="E100" s="66" t="s">
        <v>1675</v>
      </c>
      <c r="F100" s="66" t="s">
        <v>1356</v>
      </c>
      <c r="G100" s="66" t="s">
        <v>1289</v>
      </c>
      <c r="H100" s="66" t="s">
        <v>1195</v>
      </c>
      <c r="I100" s="66" t="s">
        <v>1669</v>
      </c>
      <c r="J100" s="66" t="s">
        <v>1210</v>
      </c>
      <c r="K100" s="66" t="s">
        <v>1277</v>
      </c>
      <c r="L100" s="66" t="s">
        <v>1215</v>
      </c>
      <c r="M100" s="66" t="s">
        <v>1266</v>
      </c>
      <c r="N100" s="66" t="s">
        <v>1215</v>
      </c>
      <c r="O100" s="66" t="s">
        <v>1277</v>
      </c>
      <c r="P100" s="66" t="s">
        <v>1215</v>
      </c>
      <c r="Q100" s="86" t="s">
        <v>1215</v>
      </c>
      <c r="R100" s="86" t="s">
        <v>1215</v>
      </c>
      <c r="S100" s="86" t="s">
        <v>1215</v>
      </c>
      <c r="T100" s="86" t="s">
        <v>1215</v>
      </c>
      <c r="U100" s="86" t="s">
        <v>1215</v>
      </c>
      <c r="V100" s="86" t="s">
        <v>1215</v>
      </c>
      <c r="W100" s="67"/>
      <c r="X100" s="84" t="str">
        <f t="shared" si="11"/>
        <v>Belum Dinilai</v>
      </c>
      <c r="Y100" s="84" t="str">
        <f t="shared" si="12"/>
        <v>Belum Dinilai</v>
      </c>
      <c r="Z100" s="85" t="str">
        <f t="shared" si="13"/>
        <v/>
      </c>
      <c r="AA100" s="85" t="str">
        <f t="shared" si="14"/>
        <v/>
      </c>
      <c r="AB100" s="85" t="str">
        <f t="shared" si="15"/>
        <v/>
      </c>
      <c r="AC100" s="68" t="s">
        <v>1215</v>
      </c>
      <c r="AD100" s="68" t="s">
        <v>1215</v>
      </c>
      <c r="AE100" s="68" t="s">
        <v>1215</v>
      </c>
      <c r="AF100" s="68" t="s">
        <v>1215</v>
      </c>
      <c r="AG100" s="68" t="s">
        <v>1215</v>
      </c>
      <c r="AH100" s="68" t="s">
        <v>1215</v>
      </c>
      <c r="AI100" s="68" t="s">
        <v>1215</v>
      </c>
      <c r="AJ100" s="68" t="s">
        <v>1215</v>
      </c>
      <c r="AK100" s="68" t="s">
        <v>1215</v>
      </c>
      <c r="AL100" s="68"/>
      <c r="AM100" s="68" t="s">
        <v>1215</v>
      </c>
      <c r="AN100" s="84" t="str">
        <f t="shared" si="16"/>
        <v>Belum Dinilai</v>
      </c>
      <c r="AO100" s="84" t="str">
        <f t="shared" si="17"/>
        <v>Belum Dinilai</v>
      </c>
      <c r="AP100" s="68"/>
      <c r="AQ100" s="71" t="str">
        <f t="shared" si="18"/>
        <v/>
      </c>
      <c r="AR100" s="71" t="str">
        <f t="shared" si="19"/>
        <v/>
      </c>
      <c r="AS100" s="71" t="str">
        <f t="shared" si="20"/>
        <v/>
      </c>
      <c r="AT100" s="69" t="str">
        <f t="shared" si="21"/>
        <v>Belum Dapat Ditentukan</v>
      </c>
      <c r="AU100" s="66" t="s">
        <v>1189</v>
      </c>
      <c r="AV100" s="66" t="s">
        <v>1204</v>
      </c>
      <c r="AW100" s="66" t="s">
        <v>1898</v>
      </c>
      <c r="AX100" s="66" t="s">
        <v>1206</v>
      </c>
      <c r="AY100" s="66">
        <v>2022</v>
      </c>
      <c r="AZ100" s="66" t="s">
        <v>927</v>
      </c>
      <c r="BA100" s="66"/>
      <c r="BB100" s="178"/>
      <c r="BC100" s="72">
        <v>2026</v>
      </c>
      <c r="BD100" s="66"/>
      <c r="BE100" s="178"/>
      <c r="BF100" s="66" t="s">
        <v>1278</v>
      </c>
    </row>
    <row r="101" spans="1:58" ht="28">
      <c r="A101" s="66" t="s">
        <v>1578</v>
      </c>
      <c r="B101" s="66" t="s">
        <v>1677</v>
      </c>
      <c r="C101" s="66"/>
      <c r="D101" s="66"/>
      <c r="E101" s="66" t="s">
        <v>1678</v>
      </c>
      <c r="F101" s="66" t="s">
        <v>1388</v>
      </c>
      <c r="G101" s="66" t="s">
        <v>1289</v>
      </c>
      <c r="H101" s="66" t="s">
        <v>1181</v>
      </c>
      <c r="I101" s="66" t="s">
        <v>1669</v>
      </c>
      <c r="J101" s="66" t="s">
        <v>1210</v>
      </c>
      <c r="K101" s="66" t="s">
        <v>1277</v>
      </c>
      <c r="L101" s="66" t="s">
        <v>1215</v>
      </c>
      <c r="M101" s="66" t="s">
        <v>1266</v>
      </c>
      <c r="N101" s="66" t="s">
        <v>1215</v>
      </c>
      <c r="O101" s="66" t="s">
        <v>1277</v>
      </c>
      <c r="P101" s="66" t="s">
        <v>1215</v>
      </c>
      <c r="Q101" s="86" t="s">
        <v>1215</v>
      </c>
      <c r="R101" s="86" t="s">
        <v>1215</v>
      </c>
      <c r="S101" s="86" t="s">
        <v>1215</v>
      </c>
      <c r="T101" s="86" t="s">
        <v>1215</v>
      </c>
      <c r="U101" s="86" t="s">
        <v>1215</v>
      </c>
      <c r="V101" s="86" t="s">
        <v>1215</v>
      </c>
      <c r="W101" s="67"/>
      <c r="X101" s="84" t="str">
        <f t="shared" si="11"/>
        <v>Belum Dinilai</v>
      </c>
      <c r="Y101" s="84" t="str">
        <f t="shared" si="12"/>
        <v>Belum Dinilai</v>
      </c>
      <c r="Z101" s="85" t="str">
        <f t="shared" si="13"/>
        <v/>
      </c>
      <c r="AA101" s="85" t="str">
        <f t="shared" si="14"/>
        <v/>
      </c>
      <c r="AB101" s="85" t="str">
        <f t="shared" si="15"/>
        <v/>
      </c>
      <c r="AC101" s="68" t="s">
        <v>1215</v>
      </c>
      <c r="AD101" s="68" t="s">
        <v>1215</v>
      </c>
      <c r="AE101" s="68" t="s">
        <v>1215</v>
      </c>
      <c r="AF101" s="68" t="s">
        <v>1215</v>
      </c>
      <c r="AG101" s="68" t="s">
        <v>1215</v>
      </c>
      <c r="AH101" s="68" t="s">
        <v>1215</v>
      </c>
      <c r="AI101" s="68" t="s">
        <v>1215</v>
      </c>
      <c r="AJ101" s="68" t="s">
        <v>1215</v>
      </c>
      <c r="AK101" s="68" t="s">
        <v>1215</v>
      </c>
      <c r="AL101" s="68"/>
      <c r="AM101" s="68" t="s">
        <v>1215</v>
      </c>
      <c r="AN101" s="84" t="str">
        <f t="shared" si="16"/>
        <v>Belum Dinilai</v>
      </c>
      <c r="AO101" s="84" t="str">
        <f t="shared" si="17"/>
        <v>Belum Dinilai</v>
      </c>
      <c r="AP101" s="68"/>
      <c r="AQ101" s="71" t="str">
        <f t="shared" si="18"/>
        <v/>
      </c>
      <c r="AR101" s="71" t="str">
        <f t="shared" si="19"/>
        <v/>
      </c>
      <c r="AS101" s="71" t="str">
        <f t="shared" si="20"/>
        <v/>
      </c>
      <c r="AT101" s="69" t="str">
        <f t="shared" si="21"/>
        <v>Belum Dapat Ditentukan</v>
      </c>
      <c r="AU101" s="66" t="s">
        <v>1189</v>
      </c>
      <c r="AV101" s="66" t="s">
        <v>1204</v>
      </c>
      <c r="AW101" s="66" t="s">
        <v>1898</v>
      </c>
      <c r="AX101" s="66" t="s">
        <v>1206</v>
      </c>
      <c r="AY101" s="66">
        <v>2023</v>
      </c>
      <c r="AZ101" s="66" t="s">
        <v>927</v>
      </c>
      <c r="BA101" s="66"/>
      <c r="BB101" s="178"/>
      <c r="BC101" s="72">
        <v>2026</v>
      </c>
      <c r="BD101" s="66"/>
      <c r="BE101" s="178"/>
      <c r="BF101" s="66" t="s">
        <v>1278</v>
      </c>
    </row>
    <row r="102" spans="1:58" ht="28">
      <c r="A102" s="66" t="s">
        <v>1582</v>
      </c>
      <c r="B102" s="66" t="s">
        <v>1680</v>
      </c>
      <c r="C102" s="66"/>
      <c r="D102" s="66"/>
      <c r="E102" s="66" t="s">
        <v>1681</v>
      </c>
      <c r="F102" s="66" t="s">
        <v>1388</v>
      </c>
      <c r="G102" s="66" t="s">
        <v>1289</v>
      </c>
      <c r="H102" s="66" t="s">
        <v>1195</v>
      </c>
      <c r="I102" s="66" t="s">
        <v>1682</v>
      </c>
      <c r="J102" s="66" t="s">
        <v>1263</v>
      </c>
      <c r="K102" s="66" t="s">
        <v>1277</v>
      </c>
      <c r="L102" s="66" t="s">
        <v>895</v>
      </c>
      <c r="M102" s="66" t="s">
        <v>1277</v>
      </c>
      <c r="N102" s="66" t="s">
        <v>1215</v>
      </c>
      <c r="O102" s="66" t="s">
        <v>1277</v>
      </c>
      <c r="P102" s="66" t="s">
        <v>1215</v>
      </c>
      <c r="Q102" s="86" t="s">
        <v>1215</v>
      </c>
      <c r="R102" s="86" t="s">
        <v>1215</v>
      </c>
      <c r="S102" s="86" t="s">
        <v>1215</v>
      </c>
      <c r="T102" s="86" t="s">
        <v>1215</v>
      </c>
      <c r="U102" s="86" t="s">
        <v>1215</v>
      </c>
      <c r="V102" s="86" t="s">
        <v>1215</v>
      </c>
      <c r="W102" s="67"/>
      <c r="X102" s="84" t="str">
        <f t="shared" si="11"/>
        <v>Belum Dinilai</v>
      </c>
      <c r="Y102" s="84" t="str">
        <f t="shared" si="12"/>
        <v>Belum Dinilai</v>
      </c>
      <c r="Z102" s="85" t="str">
        <f t="shared" si="13"/>
        <v/>
      </c>
      <c r="AA102" s="85" t="str">
        <f t="shared" si="14"/>
        <v/>
      </c>
      <c r="AB102" s="85" t="str">
        <f t="shared" si="15"/>
        <v/>
      </c>
      <c r="AC102" s="68" t="s">
        <v>1215</v>
      </c>
      <c r="AD102" s="68" t="s">
        <v>1215</v>
      </c>
      <c r="AE102" s="68" t="s">
        <v>1215</v>
      </c>
      <c r="AF102" s="68" t="s">
        <v>1215</v>
      </c>
      <c r="AG102" s="68" t="s">
        <v>1215</v>
      </c>
      <c r="AH102" s="68" t="s">
        <v>1215</v>
      </c>
      <c r="AI102" s="68" t="s">
        <v>1215</v>
      </c>
      <c r="AJ102" s="68" t="s">
        <v>1215</v>
      </c>
      <c r="AK102" s="68" t="s">
        <v>1215</v>
      </c>
      <c r="AL102" s="68"/>
      <c r="AM102" s="68" t="s">
        <v>1215</v>
      </c>
      <c r="AN102" s="84" t="str">
        <f t="shared" si="16"/>
        <v>Belum Dinilai</v>
      </c>
      <c r="AO102" s="84" t="str">
        <f t="shared" si="17"/>
        <v>Belum Dinilai</v>
      </c>
      <c r="AP102" s="68"/>
      <c r="AQ102" s="71" t="str">
        <f t="shared" si="18"/>
        <v/>
      </c>
      <c r="AR102" s="71" t="str">
        <f t="shared" si="19"/>
        <v/>
      </c>
      <c r="AS102" s="71" t="str">
        <f t="shared" si="20"/>
        <v/>
      </c>
      <c r="AT102" s="69" t="str">
        <f t="shared" si="21"/>
        <v>Belum Dapat Ditentukan</v>
      </c>
      <c r="AU102" s="66" t="s">
        <v>1203</v>
      </c>
      <c r="AV102" s="66" t="s">
        <v>1204</v>
      </c>
      <c r="AW102" s="66" t="s">
        <v>1190</v>
      </c>
      <c r="AX102" s="66"/>
      <c r="AY102" s="66"/>
      <c r="AZ102" s="66" t="s">
        <v>927</v>
      </c>
      <c r="BA102" s="66"/>
      <c r="BB102" s="178"/>
      <c r="BC102" s="72">
        <v>2026</v>
      </c>
      <c r="BD102" s="66"/>
      <c r="BE102" s="178"/>
      <c r="BF102" s="66" t="s">
        <v>1278</v>
      </c>
    </row>
    <row r="103" spans="1:58" ht="28">
      <c r="A103" s="66" t="s">
        <v>1586</v>
      </c>
      <c r="B103" s="66" t="s">
        <v>1684</v>
      </c>
      <c r="C103" s="66"/>
      <c r="D103" s="66"/>
      <c r="E103" s="66" t="s">
        <v>1304</v>
      </c>
      <c r="F103" s="66" t="s">
        <v>1388</v>
      </c>
      <c r="G103" s="66" t="s">
        <v>1289</v>
      </c>
      <c r="H103" s="66" t="s">
        <v>1262</v>
      </c>
      <c r="I103" s="66" t="s">
        <v>1414</v>
      </c>
      <c r="J103" s="66" t="s">
        <v>1182</v>
      </c>
      <c r="K103" s="66" t="s">
        <v>1277</v>
      </c>
      <c r="L103" s="66" t="s">
        <v>1215</v>
      </c>
      <c r="M103" s="66" t="s">
        <v>1265</v>
      </c>
      <c r="N103" s="66" t="s">
        <v>1215</v>
      </c>
      <c r="O103" s="66" t="s">
        <v>1277</v>
      </c>
      <c r="P103" s="66" t="s">
        <v>1215</v>
      </c>
      <c r="Q103" s="86" t="s">
        <v>1215</v>
      </c>
      <c r="R103" s="86" t="s">
        <v>1215</v>
      </c>
      <c r="S103" s="86" t="s">
        <v>1215</v>
      </c>
      <c r="T103" s="86" t="s">
        <v>1215</v>
      </c>
      <c r="U103" s="86" t="s">
        <v>1215</v>
      </c>
      <c r="V103" s="86" t="s">
        <v>1215</v>
      </c>
      <c r="W103" s="67"/>
      <c r="X103" s="84" t="str">
        <f t="shared" si="11"/>
        <v>Belum Dinilai</v>
      </c>
      <c r="Y103" s="84" t="str">
        <f t="shared" si="12"/>
        <v>Belum Dinilai</v>
      </c>
      <c r="Z103" s="85" t="str">
        <f t="shared" si="13"/>
        <v/>
      </c>
      <c r="AA103" s="85" t="str">
        <f t="shared" si="14"/>
        <v/>
      </c>
      <c r="AB103" s="85" t="str">
        <f t="shared" si="15"/>
        <v/>
      </c>
      <c r="AC103" s="68" t="s">
        <v>1215</v>
      </c>
      <c r="AD103" s="68" t="s">
        <v>1215</v>
      </c>
      <c r="AE103" s="68" t="s">
        <v>1215</v>
      </c>
      <c r="AF103" s="68" t="s">
        <v>1215</v>
      </c>
      <c r="AG103" s="68" t="s">
        <v>1215</v>
      </c>
      <c r="AH103" s="68" t="s">
        <v>1215</v>
      </c>
      <c r="AI103" s="68" t="s">
        <v>1215</v>
      </c>
      <c r="AJ103" s="68" t="s">
        <v>1215</v>
      </c>
      <c r="AK103" s="68" t="s">
        <v>1215</v>
      </c>
      <c r="AL103" s="68"/>
      <c r="AM103" s="68" t="s">
        <v>1215</v>
      </c>
      <c r="AN103" s="84" t="str">
        <f t="shared" si="16"/>
        <v>Belum Dinilai</v>
      </c>
      <c r="AO103" s="84" t="str">
        <f t="shared" si="17"/>
        <v>Belum Dinilai</v>
      </c>
      <c r="AP103" s="68"/>
      <c r="AQ103" s="71" t="str">
        <f t="shared" si="18"/>
        <v/>
      </c>
      <c r="AR103" s="71" t="str">
        <f t="shared" si="19"/>
        <v/>
      </c>
      <c r="AS103" s="71" t="str">
        <f t="shared" si="20"/>
        <v/>
      </c>
      <c r="AT103" s="69" t="str">
        <f t="shared" si="21"/>
        <v>Belum Dapat Ditentukan</v>
      </c>
      <c r="AU103" s="66" t="s">
        <v>1203</v>
      </c>
      <c r="AV103" s="66" t="s">
        <v>1204</v>
      </c>
      <c r="AW103" s="66" t="s">
        <v>1190</v>
      </c>
      <c r="AX103" s="66"/>
      <c r="AY103" s="66"/>
      <c r="AZ103" s="66" t="s">
        <v>927</v>
      </c>
      <c r="BA103" s="66"/>
      <c r="BB103" s="178"/>
      <c r="BC103" s="72">
        <v>2026</v>
      </c>
      <c r="BD103" s="66"/>
      <c r="BE103" s="178"/>
      <c r="BF103" s="66" t="s">
        <v>1278</v>
      </c>
    </row>
    <row r="104" spans="1:58" ht="28">
      <c r="A104" s="66" t="s">
        <v>1590</v>
      </c>
      <c r="B104" s="66" t="s">
        <v>1686</v>
      </c>
      <c r="C104" s="66"/>
      <c r="D104" s="66"/>
      <c r="E104" s="66" t="s">
        <v>1304</v>
      </c>
      <c r="F104" s="66" t="s">
        <v>1315</v>
      </c>
      <c r="G104" s="66" t="s">
        <v>1289</v>
      </c>
      <c r="H104" s="66" t="s">
        <v>1262</v>
      </c>
      <c r="I104" s="66" t="s">
        <v>1687</v>
      </c>
      <c r="J104" s="66" t="s">
        <v>1210</v>
      </c>
      <c r="K104" s="66" t="s">
        <v>1277</v>
      </c>
      <c r="L104" s="66" t="s">
        <v>1215</v>
      </c>
      <c r="M104" s="66" t="s">
        <v>1266</v>
      </c>
      <c r="N104" s="66" t="s">
        <v>1215</v>
      </c>
      <c r="O104" s="66" t="s">
        <v>1281</v>
      </c>
      <c r="P104" s="66" t="s">
        <v>1282</v>
      </c>
      <c r="Q104" s="86" t="s">
        <v>1215</v>
      </c>
      <c r="R104" s="86" t="s">
        <v>1215</v>
      </c>
      <c r="S104" s="86" t="s">
        <v>1215</v>
      </c>
      <c r="T104" s="86" t="s">
        <v>1215</v>
      </c>
      <c r="U104" s="86" t="s">
        <v>1215</v>
      </c>
      <c r="V104" s="86" t="s">
        <v>1215</v>
      </c>
      <c r="W104" s="67"/>
      <c r="X104" s="84" t="str">
        <f t="shared" si="11"/>
        <v>Belum Dinilai</v>
      </c>
      <c r="Y104" s="84" t="str">
        <f t="shared" si="12"/>
        <v>Belum Dinilai</v>
      </c>
      <c r="Z104" s="85" t="str">
        <f t="shared" si="13"/>
        <v/>
      </c>
      <c r="AA104" s="85" t="str">
        <f t="shared" si="14"/>
        <v/>
      </c>
      <c r="AB104" s="85" t="str">
        <f t="shared" si="15"/>
        <v/>
      </c>
      <c r="AC104" s="68" t="s">
        <v>1215</v>
      </c>
      <c r="AD104" s="68" t="s">
        <v>1215</v>
      </c>
      <c r="AE104" s="68" t="s">
        <v>1215</v>
      </c>
      <c r="AF104" s="68" t="s">
        <v>1215</v>
      </c>
      <c r="AG104" s="68" t="s">
        <v>1215</v>
      </c>
      <c r="AH104" s="68" t="s">
        <v>1215</v>
      </c>
      <c r="AI104" s="68" t="s">
        <v>1215</v>
      </c>
      <c r="AJ104" s="68" t="s">
        <v>1215</v>
      </c>
      <c r="AK104" s="68" t="s">
        <v>1215</v>
      </c>
      <c r="AL104" s="68"/>
      <c r="AM104" s="68" t="s">
        <v>1215</v>
      </c>
      <c r="AN104" s="84" t="str">
        <f t="shared" si="16"/>
        <v>Belum Dinilai</v>
      </c>
      <c r="AO104" s="84" t="str">
        <f t="shared" si="17"/>
        <v>Belum Dinilai</v>
      </c>
      <c r="AP104" s="68"/>
      <c r="AQ104" s="71" t="str">
        <f t="shared" si="18"/>
        <v/>
      </c>
      <c r="AR104" s="71" t="str">
        <f t="shared" si="19"/>
        <v/>
      </c>
      <c r="AS104" s="71" t="str">
        <f t="shared" si="20"/>
        <v/>
      </c>
      <c r="AT104" s="69" t="str">
        <f t="shared" si="21"/>
        <v>Belum Dapat Ditentukan</v>
      </c>
      <c r="AU104" s="66" t="s">
        <v>1189</v>
      </c>
      <c r="AV104" s="66" t="s">
        <v>1204</v>
      </c>
      <c r="AW104" s="66" t="s">
        <v>1190</v>
      </c>
      <c r="AX104" s="66"/>
      <c r="AY104" s="66"/>
      <c r="AZ104" s="66" t="s">
        <v>927</v>
      </c>
      <c r="BA104" s="66"/>
      <c r="BB104" s="178"/>
      <c r="BC104" s="72">
        <v>2026</v>
      </c>
      <c r="BD104" s="66"/>
      <c r="BE104" s="178"/>
      <c r="BF104" s="66" t="s">
        <v>1278</v>
      </c>
    </row>
    <row r="105" spans="1:58" ht="28">
      <c r="A105" s="66" t="s">
        <v>1591</v>
      </c>
      <c r="B105" s="66" t="s">
        <v>1686</v>
      </c>
      <c r="C105" s="66"/>
      <c r="D105" s="66"/>
      <c r="E105" s="66" t="s">
        <v>1304</v>
      </c>
      <c r="F105" s="66" t="s">
        <v>1315</v>
      </c>
      <c r="G105" s="66" t="s">
        <v>1289</v>
      </c>
      <c r="H105" s="66" t="s">
        <v>1262</v>
      </c>
      <c r="I105" s="66" t="s">
        <v>1689</v>
      </c>
      <c r="J105" s="66" t="s">
        <v>1263</v>
      </c>
      <c r="K105" s="66" t="s">
        <v>1277</v>
      </c>
      <c r="L105" s="66" t="s">
        <v>1215</v>
      </c>
      <c r="M105" s="66" t="s">
        <v>1277</v>
      </c>
      <c r="N105" s="66" t="s">
        <v>1215</v>
      </c>
      <c r="O105" s="66" t="s">
        <v>1277</v>
      </c>
      <c r="P105" s="66" t="s">
        <v>1215</v>
      </c>
      <c r="Q105" s="86" t="s">
        <v>1215</v>
      </c>
      <c r="R105" s="86" t="s">
        <v>1215</v>
      </c>
      <c r="S105" s="86" t="s">
        <v>1215</v>
      </c>
      <c r="T105" s="86" t="s">
        <v>1215</v>
      </c>
      <c r="U105" s="86" t="s">
        <v>1215</v>
      </c>
      <c r="V105" s="86" t="s">
        <v>1215</v>
      </c>
      <c r="W105" s="67"/>
      <c r="X105" s="84" t="str">
        <f t="shared" si="11"/>
        <v>Belum Dinilai</v>
      </c>
      <c r="Y105" s="84" t="str">
        <f t="shared" si="12"/>
        <v>Belum Dinilai</v>
      </c>
      <c r="Z105" s="85" t="str">
        <f t="shared" si="13"/>
        <v/>
      </c>
      <c r="AA105" s="85" t="str">
        <f t="shared" si="14"/>
        <v/>
      </c>
      <c r="AB105" s="85" t="str">
        <f t="shared" si="15"/>
        <v/>
      </c>
      <c r="AC105" s="68" t="s">
        <v>1215</v>
      </c>
      <c r="AD105" s="68" t="s">
        <v>1215</v>
      </c>
      <c r="AE105" s="68" t="s">
        <v>1215</v>
      </c>
      <c r="AF105" s="68" t="s">
        <v>1215</v>
      </c>
      <c r="AG105" s="68" t="s">
        <v>1215</v>
      </c>
      <c r="AH105" s="68" t="s">
        <v>1215</v>
      </c>
      <c r="AI105" s="68" t="s">
        <v>1215</v>
      </c>
      <c r="AJ105" s="68" t="s">
        <v>1215</v>
      </c>
      <c r="AK105" s="68" t="s">
        <v>1215</v>
      </c>
      <c r="AL105" s="68"/>
      <c r="AM105" s="68" t="s">
        <v>1215</v>
      </c>
      <c r="AN105" s="84" t="str">
        <f t="shared" si="16"/>
        <v>Belum Dinilai</v>
      </c>
      <c r="AO105" s="84" t="str">
        <f t="shared" si="17"/>
        <v>Belum Dinilai</v>
      </c>
      <c r="AP105" s="68"/>
      <c r="AQ105" s="71" t="str">
        <f t="shared" si="18"/>
        <v/>
      </c>
      <c r="AR105" s="71" t="str">
        <f t="shared" si="19"/>
        <v/>
      </c>
      <c r="AS105" s="71" t="str">
        <f t="shared" si="20"/>
        <v/>
      </c>
      <c r="AT105" s="69" t="str">
        <f t="shared" si="21"/>
        <v>Belum Dapat Ditentukan</v>
      </c>
      <c r="AU105" s="66" t="s">
        <v>1203</v>
      </c>
      <c r="AV105" s="66" t="s">
        <v>1204</v>
      </c>
      <c r="AW105" s="66" t="s">
        <v>1190</v>
      </c>
      <c r="AX105" s="66"/>
      <c r="AY105" s="66"/>
      <c r="AZ105" s="66" t="s">
        <v>927</v>
      </c>
      <c r="BA105" s="66"/>
      <c r="BB105" s="178"/>
      <c r="BC105" s="72">
        <v>2026</v>
      </c>
      <c r="BD105" s="66"/>
      <c r="BE105" s="178"/>
      <c r="BF105" s="66" t="s">
        <v>1278</v>
      </c>
    </row>
    <row r="106" spans="1:58" ht="28">
      <c r="A106" s="66" t="s">
        <v>1595</v>
      </c>
      <c r="B106" s="66" t="s">
        <v>1691</v>
      </c>
      <c r="C106" s="66"/>
      <c r="D106" s="66"/>
      <c r="E106" s="66" t="s">
        <v>1692</v>
      </c>
      <c r="F106" s="66" t="s">
        <v>1474</v>
      </c>
      <c r="G106" s="66" t="s">
        <v>1310</v>
      </c>
      <c r="H106" s="66" t="s">
        <v>1195</v>
      </c>
      <c r="I106" s="66" t="s">
        <v>1693</v>
      </c>
      <c r="J106" s="66" t="s">
        <v>1182</v>
      </c>
      <c r="K106" s="66" t="s">
        <v>1277</v>
      </c>
      <c r="L106" s="66" t="s">
        <v>1215</v>
      </c>
      <c r="M106" s="66" t="s">
        <v>1212</v>
      </c>
      <c r="N106" s="66" t="s">
        <v>1215</v>
      </c>
      <c r="O106" s="66" t="s">
        <v>1213</v>
      </c>
      <c r="P106" s="66" t="s">
        <v>1215</v>
      </c>
      <c r="Q106" s="86" t="s">
        <v>1215</v>
      </c>
      <c r="R106" s="86" t="s">
        <v>1215</v>
      </c>
      <c r="S106" s="86" t="s">
        <v>1215</v>
      </c>
      <c r="T106" s="86" t="s">
        <v>1215</v>
      </c>
      <c r="U106" s="86" t="s">
        <v>1215</v>
      </c>
      <c r="V106" s="86" t="s">
        <v>1215</v>
      </c>
      <c r="W106" s="67"/>
      <c r="X106" s="84" t="str">
        <f t="shared" si="11"/>
        <v>Belum Dinilai</v>
      </c>
      <c r="Y106" s="84" t="str">
        <f t="shared" si="12"/>
        <v>Belum Dinilai</v>
      </c>
      <c r="Z106" s="85" t="str">
        <f t="shared" si="13"/>
        <v/>
      </c>
      <c r="AA106" s="85" t="str">
        <f t="shared" si="14"/>
        <v/>
      </c>
      <c r="AB106" s="85" t="str">
        <f t="shared" si="15"/>
        <v/>
      </c>
      <c r="AC106" s="68" t="s">
        <v>1215</v>
      </c>
      <c r="AD106" s="68" t="s">
        <v>1215</v>
      </c>
      <c r="AE106" s="68" t="s">
        <v>1215</v>
      </c>
      <c r="AF106" s="68" t="s">
        <v>1215</v>
      </c>
      <c r="AG106" s="68" t="s">
        <v>1215</v>
      </c>
      <c r="AH106" s="68" t="s">
        <v>1215</v>
      </c>
      <c r="AI106" s="68" t="s">
        <v>1215</v>
      </c>
      <c r="AJ106" s="68" t="s">
        <v>1215</v>
      </c>
      <c r="AK106" s="68" t="s">
        <v>1215</v>
      </c>
      <c r="AL106" s="68"/>
      <c r="AM106" s="68" t="s">
        <v>1215</v>
      </c>
      <c r="AN106" s="84" t="str">
        <f t="shared" si="16"/>
        <v>Belum Dinilai</v>
      </c>
      <c r="AO106" s="84" t="str">
        <f t="shared" si="17"/>
        <v>Belum Dinilai</v>
      </c>
      <c r="AP106" s="68"/>
      <c r="AQ106" s="71" t="str">
        <f t="shared" si="18"/>
        <v/>
      </c>
      <c r="AR106" s="71" t="str">
        <f t="shared" si="19"/>
        <v/>
      </c>
      <c r="AS106" s="71" t="str">
        <f t="shared" si="20"/>
        <v/>
      </c>
      <c r="AT106" s="69" t="str">
        <f t="shared" si="21"/>
        <v>Belum Dapat Ditentukan</v>
      </c>
      <c r="AU106" s="66" t="s">
        <v>1203</v>
      </c>
      <c r="AV106" s="66" t="s">
        <v>1204</v>
      </c>
      <c r="AW106" s="66" t="s">
        <v>1898</v>
      </c>
      <c r="AX106" s="66" t="s">
        <v>1217</v>
      </c>
      <c r="AY106" s="66">
        <v>2023</v>
      </c>
      <c r="AZ106" s="66" t="s">
        <v>927</v>
      </c>
      <c r="BA106" s="66"/>
      <c r="BB106" s="178"/>
      <c r="BC106" s="72">
        <v>2026</v>
      </c>
      <c r="BD106" s="66"/>
      <c r="BE106" s="178"/>
      <c r="BF106" s="66" t="s">
        <v>1278</v>
      </c>
    </row>
    <row r="107" spans="1:58" ht="28">
      <c r="A107" s="66" t="s">
        <v>1600</v>
      </c>
      <c r="B107" s="66" t="s">
        <v>1695</v>
      </c>
      <c r="C107" s="66"/>
      <c r="D107" s="66"/>
      <c r="E107" s="66" t="s">
        <v>1304</v>
      </c>
      <c r="F107" s="66" t="s">
        <v>1474</v>
      </c>
      <c r="G107" s="66" t="s">
        <v>1310</v>
      </c>
      <c r="H107" s="66" t="s">
        <v>1195</v>
      </c>
      <c r="I107" s="66" t="s">
        <v>1696</v>
      </c>
      <c r="J107" s="66" t="s">
        <v>1182</v>
      </c>
      <c r="K107" s="66" t="s">
        <v>1277</v>
      </c>
      <c r="L107" s="66" t="s">
        <v>1215</v>
      </c>
      <c r="M107" s="66" t="s">
        <v>1212</v>
      </c>
      <c r="N107" s="66" t="s">
        <v>1215</v>
      </c>
      <c r="O107" s="66" t="s">
        <v>1277</v>
      </c>
      <c r="P107" s="66" t="s">
        <v>1215</v>
      </c>
      <c r="Q107" s="86" t="s">
        <v>1215</v>
      </c>
      <c r="R107" s="86" t="s">
        <v>1215</v>
      </c>
      <c r="S107" s="86" t="s">
        <v>1215</v>
      </c>
      <c r="T107" s="86" t="s">
        <v>1215</v>
      </c>
      <c r="U107" s="86" t="s">
        <v>1215</v>
      </c>
      <c r="V107" s="86" t="s">
        <v>1215</v>
      </c>
      <c r="W107" s="67"/>
      <c r="X107" s="84" t="str">
        <f t="shared" si="11"/>
        <v>Belum Dinilai</v>
      </c>
      <c r="Y107" s="84" t="str">
        <f t="shared" si="12"/>
        <v>Belum Dinilai</v>
      </c>
      <c r="Z107" s="85" t="str">
        <f t="shared" si="13"/>
        <v/>
      </c>
      <c r="AA107" s="85" t="str">
        <f t="shared" si="14"/>
        <v/>
      </c>
      <c r="AB107" s="85" t="str">
        <f t="shared" si="15"/>
        <v/>
      </c>
      <c r="AC107" s="68" t="s">
        <v>1215</v>
      </c>
      <c r="AD107" s="68" t="s">
        <v>1215</v>
      </c>
      <c r="AE107" s="68" t="s">
        <v>1215</v>
      </c>
      <c r="AF107" s="68" t="s">
        <v>1215</v>
      </c>
      <c r="AG107" s="68" t="s">
        <v>1215</v>
      </c>
      <c r="AH107" s="68" t="s">
        <v>1215</v>
      </c>
      <c r="AI107" s="68" t="s">
        <v>1215</v>
      </c>
      <c r="AJ107" s="68" t="s">
        <v>1215</v>
      </c>
      <c r="AK107" s="68" t="s">
        <v>1215</v>
      </c>
      <c r="AL107" s="68"/>
      <c r="AM107" s="68" t="s">
        <v>1215</v>
      </c>
      <c r="AN107" s="84" t="str">
        <f t="shared" si="16"/>
        <v>Belum Dinilai</v>
      </c>
      <c r="AO107" s="84" t="str">
        <f t="shared" si="17"/>
        <v>Belum Dinilai</v>
      </c>
      <c r="AP107" s="68"/>
      <c r="AQ107" s="71" t="str">
        <f t="shared" si="18"/>
        <v/>
      </c>
      <c r="AR107" s="71" t="str">
        <f t="shared" si="19"/>
        <v/>
      </c>
      <c r="AS107" s="71" t="str">
        <f t="shared" si="20"/>
        <v/>
      </c>
      <c r="AT107" s="69" t="str">
        <f t="shared" si="21"/>
        <v>Belum Dapat Ditentukan</v>
      </c>
      <c r="AU107" s="66" t="s">
        <v>1189</v>
      </c>
      <c r="AV107" s="66" t="s">
        <v>1204</v>
      </c>
      <c r="AW107" s="66" t="s">
        <v>1190</v>
      </c>
      <c r="AX107" s="66"/>
      <c r="AY107" s="66"/>
      <c r="AZ107" s="66" t="s">
        <v>927</v>
      </c>
      <c r="BA107" s="66"/>
      <c r="BB107" s="178"/>
      <c r="BC107" s="72">
        <v>2026</v>
      </c>
      <c r="BD107" s="66"/>
      <c r="BE107" s="178"/>
      <c r="BF107" s="66" t="s">
        <v>1278</v>
      </c>
    </row>
    <row r="108" spans="1:58" ht="28">
      <c r="A108" s="66" t="s">
        <v>1603</v>
      </c>
      <c r="B108" s="66" t="s">
        <v>1698</v>
      </c>
      <c r="C108" s="66"/>
      <c r="D108" s="66"/>
      <c r="E108" s="66" t="s">
        <v>1699</v>
      </c>
      <c r="F108" s="66" t="s">
        <v>1474</v>
      </c>
      <c r="G108" s="66" t="s">
        <v>1310</v>
      </c>
      <c r="H108" s="66" t="s">
        <v>1195</v>
      </c>
      <c r="I108" s="66" t="s">
        <v>1696</v>
      </c>
      <c r="J108" s="66" t="s">
        <v>1182</v>
      </c>
      <c r="K108" s="66" t="s">
        <v>1277</v>
      </c>
      <c r="L108" s="66" t="s">
        <v>1215</v>
      </c>
      <c r="M108" s="66" t="s">
        <v>1212</v>
      </c>
      <c r="N108" s="66" t="s">
        <v>1215</v>
      </c>
      <c r="O108" s="66" t="s">
        <v>1277</v>
      </c>
      <c r="P108" s="66" t="s">
        <v>1215</v>
      </c>
      <c r="Q108" s="86" t="s">
        <v>1215</v>
      </c>
      <c r="R108" s="86" t="s">
        <v>1215</v>
      </c>
      <c r="S108" s="86" t="s">
        <v>1215</v>
      </c>
      <c r="T108" s="86" t="s">
        <v>1215</v>
      </c>
      <c r="U108" s="86" t="s">
        <v>1215</v>
      </c>
      <c r="V108" s="86" t="s">
        <v>1215</v>
      </c>
      <c r="W108" s="67"/>
      <c r="X108" s="84" t="str">
        <f t="shared" si="11"/>
        <v>Belum Dinilai</v>
      </c>
      <c r="Y108" s="84" t="str">
        <f t="shared" si="12"/>
        <v>Belum Dinilai</v>
      </c>
      <c r="Z108" s="85" t="str">
        <f t="shared" si="13"/>
        <v/>
      </c>
      <c r="AA108" s="85" t="str">
        <f t="shared" si="14"/>
        <v/>
      </c>
      <c r="AB108" s="85" t="str">
        <f t="shared" si="15"/>
        <v/>
      </c>
      <c r="AC108" s="68" t="s">
        <v>1215</v>
      </c>
      <c r="AD108" s="68" t="s">
        <v>1215</v>
      </c>
      <c r="AE108" s="68" t="s">
        <v>1215</v>
      </c>
      <c r="AF108" s="68" t="s">
        <v>1215</v>
      </c>
      <c r="AG108" s="68" t="s">
        <v>1215</v>
      </c>
      <c r="AH108" s="68" t="s">
        <v>1215</v>
      </c>
      <c r="AI108" s="68" t="s">
        <v>1215</v>
      </c>
      <c r="AJ108" s="68" t="s">
        <v>1215</v>
      </c>
      <c r="AK108" s="68" t="s">
        <v>1215</v>
      </c>
      <c r="AL108" s="68"/>
      <c r="AM108" s="68" t="s">
        <v>1215</v>
      </c>
      <c r="AN108" s="84" t="str">
        <f t="shared" si="16"/>
        <v>Belum Dinilai</v>
      </c>
      <c r="AO108" s="84" t="str">
        <f t="shared" si="17"/>
        <v>Belum Dinilai</v>
      </c>
      <c r="AP108" s="68"/>
      <c r="AQ108" s="71" t="str">
        <f t="shared" si="18"/>
        <v/>
      </c>
      <c r="AR108" s="71" t="str">
        <f t="shared" si="19"/>
        <v/>
      </c>
      <c r="AS108" s="71" t="str">
        <f t="shared" si="20"/>
        <v/>
      </c>
      <c r="AT108" s="69" t="str">
        <f t="shared" si="21"/>
        <v>Belum Dapat Ditentukan</v>
      </c>
      <c r="AU108" s="66" t="s">
        <v>1203</v>
      </c>
      <c r="AV108" s="66" t="s">
        <v>1204</v>
      </c>
      <c r="AW108" s="66" t="s">
        <v>1190</v>
      </c>
      <c r="AX108" s="66"/>
      <c r="AY108" s="66"/>
      <c r="AZ108" s="66" t="s">
        <v>927</v>
      </c>
      <c r="BA108" s="66"/>
      <c r="BB108" s="178"/>
      <c r="BC108" s="72">
        <v>2026</v>
      </c>
      <c r="BD108" s="66"/>
      <c r="BE108" s="178"/>
      <c r="BF108" s="66" t="s">
        <v>1278</v>
      </c>
    </row>
    <row r="109" spans="1:58" ht="28">
      <c r="A109" s="66" t="s">
        <v>1608</v>
      </c>
      <c r="B109" s="66" t="s">
        <v>1701</v>
      </c>
      <c r="C109" s="66"/>
      <c r="D109" s="66"/>
      <c r="E109" s="66" t="s">
        <v>1702</v>
      </c>
      <c r="F109" s="66" t="s">
        <v>1641</v>
      </c>
      <c r="G109" s="66" t="s">
        <v>1275</v>
      </c>
      <c r="H109" s="66" t="s">
        <v>1181</v>
      </c>
      <c r="I109" s="66" t="s">
        <v>1290</v>
      </c>
      <c r="J109" s="66" t="s">
        <v>1210</v>
      </c>
      <c r="K109" s="66" t="s">
        <v>1277</v>
      </c>
      <c r="L109" s="66" t="s">
        <v>1215</v>
      </c>
      <c r="M109" s="66" t="s">
        <v>1266</v>
      </c>
      <c r="N109" s="66" t="s">
        <v>1215</v>
      </c>
      <c r="O109" s="66" t="s">
        <v>1277</v>
      </c>
      <c r="P109" s="66" t="s">
        <v>1215</v>
      </c>
      <c r="Q109" s="86" t="s">
        <v>1215</v>
      </c>
      <c r="R109" s="86" t="s">
        <v>1215</v>
      </c>
      <c r="S109" s="86" t="s">
        <v>1215</v>
      </c>
      <c r="T109" s="86" t="s">
        <v>1215</v>
      </c>
      <c r="U109" s="86" t="s">
        <v>1215</v>
      </c>
      <c r="V109" s="86" t="s">
        <v>1215</v>
      </c>
      <c r="W109" s="67"/>
      <c r="X109" s="84" t="str">
        <f t="shared" si="11"/>
        <v>Belum Dinilai</v>
      </c>
      <c r="Y109" s="84" t="str">
        <f t="shared" si="12"/>
        <v>Belum Dinilai</v>
      </c>
      <c r="Z109" s="85" t="str">
        <f t="shared" si="13"/>
        <v/>
      </c>
      <c r="AA109" s="85" t="str">
        <f t="shared" si="14"/>
        <v/>
      </c>
      <c r="AB109" s="85" t="str">
        <f t="shared" si="15"/>
        <v/>
      </c>
      <c r="AC109" s="68" t="s">
        <v>1215</v>
      </c>
      <c r="AD109" s="68" t="s">
        <v>1215</v>
      </c>
      <c r="AE109" s="68" t="s">
        <v>1215</v>
      </c>
      <c r="AF109" s="68" t="s">
        <v>1215</v>
      </c>
      <c r="AG109" s="68" t="s">
        <v>1215</v>
      </c>
      <c r="AH109" s="68" t="s">
        <v>1215</v>
      </c>
      <c r="AI109" s="68" t="s">
        <v>1215</v>
      </c>
      <c r="AJ109" s="68" t="s">
        <v>1215</v>
      </c>
      <c r="AK109" s="68" t="s">
        <v>1215</v>
      </c>
      <c r="AL109" s="68"/>
      <c r="AM109" s="68" t="s">
        <v>1215</v>
      </c>
      <c r="AN109" s="84" t="str">
        <f t="shared" si="16"/>
        <v>Belum Dinilai</v>
      </c>
      <c r="AO109" s="84" t="str">
        <f t="shared" si="17"/>
        <v>Belum Dinilai</v>
      </c>
      <c r="AP109" s="68"/>
      <c r="AQ109" s="71" t="str">
        <f t="shared" si="18"/>
        <v/>
      </c>
      <c r="AR109" s="71" t="str">
        <f t="shared" si="19"/>
        <v/>
      </c>
      <c r="AS109" s="71" t="str">
        <f t="shared" si="20"/>
        <v/>
      </c>
      <c r="AT109" s="69" t="str">
        <f t="shared" si="21"/>
        <v>Belum Dapat Ditentukan</v>
      </c>
      <c r="AU109" s="66" t="s">
        <v>1203</v>
      </c>
      <c r="AV109" s="66" t="s">
        <v>1204</v>
      </c>
      <c r="AW109" s="66" t="s">
        <v>1190</v>
      </c>
      <c r="AX109" s="66"/>
      <c r="AY109" s="66"/>
      <c r="AZ109" s="66" t="s">
        <v>927</v>
      </c>
      <c r="BA109" s="66"/>
      <c r="BB109" s="178"/>
      <c r="BC109" s="72">
        <v>2026</v>
      </c>
      <c r="BD109" s="66"/>
      <c r="BE109" s="178"/>
      <c r="BF109" s="66" t="s">
        <v>1278</v>
      </c>
    </row>
    <row r="110" spans="1:58" ht="28">
      <c r="A110" s="66" t="s">
        <v>1611</v>
      </c>
      <c r="B110" s="66" t="s">
        <v>1704</v>
      </c>
      <c r="C110" s="66"/>
      <c r="D110" s="66"/>
      <c r="E110" s="66" t="s">
        <v>1702</v>
      </c>
      <c r="F110" s="66" t="s">
        <v>1641</v>
      </c>
      <c r="G110" s="66" t="s">
        <v>1275</v>
      </c>
      <c r="H110" s="66" t="s">
        <v>1181</v>
      </c>
      <c r="I110" s="66" t="s">
        <v>1705</v>
      </c>
      <c r="J110" s="66" t="s">
        <v>1210</v>
      </c>
      <c r="K110" s="66" t="s">
        <v>1277</v>
      </c>
      <c r="L110" s="66" t="s">
        <v>1215</v>
      </c>
      <c r="M110" s="66" t="s">
        <v>1266</v>
      </c>
      <c r="N110" s="66" t="s">
        <v>1215</v>
      </c>
      <c r="O110" s="66" t="s">
        <v>1277</v>
      </c>
      <c r="P110" s="66" t="s">
        <v>1215</v>
      </c>
      <c r="Q110" s="86" t="s">
        <v>1215</v>
      </c>
      <c r="R110" s="86" t="s">
        <v>1215</v>
      </c>
      <c r="S110" s="86" t="s">
        <v>1215</v>
      </c>
      <c r="T110" s="86" t="s">
        <v>1215</v>
      </c>
      <c r="U110" s="86" t="s">
        <v>1215</v>
      </c>
      <c r="V110" s="86" t="s">
        <v>1215</v>
      </c>
      <c r="W110" s="67"/>
      <c r="X110" s="84" t="str">
        <f t="shared" si="11"/>
        <v>Belum Dinilai</v>
      </c>
      <c r="Y110" s="84" t="str">
        <f t="shared" si="12"/>
        <v>Belum Dinilai</v>
      </c>
      <c r="Z110" s="85" t="str">
        <f t="shared" si="13"/>
        <v/>
      </c>
      <c r="AA110" s="85" t="str">
        <f t="shared" si="14"/>
        <v/>
      </c>
      <c r="AB110" s="85" t="str">
        <f t="shared" si="15"/>
        <v/>
      </c>
      <c r="AC110" s="68" t="s">
        <v>1215</v>
      </c>
      <c r="AD110" s="68" t="s">
        <v>1215</v>
      </c>
      <c r="AE110" s="68" t="s">
        <v>1215</v>
      </c>
      <c r="AF110" s="68" t="s">
        <v>1215</v>
      </c>
      <c r="AG110" s="68" t="s">
        <v>1215</v>
      </c>
      <c r="AH110" s="68" t="s">
        <v>1215</v>
      </c>
      <c r="AI110" s="68" t="s">
        <v>1215</v>
      </c>
      <c r="AJ110" s="68" t="s">
        <v>1215</v>
      </c>
      <c r="AK110" s="68" t="s">
        <v>1215</v>
      </c>
      <c r="AL110" s="68"/>
      <c r="AM110" s="68" t="s">
        <v>1215</v>
      </c>
      <c r="AN110" s="84" t="str">
        <f t="shared" si="16"/>
        <v>Belum Dinilai</v>
      </c>
      <c r="AO110" s="84" t="str">
        <f t="shared" si="17"/>
        <v>Belum Dinilai</v>
      </c>
      <c r="AP110" s="68"/>
      <c r="AQ110" s="71" t="str">
        <f t="shared" si="18"/>
        <v/>
      </c>
      <c r="AR110" s="71" t="str">
        <f t="shared" si="19"/>
        <v/>
      </c>
      <c r="AS110" s="71" t="str">
        <f t="shared" si="20"/>
        <v/>
      </c>
      <c r="AT110" s="69" t="str">
        <f t="shared" si="21"/>
        <v>Belum Dapat Ditentukan</v>
      </c>
      <c r="AU110" s="66" t="s">
        <v>1203</v>
      </c>
      <c r="AV110" s="66" t="s">
        <v>1204</v>
      </c>
      <c r="AW110" s="66" t="s">
        <v>1190</v>
      </c>
      <c r="AX110" s="66"/>
      <c r="AY110" s="66"/>
      <c r="AZ110" s="66" t="s">
        <v>927</v>
      </c>
      <c r="BA110" s="66"/>
      <c r="BB110" s="178"/>
      <c r="BC110" s="72">
        <v>2026</v>
      </c>
      <c r="BD110" s="66"/>
      <c r="BE110" s="178"/>
      <c r="BF110" s="66" t="s">
        <v>1278</v>
      </c>
    </row>
    <row r="111" spans="1:58" ht="28">
      <c r="A111" s="66" t="s">
        <v>1615</v>
      </c>
      <c r="B111" s="66" t="s">
        <v>1707</v>
      </c>
      <c r="C111" s="66"/>
      <c r="D111" s="66"/>
      <c r="E111" s="66" t="s">
        <v>1702</v>
      </c>
      <c r="F111" s="66" t="s">
        <v>1641</v>
      </c>
      <c r="G111" s="66" t="s">
        <v>1275</v>
      </c>
      <c r="H111" s="66" t="s">
        <v>1181</v>
      </c>
      <c r="I111" s="66" t="s">
        <v>1708</v>
      </c>
      <c r="J111" s="66" t="s">
        <v>1210</v>
      </c>
      <c r="K111" s="66" t="s">
        <v>1277</v>
      </c>
      <c r="L111" s="66" t="s">
        <v>1215</v>
      </c>
      <c r="M111" s="66" t="s">
        <v>1266</v>
      </c>
      <c r="N111" s="66" t="s">
        <v>1215</v>
      </c>
      <c r="O111" s="66" t="s">
        <v>1213</v>
      </c>
      <c r="P111" s="66" t="s">
        <v>1215</v>
      </c>
      <c r="Q111" s="86" t="s">
        <v>1215</v>
      </c>
      <c r="R111" s="86" t="s">
        <v>1215</v>
      </c>
      <c r="S111" s="86" t="s">
        <v>1215</v>
      </c>
      <c r="T111" s="86" t="s">
        <v>1215</v>
      </c>
      <c r="U111" s="86" t="s">
        <v>1215</v>
      </c>
      <c r="V111" s="86" t="s">
        <v>1215</v>
      </c>
      <c r="W111" s="67"/>
      <c r="X111" s="84" t="str">
        <f t="shared" si="11"/>
        <v>Belum Dinilai</v>
      </c>
      <c r="Y111" s="84" t="str">
        <f t="shared" si="12"/>
        <v>Belum Dinilai</v>
      </c>
      <c r="Z111" s="85" t="str">
        <f t="shared" si="13"/>
        <v/>
      </c>
      <c r="AA111" s="85" t="str">
        <f t="shared" si="14"/>
        <v/>
      </c>
      <c r="AB111" s="85" t="str">
        <f t="shared" si="15"/>
        <v/>
      </c>
      <c r="AC111" s="68" t="s">
        <v>1215</v>
      </c>
      <c r="AD111" s="68" t="s">
        <v>1215</v>
      </c>
      <c r="AE111" s="68" t="s">
        <v>1215</v>
      </c>
      <c r="AF111" s="68" t="s">
        <v>1215</v>
      </c>
      <c r="AG111" s="68" t="s">
        <v>1215</v>
      </c>
      <c r="AH111" s="68" t="s">
        <v>1215</v>
      </c>
      <c r="AI111" s="68" t="s">
        <v>1215</v>
      </c>
      <c r="AJ111" s="68" t="s">
        <v>1215</v>
      </c>
      <c r="AK111" s="68" t="s">
        <v>1215</v>
      </c>
      <c r="AL111" s="68"/>
      <c r="AM111" s="68" t="s">
        <v>1215</v>
      </c>
      <c r="AN111" s="84" t="str">
        <f t="shared" si="16"/>
        <v>Belum Dinilai</v>
      </c>
      <c r="AO111" s="84" t="str">
        <f t="shared" si="17"/>
        <v>Belum Dinilai</v>
      </c>
      <c r="AP111" s="68"/>
      <c r="AQ111" s="71" t="str">
        <f t="shared" si="18"/>
        <v/>
      </c>
      <c r="AR111" s="71" t="str">
        <f t="shared" si="19"/>
        <v/>
      </c>
      <c r="AS111" s="71" t="str">
        <f t="shared" si="20"/>
        <v/>
      </c>
      <c r="AT111" s="69" t="str">
        <f t="shared" si="21"/>
        <v>Belum Dapat Ditentukan</v>
      </c>
      <c r="AU111" s="66" t="s">
        <v>1189</v>
      </c>
      <c r="AV111" s="66" t="s">
        <v>1204</v>
      </c>
      <c r="AW111" s="66" t="s">
        <v>1898</v>
      </c>
      <c r="AX111" s="66" t="s">
        <v>1206</v>
      </c>
      <c r="AY111" s="66">
        <v>2021</v>
      </c>
      <c r="AZ111" s="66" t="s">
        <v>927</v>
      </c>
      <c r="BA111" s="66"/>
      <c r="BB111" s="178"/>
      <c r="BC111" s="72">
        <v>2026</v>
      </c>
      <c r="BD111" s="66"/>
      <c r="BE111" s="178"/>
      <c r="BF111" s="66" t="s">
        <v>1278</v>
      </c>
    </row>
    <row r="112" spans="1:58" ht="28">
      <c r="A112" s="66" t="s">
        <v>1617</v>
      </c>
      <c r="B112" s="66" t="s">
        <v>1710</v>
      </c>
      <c r="C112" s="66"/>
      <c r="D112" s="66"/>
      <c r="E112" s="66" t="s">
        <v>1702</v>
      </c>
      <c r="F112" s="66" t="s">
        <v>1641</v>
      </c>
      <c r="G112" s="66" t="s">
        <v>1275</v>
      </c>
      <c r="H112" s="66" t="s">
        <v>1181</v>
      </c>
      <c r="I112" s="66" t="s">
        <v>1708</v>
      </c>
      <c r="J112" s="66" t="s">
        <v>1210</v>
      </c>
      <c r="K112" s="66" t="s">
        <v>1277</v>
      </c>
      <c r="L112" s="66" t="s">
        <v>1215</v>
      </c>
      <c r="M112" s="66" t="s">
        <v>1266</v>
      </c>
      <c r="N112" s="66" t="s">
        <v>1215</v>
      </c>
      <c r="O112" s="66" t="s">
        <v>1213</v>
      </c>
      <c r="P112" s="66" t="s">
        <v>1215</v>
      </c>
      <c r="Q112" s="86" t="s">
        <v>1215</v>
      </c>
      <c r="R112" s="86" t="s">
        <v>1215</v>
      </c>
      <c r="S112" s="86" t="s">
        <v>1215</v>
      </c>
      <c r="T112" s="86" t="s">
        <v>1215</v>
      </c>
      <c r="U112" s="86" t="s">
        <v>1215</v>
      </c>
      <c r="V112" s="86" t="s">
        <v>1215</v>
      </c>
      <c r="W112" s="67"/>
      <c r="X112" s="84" t="str">
        <f t="shared" si="11"/>
        <v>Belum Dinilai</v>
      </c>
      <c r="Y112" s="84" t="str">
        <f t="shared" si="12"/>
        <v>Belum Dinilai</v>
      </c>
      <c r="Z112" s="85" t="str">
        <f t="shared" si="13"/>
        <v/>
      </c>
      <c r="AA112" s="85" t="str">
        <f t="shared" si="14"/>
        <v/>
      </c>
      <c r="AB112" s="85" t="str">
        <f t="shared" si="15"/>
        <v/>
      </c>
      <c r="AC112" s="68" t="s">
        <v>1215</v>
      </c>
      <c r="AD112" s="68" t="s">
        <v>1215</v>
      </c>
      <c r="AE112" s="68" t="s">
        <v>1215</v>
      </c>
      <c r="AF112" s="68" t="s">
        <v>1215</v>
      </c>
      <c r="AG112" s="68" t="s">
        <v>1215</v>
      </c>
      <c r="AH112" s="68" t="s">
        <v>1215</v>
      </c>
      <c r="AI112" s="68" t="s">
        <v>1215</v>
      </c>
      <c r="AJ112" s="68" t="s">
        <v>1215</v>
      </c>
      <c r="AK112" s="68" t="s">
        <v>1215</v>
      </c>
      <c r="AL112" s="68"/>
      <c r="AM112" s="68" t="s">
        <v>1215</v>
      </c>
      <c r="AN112" s="84" t="str">
        <f t="shared" si="16"/>
        <v>Belum Dinilai</v>
      </c>
      <c r="AO112" s="84" t="str">
        <f t="shared" si="17"/>
        <v>Belum Dinilai</v>
      </c>
      <c r="AP112" s="68"/>
      <c r="AQ112" s="71" t="str">
        <f t="shared" si="18"/>
        <v/>
      </c>
      <c r="AR112" s="71" t="str">
        <f t="shared" si="19"/>
        <v/>
      </c>
      <c r="AS112" s="71" t="str">
        <f t="shared" si="20"/>
        <v/>
      </c>
      <c r="AT112" s="69" t="str">
        <f t="shared" si="21"/>
        <v>Belum Dapat Ditentukan</v>
      </c>
      <c r="AU112" s="66" t="s">
        <v>1189</v>
      </c>
      <c r="AV112" s="66" t="s">
        <v>1204</v>
      </c>
      <c r="AW112" s="66" t="s">
        <v>1190</v>
      </c>
      <c r="AX112" s="66"/>
      <c r="AY112" s="66"/>
      <c r="AZ112" s="66" t="s">
        <v>927</v>
      </c>
      <c r="BA112" s="66"/>
      <c r="BB112" s="178"/>
      <c r="BC112" s="72">
        <v>2026</v>
      </c>
      <c r="BD112" s="66"/>
      <c r="BE112" s="178"/>
      <c r="BF112" s="66" t="s">
        <v>1278</v>
      </c>
    </row>
    <row r="113" spans="1:58" ht="28">
      <c r="A113" s="66" t="s">
        <v>1621</v>
      </c>
      <c r="B113" s="66" t="s">
        <v>1712</v>
      </c>
      <c r="C113" s="66"/>
      <c r="D113" s="66"/>
      <c r="E113" s="66" t="s">
        <v>1702</v>
      </c>
      <c r="F113" s="66" t="s">
        <v>1641</v>
      </c>
      <c r="G113" s="66" t="s">
        <v>1275</v>
      </c>
      <c r="H113" s="66" t="s">
        <v>1181</v>
      </c>
      <c r="I113" s="66" t="s">
        <v>1713</v>
      </c>
      <c r="J113" s="66" t="s">
        <v>1210</v>
      </c>
      <c r="K113" s="66" t="s">
        <v>1277</v>
      </c>
      <c r="L113" s="66" t="s">
        <v>1215</v>
      </c>
      <c r="M113" s="66" t="s">
        <v>1266</v>
      </c>
      <c r="N113" s="66" t="s">
        <v>1215</v>
      </c>
      <c r="O113" s="66" t="s">
        <v>1266</v>
      </c>
      <c r="P113" s="66" t="s">
        <v>1215</v>
      </c>
      <c r="Q113" s="86" t="s">
        <v>1215</v>
      </c>
      <c r="R113" s="86" t="s">
        <v>1215</v>
      </c>
      <c r="S113" s="86" t="s">
        <v>1215</v>
      </c>
      <c r="T113" s="86" t="s">
        <v>1215</v>
      </c>
      <c r="U113" s="86" t="s">
        <v>1215</v>
      </c>
      <c r="V113" s="86" t="s">
        <v>1215</v>
      </c>
      <c r="W113" s="67"/>
      <c r="X113" s="84" t="str">
        <f t="shared" si="11"/>
        <v>Belum Dinilai</v>
      </c>
      <c r="Y113" s="84" t="str">
        <f t="shared" si="12"/>
        <v>Belum Dinilai</v>
      </c>
      <c r="Z113" s="85" t="str">
        <f t="shared" si="13"/>
        <v/>
      </c>
      <c r="AA113" s="85" t="str">
        <f t="shared" si="14"/>
        <v/>
      </c>
      <c r="AB113" s="85" t="str">
        <f t="shared" si="15"/>
        <v/>
      </c>
      <c r="AC113" s="68" t="s">
        <v>1215</v>
      </c>
      <c r="AD113" s="68" t="s">
        <v>1215</v>
      </c>
      <c r="AE113" s="68" t="s">
        <v>1215</v>
      </c>
      <c r="AF113" s="68" t="s">
        <v>1215</v>
      </c>
      <c r="AG113" s="68" t="s">
        <v>1215</v>
      </c>
      <c r="AH113" s="68" t="s">
        <v>1215</v>
      </c>
      <c r="AI113" s="68" t="s">
        <v>1215</v>
      </c>
      <c r="AJ113" s="68" t="s">
        <v>1215</v>
      </c>
      <c r="AK113" s="68" t="s">
        <v>1215</v>
      </c>
      <c r="AL113" s="68"/>
      <c r="AM113" s="68" t="s">
        <v>1215</v>
      </c>
      <c r="AN113" s="84" t="str">
        <f t="shared" si="16"/>
        <v>Belum Dinilai</v>
      </c>
      <c r="AO113" s="84" t="str">
        <f t="shared" si="17"/>
        <v>Belum Dinilai</v>
      </c>
      <c r="AP113" s="68"/>
      <c r="AQ113" s="71" t="str">
        <f t="shared" si="18"/>
        <v/>
      </c>
      <c r="AR113" s="71" t="str">
        <f t="shared" si="19"/>
        <v/>
      </c>
      <c r="AS113" s="71" t="str">
        <f t="shared" si="20"/>
        <v/>
      </c>
      <c r="AT113" s="69" t="str">
        <f t="shared" si="21"/>
        <v>Belum Dapat Ditentukan</v>
      </c>
      <c r="AU113" s="66" t="s">
        <v>1189</v>
      </c>
      <c r="AV113" s="66" t="s">
        <v>1204</v>
      </c>
      <c r="AW113" s="66" t="s">
        <v>1190</v>
      </c>
      <c r="AX113" s="66"/>
      <c r="AY113" s="66"/>
      <c r="AZ113" s="66" t="s">
        <v>927</v>
      </c>
      <c r="BA113" s="66"/>
      <c r="BB113" s="178"/>
      <c r="BC113" s="72">
        <v>2026</v>
      </c>
      <c r="BD113" s="66"/>
      <c r="BE113" s="178"/>
      <c r="BF113" s="66" t="s">
        <v>1278</v>
      </c>
    </row>
    <row r="114" spans="1:58" ht="28">
      <c r="A114" s="66" t="s">
        <v>1625</v>
      </c>
      <c r="B114" s="66" t="s">
        <v>1715</v>
      </c>
      <c r="C114" s="66"/>
      <c r="D114" s="66"/>
      <c r="E114" s="66" t="s">
        <v>1716</v>
      </c>
      <c r="F114" s="66" t="s">
        <v>1274</v>
      </c>
      <c r="G114" s="66" t="s">
        <v>1275</v>
      </c>
      <c r="H114" s="66" t="s">
        <v>1181</v>
      </c>
      <c r="I114" s="66" t="s">
        <v>1717</v>
      </c>
      <c r="J114" s="66" t="s">
        <v>1263</v>
      </c>
      <c r="K114" s="66" t="s">
        <v>1277</v>
      </c>
      <c r="L114" s="66" t="s">
        <v>1215</v>
      </c>
      <c r="M114" s="66" t="s">
        <v>1277</v>
      </c>
      <c r="N114" s="66" t="s">
        <v>1215</v>
      </c>
      <c r="O114" s="66" t="s">
        <v>1213</v>
      </c>
      <c r="P114" s="66" t="s">
        <v>1215</v>
      </c>
      <c r="Q114" s="86" t="s">
        <v>1215</v>
      </c>
      <c r="R114" s="86" t="s">
        <v>1215</v>
      </c>
      <c r="S114" s="86" t="s">
        <v>1215</v>
      </c>
      <c r="T114" s="86" t="s">
        <v>1215</v>
      </c>
      <c r="U114" s="86" t="s">
        <v>1215</v>
      </c>
      <c r="V114" s="86" t="s">
        <v>1215</v>
      </c>
      <c r="W114" s="67"/>
      <c r="X114" s="84" t="str">
        <f t="shared" si="11"/>
        <v>Belum Dinilai</v>
      </c>
      <c r="Y114" s="84" t="str">
        <f t="shared" si="12"/>
        <v>Belum Dinilai</v>
      </c>
      <c r="Z114" s="85" t="str">
        <f t="shared" si="13"/>
        <v/>
      </c>
      <c r="AA114" s="85" t="str">
        <f t="shared" si="14"/>
        <v/>
      </c>
      <c r="AB114" s="85" t="str">
        <f t="shared" si="15"/>
        <v/>
      </c>
      <c r="AC114" s="68" t="s">
        <v>1215</v>
      </c>
      <c r="AD114" s="68" t="s">
        <v>1215</v>
      </c>
      <c r="AE114" s="68" t="s">
        <v>1215</v>
      </c>
      <c r="AF114" s="68" t="s">
        <v>1215</v>
      </c>
      <c r="AG114" s="68" t="s">
        <v>1215</v>
      </c>
      <c r="AH114" s="68" t="s">
        <v>1215</v>
      </c>
      <c r="AI114" s="68" t="s">
        <v>1215</v>
      </c>
      <c r="AJ114" s="68" t="s">
        <v>1215</v>
      </c>
      <c r="AK114" s="68" t="s">
        <v>1215</v>
      </c>
      <c r="AL114" s="68"/>
      <c r="AM114" s="68" t="s">
        <v>1215</v>
      </c>
      <c r="AN114" s="84" t="str">
        <f t="shared" si="16"/>
        <v>Belum Dinilai</v>
      </c>
      <c r="AO114" s="84" t="str">
        <f t="shared" si="17"/>
        <v>Belum Dinilai</v>
      </c>
      <c r="AP114" s="68"/>
      <c r="AQ114" s="71" t="str">
        <f t="shared" si="18"/>
        <v/>
      </c>
      <c r="AR114" s="71" t="str">
        <f t="shared" si="19"/>
        <v/>
      </c>
      <c r="AS114" s="71" t="str">
        <f t="shared" si="20"/>
        <v/>
      </c>
      <c r="AT114" s="69" t="str">
        <f t="shared" si="21"/>
        <v>Belum Dapat Ditentukan</v>
      </c>
      <c r="AU114" s="66" t="s">
        <v>1189</v>
      </c>
      <c r="AV114" s="66" t="s">
        <v>1204</v>
      </c>
      <c r="AW114" s="66" t="s">
        <v>1898</v>
      </c>
      <c r="AX114" s="66" t="s">
        <v>1206</v>
      </c>
      <c r="AY114" s="66">
        <v>2021</v>
      </c>
      <c r="AZ114" s="66" t="s">
        <v>927</v>
      </c>
      <c r="BA114" s="66"/>
      <c r="BB114" s="178"/>
      <c r="BC114" s="72">
        <v>2026</v>
      </c>
      <c r="BD114" s="66"/>
      <c r="BE114" s="178"/>
      <c r="BF114" s="66" t="s">
        <v>1278</v>
      </c>
    </row>
    <row r="115" spans="1:58" ht="28">
      <c r="A115" s="66" t="s">
        <v>1628</v>
      </c>
      <c r="B115" s="66" t="s">
        <v>1719</v>
      </c>
      <c r="C115" s="66"/>
      <c r="D115" s="66"/>
      <c r="E115" s="66" t="s">
        <v>1720</v>
      </c>
      <c r="F115" s="66" t="s">
        <v>1274</v>
      </c>
      <c r="G115" s="66" t="s">
        <v>1275</v>
      </c>
      <c r="H115" s="66" t="s">
        <v>1195</v>
      </c>
      <c r="I115" s="66" t="s">
        <v>1721</v>
      </c>
      <c r="J115" s="66" t="s">
        <v>1196</v>
      </c>
      <c r="K115" s="66" t="s">
        <v>1277</v>
      </c>
      <c r="L115" s="66" t="s">
        <v>1215</v>
      </c>
      <c r="M115" s="66" t="s">
        <v>1305</v>
      </c>
      <c r="N115" s="66" t="s">
        <v>1215</v>
      </c>
      <c r="O115" s="66" t="s">
        <v>1213</v>
      </c>
      <c r="P115" s="66" t="s">
        <v>1215</v>
      </c>
      <c r="Q115" s="86" t="s">
        <v>1215</v>
      </c>
      <c r="R115" s="86" t="s">
        <v>1215</v>
      </c>
      <c r="S115" s="86" t="s">
        <v>1215</v>
      </c>
      <c r="T115" s="86" t="s">
        <v>1215</v>
      </c>
      <c r="U115" s="86" t="s">
        <v>1215</v>
      </c>
      <c r="V115" s="86" t="s">
        <v>1215</v>
      </c>
      <c r="W115" s="67"/>
      <c r="X115" s="84" t="str">
        <f t="shared" si="11"/>
        <v>Belum Dinilai</v>
      </c>
      <c r="Y115" s="84" t="str">
        <f t="shared" si="12"/>
        <v>Belum Dinilai</v>
      </c>
      <c r="Z115" s="85" t="str">
        <f t="shared" si="13"/>
        <v/>
      </c>
      <c r="AA115" s="85" t="str">
        <f t="shared" si="14"/>
        <v/>
      </c>
      <c r="AB115" s="85" t="str">
        <f t="shared" si="15"/>
        <v/>
      </c>
      <c r="AC115" s="68" t="s">
        <v>1215</v>
      </c>
      <c r="AD115" s="68" t="s">
        <v>1215</v>
      </c>
      <c r="AE115" s="68" t="s">
        <v>1215</v>
      </c>
      <c r="AF115" s="68" t="s">
        <v>1215</v>
      </c>
      <c r="AG115" s="68" t="s">
        <v>1215</v>
      </c>
      <c r="AH115" s="68" t="s">
        <v>1215</v>
      </c>
      <c r="AI115" s="68" t="s">
        <v>1215</v>
      </c>
      <c r="AJ115" s="68" t="s">
        <v>1215</v>
      </c>
      <c r="AK115" s="68" t="s">
        <v>1215</v>
      </c>
      <c r="AL115" s="68"/>
      <c r="AM115" s="68" t="s">
        <v>1215</v>
      </c>
      <c r="AN115" s="84" t="str">
        <f t="shared" si="16"/>
        <v>Belum Dinilai</v>
      </c>
      <c r="AO115" s="84" t="str">
        <f t="shared" si="17"/>
        <v>Belum Dinilai</v>
      </c>
      <c r="AP115" s="68"/>
      <c r="AQ115" s="71" t="str">
        <f t="shared" si="18"/>
        <v/>
      </c>
      <c r="AR115" s="71" t="str">
        <f t="shared" si="19"/>
        <v/>
      </c>
      <c r="AS115" s="71" t="str">
        <f t="shared" si="20"/>
        <v/>
      </c>
      <c r="AT115" s="69" t="str">
        <f t="shared" si="21"/>
        <v>Belum Dapat Ditentukan</v>
      </c>
      <c r="AU115" s="66" t="s">
        <v>1189</v>
      </c>
      <c r="AV115" s="66" t="s">
        <v>1204</v>
      </c>
      <c r="AW115" s="66" t="s">
        <v>1898</v>
      </c>
      <c r="AX115" s="66" t="s">
        <v>1206</v>
      </c>
      <c r="AY115" s="66">
        <v>2021</v>
      </c>
      <c r="AZ115" s="66" t="s">
        <v>927</v>
      </c>
      <c r="BA115" s="66"/>
      <c r="BB115" s="178"/>
      <c r="BC115" s="72">
        <v>2026</v>
      </c>
      <c r="BD115" s="66"/>
      <c r="BE115" s="178"/>
      <c r="BF115" s="66" t="s">
        <v>1278</v>
      </c>
    </row>
    <row r="116" spans="1:58" ht="28">
      <c r="A116" s="66" t="s">
        <v>1632</v>
      </c>
      <c r="B116" s="66" t="s">
        <v>1723</v>
      </c>
      <c r="C116" s="66"/>
      <c r="D116" s="66"/>
      <c r="E116" s="66" t="s">
        <v>1724</v>
      </c>
      <c r="F116" s="66" t="s">
        <v>1274</v>
      </c>
      <c r="G116" s="66" t="s">
        <v>1275</v>
      </c>
      <c r="H116" s="66" t="s">
        <v>1181</v>
      </c>
      <c r="I116" s="66" t="s">
        <v>1725</v>
      </c>
      <c r="J116" s="66" t="s">
        <v>1196</v>
      </c>
      <c r="K116" s="66" t="s">
        <v>1277</v>
      </c>
      <c r="L116" s="66" t="s">
        <v>1215</v>
      </c>
      <c r="M116" s="66" t="s">
        <v>1305</v>
      </c>
      <c r="N116" s="66" t="s">
        <v>1215</v>
      </c>
      <c r="O116" s="66" t="s">
        <v>1213</v>
      </c>
      <c r="P116" s="66" t="s">
        <v>1215</v>
      </c>
      <c r="Q116" s="86" t="s">
        <v>1215</v>
      </c>
      <c r="R116" s="86" t="s">
        <v>1215</v>
      </c>
      <c r="S116" s="86" t="s">
        <v>1215</v>
      </c>
      <c r="T116" s="86" t="s">
        <v>1215</v>
      </c>
      <c r="U116" s="86" t="s">
        <v>1215</v>
      </c>
      <c r="V116" s="86" t="s">
        <v>1215</v>
      </c>
      <c r="W116" s="67"/>
      <c r="X116" s="84" t="str">
        <f t="shared" si="11"/>
        <v>Belum Dinilai</v>
      </c>
      <c r="Y116" s="84" t="str">
        <f t="shared" si="12"/>
        <v>Belum Dinilai</v>
      </c>
      <c r="Z116" s="85" t="str">
        <f t="shared" si="13"/>
        <v/>
      </c>
      <c r="AA116" s="85" t="str">
        <f t="shared" si="14"/>
        <v/>
      </c>
      <c r="AB116" s="85" t="str">
        <f t="shared" si="15"/>
        <v/>
      </c>
      <c r="AC116" s="68" t="s">
        <v>1215</v>
      </c>
      <c r="AD116" s="68" t="s">
        <v>1215</v>
      </c>
      <c r="AE116" s="68" t="s">
        <v>1215</v>
      </c>
      <c r="AF116" s="68" t="s">
        <v>1215</v>
      </c>
      <c r="AG116" s="68" t="s">
        <v>1215</v>
      </c>
      <c r="AH116" s="68" t="s">
        <v>1215</v>
      </c>
      <c r="AI116" s="68" t="s">
        <v>1215</v>
      </c>
      <c r="AJ116" s="68" t="s">
        <v>1215</v>
      </c>
      <c r="AK116" s="68" t="s">
        <v>1215</v>
      </c>
      <c r="AL116" s="68"/>
      <c r="AM116" s="68" t="s">
        <v>1215</v>
      </c>
      <c r="AN116" s="84" t="str">
        <f t="shared" si="16"/>
        <v>Belum Dinilai</v>
      </c>
      <c r="AO116" s="84" t="str">
        <f t="shared" si="17"/>
        <v>Belum Dinilai</v>
      </c>
      <c r="AP116" s="68"/>
      <c r="AQ116" s="71" t="str">
        <f t="shared" si="18"/>
        <v/>
      </c>
      <c r="AR116" s="71" t="str">
        <f t="shared" si="19"/>
        <v/>
      </c>
      <c r="AS116" s="71" t="str">
        <f t="shared" si="20"/>
        <v/>
      </c>
      <c r="AT116" s="69" t="str">
        <f t="shared" si="21"/>
        <v>Belum Dapat Ditentukan</v>
      </c>
      <c r="AU116" s="66" t="s">
        <v>1189</v>
      </c>
      <c r="AV116" s="66" t="s">
        <v>1204</v>
      </c>
      <c r="AW116" s="66" t="s">
        <v>1898</v>
      </c>
      <c r="AX116" s="66" t="s">
        <v>1206</v>
      </c>
      <c r="AY116" s="66">
        <v>2023</v>
      </c>
      <c r="AZ116" s="66" t="s">
        <v>927</v>
      </c>
      <c r="BA116" s="66"/>
      <c r="BB116" s="178"/>
      <c r="BC116" s="72">
        <v>2026</v>
      </c>
      <c r="BD116" s="66"/>
      <c r="BE116" s="178"/>
      <c r="BF116" s="66" t="s">
        <v>1278</v>
      </c>
    </row>
    <row r="117" spans="1:58" ht="28">
      <c r="A117" s="66" t="s">
        <v>1635</v>
      </c>
      <c r="B117" s="66" t="s">
        <v>1727</v>
      </c>
      <c r="C117" s="66"/>
      <c r="D117" s="66"/>
      <c r="E117" s="66" t="s">
        <v>1724</v>
      </c>
      <c r="F117" s="66" t="s">
        <v>1274</v>
      </c>
      <c r="G117" s="66" t="s">
        <v>1275</v>
      </c>
      <c r="H117" s="66" t="s">
        <v>1181</v>
      </c>
      <c r="I117" s="66" t="s">
        <v>1725</v>
      </c>
      <c r="J117" s="66" t="s">
        <v>1196</v>
      </c>
      <c r="K117" s="66" t="s">
        <v>1277</v>
      </c>
      <c r="L117" s="66" t="s">
        <v>1215</v>
      </c>
      <c r="M117" s="66" t="s">
        <v>1305</v>
      </c>
      <c r="N117" s="66" t="s">
        <v>1215</v>
      </c>
      <c r="O117" s="66" t="s">
        <v>1213</v>
      </c>
      <c r="P117" s="66" t="s">
        <v>1215</v>
      </c>
      <c r="Q117" s="86" t="s">
        <v>1215</v>
      </c>
      <c r="R117" s="86" t="s">
        <v>1215</v>
      </c>
      <c r="S117" s="86" t="s">
        <v>1215</v>
      </c>
      <c r="T117" s="86" t="s">
        <v>1215</v>
      </c>
      <c r="U117" s="86" t="s">
        <v>1215</v>
      </c>
      <c r="V117" s="86" t="s">
        <v>1215</v>
      </c>
      <c r="W117" s="67"/>
      <c r="X117" s="84" t="str">
        <f t="shared" si="11"/>
        <v>Belum Dinilai</v>
      </c>
      <c r="Y117" s="84" t="str">
        <f t="shared" si="12"/>
        <v>Belum Dinilai</v>
      </c>
      <c r="Z117" s="85" t="str">
        <f t="shared" si="13"/>
        <v/>
      </c>
      <c r="AA117" s="85" t="str">
        <f t="shared" si="14"/>
        <v/>
      </c>
      <c r="AB117" s="85" t="str">
        <f t="shared" si="15"/>
        <v/>
      </c>
      <c r="AC117" s="68" t="s">
        <v>1215</v>
      </c>
      <c r="AD117" s="68" t="s">
        <v>1215</v>
      </c>
      <c r="AE117" s="68" t="s">
        <v>1215</v>
      </c>
      <c r="AF117" s="68" t="s">
        <v>1215</v>
      </c>
      <c r="AG117" s="68" t="s">
        <v>1215</v>
      </c>
      <c r="AH117" s="68" t="s">
        <v>1215</v>
      </c>
      <c r="AI117" s="68" t="s">
        <v>1215</v>
      </c>
      <c r="AJ117" s="68" t="s">
        <v>1215</v>
      </c>
      <c r="AK117" s="68" t="s">
        <v>1215</v>
      </c>
      <c r="AL117" s="68"/>
      <c r="AM117" s="68" t="s">
        <v>1215</v>
      </c>
      <c r="AN117" s="84" t="str">
        <f t="shared" si="16"/>
        <v>Belum Dinilai</v>
      </c>
      <c r="AO117" s="84" t="str">
        <f t="shared" si="17"/>
        <v>Belum Dinilai</v>
      </c>
      <c r="AP117" s="68"/>
      <c r="AQ117" s="71" t="str">
        <f t="shared" si="18"/>
        <v/>
      </c>
      <c r="AR117" s="71" t="str">
        <f t="shared" si="19"/>
        <v/>
      </c>
      <c r="AS117" s="71" t="str">
        <f t="shared" si="20"/>
        <v/>
      </c>
      <c r="AT117" s="69" t="str">
        <f t="shared" si="21"/>
        <v>Belum Dapat Ditentukan</v>
      </c>
      <c r="AU117" s="66" t="s">
        <v>1189</v>
      </c>
      <c r="AV117" s="66" t="s">
        <v>1204</v>
      </c>
      <c r="AW117" s="66" t="s">
        <v>1898</v>
      </c>
      <c r="AX117" s="66" t="s">
        <v>1206</v>
      </c>
      <c r="AY117" s="66">
        <v>2023</v>
      </c>
      <c r="AZ117" s="66" t="s">
        <v>927</v>
      </c>
      <c r="BA117" s="66"/>
      <c r="BB117" s="178"/>
      <c r="BC117" s="72">
        <v>2026</v>
      </c>
      <c r="BD117" s="66"/>
      <c r="BE117" s="178"/>
      <c r="BF117" s="66" t="s">
        <v>1278</v>
      </c>
    </row>
    <row r="118" spans="1:58" ht="28">
      <c r="A118" s="66" t="s">
        <v>1956</v>
      </c>
      <c r="B118" s="66" t="s">
        <v>1729</v>
      </c>
      <c r="C118" s="66"/>
      <c r="D118" s="66"/>
      <c r="E118" s="66" t="s">
        <v>1730</v>
      </c>
      <c r="F118" s="66" t="s">
        <v>1565</v>
      </c>
      <c r="G118" s="66" t="s">
        <v>1275</v>
      </c>
      <c r="H118" s="66" t="s">
        <v>1181</v>
      </c>
      <c r="I118" s="66" t="s">
        <v>1731</v>
      </c>
      <c r="J118" s="66" t="s">
        <v>1210</v>
      </c>
      <c r="K118" s="66" t="s">
        <v>1277</v>
      </c>
      <c r="L118" s="66" t="s">
        <v>1215</v>
      </c>
      <c r="M118" s="66" t="s">
        <v>1266</v>
      </c>
      <c r="N118" s="66" t="s">
        <v>1215</v>
      </c>
      <c r="O118" s="66" t="s">
        <v>1213</v>
      </c>
      <c r="P118" s="66" t="s">
        <v>1215</v>
      </c>
      <c r="Q118" s="86" t="s">
        <v>1215</v>
      </c>
      <c r="R118" s="86" t="s">
        <v>1215</v>
      </c>
      <c r="S118" s="86" t="s">
        <v>1215</v>
      </c>
      <c r="T118" s="86" t="s">
        <v>1215</v>
      </c>
      <c r="U118" s="86" t="s">
        <v>1215</v>
      </c>
      <c r="V118" s="86" t="s">
        <v>1215</v>
      </c>
      <c r="W118" s="67"/>
      <c r="X118" s="84" t="str">
        <f t="shared" si="11"/>
        <v>Belum Dinilai</v>
      </c>
      <c r="Y118" s="84" t="str">
        <f t="shared" si="12"/>
        <v>Belum Dinilai</v>
      </c>
      <c r="Z118" s="85" t="str">
        <f t="shared" si="13"/>
        <v/>
      </c>
      <c r="AA118" s="85" t="str">
        <f t="shared" si="14"/>
        <v/>
      </c>
      <c r="AB118" s="85" t="str">
        <f t="shared" si="15"/>
        <v/>
      </c>
      <c r="AC118" s="68" t="s">
        <v>1215</v>
      </c>
      <c r="AD118" s="68" t="s">
        <v>1215</v>
      </c>
      <c r="AE118" s="68" t="s">
        <v>1215</v>
      </c>
      <c r="AF118" s="68" t="s">
        <v>1215</v>
      </c>
      <c r="AG118" s="68" t="s">
        <v>1215</v>
      </c>
      <c r="AH118" s="68" t="s">
        <v>1215</v>
      </c>
      <c r="AI118" s="68" t="s">
        <v>1215</v>
      </c>
      <c r="AJ118" s="68" t="s">
        <v>1215</v>
      </c>
      <c r="AK118" s="68" t="s">
        <v>1215</v>
      </c>
      <c r="AL118" s="68"/>
      <c r="AM118" s="68" t="s">
        <v>1215</v>
      </c>
      <c r="AN118" s="84" t="str">
        <f t="shared" si="16"/>
        <v>Belum Dinilai</v>
      </c>
      <c r="AO118" s="84" t="str">
        <f t="shared" si="17"/>
        <v>Belum Dinilai</v>
      </c>
      <c r="AP118" s="68"/>
      <c r="AQ118" s="71" t="str">
        <f t="shared" si="18"/>
        <v/>
      </c>
      <c r="AR118" s="71" t="str">
        <f t="shared" si="19"/>
        <v/>
      </c>
      <c r="AS118" s="71" t="str">
        <f t="shared" si="20"/>
        <v/>
      </c>
      <c r="AT118" s="69" t="str">
        <f t="shared" si="21"/>
        <v>Belum Dapat Ditentukan</v>
      </c>
      <c r="AU118" s="66" t="s">
        <v>1203</v>
      </c>
      <c r="AV118" s="66" t="s">
        <v>1204</v>
      </c>
      <c r="AW118" s="66" t="s">
        <v>1190</v>
      </c>
      <c r="AX118" s="66"/>
      <c r="AY118" s="66"/>
      <c r="AZ118" s="66" t="s">
        <v>927</v>
      </c>
      <c r="BA118" s="66"/>
      <c r="BB118" s="178"/>
      <c r="BC118" s="72">
        <v>2026</v>
      </c>
      <c r="BD118" s="66"/>
      <c r="BE118" s="178"/>
      <c r="BF118" s="66" t="s">
        <v>1278</v>
      </c>
    </row>
    <row r="119" spans="1:58" ht="42">
      <c r="A119" s="66" t="s">
        <v>1638</v>
      </c>
      <c r="B119" s="66" t="s">
        <v>1733</v>
      </c>
      <c r="C119" s="66"/>
      <c r="D119" s="66"/>
      <c r="E119" s="66" t="s">
        <v>1734</v>
      </c>
      <c r="F119" s="66" t="s">
        <v>1565</v>
      </c>
      <c r="G119" s="66" t="s">
        <v>1275</v>
      </c>
      <c r="H119" s="66" t="s">
        <v>1181</v>
      </c>
      <c r="I119" s="66" t="s">
        <v>1735</v>
      </c>
      <c r="J119" s="66" t="s">
        <v>1210</v>
      </c>
      <c r="K119" s="66" t="s">
        <v>1197</v>
      </c>
      <c r="L119" s="66" t="s">
        <v>1215</v>
      </c>
      <c r="M119" s="66" t="s">
        <v>1266</v>
      </c>
      <c r="N119" s="66" t="s">
        <v>1215</v>
      </c>
      <c r="O119" s="66" t="s">
        <v>1277</v>
      </c>
      <c r="P119" s="66" t="s">
        <v>1215</v>
      </c>
      <c r="Q119" s="86" t="s">
        <v>1215</v>
      </c>
      <c r="R119" s="86" t="s">
        <v>1215</v>
      </c>
      <c r="S119" s="86" t="s">
        <v>1215</v>
      </c>
      <c r="T119" s="86" t="s">
        <v>1215</v>
      </c>
      <c r="U119" s="86" t="s">
        <v>1215</v>
      </c>
      <c r="V119" s="86" t="s">
        <v>1215</v>
      </c>
      <c r="W119" s="67"/>
      <c r="X119" s="84" t="str">
        <f t="shared" si="11"/>
        <v>Belum Dinilai</v>
      </c>
      <c r="Y119" s="84" t="str">
        <f t="shared" si="12"/>
        <v>Belum Dinilai</v>
      </c>
      <c r="Z119" s="85" t="str">
        <f t="shared" si="13"/>
        <v/>
      </c>
      <c r="AA119" s="85" t="str">
        <f t="shared" si="14"/>
        <v/>
      </c>
      <c r="AB119" s="85" t="str">
        <f t="shared" si="15"/>
        <v/>
      </c>
      <c r="AC119" s="68" t="s">
        <v>1215</v>
      </c>
      <c r="AD119" s="68" t="s">
        <v>1215</v>
      </c>
      <c r="AE119" s="68" t="s">
        <v>1215</v>
      </c>
      <c r="AF119" s="68" t="s">
        <v>1215</v>
      </c>
      <c r="AG119" s="68" t="s">
        <v>1215</v>
      </c>
      <c r="AH119" s="68" t="s">
        <v>1215</v>
      </c>
      <c r="AI119" s="68" t="s">
        <v>1215</v>
      </c>
      <c r="AJ119" s="68" t="s">
        <v>1215</v>
      </c>
      <c r="AK119" s="68" t="s">
        <v>1215</v>
      </c>
      <c r="AL119" s="68"/>
      <c r="AM119" s="68" t="s">
        <v>1215</v>
      </c>
      <c r="AN119" s="84" t="str">
        <f t="shared" si="16"/>
        <v>Belum Dinilai</v>
      </c>
      <c r="AO119" s="84" t="str">
        <f t="shared" si="17"/>
        <v>Belum Dinilai</v>
      </c>
      <c r="AP119" s="68"/>
      <c r="AQ119" s="71" t="str">
        <f t="shared" si="18"/>
        <v/>
      </c>
      <c r="AR119" s="71" t="str">
        <f t="shared" si="19"/>
        <v/>
      </c>
      <c r="AS119" s="71" t="str">
        <f t="shared" si="20"/>
        <v/>
      </c>
      <c r="AT119" s="69" t="str">
        <f t="shared" si="21"/>
        <v>Belum Dapat Ditentukan</v>
      </c>
      <c r="AU119" s="66" t="s">
        <v>1189</v>
      </c>
      <c r="AV119" s="66" t="s">
        <v>1204</v>
      </c>
      <c r="AW119" s="66" t="s">
        <v>1898</v>
      </c>
      <c r="AX119" s="66" t="s">
        <v>1206</v>
      </c>
      <c r="AY119" s="66">
        <v>2022</v>
      </c>
      <c r="AZ119" s="66" t="s">
        <v>1207</v>
      </c>
      <c r="BA119" s="66"/>
      <c r="BB119" s="178"/>
      <c r="BC119" s="72">
        <v>2026</v>
      </c>
      <c r="BD119" s="66"/>
      <c r="BE119" s="178"/>
      <c r="BF119" s="66" t="s">
        <v>1278</v>
      </c>
    </row>
    <row r="120" spans="1:58" ht="28">
      <c r="A120" s="66" t="s">
        <v>1643</v>
      </c>
      <c r="B120" s="66" t="s">
        <v>1737</v>
      </c>
      <c r="C120" s="66"/>
      <c r="D120" s="66"/>
      <c r="E120" s="66" t="s">
        <v>1304</v>
      </c>
      <c r="F120" s="66" t="s">
        <v>1315</v>
      </c>
      <c r="G120" s="66" t="s">
        <v>1289</v>
      </c>
      <c r="H120" s="66" t="s">
        <v>1195</v>
      </c>
      <c r="I120" s="66" t="s">
        <v>1738</v>
      </c>
      <c r="J120" s="66" t="s">
        <v>1182</v>
      </c>
      <c r="K120" s="66" t="s">
        <v>1197</v>
      </c>
      <c r="L120" s="66" t="s">
        <v>1215</v>
      </c>
      <c r="M120" s="66" t="s">
        <v>1212</v>
      </c>
      <c r="N120" s="66" t="s">
        <v>1215</v>
      </c>
      <c r="O120" s="66" t="s">
        <v>1213</v>
      </c>
      <c r="P120" s="66" t="s">
        <v>1215</v>
      </c>
      <c r="Q120" s="86" t="s">
        <v>1215</v>
      </c>
      <c r="R120" s="86" t="s">
        <v>1215</v>
      </c>
      <c r="S120" s="86" t="s">
        <v>1215</v>
      </c>
      <c r="T120" s="86" t="s">
        <v>1215</v>
      </c>
      <c r="U120" s="86" t="s">
        <v>1215</v>
      </c>
      <c r="V120" s="86" t="s">
        <v>1215</v>
      </c>
      <c r="W120" s="67"/>
      <c r="X120" s="84" t="str">
        <f t="shared" si="11"/>
        <v>Belum Dinilai</v>
      </c>
      <c r="Y120" s="84" t="str">
        <f t="shared" si="12"/>
        <v>Belum Dinilai</v>
      </c>
      <c r="Z120" s="85" t="str">
        <f t="shared" si="13"/>
        <v/>
      </c>
      <c r="AA120" s="85" t="str">
        <f t="shared" si="14"/>
        <v/>
      </c>
      <c r="AB120" s="85" t="str">
        <f t="shared" si="15"/>
        <v/>
      </c>
      <c r="AC120" s="68" t="s">
        <v>1215</v>
      </c>
      <c r="AD120" s="68" t="s">
        <v>1215</v>
      </c>
      <c r="AE120" s="68" t="s">
        <v>1215</v>
      </c>
      <c r="AF120" s="68" t="s">
        <v>1215</v>
      </c>
      <c r="AG120" s="68" t="s">
        <v>1215</v>
      </c>
      <c r="AH120" s="68" t="s">
        <v>1215</v>
      </c>
      <c r="AI120" s="68" t="s">
        <v>1215</v>
      </c>
      <c r="AJ120" s="68" t="s">
        <v>1215</v>
      </c>
      <c r="AK120" s="68" t="s">
        <v>1215</v>
      </c>
      <c r="AL120" s="68"/>
      <c r="AM120" s="68" t="s">
        <v>1215</v>
      </c>
      <c r="AN120" s="84" t="str">
        <f t="shared" si="16"/>
        <v>Belum Dinilai</v>
      </c>
      <c r="AO120" s="84" t="str">
        <f t="shared" si="17"/>
        <v>Belum Dinilai</v>
      </c>
      <c r="AP120" s="68"/>
      <c r="AQ120" s="71" t="str">
        <f t="shared" si="18"/>
        <v/>
      </c>
      <c r="AR120" s="71" t="str">
        <f t="shared" si="19"/>
        <v/>
      </c>
      <c r="AS120" s="71" t="str">
        <f t="shared" si="20"/>
        <v/>
      </c>
      <c r="AT120" s="69" t="str">
        <f t="shared" si="21"/>
        <v>Belum Dapat Ditentukan</v>
      </c>
      <c r="AU120" s="66" t="s">
        <v>1189</v>
      </c>
      <c r="AV120" s="66" t="s">
        <v>1204</v>
      </c>
      <c r="AW120" s="66" t="s">
        <v>1898</v>
      </c>
      <c r="AX120" s="66" t="s">
        <v>1206</v>
      </c>
      <c r="AY120" s="66">
        <v>2021</v>
      </c>
      <c r="AZ120" s="66" t="s">
        <v>927</v>
      </c>
      <c r="BA120" s="66"/>
      <c r="BB120" s="178"/>
      <c r="BC120" s="72">
        <v>2026</v>
      </c>
      <c r="BD120" s="66"/>
      <c r="BE120" s="178"/>
      <c r="BF120" s="66" t="s">
        <v>1278</v>
      </c>
    </row>
    <row r="121" spans="1:58" ht="42">
      <c r="A121" s="66" t="s">
        <v>1646</v>
      </c>
      <c r="B121" s="66" t="s">
        <v>1740</v>
      </c>
      <c r="C121" s="66"/>
      <c r="D121" s="66"/>
      <c r="E121" s="66" t="s">
        <v>1741</v>
      </c>
      <c r="F121" s="66" t="s">
        <v>1288</v>
      </c>
      <c r="G121" s="66" t="s">
        <v>1289</v>
      </c>
      <c r="H121" s="66" t="s">
        <v>1181</v>
      </c>
      <c r="I121" s="66" t="s">
        <v>1742</v>
      </c>
      <c r="J121" s="66" t="s">
        <v>1210</v>
      </c>
      <c r="K121" s="66" t="s">
        <v>1277</v>
      </c>
      <c r="L121" s="66" t="s">
        <v>891</v>
      </c>
      <c r="M121" s="66" t="s">
        <v>1266</v>
      </c>
      <c r="N121" s="66" t="s">
        <v>891</v>
      </c>
      <c r="O121" s="66" t="s">
        <v>1213</v>
      </c>
      <c r="P121" s="66" t="s">
        <v>891</v>
      </c>
      <c r="Q121" s="86" t="s">
        <v>1215</v>
      </c>
      <c r="R121" s="86" t="s">
        <v>1215</v>
      </c>
      <c r="S121" s="86" t="s">
        <v>1215</v>
      </c>
      <c r="T121" s="86" t="s">
        <v>1215</v>
      </c>
      <c r="U121" s="86" t="s">
        <v>1215</v>
      </c>
      <c r="V121" s="86" t="s">
        <v>1215</v>
      </c>
      <c r="W121" s="67"/>
      <c r="X121" s="84" t="str">
        <f t="shared" si="11"/>
        <v>Belum Dinilai</v>
      </c>
      <c r="Y121" s="84" t="str">
        <f t="shared" si="12"/>
        <v>Belum Dinilai</v>
      </c>
      <c r="Z121" s="85" t="str">
        <f t="shared" si="13"/>
        <v/>
      </c>
      <c r="AA121" s="85" t="str">
        <f t="shared" si="14"/>
        <v/>
      </c>
      <c r="AB121" s="85" t="str">
        <f t="shared" si="15"/>
        <v/>
      </c>
      <c r="AC121" s="68" t="s">
        <v>1215</v>
      </c>
      <c r="AD121" s="68" t="s">
        <v>1215</v>
      </c>
      <c r="AE121" s="68" t="s">
        <v>1215</v>
      </c>
      <c r="AF121" s="68" t="s">
        <v>1215</v>
      </c>
      <c r="AG121" s="68" t="s">
        <v>1215</v>
      </c>
      <c r="AH121" s="68" t="s">
        <v>1215</v>
      </c>
      <c r="AI121" s="68" t="s">
        <v>1215</v>
      </c>
      <c r="AJ121" s="68" t="s">
        <v>1215</v>
      </c>
      <c r="AK121" s="68" t="s">
        <v>1215</v>
      </c>
      <c r="AL121" s="68"/>
      <c r="AM121" s="68" t="s">
        <v>1215</v>
      </c>
      <c r="AN121" s="84" t="str">
        <f t="shared" si="16"/>
        <v>Belum Dinilai</v>
      </c>
      <c r="AO121" s="84" t="str">
        <f t="shared" si="17"/>
        <v>Belum Dinilai</v>
      </c>
      <c r="AP121" s="68"/>
      <c r="AQ121" s="71">
        <f t="shared" si="18"/>
        <v>29</v>
      </c>
      <c r="AR121" s="71" t="str">
        <f t="shared" si="19"/>
        <v/>
      </c>
      <c r="AS121" s="71" t="str">
        <f t="shared" si="20"/>
        <v/>
      </c>
      <c r="AT121" s="69" t="str">
        <f t="shared" si="21"/>
        <v>Belum Dapat Ditentukan</v>
      </c>
      <c r="AU121" s="66" t="s">
        <v>1189</v>
      </c>
      <c r="AV121" s="66" t="s">
        <v>1204</v>
      </c>
      <c r="AW121" s="66" t="s">
        <v>1898</v>
      </c>
      <c r="AX121" s="66" t="s">
        <v>1206</v>
      </c>
      <c r="AY121" s="66">
        <v>2022</v>
      </c>
      <c r="AZ121" s="66" t="s">
        <v>927</v>
      </c>
      <c r="BA121" s="66"/>
      <c r="BB121" s="178"/>
      <c r="BC121" s="72">
        <v>2026</v>
      </c>
      <c r="BD121" s="66"/>
      <c r="BE121" s="178"/>
      <c r="BF121" s="66" t="s">
        <v>1278</v>
      </c>
    </row>
    <row r="122" spans="1:58" ht="42">
      <c r="A122" s="66" t="s">
        <v>1649</v>
      </c>
      <c r="B122" s="66" t="s">
        <v>1744</v>
      </c>
      <c r="C122" s="66"/>
      <c r="D122" s="66"/>
      <c r="E122" s="66" t="s">
        <v>1745</v>
      </c>
      <c r="F122" s="66" t="s">
        <v>1288</v>
      </c>
      <c r="G122" s="66" t="s">
        <v>1289</v>
      </c>
      <c r="H122" s="66" t="s">
        <v>1195</v>
      </c>
      <c r="I122" s="66" t="s">
        <v>1746</v>
      </c>
      <c r="J122" s="66" t="s">
        <v>1196</v>
      </c>
      <c r="K122" s="66" t="s">
        <v>1197</v>
      </c>
      <c r="L122" s="66" t="s">
        <v>891</v>
      </c>
      <c r="M122" s="66" t="s">
        <v>1266</v>
      </c>
      <c r="N122" s="66" t="s">
        <v>891</v>
      </c>
      <c r="O122" s="66" t="s">
        <v>1277</v>
      </c>
      <c r="P122" s="66" t="s">
        <v>1215</v>
      </c>
      <c r="Q122" s="86" t="s">
        <v>1215</v>
      </c>
      <c r="R122" s="86" t="s">
        <v>1215</v>
      </c>
      <c r="S122" s="86" t="s">
        <v>1215</v>
      </c>
      <c r="T122" s="86" t="s">
        <v>1215</v>
      </c>
      <c r="U122" s="86" t="s">
        <v>1215</v>
      </c>
      <c r="V122" s="86" t="s">
        <v>1215</v>
      </c>
      <c r="W122" s="67"/>
      <c r="X122" s="84" t="str">
        <f t="shared" si="11"/>
        <v>Belum Dinilai</v>
      </c>
      <c r="Y122" s="84" t="str">
        <f t="shared" si="12"/>
        <v>Belum Dinilai</v>
      </c>
      <c r="Z122" s="85" t="str">
        <f t="shared" si="13"/>
        <v/>
      </c>
      <c r="AA122" s="85" t="str">
        <f t="shared" si="14"/>
        <v/>
      </c>
      <c r="AB122" s="85" t="str">
        <f t="shared" si="15"/>
        <v/>
      </c>
      <c r="AC122" s="68" t="s">
        <v>1215</v>
      </c>
      <c r="AD122" s="68" t="s">
        <v>1215</v>
      </c>
      <c r="AE122" s="68" t="s">
        <v>1215</v>
      </c>
      <c r="AF122" s="68" t="s">
        <v>1215</v>
      </c>
      <c r="AG122" s="68" t="s">
        <v>1215</v>
      </c>
      <c r="AH122" s="68" t="s">
        <v>1215</v>
      </c>
      <c r="AI122" s="68" t="s">
        <v>1215</v>
      </c>
      <c r="AJ122" s="68" t="s">
        <v>1215</v>
      </c>
      <c r="AK122" s="68" t="s">
        <v>1215</v>
      </c>
      <c r="AL122" s="68"/>
      <c r="AM122" s="68" t="s">
        <v>1215</v>
      </c>
      <c r="AN122" s="84" t="str">
        <f t="shared" si="16"/>
        <v>Belum Dinilai</v>
      </c>
      <c r="AO122" s="84" t="str">
        <f t="shared" si="17"/>
        <v>Belum Dinilai</v>
      </c>
      <c r="AP122" s="68"/>
      <c r="AQ122" s="71" t="str">
        <f t="shared" si="18"/>
        <v/>
      </c>
      <c r="AR122" s="71" t="str">
        <f t="shared" si="19"/>
        <v/>
      </c>
      <c r="AS122" s="71" t="str">
        <f t="shared" si="20"/>
        <v/>
      </c>
      <c r="AT122" s="69" t="str">
        <f t="shared" si="21"/>
        <v>Belum Dapat Ditentukan</v>
      </c>
      <c r="AU122" s="66" t="s">
        <v>1189</v>
      </c>
      <c r="AV122" s="66" t="s">
        <v>1204</v>
      </c>
      <c r="AW122" s="66" t="s">
        <v>1190</v>
      </c>
      <c r="AX122" s="66"/>
      <c r="AY122" s="66"/>
      <c r="AZ122" s="66" t="s">
        <v>927</v>
      </c>
      <c r="BA122" s="66"/>
      <c r="BB122" s="178"/>
      <c r="BC122" s="72">
        <v>2026</v>
      </c>
      <c r="BD122" s="66"/>
      <c r="BE122" s="178"/>
      <c r="BF122" s="66" t="s">
        <v>1278</v>
      </c>
    </row>
    <row r="123" spans="1:58" ht="42">
      <c r="A123" s="66" t="s">
        <v>1653</v>
      </c>
      <c r="B123" s="66" t="s">
        <v>1750</v>
      </c>
      <c r="C123" s="66"/>
      <c r="D123" s="66"/>
      <c r="E123" s="66" t="s">
        <v>1751</v>
      </c>
      <c r="F123" s="66" t="s">
        <v>1319</v>
      </c>
      <c r="G123" s="66" t="s">
        <v>1289</v>
      </c>
      <c r="H123" s="66" t="s">
        <v>1181</v>
      </c>
      <c r="I123" s="66" t="s">
        <v>1752</v>
      </c>
      <c r="J123" s="66" t="s">
        <v>1210</v>
      </c>
      <c r="K123" s="66" t="s">
        <v>1197</v>
      </c>
      <c r="L123" s="66" t="s">
        <v>891</v>
      </c>
      <c r="M123" s="66" t="s">
        <v>1266</v>
      </c>
      <c r="N123" s="66" t="s">
        <v>891</v>
      </c>
      <c r="O123" s="66" t="s">
        <v>1185</v>
      </c>
      <c r="P123" s="66" t="s">
        <v>891</v>
      </c>
      <c r="Q123" s="86" t="s">
        <v>1215</v>
      </c>
      <c r="R123" s="86" t="s">
        <v>1215</v>
      </c>
      <c r="S123" s="86" t="s">
        <v>1215</v>
      </c>
      <c r="T123" s="86" t="s">
        <v>1215</v>
      </c>
      <c r="U123" s="86" t="s">
        <v>1215</v>
      </c>
      <c r="V123" s="86" t="s">
        <v>1215</v>
      </c>
      <c r="W123" s="67"/>
      <c r="X123" s="84" t="str">
        <f t="shared" si="11"/>
        <v>Belum Dinilai</v>
      </c>
      <c r="Y123" s="84" t="str">
        <f t="shared" si="12"/>
        <v>Belum Dinilai</v>
      </c>
      <c r="Z123" s="85" t="str">
        <f t="shared" si="13"/>
        <v/>
      </c>
      <c r="AA123" s="85" t="str">
        <f t="shared" si="14"/>
        <v/>
      </c>
      <c r="AB123" s="85" t="str">
        <f t="shared" si="15"/>
        <v/>
      </c>
      <c r="AC123" s="68" t="s">
        <v>1215</v>
      </c>
      <c r="AD123" s="68" t="s">
        <v>1215</v>
      </c>
      <c r="AE123" s="68" t="s">
        <v>1215</v>
      </c>
      <c r="AF123" s="68" t="s">
        <v>1215</v>
      </c>
      <c r="AG123" s="68" t="s">
        <v>1215</v>
      </c>
      <c r="AH123" s="68" t="s">
        <v>1215</v>
      </c>
      <c r="AI123" s="68" t="s">
        <v>1215</v>
      </c>
      <c r="AJ123" s="68" t="s">
        <v>1215</v>
      </c>
      <c r="AK123" s="68" t="s">
        <v>1215</v>
      </c>
      <c r="AL123" s="68"/>
      <c r="AM123" s="68" t="s">
        <v>1215</v>
      </c>
      <c r="AN123" s="84" t="str">
        <f t="shared" si="16"/>
        <v>Belum Dinilai</v>
      </c>
      <c r="AO123" s="84" t="str">
        <f t="shared" si="17"/>
        <v>Belum Dinilai</v>
      </c>
      <c r="AP123" s="68"/>
      <c r="AQ123" s="71">
        <f t="shared" si="18"/>
        <v>29</v>
      </c>
      <c r="AR123" s="71" t="str">
        <f t="shared" si="19"/>
        <v/>
      </c>
      <c r="AS123" s="71" t="str">
        <f t="shared" si="20"/>
        <v/>
      </c>
      <c r="AT123" s="69" t="str">
        <f t="shared" si="21"/>
        <v>Belum Dapat Ditentukan</v>
      </c>
      <c r="AU123" s="66" t="s">
        <v>1189</v>
      </c>
      <c r="AV123" s="66" t="s">
        <v>1204</v>
      </c>
      <c r="AW123" s="66" t="s">
        <v>1190</v>
      </c>
      <c r="AX123" s="66"/>
      <c r="AY123" s="66"/>
      <c r="AZ123" s="66" t="s">
        <v>927</v>
      </c>
      <c r="BA123" s="66"/>
      <c r="BB123" s="178"/>
      <c r="BC123" s="72">
        <v>2026</v>
      </c>
      <c r="BD123" s="66"/>
      <c r="BE123" s="178"/>
      <c r="BF123" s="66" t="s">
        <v>1278</v>
      </c>
    </row>
    <row r="124" spans="1:58" ht="56">
      <c r="A124" s="66" t="s">
        <v>1656</v>
      </c>
      <c r="B124" s="66" t="s">
        <v>1754</v>
      </c>
      <c r="C124" s="66"/>
      <c r="D124" s="66"/>
      <c r="E124" s="66" t="s">
        <v>1755</v>
      </c>
      <c r="F124" s="66" t="s">
        <v>1474</v>
      </c>
      <c r="G124" s="66" t="s">
        <v>1310</v>
      </c>
      <c r="H124" s="66" t="s">
        <v>1195</v>
      </c>
      <c r="I124" s="66" t="s">
        <v>1756</v>
      </c>
      <c r="J124" s="66" t="s">
        <v>1196</v>
      </c>
      <c r="K124" s="66" t="s">
        <v>1293</v>
      </c>
      <c r="L124" s="66" t="s">
        <v>891</v>
      </c>
      <c r="M124" s="66" t="s">
        <v>1305</v>
      </c>
      <c r="N124" s="66" t="s">
        <v>891</v>
      </c>
      <c r="O124" s="66" t="s">
        <v>1213</v>
      </c>
      <c r="P124" s="66" t="s">
        <v>891</v>
      </c>
      <c r="Q124" s="86" t="s">
        <v>1215</v>
      </c>
      <c r="R124" s="86" t="s">
        <v>1215</v>
      </c>
      <c r="S124" s="86" t="s">
        <v>1215</v>
      </c>
      <c r="T124" s="86" t="s">
        <v>1215</v>
      </c>
      <c r="U124" s="86" t="s">
        <v>1215</v>
      </c>
      <c r="V124" s="86" t="s">
        <v>1215</v>
      </c>
      <c r="W124" s="67"/>
      <c r="X124" s="84" t="str">
        <f t="shared" si="11"/>
        <v>Belum Dinilai</v>
      </c>
      <c r="Y124" s="84" t="str">
        <f t="shared" si="12"/>
        <v>Belum Dinilai</v>
      </c>
      <c r="Z124" s="85" t="str">
        <f t="shared" si="13"/>
        <v/>
      </c>
      <c r="AA124" s="85" t="str">
        <f t="shared" si="14"/>
        <v/>
      </c>
      <c r="AB124" s="85" t="str">
        <f t="shared" si="15"/>
        <v/>
      </c>
      <c r="AC124" s="68" t="s">
        <v>1215</v>
      </c>
      <c r="AD124" s="68" t="s">
        <v>1215</v>
      </c>
      <c r="AE124" s="68" t="s">
        <v>1215</v>
      </c>
      <c r="AF124" s="68" t="s">
        <v>1215</v>
      </c>
      <c r="AG124" s="68" t="s">
        <v>1215</v>
      </c>
      <c r="AH124" s="68" t="s">
        <v>1215</v>
      </c>
      <c r="AI124" s="68" t="s">
        <v>1215</v>
      </c>
      <c r="AJ124" s="68" t="s">
        <v>1215</v>
      </c>
      <c r="AK124" s="68" t="s">
        <v>1215</v>
      </c>
      <c r="AL124" s="68"/>
      <c r="AM124" s="68" t="s">
        <v>1215</v>
      </c>
      <c r="AN124" s="84" t="str">
        <f t="shared" si="16"/>
        <v>Belum Dinilai</v>
      </c>
      <c r="AO124" s="84" t="str">
        <f t="shared" si="17"/>
        <v>Belum Dinilai</v>
      </c>
      <c r="AP124" s="68"/>
      <c r="AQ124" s="71">
        <f t="shared" si="18"/>
        <v>22</v>
      </c>
      <c r="AR124" s="71" t="str">
        <f t="shared" si="19"/>
        <v/>
      </c>
      <c r="AS124" s="71" t="str">
        <f t="shared" si="20"/>
        <v/>
      </c>
      <c r="AT124" s="69" t="str">
        <f t="shared" si="21"/>
        <v>Belum Dapat Ditentukan</v>
      </c>
      <c r="AU124" s="66" t="s">
        <v>1189</v>
      </c>
      <c r="AV124" s="66" t="s">
        <v>1204</v>
      </c>
      <c r="AW124" s="66" t="s">
        <v>1190</v>
      </c>
      <c r="AX124" s="66"/>
      <c r="AY124" s="66"/>
      <c r="AZ124" s="66" t="s">
        <v>927</v>
      </c>
      <c r="BA124" s="66"/>
      <c r="BB124" s="178"/>
      <c r="BC124" s="72">
        <v>2026</v>
      </c>
      <c r="BD124" s="66"/>
      <c r="BE124" s="178"/>
      <c r="BF124" s="66" t="s">
        <v>1278</v>
      </c>
    </row>
    <row r="125" spans="1:58" ht="28">
      <c r="A125" s="66" t="s">
        <v>1660</v>
      </c>
      <c r="B125" s="66" t="s">
        <v>1758</v>
      </c>
      <c r="C125" s="66"/>
      <c r="D125" s="66"/>
      <c r="E125" s="66" t="s">
        <v>1759</v>
      </c>
      <c r="F125" s="66" t="s">
        <v>1474</v>
      </c>
      <c r="G125" s="66" t="s">
        <v>1310</v>
      </c>
      <c r="H125" s="66" t="s">
        <v>1195</v>
      </c>
      <c r="I125" s="66" t="s">
        <v>1760</v>
      </c>
      <c r="J125" s="66" t="s">
        <v>1196</v>
      </c>
      <c r="K125" s="66" t="s">
        <v>1277</v>
      </c>
      <c r="L125" s="66" t="s">
        <v>1215</v>
      </c>
      <c r="M125" s="66" t="s">
        <v>1305</v>
      </c>
      <c r="N125" s="66" t="s">
        <v>1215</v>
      </c>
      <c r="O125" s="66" t="s">
        <v>1277</v>
      </c>
      <c r="P125" s="66" t="s">
        <v>1215</v>
      </c>
      <c r="Q125" s="86" t="s">
        <v>1215</v>
      </c>
      <c r="R125" s="86" t="s">
        <v>1215</v>
      </c>
      <c r="S125" s="86" t="s">
        <v>1215</v>
      </c>
      <c r="T125" s="86" t="s">
        <v>1215</v>
      </c>
      <c r="U125" s="86" t="s">
        <v>1215</v>
      </c>
      <c r="V125" s="86" t="s">
        <v>1215</v>
      </c>
      <c r="W125" s="67"/>
      <c r="X125" s="84" t="str">
        <f t="shared" si="11"/>
        <v>Belum Dinilai</v>
      </c>
      <c r="Y125" s="84" t="str">
        <f t="shared" si="12"/>
        <v>Belum Dinilai</v>
      </c>
      <c r="Z125" s="85" t="str">
        <f t="shared" si="13"/>
        <v/>
      </c>
      <c r="AA125" s="85" t="str">
        <f t="shared" si="14"/>
        <v/>
      </c>
      <c r="AB125" s="85" t="str">
        <f t="shared" si="15"/>
        <v/>
      </c>
      <c r="AC125" s="68" t="s">
        <v>1215</v>
      </c>
      <c r="AD125" s="68" t="s">
        <v>1215</v>
      </c>
      <c r="AE125" s="68" t="s">
        <v>1215</v>
      </c>
      <c r="AF125" s="68" t="s">
        <v>1215</v>
      </c>
      <c r="AG125" s="68" t="s">
        <v>1215</v>
      </c>
      <c r="AH125" s="68" t="s">
        <v>1215</v>
      </c>
      <c r="AI125" s="68" t="s">
        <v>1215</v>
      </c>
      <c r="AJ125" s="68" t="s">
        <v>1215</v>
      </c>
      <c r="AK125" s="68" t="s">
        <v>1215</v>
      </c>
      <c r="AL125" s="68"/>
      <c r="AM125" s="68" t="s">
        <v>1215</v>
      </c>
      <c r="AN125" s="84" t="str">
        <f t="shared" si="16"/>
        <v>Belum Dinilai</v>
      </c>
      <c r="AO125" s="84" t="str">
        <f t="shared" si="17"/>
        <v>Belum Dinilai</v>
      </c>
      <c r="AP125" s="68"/>
      <c r="AQ125" s="71" t="str">
        <f t="shared" si="18"/>
        <v/>
      </c>
      <c r="AR125" s="71" t="str">
        <f t="shared" si="19"/>
        <v/>
      </c>
      <c r="AS125" s="71" t="str">
        <f t="shared" si="20"/>
        <v/>
      </c>
      <c r="AT125" s="69" t="str">
        <f t="shared" si="21"/>
        <v>Belum Dapat Ditentukan</v>
      </c>
      <c r="AU125" s="66" t="s">
        <v>1189</v>
      </c>
      <c r="AV125" s="66" t="s">
        <v>1204</v>
      </c>
      <c r="AW125" s="66" t="s">
        <v>1190</v>
      </c>
      <c r="AX125" s="66"/>
      <c r="AY125" s="66"/>
      <c r="AZ125" s="66" t="s">
        <v>927</v>
      </c>
      <c r="BA125" s="66"/>
      <c r="BB125" s="178"/>
      <c r="BC125" s="72">
        <v>2026</v>
      </c>
      <c r="BD125" s="66"/>
      <c r="BE125" s="178"/>
      <c r="BF125" s="66" t="s">
        <v>1278</v>
      </c>
    </row>
    <row r="126" spans="1:58" ht="42">
      <c r="A126" s="66" t="s">
        <v>1663</v>
      </c>
      <c r="B126" s="66" t="s">
        <v>1762</v>
      </c>
      <c r="C126" s="66"/>
      <c r="D126" s="66"/>
      <c r="E126" s="66" t="s">
        <v>1763</v>
      </c>
      <c r="F126" s="66" t="s">
        <v>1474</v>
      </c>
      <c r="G126" s="66" t="s">
        <v>1310</v>
      </c>
      <c r="H126" s="66" t="s">
        <v>1181</v>
      </c>
      <c r="I126" s="66" t="s">
        <v>1764</v>
      </c>
      <c r="J126" s="66" t="s">
        <v>1196</v>
      </c>
      <c r="K126" s="66" t="s">
        <v>1197</v>
      </c>
      <c r="L126" s="66" t="s">
        <v>891</v>
      </c>
      <c r="M126" s="66" t="s">
        <v>1266</v>
      </c>
      <c r="N126" s="66" t="s">
        <v>891</v>
      </c>
      <c r="O126" s="66" t="s">
        <v>1185</v>
      </c>
      <c r="P126" s="66" t="s">
        <v>891</v>
      </c>
      <c r="Q126" s="86" t="s">
        <v>1215</v>
      </c>
      <c r="R126" s="86" t="s">
        <v>1215</v>
      </c>
      <c r="S126" s="86" t="s">
        <v>1215</v>
      </c>
      <c r="T126" s="86" t="s">
        <v>1215</v>
      </c>
      <c r="U126" s="86" t="s">
        <v>1215</v>
      </c>
      <c r="V126" s="86" t="s">
        <v>1215</v>
      </c>
      <c r="W126" s="67"/>
      <c r="X126" s="84" t="str">
        <f t="shared" si="11"/>
        <v>Belum Dinilai</v>
      </c>
      <c r="Y126" s="84" t="str">
        <f t="shared" si="12"/>
        <v>Belum Dinilai</v>
      </c>
      <c r="Z126" s="85" t="str">
        <f t="shared" si="13"/>
        <v/>
      </c>
      <c r="AA126" s="85" t="str">
        <f t="shared" si="14"/>
        <v/>
      </c>
      <c r="AB126" s="85" t="str">
        <f t="shared" si="15"/>
        <v/>
      </c>
      <c r="AC126" s="68" t="s">
        <v>1215</v>
      </c>
      <c r="AD126" s="68" t="s">
        <v>1215</v>
      </c>
      <c r="AE126" s="68" t="s">
        <v>1215</v>
      </c>
      <c r="AF126" s="68" t="s">
        <v>1215</v>
      </c>
      <c r="AG126" s="68" t="s">
        <v>1215</v>
      </c>
      <c r="AH126" s="68" t="s">
        <v>1215</v>
      </c>
      <c r="AI126" s="68" t="s">
        <v>1215</v>
      </c>
      <c r="AJ126" s="68" t="s">
        <v>1215</v>
      </c>
      <c r="AK126" s="68" t="s">
        <v>1215</v>
      </c>
      <c r="AL126" s="68"/>
      <c r="AM126" s="68" t="s">
        <v>1215</v>
      </c>
      <c r="AN126" s="84" t="str">
        <f t="shared" si="16"/>
        <v>Belum Dinilai</v>
      </c>
      <c r="AO126" s="84" t="str">
        <f t="shared" si="17"/>
        <v>Belum Dinilai</v>
      </c>
      <c r="AP126" s="68"/>
      <c r="AQ126" s="71">
        <f t="shared" si="18"/>
        <v>22</v>
      </c>
      <c r="AR126" s="71" t="str">
        <f t="shared" si="19"/>
        <v/>
      </c>
      <c r="AS126" s="71" t="str">
        <f t="shared" si="20"/>
        <v/>
      </c>
      <c r="AT126" s="69" t="str">
        <f t="shared" si="21"/>
        <v>Belum Dapat Ditentukan</v>
      </c>
      <c r="AU126" s="66" t="s">
        <v>1189</v>
      </c>
      <c r="AV126" s="66" t="s">
        <v>1204</v>
      </c>
      <c r="AW126" s="66" t="s">
        <v>1190</v>
      </c>
      <c r="AX126" s="66"/>
      <c r="AY126" s="66"/>
      <c r="AZ126" s="66" t="s">
        <v>927</v>
      </c>
      <c r="BA126" s="66"/>
      <c r="BB126" s="178"/>
      <c r="BC126" s="72">
        <v>2026</v>
      </c>
      <c r="BD126" s="66"/>
      <c r="BE126" s="178"/>
      <c r="BF126" s="66" t="s">
        <v>1278</v>
      </c>
    </row>
    <row r="127" spans="1:58" ht="28">
      <c r="A127" s="66" t="s">
        <v>1957</v>
      </c>
      <c r="B127" s="66" t="s">
        <v>1766</v>
      </c>
      <c r="C127" s="66"/>
      <c r="D127" s="66"/>
      <c r="E127" s="66" t="s">
        <v>1767</v>
      </c>
      <c r="F127" s="66" t="s">
        <v>1474</v>
      </c>
      <c r="G127" s="66" t="s">
        <v>1310</v>
      </c>
      <c r="H127" s="66" t="s">
        <v>1181</v>
      </c>
      <c r="I127" s="66" t="s">
        <v>1768</v>
      </c>
      <c r="J127" s="66" t="s">
        <v>1263</v>
      </c>
      <c r="K127" s="66" t="s">
        <v>1277</v>
      </c>
      <c r="L127" s="66" t="s">
        <v>1215</v>
      </c>
      <c r="M127" s="66" t="s">
        <v>1277</v>
      </c>
      <c r="N127" s="66" t="s">
        <v>1215</v>
      </c>
      <c r="O127" s="66" t="s">
        <v>1277</v>
      </c>
      <c r="P127" s="66" t="s">
        <v>1215</v>
      </c>
      <c r="Q127" s="86" t="s">
        <v>1215</v>
      </c>
      <c r="R127" s="86" t="s">
        <v>1215</v>
      </c>
      <c r="S127" s="86" t="s">
        <v>1215</v>
      </c>
      <c r="T127" s="86" t="s">
        <v>1215</v>
      </c>
      <c r="U127" s="86" t="s">
        <v>1215</v>
      </c>
      <c r="V127" s="86" t="s">
        <v>1215</v>
      </c>
      <c r="W127" s="67"/>
      <c r="X127" s="84" t="str">
        <f t="shared" si="11"/>
        <v>Belum Dinilai</v>
      </c>
      <c r="Y127" s="84" t="str">
        <f t="shared" si="12"/>
        <v>Belum Dinilai</v>
      </c>
      <c r="Z127" s="85" t="str">
        <f t="shared" si="13"/>
        <v/>
      </c>
      <c r="AA127" s="85" t="str">
        <f t="shared" si="14"/>
        <v/>
      </c>
      <c r="AB127" s="85" t="str">
        <f t="shared" si="15"/>
        <v/>
      </c>
      <c r="AC127" s="68" t="s">
        <v>1215</v>
      </c>
      <c r="AD127" s="68" t="s">
        <v>1215</v>
      </c>
      <c r="AE127" s="68" t="s">
        <v>1215</v>
      </c>
      <c r="AF127" s="68" t="s">
        <v>1215</v>
      </c>
      <c r="AG127" s="68" t="s">
        <v>1215</v>
      </c>
      <c r="AH127" s="68" t="s">
        <v>1215</v>
      </c>
      <c r="AI127" s="68" t="s">
        <v>1215</v>
      </c>
      <c r="AJ127" s="68" t="s">
        <v>1215</v>
      </c>
      <c r="AK127" s="68" t="s">
        <v>1215</v>
      </c>
      <c r="AL127" s="68"/>
      <c r="AM127" s="68" t="s">
        <v>1215</v>
      </c>
      <c r="AN127" s="84" t="str">
        <f t="shared" si="16"/>
        <v>Belum Dinilai</v>
      </c>
      <c r="AO127" s="84" t="str">
        <f t="shared" si="17"/>
        <v>Belum Dinilai</v>
      </c>
      <c r="AP127" s="68"/>
      <c r="AQ127" s="71" t="str">
        <f t="shared" si="18"/>
        <v/>
      </c>
      <c r="AR127" s="71" t="str">
        <f t="shared" si="19"/>
        <v/>
      </c>
      <c r="AS127" s="71" t="str">
        <f t="shared" si="20"/>
        <v/>
      </c>
      <c r="AT127" s="69" t="str">
        <f t="shared" si="21"/>
        <v>Belum Dapat Ditentukan</v>
      </c>
      <c r="AU127" s="66" t="s">
        <v>1189</v>
      </c>
      <c r="AV127" s="66" t="s">
        <v>1204</v>
      </c>
      <c r="AW127" s="66" t="s">
        <v>1898</v>
      </c>
      <c r="AX127" s="66" t="s">
        <v>1217</v>
      </c>
      <c r="AY127" s="66">
        <v>2023</v>
      </c>
      <c r="AZ127" s="66" t="s">
        <v>927</v>
      </c>
      <c r="BA127" s="66"/>
      <c r="BB127" s="178"/>
      <c r="BC127" s="72">
        <v>2026</v>
      </c>
      <c r="BD127" s="66"/>
      <c r="BE127" s="178"/>
      <c r="BF127" s="66" t="s">
        <v>1278</v>
      </c>
    </row>
    <row r="128" spans="1:58" ht="42">
      <c r="A128" s="66" t="s">
        <v>1666</v>
      </c>
      <c r="B128" s="66" t="s">
        <v>1770</v>
      </c>
      <c r="C128" s="66"/>
      <c r="D128" s="66"/>
      <c r="E128" s="66" t="s">
        <v>1771</v>
      </c>
      <c r="F128" s="66" t="s">
        <v>1474</v>
      </c>
      <c r="G128" s="66" t="s">
        <v>1310</v>
      </c>
      <c r="H128" s="66" t="s">
        <v>1195</v>
      </c>
      <c r="I128" s="66" t="s">
        <v>1772</v>
      </c>
      <c r="J128" s="66" t="s">
        <v>1196</v>
      </c>
      <c r="K128" s="66" t="s">
        <v>1211</v>
      </c>
      <c r="L128" s="66" t="s">
        <v>891</v>
      </c>
      <c r="M128" s="66" t="s">
        <v>1305</v>
      </c>
      <c r="N128" s="66" t="s">
        <v>891</v>
      </c>
      <c r="O128" s="66" t="s">
        <v>1213</v>
      </c>
      <c r="P128" s="66" t="s">
        <v>891</v>
      </c>
      <c r="Q128" s="86" t="s">
        <v>1215</v>
      </c>
      <c r="R128" s="86" t="s">
        <v>1215</v>
      </c>
      <c r="S128" s="86" t="s">
        <v>1215</v>
      </c>
      <c r="T128" s="86" t="s">
        <v>1215</v>
      </c>
      <c r="U128" s="86" t="s">
        <v>1215</v>
      </c>
      <c r="V128" s="86" t="s">
        <v>1215</v>
      </c>
      <c r="W128" s="67"/>
      <c r="X128" s="84" t="str">
        <f t="shared" si="11"/>
        <v>Belum Dinilai</v>
      </c>
      <c r="Y128" s="84" t="str">
        <f t="shared" si="12"/>
        <v>Belum Dinilai</v>
      </c>
      <c r="Z128" s="85" t="str">
        <f t="shared" si="13"/>
        <v/>
      </c>
      <c r="AA128" s="85" t="str">
        <f t="shared" si="14"/>
        <v/>
      </c>
      <c r="AB128" s="85" t="str">
        <f t="shared" si="15"/>
        <v/>
      </c>
      <c r="AC128" s="68" t="s">
        <v>1215</v>
      </c>
      <c r="AD128" s="68" t="s">
        <v>1215</v>
      </c>
      <c r="AE128" s="68" t="s">
        <v>1215</v>
      </c>
      <c r="AF128" s="68" t="s">
        <v>1215</v>
      </c>
      <c r="AG128" s="68" t="s">
        <v>1215</v>
      </c>
      <c r="AH128" s="68" t="s">
        <v>1215</v>
      </c>
      <c r="AI128" s="68" t="s">
        <v>1215</v>
      </c>
      <c r="AJ128" s="68" t="s">
        <v>1215</v>
      </c>
      <c r="AK128" s="68" t="s">
        <v>1215</v>
      </c>
      <c r="AL128" s="68"/>
      <c r="AM128" s="68" t="s">
        <v>1215</v>
      </c>
      <c r="AN128" s="84" t="str">
        <f t="shared" si="16"/>
        <v>Belum Dinilai</v>
      </c>
      <c r="AO128" s="84" t="str">
        <f t="shared" si="17"/>
        <v>Belum Dinilai</v>
      </c>
      <c r="AP128" s="68"/>
      <c r="AQ128" s="71">
        <f t="shared" si="18"/>
        <v>22</v>
      </c>
      <c r="AR128" s="71" t="str">
        <f t="shared" si="19"/>
        <v/>
      </c>
      <c r="AS128" s="71" t="str">
        <f t="shared" si="20"/>
        <v/>
      </c>
      <c r="AT128" s="69" t="str">
        <f t="shared" si="21"/>
        <v>Belum Dapat Ditentukan</v>
      </c>
      <c r="AU128" s="66" t="s">
        <v>1189</v>
      </c>
      <c r="AV128" s="66" t="s">
        <v>1204</v>
      </c>
      <c r="AW128" s="66" t="s">
        <v>1190</v>
      </c>
      <c r="AX128" s="66"/>
      <c r="AY128" s="66"/>
      <c r="AZ128" s="66" t="s">
        <v>927</v>
      </c>
      <c r="BA128" s="66"/>
      <c r="BB128" s="178"/>
      <c r="BC128" s="72">
        <v>2026</v>
      </c>
      <c r="BD128" s="66"/>
      <c r="BE128" s="178"/>
      <c r="BF128" s="66" t="s">
        <v>1278</v>
      </c>
    </row>
    <row r="129" spans="1:58" ht="56">
      <c r="A129" s="66" t="s">
        <v>1670</v>
      </c>
      <c r="B129" s="66" t="s">
        <v>1774</v>
      </c>
      <c r="C129" s="66"/>
      <c r="D129" s="66"/>
      <c r="E129" s="66" t="s">
        <v>1775</v>
      </c>
      <c r="F129" s="66" t="s">
        <v>1474</v>
      </c>
      <c r="G129" s="66" t="s">
        <v>1310</v>
      </c>
      <c r="H129" s="66" t="s">
        <v>1181</v>
      </c>
      <c r="I129" s="66" t="s">
        <v>1776</v>
      </c>
      <c r="J129" s="66" t="s">
        <v>1196</v>
      </c>
      <c r="K129" s="66" t="s">
        <v>1277</v>
      </c>
      <c r="L129" s="66" t="s">
        <v>891</v>
      </c>
      <c r="M129" s="66" t="s">
        <v>1266</v>
      </c>
      <c r="N129" s="66" t="s">
        <v>891</v>
      </c>
      <c r="O129" s="66" t="s">
        <v>1213</v>
      </c>
      <c r="P129" s="66" t="s">
        <v>891</v>
      </c>
      <c r="Q129" s="86" t="s">
        <v>1215</v>
      </c>
      <c r="R129" s="86" t="s">
        <v>1215</v>
      </c>
      <c r="S129" s="86" t="s">
        <v>1215</v>
      </c>
      <c r="T129" s="86" t="s">
        <v>1215</v>
      </c>
      <c r="U129" s="86" t="s">
        <v>1215</v>
      </c>
      <c r="V129" s="86" t="s">
        <v>1215</v>
      </c>
      <c r="W129" s="67"/>
      <c r="X129" s="84" t="str">
        <f t="shared" si="11"/>
        <v>Belum Dinilai</v>
      </c>
      <c r="Y129" s="84" t="str">
        <f t="shared" si="12"/>
        <v>Belum Dinilai</v>
      </c>
      <c r="Z129" s="85" t="str">
        <f t="shared" si="13"/>
        <v/>
      </c>
      <c r="AA129" s="85" t="str">
        <f t="shared" si="14"/>
        <v/>
      </c>
      <c r="AB129" s="85" t="str">
        <f t="shared" si="15"/>
        <v/>
      </c>
      <c r="AC129" s="68" t="s">
        <v>1215</v>
      </c>
      <c r="AD129" s="68" t="s">
        <v>1215</v>
      </c>
      <c r="AE129" s="68" t="s">
        <v>1215</v>
      </c>
      <c r="AF129" s="68" t="s">
        <v>1215</v>
      </c>
      <c r="AG129" s="68" t="s">
        <v>1215</v>
      </c>
      <c r="AH129" s="68" t="s">
        <v>1215</v>
      </c>
      <c r="AI129" s="68" t="s">
        <v>1215</v>
      </c>
      <c r="AJ129" s="68" t="s">
        <v>1215</v>
      </c>
      <c r="AK129" s="68" t="s">
        <v>1215</v>
      </c>
      <c r="AL129" s="68"/>
      <c r="AM129" s="68" t="s">
        <v>1215</v>
      </c>
      <c r="AN129" s="84" t="str">
        <f t="shared" si="16"/>
        <v>Belum Dinilai</v>
      </c>
      <c r="AO129" s="84" t="str">
        <f t="shared" si="17"/>
        <v>Belum Dinilai</v>
      </c>
      <c r="AP129" s="68"/>
      <c r="AQ129" s="71">
        <f t="shared" si="18"/>
        <v>22</v>
      </c>
      <c r="AR129" s="71" t="str">
        <f t="shared" si="19"/>
        <v/>
      </c>
      <c r="AS129" s="71" t="str">
        <f t="shared" si="20"/>
        <v/>
      </c>
      <c r="AT129" s="69" t="str">
        <f t="shared" si="21"/>
        <v>Belum Dapat Ditentukan</v>
      </c>
      <c r="AU129" s="66" t="s">
        <v>1189</v>
      </c>
      <c r="AV129" s="66" t="s">
        <v>1204</v>
      </c>
      <c r="AW129" s="66" t="s">
        <v>1190</v>
      </c>
      <c r="AX129" s="66"/>
      <c r="AY129" s="66"/>
      <c r="AZ129" s="66" t="s">
        <v>927</v>
      </c>
      <c r="BA129" s="66"/>
      <c r="BB129" s="178"/>
      <c r="BC129" s="72">
        <v>2026</v>
      </c>
      <c r="BD129" s="66"/>
      <c r="BE129" s="178"/>
      <c r="BF129" s="66" t="s">
        <v>1278</v>
      </c>
    </row>
    <row r="130" spans="1:58" ht="42">
      <c r="A130" s="66" t="s">
        <v>1673</v>
      </c>
      <c r="B130" s="66" t="s">
        <v>1778</v>
      </c>
      <c r="C130" s="66"/>
      <c r="D130" s="66"/>
      <c r="E130" s="66" t="s">
        <v>1779</v>
      </c>
      <c r="F130" s="66" t="s">
        <v>1474</v>
      </c>
      <c r="G130" s="66" t="s">
        <v>1310</v>
      </c>
      <c r="H130" s="66" t="s">
        <v>1181</v>
      </c>
      <c r="I130" s="66" t="s">
        <v>1780</v>
      </c>
      <c r="J130" s="66" t="s">
        <v>1210</v>
      </c>
      <c r="K130" s="66" t="s">
        <v>1197</v>
      </c>
      <c r="L130" s="66" t="s">
        <v>891</v>
      </c>
      <c r="M130" s="66" t="s">
        <v>1266</v>
      </c>
      <c r="N130" s="66" t="s">
        <v>891</v>
      </c>
      <c r="O130" s="66" t="s">
        <v>1277</v>
      </c>
      <c r="P130" s="66" t="s">
        <v>891</v>
      </c>
      <c r="Q130" s="86" t="s">
        <v>1215</v>
      </c>
      <c r="R130" s="86" t="s">
        <v>1215</v>
      </c>
      <c r="S130" s="86" t="s">
        <v>1215</v>
      </c>
      <c r="T130" s="86" t="s">
        <v>1215</v>
      </c>
      <c r="U130" s="86" t="s">
        <v>1215</v>
      </c>
      <c r="V130" s="86" t="s">
        <v>1215</v>
      </c>
      <c r="W130" s="67"/>
      <c r="X130" s="84" t="str">
        <f t="shared" si="11"/>
        <v>Belum Dinilai</v>
      </c>
      <c r="Y130" s="84" t="str">
        <f t="shared" si="12"/>
        <v>Belum Dinilai</v>
      </c>
      <c r="Z130" s="85" t="str">
        <f t="shared" si="13"/>
        <v/>
      </c>
      <c r="AA130" s="85" t="str">
        <f t="shared" si="14"/>
        <v/>
      </c>
      <c r="AB130" s="85" t="str">
        <f t="shared" si="15"/>
        <v/>
      </c>
      <c r="AC130" s="68" t="s">
        <v>1215</v>
      </c>
      <c r="AD130" s="68" t="s">
        <v>1215</v>
      </c>
      <c r="AE130" s="68" t="s">
        <v>1215</v>
      </c>
      <c r="AF130" s="68" t="s">
        <v>1215</v>
      </c>
      <c r="AG130" s="68" t="s">
        <v>1215</v>
      </c>
      <c r="AH130" s="68" t="s">
        <v>1215</v>
      </c>
      <c r="AI130" s="68" t="s">
        <v>1215</v>
      </c>
      <c r="AJ130" s="68" t="s">
        <v>1215</v>
      </c>
      <c r="AK130" s="68" t="s">
        <v>1215</v>
      </c>
      <c r="AL130" s="68"/>
      <c r="AM130" s="68" t="s">
        <v>1215</v>
      </c>
      <c r="AN130" s="84" t="str">
        <f t="shared" si="16"/>
        <v>Belum Dinilai</v>
      </c>
      <c r="AO130" s="84" t="str">
        <f t="shared" si="17"/>
        <v>Belum Dinilai</v>
      </c>
      <c r="AP130" s="68"/>
      <c r="AQ130" s="71">
        <f t="shared" si="18"/>
        <v>29</v>
      </c>
      <c r="AR130" s="71" t="str">
        <f t="shared" si="19"/>
        <v/>
      </c>
      <c r="AS130" s="71" t="str">
        <f t="shared" si="20"/>
        <v/>
      </c>
      <c r="AT130" s="69" t="str">
        <f t="shared" si="21"/>
        <v>Belum Dapat Ditentukan</v>
      </c>
      <c r="AU130" s="66" t="s">
        <v>1189</v>
      </c>
      <c r="AV130" s="66" t="s">
        <v>1204</v>
      </c>
      <c r="AW130" s="66" t="s">
        <v>1190</v>
      </c>
      <c r="AX130" s="66"/>
      <c r="AY130" s="66"/>
      <c r="AZ130" s="66" t="s">
        <v>927</v>
      </c>
      <c r="BA130" s="66"/>
      <c r="BB130" s="178"/>
      <c r="BC130" s="72">
        <v>2026</v>
      </c>
      <c r="BD130" s="66"/>
      <c r="BE130" s="178"/>
      <c r="BF130" s="66" t="s">
        <v>1278</v>
      </c>
    </row>
    <row r="131" spans="1:58" ht="42">
      <c r="A131" s="66" t="s">
        <v>1958</v>
      </c>
      <c r="B131" s="66" t="s">
        <v>1782</v>
      </c>
      <c r="C131" s="66"/>
      <c r="D131" s="66"/>
      <c r="E131" s="66" t="s">
        <v>1783</v>
      </c>
      <c r="F131" s="66" t="s">
        <v>1474</v>
      </c>
      <c r="G131" s="66" t="s">
        <v>1310</v>
      </c>
      <c r="H131" s="66" t="s">
        <v>1262</v>
      </c>
      <c r="I131" s="66" t="s">
        <v>1784</v>
      </c>
      <c r="J131" s="66" t="s">
        <v>1210</v>
      </c>
      <c r="K131" s="66" t="s">
        <v>1211</v>
      </c>
      <c r="L131" s="66" t="s">
        <v>891</v>
      </c>
      <c r="M131" s="66" t="s">
        <v>1266</v>
      </c>
      <c r="N131" s="66" t="s">
        <v>891</v>
      </c>
      <c r="O131" s="66" t="s">
        <v>1185</v>
      </c>
      <c r="P131" s="66" t="s">
        <v>891</v>
      </c>
      <c r="Q131" s="86" t="s">
        <v>1215</v>
      </c>
      <c r="R131" s="86" t="s">
        <v>1215</v>
      </c>
      <c r="S131" s="86" t="s">
        <v>1215</v>
      </c>
      <c r="T131" s="86" t="s">
        <v>1215</v>
      </c>
      <c r="U131" s="86" t="s">
        <v>1215</v>
      </c>
      <c r="V131" s="86" t="s">
        <v>1215</v>
      </c>
      <c r="W131" s="67"/>
      <c r="X131" s="84" t="str">
        <f t="shared" si="11"/>
        <v>Belum Dinilai</v>
      </c>
      <c r="Y131" s="84" t="str">
        <f t="shared" si="12"/>
        <v>Belum Dinilai</v>
      </c>
      <c r="Z131" s="85" t="str">
        <f t="shared" si="13"/>
        <v/>
      </c>
      <c r="AA131" s="85" t="str">
        <f t="shared" si="14"/>
        <v/>
      </c>
      <c r="AB131" s="85" t="str">
        <f t="shared" si="15"/>
        <v/>
      </c>
      <c r="AC131" s="68" t="s">
        <v>1215</v>
      </c>
      <c r="AD131" s="68" t="s">
        <v>1215</v>
      </c>
      <c r="AE131" s="68" t="s">
        <v>1215</v>
      </c>
      <c r="AF131" s="68" t="s">
        <v>1215</v>
      </c>
      <c r="AG131" s="68" t="s">
        <v>1215</v>
      </c>
      <c r="AH131" s="68" t="s">
        <v>1215</v>
      </c>
      <c r="AI131" s="68" t="s">
        <v>1215</v>
      </c>
      <c r="AJ131" s="68" t="s">
        <v>1215</v>
      </c>
      <c r="AK131" s="68" t="s">
        <v>1215</v>
      </c>
      <c r="AL131" s="68"/>
      <c r="AM131" s="68" t="s">
        <v>1215</v>
      </c>
      <c r="AN131" s="84" t="str">
        <f t="shared" si="16"/>
        <v>Belum Dinilai</v>
      </c>
      <c r="AO131" s="84" t="str">
        <f t="shared" si="17"/>
        <v>Belum Dinilai</v>
      </c>
      <c r="AP131" s="68"/>
      <c r="AQ131" s="71">
        <f t="shared" si="18"/>
        <v>29</v>
      </c>
      <c r="AR131" s="71" t="str">
        <f t="shared" si="19"/>
        <v/>
      </c>
      <c r="AS131" s="71" t="str">
        <f t="shared" si="20"/>
        <v/>
      </c>
      <c r="AT131" s="69" t="str">
        <f t="shared" si="21"/>
        <v>Belum Dapat Ditentukan</v>
      </c>
      <c r="AU131" s="66" t="s">
        <v>1203</v>
      </c>
      <c r="AV131" s="66" t="s">
        <v>1204</v>
      </c>
      <c r="AW131" s="66" t="s">
        <v>1190</v>
      </c>
      <c r="AX131" s="66"/>
      <c r="AY131" s="66"/>
      <c r="AZ131" s="66" t="s">
        <v>927</v>
      </c>
      <c r="BA131" s="66"/>
      <c r="BB131" s="178"/>
      <c r="BC131" s="72">
        <v>2026</v>
      </c>
      <c r="BD131" s="66"/>
      <c r="BE131" s="178"/>
      <c r="BF131" s="66" t="s">
        <v>1278</v>
      </c>
    </row>
    <row r="132" spans="1:58" ht="28">
      <c r="A132" s="66" t="s">
        <v>1676</v>
      </c>
      <c r="B132" s="66" t="s">
        <v>1787</v>
      </c>
      <c r="C132" s="66"/>
      <c r="D132" s="66"/>
      <c r="E132" s="66" t="s">
        <v>1788</v>
      </c>
      <c r="F132" s="66" t="s">
        <v>1565</v>
      </c>
      <c r="G132" s="66" t="s">
        <v>1275</v>
      </c>
      <c r="H132" s="66" t="s">
        <v>1262</v>
      </c>
      <c r="I132" s="66" t="s">
        <v>1789</v>
      </c>
      <c r="J132" s="66" t="s">
        <v>1182</v>
      </c>
      <c r="K132" s="66" t="s">
        <v>1277</v>
      </c>
      <c r="L132" s="66" t="s">
        <v>1215</v>
      </c>
      <c r="M132" s="66" t="s">
        <v>1265</v>
      </c>
      <c r="N132" s="66" t="s">
        <v>1215</v>
      </c>
      <c r="O132" s="66" t="s">
        <v>1277</v>
      </c>
      <c r="P132" s="66" t="s">
        <v>1215</v>
      </c>
      <c r="Q132" s="86" t="s">
        <v>1215</v>
      </c>
      <c r="R132" s="86" t="s">
        <v>1215</v>
      </c>
      <c r="S132" s="86" t="s">
        <v>1215</v>
      </c>
      <c r="T132" s="86" t="s">
        <v>1215</v>
      </c>
      <c r="U132" s="86" t="s">
        <v>1215</v>
      </c>
      <c r="V132" s="86" t="s">
        <v>1215</v>
      </c>
      <c r="W132" s="67"/>
      <c r="X132" s="84" t="str">
        <f t="shared" si="11"/>
        <v>Belum Dinilai</v>
      </c>
      <c r="Y132" s="84" t="str">
        <f t="shared" si="12"/>
        <v>Belum Dinilai</v>
      </c>
      <c r="Z132" s="85" t="str">
        <f t="shared" si="13"/>
        <v/>
      </c>
      <c r="AA132" s="85" t="str">
        <f t="shared" si="14"/>
        <v/>
      </c>
      <c r="AB132" s="85" t="str">
        <f t="shared" si="15"/>
        <v/>
      </c>
      <c r="AC132" s="68" t="s">
        <v>1215</v>
      </c>
      <c r="AD132" s="68" t="s">
        <v>1215</v>
      </c>
      <c r="AE132" s="68" t="s">
        <v>1215</v>
      </c>
      <c r="AF132" s="68" t="s">
        <v>1215</v>
      </c>
      <c r="AG132" s="68" t="s">
        <v>1215</v>
      </c>
      <c r="AH132" s="68" t="s">
        <v>1215</v>
      </c>
      <c r="AI132" s="68" t="s">
        <v>1215</v>
      </c>
      <c r="AJ132" s="68" t="s">
        <v>1215</v>
      </c>
      <c r="AK132" s="68" t="s">
        <v>1215</v>
      </c>
      <c r="AL132" s="68"/>
      <c r="AM132" s="68" t="s">
        <v>1215</v>
      </c>
      <c r="AN132" s="84" t="str">
        <f t="shared" si="16"/>
        <v>Belum Dinilai</v>
      </c>
      <c r="AO132" s="84" t="str">
        <f t="shared" si="17"/>
        <v>Belum Dinilai</v>
      </c>
      <c r="AP132" s="68"/>
      <c r="AQ132" s="71" t="str">
        <f t="shared" si="18"/>
        <v/>
      </c>
      <c r="AR132" s="71" t="str">
        <f t="shared" si="19"/>
        <v/>
      </c>
      <c r="AS132" s="71" t="str">
        <f t="shared" si="20"/>
        <v/>
      </c>
      <c r="AT132" s="69" t="str">
        <f t="shared" si="21"/>
        <v>Belum Dapat Ditentukan</v>
      </c>
      <c r="AU132" s="66" t="s">
        <v>1189</v>
      </c>
      <c r="AV132" s="66" t="s">
        <v>1204</v>
      </c>
      <c r="AW132" s="66" t="s">
        <v>1190</v>
      </c>
      <c r="AX132" s="66"/>
      <c r="AY132" s="66"/>
      <c r="AZ132" s="66" t="s">
        <v>927</v>
      </c>
      <c r="BA132" s="66"/>
      <c r="BB132" s="178"/>
      <c r="BC132" s="72">
        <v>2026</v>
      </c>
      <c r="BD132" s="66"/>
      <c r="BE132" s="178"/>
      <c r="BF132" s="66" t="s">
        <v>1278</v>
      </c>
    </row>
    <row r="133" spans="1:58" ht="42">
      <c r="A133" s="66" t="s">
        <v>1679</v>
      </c>
      <c r="B133" s="66" t="s">
        <v>1791</v>
      </c>
      <c r="C133" s="66"/>
      <c r="D133" s="66"/>
      <c r="E133" s="66" t="s">
        <v>1792</v>
      </c>
      <c r="F133" s="66" t="s">
        <v>1565</v>
      </c>
      <c r="G133" s="66" t="s">
        <v>1275</v>
      </c>
      <c r="H133" s="66" t="s">
        <v>1262</v>
      </c>
      <c r="I133" s="66" t="s">
        <v>1793</v>
      </c>
      <c r="J133" s="66" t="s">
        <v>1196</v>
      </c>
      <c r="K133" s="66" t="s">
        <v>1211</v>
      </c>
      <c r="L133" s="66" t="s">
        <v>891</v>
      </c>
      <c r="M133" s="66" t="s">
        <v>1305</v>
      </c>
      <c r="N133" s="66" t="s">
        <v>1215</v>
      </c>
      <c r="O133" s="66" t="s">
        <v>1213</v>
      </c>
      <c r="P133" s="66" t="s">
        <v>891</v>
      </c>
      <c r="Q133" s="86" t="s">
        <v>1215</v>
      </c>
      <c r="R133" s="86" t="s">
        <v>1215</v>
      </c>
      <c r="S133" s="86" t="s">
        <v>1215</v>
      </c>
      <c r="T133" s="86" t="s">
        <v>1215</v>
      </c>
      <c r="U133" s="86" t="s">
        <v>1215</v>
      </c>
      <c r="V133" s="86" t="s">
        <v>1215</v>
      </c>
      <c r="W133" s="67"/>
      <c r="X133" s="84" t="str">
        <f t="shared" si="11"/>
        <v>Belum Dinilai</v>
      </c>
      <c r="Y133" s="84" t="str">
        <f t="shared" si="12"/>
        <v>Belum Dinilai</v>
      </c>
      <c r="Z133" s="85" t="str">
        <f t="shared" si="13"/>
        <v/>
      </c>
      <c r="AA133" s="85" t="str">
        <f t="shared" si="14"/>
        <v/>
      </c>
      <c r="AB133" s="85" t="str">
        <f t="shared" si="15"/>
        <v/>
      </c>
      <c r="AC133" s="68" t="s">
        <v>1215</v>
      </c>
      <c r="AD133" s="68" t="s">
        <v>1215</v>
      </c>
      <c r="AE133" s="68" t="s">
        <v>1215</v>
      </c>
      <c r="AF133" s="68" t="s">
        <v>1215</v>
      </c>
      <c r="AG133" s="68" t="s">
        <v>1215</v>
      </c>
      <c r="AH133" s="68" t="s">
        <v>1215</v>
      </c>
      <c r="AI133" s="68" t="s">
        <v>1215</v>
      </c>
      <c r="AJ133" s="68" t="s">
        <v>1215</v>
      </c>
      <c r="AK133" s="68" t="s">
        <v>1215</v>
      </c>
      <c r="AL133" s="68"/>
      <c r="AM133" s="68" t="s">
        <v>1215</v>
      </c>
      <c r="AN133" s="84" t="str">
        <f t="shared" si="16"/>
        <v>Belum Dinilai</v>
      </c>
      <c r="AO133" s="84" t="str">
        <f t="shared" si="17"/>
        <v>Belum Dinilai</v>
      </c>
      <c r="AP133" s="68"/>
      <c r="AQ133" s="71" t="str">
        <f t="shared" si="18"/>
        <v/>
      </c>
      <c r="AR133" s="71" t="str">
        <f t="shared" si="19"/>
        <v/>
      </c>
      <c r="AS133" s="71" t="str">
        <f t="shared" si="20"/>
        <v/>
      </c>
      <c r="AT133" s="69" t="str">
        <f t="shared" si="21"/>
        <v>Belum Dapat Ditentukan</v>
      </c>
      <c r="AU133" s="66" t="s">
        <v>1203</v>
      </c>
      <c r="AV133" s="66" t="s">
        <v>1204</v>
      </c>
      <c r="AW133" s="66" t="s">
        <v>1190</v>
      </c>
      <c r="AX133" s="66"/>
      <c r="AY133" s="66"/>
      <c r="AZ133" s="66" t="s">
        <v>927</v>
      </c>
      <c r="BA133" s="66"/>
      <c r="BB133" s="178"/>
      <c r="BC133" s="72">
        <v>2026</v>
      </c>
      <c r="BD133" s="66"/>
      <c r="BE133" s="178"/>
      <c r="BF133" s="66" t="s">
        <v>1278</v>
      </c>
    </row>
    <row r="134" spans="1:58" ht="56">
      <c r="A134" s="66" t="s">
        <v>1683</v>
      </c>
      <c r="B134" s="66" t="s">
        <v>1795</v>
      </c>
      <c r="C134" s="66"/>
      <c r="D134" s="66"/>
      <c r="E134" s="66" t="s">
        <v>1792</v>
      </c>
      <c r="F134" s="66" t="s">
        <v>1565</v>
      </c>
      <c r="G134" s="66" t="s">
        <v>1275</v>
      </c>
      <c r="H134" s="66" t="s">
        <v>1262</v>
      </c>
      <c r="I134" s="66" t="s">
        <v>1796</v>
      </c>
      <c r="J134" s="66" t="s">
        <v>1210</v>
      </c>
      <c r="K134" s="66" t="s">
        <v>1197</v>
      </c>
      <c r="L134" s="66" t="s">
        <v>891</v>
      </c>
      <c r="M134" s="66" t="s">
        <v>1266</v>
      </c>
      <c r="N134" s="66" t="s">
        <v>891</v>
      </c>
      <c r="O134" s="66" t="s">
        <v>1213</v>
      </c>
      <c r="P134" s="66" t="s">
        <v>891</v>
      </c>
      <c r="Q134" s="86" t="s">
        <v>1215</v>
      </c>
      <c r="R134" s="86" t="s">
        <v>1215</v>
      </c>
      <c r="S134" s="86" t="s">
        <v>1215</v>
      </c>
      <c r="T134" s="86" t="s">
        <v>1215</v>
      </c>
      <c r="U134" s="86" t="s">
        <v>1215</v>
      </c>
      <c r="V134" s="86" t="s">
        <v>1215</v>
      </c>
      <c r="W134" s="67"/>
      <c r="X134" s="84" t="str">
        <f t="shared" ref="X134:X197" si="22">IF(COUNTIF(R134:V134,"Belum Dinilai")&gt;0,"Belum Dinilai",IF(COUNTIF(R134:V134,"Ya")=0,"Tidak ada faktor rentan",IF(R134="Ya","Lansia; ","")&amp;IF(S134="Ya","Penyandang disabilitas; ","")&amp;IF(T134="Ya","Kepala keluarga perempuan; ","")&amp;IF(U134="Ya","Balita; ","")&amp;IF(V134="Ya","Anggota keluarga dengan ketergantungan tinggi; ","")))</f>
        <v>Belum Dinilai</v>
      </c>
      <c r="Y134" s="84" t="str">
        <f t="shared" ref="Y134:Y197" si="23">IF(COUNTIF(R134:V134,"Belum Dinilai")&gt;0,"Belum Dinilai",IF(COUNTIF(R134:V134,"Ya")=0,"Tidak Ada Faktor Rentan",IF(COUNTIF(R134:V134,"Ya")=1,"1 Faktor Rentan","2 atau Lebih Faktor Rentan")))</f>
        <v>Belum Dinilai</v>
      </c>
      <c r="Z134" s="85" t="str">
        <f t="shared" ref="Z134:Z197" si="24">IF(OR(Q134="",Q134="Belum Dinilai"),"",IF(Q134="Terverifikasi DTKS/P3KE/MBR",10,IF(Q134="Diusulkan, Belum Terverifikasi",5,0)))</f>
        <v/>
      </c>
      <c r="AA134" s="85" t="str">
        <f t="shared" ref="AA134:AA197" si="25">IF(COUNTIF(R134:V134,"Belum Dinilai")&gt;0,"",IF(COUNTIF(R134:V134,"Ya")=0,0,IF(COUNTIF(R134:V134,"Ya")=1,5,10)))</f>
        <v/>
      </c>
      <c r="AB134" s="85" t="str">
        <f t="shared" ref="AB134:AB197" si="26">IF(OR(Z134="",AA134=""),"",Z134+AA134)</f>
        <v/>
      </c>
      <c r="AC134" s="68" t="s">
        <v>1215</v>
      </c>
      <c r="AD134" s="68" t="s">
        <v>1215</v>
      </c>
      <c r="AE134" s="68" t="s">
        <v>1215</v>
      </c>
      <c r="AF134" s="68" t="s">
        <v>1215</v>
      </c>
      <c r="AG134" s="68" t="s">
        <v>1215</v>
      </c>
      <c r="AH134" s="68" t="s">
        <v>1215</v>
      </c>
      <c r="AI134" s="68" t="s">
        <v>1215</v>
      </c>
      <c r="AJ134" s="68" t="s">
        <v>1215</v>
      </c>
      <c r="AK134" s="68" t="s">
        <v>1215</v>
      </c>
      <c r="AL134" s="68"/>
      <c r="AM134" s="68" t="s">
        <v>1215</v>
      </c>
      <c r="AN134" s="84" t="str">
        <f t="shared" ref="AN134:AN197" si="27">IF(AND(COUNTIF(AC134:AK134,"Ya")=0,AL134=""),IF(COUNTIF(AC134:AK134,"Belum Dinilai")&gt;0,"Belum Dinilai","Tidak ada risiko khusus"),IF(AC134="Ya","Bangunan berpotensi roboh; ","")&amp;IF(AD134="Ya","Bekas kebakaran dan tidak aman dihuni; ","")&amp;IF(AE134="Ya","Atap atau dinding utama hampir runtuh; ","")&amp;IF(AF134="Ya","Genangan yang membahayakan; ","")&amp;IF(AG134="Ya","Struktur rumah tidak stabil; ","")&amp;IF(AH134="Ya","Instalasi listrik berbahaya; ","")&amp;IF(AI134="Ya","Komponen bangunan lepas atau lapuk; ","")&amp;IF(AJ134="Ya","Akses keluar atau evakuasi terbatas; ","")&amp;IF(AK134="Ya","Lokasi rawan bencana; ","")&amp;IF(AL134&lt;&gt;"","Lainnya: "&amp;AL134,""))</f>
        <v>Belum Dinilai</v>
      </c>
      <c r="AO134" s="84" t="str">
        <f t="shared" ref="AO134:AO197" si="28">IF(AR134="","Belum Dinilai",IF(AR134=10,"Risiko Tinggi/Darurat",IF(AR134=5,"Risiko Sedang","Tidak Ada Risiko Khusus")))</f>
        <v>Belum Dinilai</v>
      </c>
      <c r="AP134" s="68"/>
      <c r="AQ134" s="71">
        <f t="shared" ref="AQ134:AQ197" si="29">IF(OR(J134="",J134="Belum Dapat Ditentukan",L134="",L134="Belum Dinilai",N134="",N134="Belum Dinilai",P134="",P134="Belum Dinilai"),"",IF(J134="Permanen",0,IF(J134="Semipermanen",8,IF(J134="Nonpermanen",15,0)))+IF(L134="Baik",0,IF(L134="Rusak Ringan",5,IF(L134="Rusak Sedang",10,IF(L134="Rusak Berat",15,IF(L134="Tidak Ada/Terbuka",20,0)))))+IF(N134="Baik",0,IF(N134="Rusak Ringan",5,IF(N134="Rusak Sedang",10,IF(N134="Rusak Berat",15,IF(N134="Tidak Ada/Terbuka",20,0)))))+IF(P134="Baik",0,IF(P134="Rusak Ringan",4,IF(P134="Rusak Sedang",8,IF(P134="Rusak Berat",12,IF(P134="Tidak Layak",15,0))))))</f>
        <v>29</v>
      </c>
      <c r="AR134" s="71" t="str">
        <f t="shared" ref="AR134:AR197" si="30">IF(
 OR(
  COUNTIF(AC134:AH134,"Ya")&gt;0,
  AND(AL134&lt;&gt;"",AM134="Risiko Tinggi/Darurat"),
  COUNTIF(AI134:AK134,"Ya")+IF(AND(AL134&lt;&gt;"",AM134="Risiko Sedang"),1,0)&gt;=2
 ),
 10,
 IF(
  OR(
   COUNTIF(AC134:AK134,"Belum Dinilai")&gt;0,
   AND(AL134&lt;&gt;"",OR(AM134="",AM134="Belum Dinilai")),
   AND(AL134="",OR(AM134="Risiko Sedang",AM134="Risiko Tinggi/Darurat"))
  ),
  "",
  IF(
   COUNTIF(AI134:AK134,"Ya")+IF(AND(AL134&lt;&gt;"",AM134="Risiko Sedang"),1,0)=1,
   5,
   0
  )
 )
)</f>
        <v/>
      </c>
      <c r="AS134" s="71" t="str">
        <f t="shared" ref="AS134:AS197" si="31">IF(OR(AQ134="",AB134="",AR134=""),"",AQ134+AB134+AR134)</f>
        <v/>
      </c>
      <c r="AT134" s="69" t="str">
        <f t="shared" ref="AT134:AT197" si="32">IF(AS134="","Belum Dapat Ditentukan",IF(AS134&gt;=80,"Sangat Tinggi",IF(OR(AO134="Risiko Tinggi/Darurat",(IF(L134="Rusak Berat",1,0)+IF(L134="Tidak Ada/Terbuka",1,0)+IF(N134="Rusak Berat",1,0)+IF(N134="Tidak Ada/Terbuka",1,0)+IF(P134="Rusak Berat",1,0)+IF(P134="Tidak Layak",1,0))&gt;=2),"Tinggi",IF(AS134&gt;=65,"Tinggi",IF(AS134&gt;=50,"Sedang","Rendah")))))</f>
        <v>Belum Dapat Ditentukan</v>
      </c>
      <c r="AU134" s="66" t="s">
        <v>1189</v>
      </c>
      <c r="AV134" s="66" t="s">
        <v>1204</v>
      </c>
      <c r="AW134" s="66" t="s">
        <v>1190</v>
      </c>
      <c r="AX134" s="66"/>
      <c r="AY134" s="66"/>
      <c r="AZ134" s="66" t="s">
        <v>927</v>
      </c>
      <c r="BA134" s="66"/>
      <c r="BB134" s="178"/>
      <c r="BC134" s="72">
        <v>2026</v>
      </c>
      <c r="BD134" s="66"/>
      <c r="BE134" s="178"/>
      <c r="BF134" s="66" t="s">
        <v>1278</v>
      </c>
    </row>
    <row r="135" spans="1:58" ht="56">
      <c r="A135" s="66" t="s">
        <v>1685</v>
      </c>
      <c r="B135" s="66" t="s">
        <v>1797</v>
      </c>
      <c r="C135" s="66"/>
      <c r="D135" s="66"/>
      <c r="E135" s="66" t="s">
        <v>1730</v>
      </c>
      <c r="F135" s="66" t="s">
        <v>1565</v>
      </c>
      <c r="G135" s="66" t="s">
        <v>1275</v>
      </c>
      <c r="H135" s="66" t="s">
        <v>1181</v>
      </c>
      <c r="I135" s="66" t="s">
        <v>1798</v>
      </c>
      <c r="J135" s="66" t="s">
        <v>1210</v>
      </c>
      <c r="K135" s="66" t="s">
        <v>1197</v>
      </c>
      <c r="L135" s="66" t="s">
        <v>891</v>
      </c>
      <c r="M135" s="66" t="s">
        <v>1266</v>
      </c>
      <c r="N135" s="66" t="s">
        <v>891</v>
      </c>
      <c r="O135" s="66" t="s">
        <v>1213</v>
      </c>
      <c r="P135" s="66" t="s">
        <v>891</v>
      </c>
      <c r="Q135" s="86" t="s">
        <v>1215</v>
      </c>
      <c r="R135" s="86" t="s">
        <v>1215</v>
      </c>
      <c r="S135" s="86" t="s">
        <v>1215</v>
      </c>
      <c r="T135" s="86" t="s">
        <v>1215</v>
      </c>
      <c r="U135" s="86" t="s">
        <v>1215</v>
      </c>
      <c r="V135" s="86" t="s">
        <v>1215</v>
      </c>
      <c r="W135" s="67"/>
      <c r="X135" s="84" t="str">
        <f t="shared" si="22"/>
        <v>Belum Dinilai</v>
      </c>
      <c r="Y135" s="84" t="str">
        <f t="shared" si="23"/>
        <v>Belum Dinilai</v>
      </c>
      <c r="Z135" s="85" t="str">
        <f t="shared" si="24"/>
        <v/>
      </c>
      <c r="AA135" s="85" t="str">
        <f t="shared" si="25"/>
        <v/>
      </c>
      <c r="AB135" s="85" t="str">
        <f t="shared" si="26"/>
        <v/>
      </c>
      <c r="AC135" s="68" t="s">
        <v>1215</v>
      </c>
      <c r="AD135" s="68" t="s">
        <v>1215</v>
      </c>
      <c r="AE135" s="68" t="s">
        <v>1215</v>
      </c>
      <c r="AF135" s="68" t="s">
        <v>1215</v>
      </c>
      <c r="AG135" s="68" t="s">
        <v>1215</v>
      </c>
      <c r="AH135" s="68" t="s">
        <v>1215</v>
      </c>
      <c r="AI135" s="68" t="s">
        <v>1215</v>
      </c>
      <c r="AJ135" s="68" t="s">
        <v>1215</v>
      </c>
      <c r="AK135" s="68" t="s">
        <v>1215</v>
      </c>
      <c r="AL135" s="68"/>
      <c r="AM135" s="68" t="s">
        <v>1215</v>
      </c>
      <c r="AN135" s="84" t="str">
        <f t="shared" si="27"/>
        <v>Belum Dinilai</v>
      </c>
      <c r="AO135" s="84" t="str">
        <f t="shared" si="28"/>
        <v>Belum Dinilai</v>
      </c>
      <c r="AP135" s="68"/>
      <c r="AQ135" s="71">
        <f t="shared" si="29"/>
        <v>29</v>
      </c>
      <c r="AR135" s="71" t="str">
        <f t="shared" si="30"/>
        <v/>
      </c>
      <c r="AS135" s="71" t="str">
        <f t="shared" si="31"/>
        <v/>
      </c>
      <c r="AT135" s="69" t="str">
        <f t="shared" si="32"/>
        <v>Belum Dapat Ditentukan</v>
      </c>
      <c r="AU135" s="66" t="s">
        <v>1189</v>
      </c>
      <c r="AV135" s="66" t="s">
        <v>1204</v>
      </c>
      <c r="AW135" s="66" t="s">
        <v>1898</v>
      </c>
      <c r="AX135" s="66" t="s">
        <v>1206</v>
      </c>
      <c r="AY135" s="66">
        <v>2022</v>
      </c>
      <c r="AZ135" s="66" t="s">
        <v>927</v>
      </c>
      <c r="BA135" s="66"/>
      <c r="BB135" s="178"/>
      <c r="BC135" s="72">
        <v>2026</v>
      </c>
      <c r="BD135" s="66"/>
      <c r="BE135" s="178"/>
      <c r="BF135" s="66" t="s">
        <v>1278</v>
      </c>
    </row>
    <row r="136" spans="1:58" ht="70">
      <c r="A136" s="66" t="s">
        <v>1688</v>
      </c>
      <c r="B136" s="66" t="s">
        <v>1799</v>
      </c>
      <c r="C136" s="66"/>
      <c r="D136" s="66"/>
      <c r="E136" s="66" t="s">
        <v>1800</v>
      </c>
      <c r="F136" s="66" t="s">
        <v>1565</v>
      </c>
      <c r="G136" s="66" t="s">
        <v>1275</v>
      </c>
      <c r="H136" s="66" t="s">
        <v>1181</v>
      </c>
      <c r="I136" s="66" t="s">
        <v>1801</v>
      </c>
      <c r="J136" s="66" t="s">
        <v>1196</v>
      </c>
      <c r="K136" s="66" t="s">
        <v>1277</v>
      </c>
      <c r="L136" s="66" t="s">
        <v>891</v>
      </c>
      <c r="M136" s="66" t="s">
        <v>1266</v>
      </c>
      <c r="N136" s="66" t="s">
        <v>891</v>
      </c>
      <c r="O136" s="66" t="s">
        <v>1213</v>
      </c>
      <c r="P136" s="66" t="s">
        <v>891</v>
      </c>
      <c r="Q136" s="86" t="s">
        <v>1215</v>
      </c>
      <c r="R136" s="86" t="s">
        <v>1215</v>
      </c>
      <c r="S136" s="86" t="s">
        <v>1215</v>
      </c>
      <c r="T136" s="86" t="s">
        <v>1215</v>
      </c>
      <c r="U136" s="86" t="s">
        <v>1215</v>
      </c>
      <c r="V136" s="86" t="s">
        <v>1215</v>
      </c>
      <c r="W136" s="67"/>
      <c r="X136" s="84" t="str">
        <f t="shared" si="22"/>
        <v>Belum Dinilai</v>
      </c>
      <c r="Y136" s="84" t="str">
        <f t="shared" si="23"/>
        <v>Belum Dinilai</v>
      </c>
      <c r="Z136" s="85" t="str">
        <f t="shared" si="24"/>
        <v/>
      </c>
      <c r="AA136" s="85" t="str">
        <f t="shared" si="25"/>
        <v/>
      </c>
      <c r="AB136" s="85" t="str">
        <f t="shared" si="26"/>
        <v/>
      </c>
      <c r="AC136" s="68" t="s">
        <v>1215</v>
      </c>
      <c r="AD136" s="68" t="s">
        <v>1215</v>
      </c>
      <c r="AE136" s="68" t="s">
        <v>1215</v>
      </c>
      <c r="AF136" s="68" t="s">
        <v>1215</v>
      </c>
      <c r="AG136" s="68" t="s">
        <v>1215</v>
      </c>
      <c r="AH136" s="68" t="s">
        <v>1215</v>
      </c>
      <c r="AI136" s="68" t="s">
        <v>1215</v>
      </c>
      <c r="AJ136" s="68" t="s">
        <v>1215</v>
      </c>
      <c r="AK136" s="68" t="s">
        <v>1215</v>
      </c>
      <c r="AL136" s="68"/>
      <c r="AM136" s="68" t="s">
        <v>1215</v>
      </c>
      <c r="AN136" s="84" t="str">
        <f t="shared" si="27"/>
        <v>Belum Dinilai</v>
      </c>
      <c r="AO136" s="84" t="str">
        <f t="shared" si="28"/>
        <v>Belum Dinilai</v>
      </c>
      <c r="AP136" s="68"/>
      <c r="AQ136" s="71">
        <f t="shared" si="29"/>
        <v>22</v>
      </c>
      <c r="AR136" s="71" t="str">
        <f t="shared" si="30"/>
        <v/>
      </c>
      <c r="AS136" s="71" t="str">
        <f t="shared" si="31"/>
        <v/>
      </c>
      <c r="AT136" s="69" t="str">
        <f t="shared" si="32"/>
        <v>Belum Dapat Ditentukan</v>
      </c>
      <c r="AU136" s="66" t="s">
        <v>1189</v>
      </c>
      <c r="AV136" s="66" t="s">
        <v>1204</v>
      </c>
      <c r="AW136" s="66" t="s">
        <v>1898</v>
      </c>
      <c r="AX136" s="66" t="s">
        <v>1206</v>
      </c>
      <c r="AY136" s="66">
        <v>2022</v>
      </c>
      <c r="AZ136" s="66" t="s">
        <v>927</v>
      </c>
      <c r="BA136" s="66"/>
      <c r="BB136" s="178"/>
      <c r="BC136" s="72">
        <v>2026</v>
      </c>
      <c r="BD136" s="66"/>
      <c r="BE136" s="178"/>
      <c r="BF136" s="66" t="s">
        <v>1278</v>
      </c>
    </row>
    <row r="137" spans="1:58" ht="42">
      <c r="A137" s="66" t="s">
        <v>1690</v>
      </c>
      <c r="B137" s="66" t="s">
        <v>1802</v>
      </c>
      <c r="C137" s="66"/>
      <c r="D137" s="66"/>
      <c r="E137" s="66" t="s">
        <v>1803</v>
      </c>
      <c r="F137" s="66" t="s">
        <v>1458</v>
      </c>
      <c r="G137" s="66" t="s">
        <v>1310</v>
      </c>
      <c r="H137" s="66" t="s">
        <v>1195</v>
      </c>
      <c r="I137" s="66" t="s">
        <v>1804</v>
      </c>
      <c r="J137" s="66" t="s">
        <v>1182</v>
      </c>
      <c r="K137" s="66" t="s">
        <v>1197</v>
      </c>
      <c r="L137" s="66" t="s">
        <v>891</v>
      </c>
      <c r="M137" s="66" t="s">
        <v>1265</v>
      </c>
      <c r="N137" s="66" t="s">
        <v>891</v>
      </c>
      <c r="O137" s="66" t="s">
        <v>1213</v>
      </c>
      <c r="P137" s="66" t="s">
        <v>891</v>
      </c>
      <c r="Q137" s="86" t="s">
        <v>1215</v>
      </c>
      <c r="R137" s="86" t="s">
        <v>1215</v>
      </c>
      <c r="S137" s="86" t="s">
        <v>1215</v>
      </c>
      <c r="T137" s="86" t="s">
        <v>1215</v>
      </c>
      <c r="U137" s="86" t="s">
        <v>1215</v>
      </c>
      <c r="V137" s="86" t="s">
        <v>1215</v>
      </c>
      <c r="W137" s="67"/>
      <c r="X137" s="84" t="str">
        <f t="shared" si="22"/>
        <v>Belum Dinilai</v>
      </c>
      <c r="Y137" s="84" t="str">
        <f t="shared" si="23"/>
        <v>Belum Dinilai</v>
      </c>
      <c r="Z137" s="85" t="str">
        <f t="shared" si="24"/>
        <v/>
      </c>
      <c r="AA137" s="85" t="str">
        <f t="shared" si="25"/>
        <v/>
      </c>
      <c r="AB137" s="85" t="str">
        <f t="shared" si="26"/>
        <v/>
      </c>
      <c r="AC137" s="68" t="s">
        <v>1215</v>
      </c>
      <c r="AD137" s="68" t="s">
        <v>1215</v>
      </c>
      <c r="AE137" s="68" t="s">
        <v>1215</v>
      </c>
      <c r="AF137" s="68" t="s">
        <v>1215</v>
      </c>
      <c r="AG137" s="68" t="s">
        <v>1215</v>
      </c>
      <c r="AH137" s="68" t="s">
        <v>1215</v>
      </c>
      <c r="AI137" s="68" t="s">
        <v>1215</v>
      </c>
      <c r="AJ137" s="68" t="s">
        <v>1215</v>
      </c>
      <c r="AK137" s="68" t="s">
        <v>1215</v>
      </c>
      <c r="AL137" s="68"/>
      <c r="AM137" s="68" t="s">
        <v>1215</v>
      </c>
      <c r="AN137" s="84" t="str">
        <f t="shared" si="27"/>
        <v>Belum Dinilai</v>
      </c>
      <c r="AO137" s="84" t="str">
        <f t="shared" si="28"/>
        <v>Belum Dinilai</v>
      </c>
      <c r="AP137" s="68"/>
      <c r="AQ137" s="71">
        <f t="shared" si="29"/>
        <v>14</v>
      </c>
      <c r="AR137" s="71" t="str">
        <f t="shared" si="30"/>
        <v/>
      </c>
      <c r="AS137" s="71" t="str">
        <f t="shared" si="31"/>
        <v/>
      </c>
      <c r="AT137" s="69" t="str">
        <f t="shared" si="32"/>
        <v>Belum Dapat Ditentukan</v>
      </c>
      <c r="AU137" s="66" t="s">
        <v>1189</v>
      </c>
      <c r="AV137" s="66" t="s">
        <v>1204</v>
      </c>
      <c r="AW137" s="66" t="s">
        <v>1898</v>
      </c>
      <c r="AX137" s="66" t="s">
        <v>1206</v>
      </c>
      <c r="AY137" s="66">
        <v>2023</v>
      </c>
      <c r="AZ137" s="66" t="s">
        <v>927</v>
      </c>
      <c r="BA137" s="66"/>
      <c r="BB137" s="178"/>
      <c r="BC137" s="72">
        <v>2026</v>
      </c>
      <c r="BD137" s="66"/>
      <c r="BE137" s="178"/>
      <c r="BF137" s="66" t="s">
        <v>1278</v>
      </c>
    </row>
    <row r="138" spans="1:58" ht="28">
      <c r="A138" s="66" t="s">
        <v>1959</v>
      </c>
      <c r="B138" s="66" t="s">
        <v>1805</v>
      </c>
      <c r="C138" s="66"/>
      <c r="D138" s="66"/>
      <c r="E138" s="66" t="s">
        <v>1806</v>
      </c>
      <c r="F138" s="66" t="s">
        <v>1356</v>
      </c>
      <c r="G138" s="66" t="s">
        <v>1289</v>
      </c>
      <c r="H138" s="66" t="s">
        <v>1181</v>
      </c>
      <c r="I138" s="66" t="s">
        <v>1807</v>
      </c>
      <c r="J138" s="66" t="s">
        <v>1210</v>
      </c>
      <c r="K138" s="66" t="s">
        <v>1211</v>
      </c>
      <c r="L138" s="66" t="s">
        <v>891</v>
      </c>
      <c r="M138" s="66" t="s">
        <v>1266</v>
      </c>
      <c r="N138" s="66" t="s">
        <v>891</v>
      </c>
      <c r="O138" s="66" t="s">
        <v>1213</v>
      </c>
      <c r="P138" s="66" t="s">
        <v>891</v>
      </c>
      <c r="Q138" s="86" t="s">
        <v>1215</v>
      </c>
      <c r="R138" s="86" t="s">
        <v>1215</v>
      </c>
      <c r="S138" s="86" t="s">
        <v>1215</v>
      </c>
      <c r="T138" s="86" t="s">
        <v>1215</v>
      </c>
      <c r="U138" s="86" t="s">
        <v>1215</v>
      </c>
      <c r="V138" s="86" t="s">
        <v>1215</v>
      </c>
      <c r="W138" s="67"/>
      <c r="X138" s="84" t="str">
        <f t="shared" si="22"/>
        <v>Belum Dinilai</v>
      </c>
      <c r="Y138" s="84" t="str">
        <f t="shared" si="23"/>
        <v>Belum Dinilai</v>
      </c>
      <c r="Z138" s="85" t="str">
        <f t="shared" si="24"/>
        <v/>
      </c>
      <c r="AA138" s="85" t="str">
        <f t="shared" si="25"/>
        <v/>
      </c>
      <c r="AB138" s="85" t="str">
        <f t="shared" si="26"/>
        <v/>
      </c>
      <c r="AC138" s="68" t="s">
        <v>1215</v>
      </c>
      <c r="AD138" s="68" t="s">
        <v>1215</v>
      </c>
      <c r="AE138" s="68" t="s">
        <v>1215</v>
      </c>
      <c r="AF138" s="68" t="s">
        <v>1215</v>
      </c>
      <c r="AG138" s="68" t="s">
        <v>1215</v>
      </c>
      <c r="AH138" s="68" t="s">
        <v>1215</v>
      </c>
      <c r="AI138" s="68" t="s">
        <v>1215</v>
      </c>
      <c r="AJ138" s="68" t="s">
        <v>1215</v>
      </c>
      <c r="AK138" s="68" t="s">
        <v>1215</v>
      </c>
      <c r="AL138" s="68"/>
      <c r="AM138" s="68" t="s">
        <v>1215</v>
      </c>
      <c r="AN138" s="84" t="str">
        <f t="shared" si="27"/>
        <v>Belum Dinilai</v>
      </c>
      <c r="AO138" s="84" t="str">
        <f t="shared" si="28"/>
        <v>Belum Dinilai</v>
      </c>
      <c r="AP138" s="68"/>
      <c r="AQ138" s="71">
        <f t="shared" si="29"/>
        <v>29</v>
      </c>
      <c r="AR138" s="71" t="str">
        <f t="shared" si="30"/>
        <v/>
      </c>
      <c r="AS138" s="71" t="str">
        <f t="shared" si="31"/>
        <v/>
      </c>
      <c r="AT138" s="69" t="str">
        <f t="shared" si="32"/>
        <v>Belum Dapat Ditentukan</v>
      </c>
      <c r="AU138" s="66" t="s">
        <v>1189</v>
      </c>
      <c r="AV138" s="66" t="s">
        <v>1204</v>
      </c>
      <c r="AW138" s="66" t="s">
        <v>1898</v>
      </c>
      <c r="AX138" s="66" t="s">
        <v>1206</v>
      </c>
      <c r="AY138" s="66">
        <v>2022</v>
      </c>
      <c r="AZ138" s="66" t="s">
        <v>927</v>
      </c>
      <c r="BA138" s="66"/>
      <c r="BB138" s="178"/>
      <c r="BC138" s="72">
        <v>2026</v>
      </c>
      <c r="BD138" s="66"/>
      <c r="BE138" s="178"/>
      <c r="BF138" s="66" t="s">
        <v>1278</v>
      </c>
    </row>
    <row r="139" spans="1:58" ht="28">
      <c r="A139" s="66" t="s">
        <v>1960</v>
      </c>
      <c r="B139" s="66" t="s">
        <v>1808</v>
      </c>
      <c r="C139" s="66"/>
      <c r="D139" s="66"/>
      <c r="E139" s="66" t="s">
        <v>1806</v>
      </c>
      <c r="F139" s="66" t="s">
        <v>1388</v>
      </c>
      <c r="G139" s="66" t="s">
        <v>1289</v>
      </c>
      <c r="H139" s="66" t="s">
        <v>1181</v>
      </c>
      <c r="I139" s="66" t="s">
        <v>1809</v>
      </c>
      <c r="J139" s="66" t="s">
        <v>1196</v>
      </c>
      <c r="K139" s="66" t="s">
        <v>1277</v>
      </c>
      <c r="L139" s="66" t="s">
        <v>1215</v>
      </c>
      <c r="M139" s="66" t="s">
        <v>1266</v>
      </c>
      <c r="N139" s="66" t="s">
        <v>1215</v>
      </c>
      <c r="O139" s="66" t="s">
        <v>1277</v>
      </c>
      <c r="P139" s="66" t="s">
        <v>1215</v>
      </c>
      <c r="Q139" s="86" t="s">
        <v>1215</v>
      </c>
      <c r="R139" s="86" t="s">
        <v>1215</v>
      </c>
      <c r="S139" s="86" t="s">
        <v>1215</v>
      </c>
      <c r="T139" s="86" t="s">
        <v>1215</v>
      </c>
      <c r="U139" s="86" t="s">
        <v>1215</v>
      </c>
      <c r="V139" s="86" t="s">
        <v>1215</v>
      </c>
      <c r="W139" s="67"/>
      <c r="X139" s="84" t="str">
        <f t="shared" si="22"/>
        <v>Belum Dinilai</v>
      </c>
      <c r="Y139" s="84" t="str">
        <f t="shared" si="23"/>
        <v>Belum Dinilai</v>
      </c>
      <c r="Z139" s="85" t="str">
        <f t="shared" si="24"/>
        <v/>
      </c>
      <c r="AA139" s="85" t="str">
        <f t="shared" si="25"/>
        <v/>
      </c>
      <c r="AB139" s="85" t="str">
        <f t="shared" si="26"/>
        <v/>
      </c>
      <c r="AC139" s="68" t="s">
        <v>1215</v>
      </c>
      <c r="AD139" s="68" t="s">
        <v>1215</v>
      </c>
      <c r="AE139" s="68" t="s">
        <v>1215</v>
      </c>
      <c r="AF139" s="68" t="s">
        <v>1215</v>
      </c>
      <c r="AG139" s="68" t="s">
        <v>1215</v>
      </c>
      <c r="AH139" s="68" t="s">
        <v>1215</v>
      </c>
      <c r="AI139" s="68" t="s">
        <v>1215</v>
      </c>
      <c r="AJ139" s="68" t="s">
        <v>1215</v>
      </c>
      <c r="AK139" s="68" t="s">
        <v>1215</v>
      </c>
      <c r="AL139" s="68"/>
      <c r="AM139" s="68" t="s">
        <v>1215</v>
      </c>
      <c r="AN139" s="84" t="str">
        <f t="shared" si="27"/>
        <v>Belum Dinilai</v>
      </c>
      <c r="AO139" s="84" t="str">
        <f t="shared" si="28"/>
        <v>Belum Dinilai</v>
      </c>
      <c r="AP139" s="68"/>
      <c r="AQ139" s="71" t="str">
        <f t="shared" si="29"/>
        <v/>
      </c>
      <c r="AR139" s="71" t="str">
        <f t="shared" si="30"/>
        <v/>
      </c>
      <c r="AS139" s="71" t="str">
        <f t="shared" si="31"/>
        <v/>
      </c>
      <c r="AT139" s="69" t="str">
        <f t="shared" si="32"/>
        <v>Belum Dapat Ditentukan</v>
      </c>
      <c r="AU139" s="66" t="s">
        <v>1189</v>
      </c>
      <c r="AV139" s="66" t="s">
        <v>1204</v>
      </c>
      <c r="AW139" s="66" t="s">
        <v>1190</v>
      </c>
      <c r="AX139" s="66"/>
      <c r="AY139" s="66"/>
      <c r="AZ139" s="66" t="s">
        <v>927</v>
      </c>
      <c r="BA139" s="66"/>
      <c r="BB139" s="178"/>
      <c r="BC139" s="72">
        <v>2026</v>
      </c>
      <c r="BD139" s="66"/>
      <c r="BE139" s="178"/>
      <c r="BF139" s="66" t="s">
        <v>1278</v>
      </c>
    </row>
    <row r="140" spans="1:58" ht="42">
      <c r="A140" s="66" t="s">
        <v>1694</v>
      </c>
      <c r="B140" s="66" t="s">
        <v>1810</v>
      </c>
      <c r="C140" s="66"/>
      <c r="D140" s="66"/>
      <c r="E140" s="66" t="s">
        <v>1811</v>
      </c>
      <c r="F140" s="66" t="s">
        <v>1356</v>
      </c>
      <c r="G140" s="66" t="s">
        <v>1289</v>
      </c>
      <c r="H140" s="66" t="s">
        <v>1195</v>
      </c>
      <c r="I140" s="66" t="s">
        <v>1812</v>
      </c>
      <c r="J140" s="66" t="s">
        <v>1196</v>
      </c>
      <c r="K140" s="66" t="s">
        <v>1277</v>
      </c>
      <c r="L140" s="66" t="s">
        <v>1215</v>
      </c>
      <c r="M140" s="66" t="s">
        <v>1266</v>
      </c>
      <c r="N140" s="66" t="s">
        <v>1215</v>
      </c>
      <c r="O140" s="66" t="s">
        <v>1277</v>
      </c>
      <c r="P140" s="66" t="s">
        <v>1215</v>
      </c>
      <c r="Q140" s="86" t="s">
        <v>1215</v>
      </c>
      <c r="R140" s="86" t="s">
        <v>1215</v>
      </c>
      <c r="S140" s="86" t="s">
        <v>1215</v>
      </c>
      <c r="T140" s="86" t="s">
        <v>1215</v>
      </c>
      <c r="U140" s="86" t="s">
        <v>1215</v>
      </c>
      <c r="V140" s="86" t="s">
        <v>1215</v>
      </c>
      <c r="W140" s="67"/>
      <c r="X140" s="84" t="str">
        <f t="shared" si="22"/>
        <v>Belum Dinilai</v>
      </c>
      <c r="Y140" s="84" t="str">
        <f t="shared" si="23"/>
        <v>Belum Dinilai</v>
      </c>
      <c r="Z140" s="85" t="str">
        <f t="shared" si="24"/>
        <v/>
      </c>
      <c r="AA140" s="85" t="str">
        <f t="shared" si="25"/>
        <v/>
      </c>
      <c r="AB140" s="85" t="str">
        <f t="shared" si="26"/>
        <v/>
      </c>
      <c r="AC140" s="68" t="s">
        <v>1215</v>
      </c>
      <c r="AD140" s="68" t="s">
        <v>1215</v>
      </c>
      <c r="AE140" s="68" t="s">
        <v>1215</v>
      </c>
      <c r="AF140" s="68" t="s">
        <v>1215</v>
      </c>
      <c r="AG140" s="68" t="s">
        <v>1215</v>
      </c>
      <c r="AH140" s="68" t="s">
        <v>1215</v>
      </c>
      <c r="AI140" s="68" t="s">
        <v>1215</v>
      </c>
      <c r="AJ140" s="68" t="s">
        <v>1215</v>
      </c>
      <c r="AK140" s="68" t="s">
        <v>1215</v>
      </c>
      <c r="AL140" s="68"/>
      <c r="AM140" s="68" t="s">
        <v>1215</v>
      </c>
      <c r="AN140" s="84" t="str">
        <f t="shared" si="27"/>
        <v>Belum Dinilai</v>
      </c>
      <c r="AO140" s="84" t="str">
        <f t="shared" si="28"/>
        <v>Belum Dinilai</v>
      </c>
      <c r="AP140" s="68"/>
      <c r="AQ140" s="71" t="str">
        <f t="shared" si="29"/>
        <v/>
      </c>
      <c r="AR140" s="71" t="str">
        <f t="shared" si="30"/>
        <v/>
      </c>
      <c r="AS140" s="71" t="str">
        <f t="shared" si="31"/>
        <v/>
      </c>
      <c r="AT140" s="69" t="str">
        <f t="shared" si="32"/>
        <v>Belum Dapat Ditentukan</v>
      </c>
      <c r="AU140" s="66" t="s">
        <v>1203</v>
      </c>
      <c r="AV140" s="66" t="s">
        <v>1204</v>
      </c>
      <c r="AW140" s="66" t="s">
        <v>1190</v>
      </c>
      <c r="AX140" s="66"/>
      <c r="AY140" s="66"/>
      <c r="AZ140" s="66" t="s">
        <v>1207</v>
      </c>
      <c r="BA140" s="66"/>
      <c r="BB140" s="178"/>
      <c r="BC140" s="72">
        <v>2026</v>
      </c>
      <c r="BD140" s="66"/>
      <c r="BE140" s="178"/>
      <c r="BF140" s="66" t="s">
        <v>1278</v>
      </c>
    </row>
    <row r="141" spans="1:58" ht="42">
      <c r="A141" s="66" t="s">
        <v>1697</v>
      </c>
      <c r="B141" s="66" t="s">
        <v>1813</v>
      </c>
      <c r="C141" s="66"/>
      <c r="D141" s="66"/>
      <c r="E141" s="66" t="s">
        <v>1814</v>
      </c>
      <c r="F141" s="66" t="s">
        <v>1624</v>
      </c>
      <c r="G141" s="66" t="s">
        <v>1310</v>
      </c>
      <c r="H141" s="66" t="s">
        <v>1181</v>
      </c>
      <c r="I141" s="66" t="s">
        <v>1815</v>
      </c>
      <c r="J141" s="66" t="s">
        <v>1182</v>
      </c>
      <c r="K141" s="66" t="s">
        <v>1197</v>
      </c>
      <c r="L141" s="66" t="s">
        <v>1215</v>
      </c>
      <c r="M141" s="66" t="s">
        <v>1265</v>
      </c>
      <c r="N141" s="66" t="s">
        <v>1215</v>
      </c>
      <c r="O141" s="66" t="s">
        <v>1213</v>
      </c>
      <c r="P141" s="66" t="s">
        <v>1215</v>
      </c>
      <c r="Q141" s="86" t="s">
        <v>1215</v>
      </c>
      <c r="R141" s="86" t="s">
        <v>1215</v>
      </c>
      <c r="S141" s="86" t="s">
        <v>1215</v>
      </c>
      <c r="T141" s="86" t="s">
        <v>1215</v>
      </c>
      <c r="U141" s="86" t="s">
        <v>1215</v>
      </c>
      <c r="V141" s="86" t="s">
        <v>1215</v>
      </c>
      <c r="W141" s="67"/>
      <c r="X141" s="84" t="str">
        <f t="shared" si="22"/>
        <v>Belum Dinilai</v>
      </c>
      <c r="Y141" s="84" t="str">
        <f t="shared" si="23"/>
        <v>Belum Dinilai</v>
      </c>
      <c r="Z141" s="85" t="str">
        <f t="shared" si="24"/>
        <v/>
      </c>
      <c r="AA141" s="85" t="str">
        <f t="shared" si="25"/>
        <v/>
      </c>
      <c r="AB141" s="85" t="str">
        <f t="shared" si="26"/>
        <v/>
      </c>
      <c r="AC141" s="68" t="s">
        <v>1215</v>
      </c>
      <c r="AD141" s="68" t="s">
        <v>1215</v>
      </c>
      <c r="AE141" s="68" t="s">
        <v>1215</v>
      </c>
      <c r="AF141" s="68" t="s">
        <v>1215</v>
      </c>
      <c r="AG141" s="68" t="s">
        <v>1215</v>
      </c>
      <c r="AH141" s="68" t="s">
        <v>1215</v>
      </c>
      <c r="AI141" s="68" t="s">
        <v>1215</v>
      </c>
      <c r="AJ141" s="68" t="s">
        <v>1215</v>
      </c>
      <c r="AK141" s="68" t="s">
        <v>1215</v>
      </c>
      <c r="AL141" s="68"/>
      <c r="AM141" s="68" t="s">
        <v>1215</v>
      </c>
      <c r="AN141" s="84" t="str">
        <f t="shared" si="27"/>
        <v>Belum Dinilai</v>
      </c>
      <c r="AO141" s="84" t="str">
        <f t="shared" si="28"/>
        <v>Belum Dinilai</v>
      </c>
      <c r="AP141" s="68"/>
      <c r="AQ141" s="71" t="str">
        <f t="shared" si="29"/>
        <v/>
      </c>
      <c r="AR141" s="71" t="str">
        <f t="shared" si="30"/>
        <v/>
      </c>
      <c r="AS141" s="71" t="str">
        <f t="shared" si="31"/>
        <v/>
      </c>
      <c r="AT141" s="69" t="str">
        <f t="shared" si="32"/>
        <v>Belum Dapat Ditentukan</v>
      </c>
      <c r="AU141" s="66" t="s">
        <v>1189</v>
      </c>
      <c r="AV141" s="66" t="s">
        <v>1204</v>
      </c>
      <c r="AW141" s="66" t="s">
        <v>1190</v>
      </c>
      <c r="AX141" s="66"/>
      <c r="AY141" s="66"/>
      <c r="AZ141" s="66" t="s">
        <v>927</v>
      </c>
      <c r="BA141" s="66"/>
      <c r="BB141" s="178"/>
      <c r="BC141" s="72">
        <v>2026</v>
      </c>
      <c r="BD141" s="66"/>
      <c r="BE141" s="178"/>
      <c r="BF141" s="66" t="s">
        <v>1278</v>
      </c>
    </row>
    <row r="142" spans="1:58" ht="28">
      <c r="A142" s="66" t="s">
        <v>1700</v>
      </c>
      <c r="B142" s="66" t="s">
        <v>1816</v>
      </c>
      <c r="C142" s="66"/>
      <c r="D142" s="66"/>
      <c r="E142" s="66" t="s">
        <v>1817</v>
      </c>
      <c r="F142" s="66" t="s">
        <v>1356</v>
      </c>
      <c r="G142" s="66" t="s">
        <v>1289</v>
      </c>
      <c r="H142" s="66" t="s">
        <v>1181</v>
      </c>
      <c r="I142" s="66" t="s">
        <v>1818</v>
      </c>
      <c r="J142" s="66" t="s">
        <v>1210</v>
      </c>
      <c r="K142" s="66" t="s">
        <v>1197</v>
      </c>
      <c r="L142" s="66" t="s">
        <v>1215</v>
      </c>
      <c r="M142" s="66" t="s">
        <v>1266</v>
      </c>
      <c r="N142" s="66" t="s">
        <v>1215</v>
      </c>
      <c r="O142" s="66" t="s">
        <v>1213</v>
      </c>
      <c r="P142" s="66" t="s">
        <v>1215</v>
      </c>
      <c r="Q142" s="86" t="s">
        <v>1215</v>
      </c>
      <c r="R142" s="86" t="s">
        <v>1215</v>
      </c>
      <c r="S142" s="86" t="s">
        <v>1215</v>
      </c>
      <c r="T142" s="86" t="s">
        <v>1215</v>
      </c>
      <c r="U142" s="86" t="s">
        <v>1215</v>
      </c>
      <c r="V142" s="86" t="s">
        <v>1215</v>
      </c>
      <c r="W142" s="67"/>
      <c r="X142" s="84" t="str">
        <f t="shared" si="22"/>
        <v>Belum Dinilai</v>
      </c>
      <c r="Y142" s="84" t="str">
        <f t="shared" si="23"/>
        <v>Belum Dinilai</v>
      </c>
      <c r="Z142" s="85" t="str">
        <f t="shared" si="24"/>
        <v/>
      </c>
      <c r="AA142" s="85" t="str">
        <f t="shared" si="25"/>
        <v/>
      </c>
      <c r="AB142" s="85" t="str">
        <f t="shared" si="26"/>
        <v/>
      </c>
      <c r="AC142" s="68" t="s">
        <v>1215</v>
      </c>
      <c r="AD142" s="68" t="s">
        <v>1215</v>
      </c>
      <c r="AE142" s="68" t="s">
        <v>1215</v>
      </c>
      <c r="AF142" s="68" t="s">
        <v>1215</v>
      </c>
      <c r="AG142" s="68" t="s">
        <v>1215</v>
      </c>
      <c r="AH142" s="68" t="s">
        <v>1215</v>
      </c>
      <c r="AI142" s="68" t="s">
        <v>1215</v>
      </c>
      <c r="AJ142" s="68" t="s">
        <v>1215</v>
      </c>
      <c r="AK142" s="68" t="s">
        <v>1215</v>
      </c>
      <c r="AL142" s="68"/>
      <c r="AM142" s="68" t="s">
        <v>1215</v>
      </c>
      <c r="AN142" s="84" t="str">
        <f t="shared" si="27"/>
        <v>Belum Dinilai</v>
      </c>
      <c r="AO142" s="84" t="str">
        <f t="shared" si="28"/>
        <v>Belum Dinilai</v>
      </c>
      <c r="AP142" s="68"/>
      <c r="AQ142" s="71" t="str">
        <f t="shared" si="29"/>
        <v/>
      </c>
      <c r="AR142" s="71" t="str">
        <f t="shared" si="30"/>
        <v/>
      </c>
      <c r="AS142" s="71" t="str">
        <f t="shared" si="31"/>
        <v/>
      </c>
      <c r="AT142" s="69" t="str">
        <f t="shared" si="32"/>
        <v>Belum Dapat Ditentukan</v>
      </c>
      <c r="AU142" s="66" t="s">
        <v>1189</v>
      </c>
      <c r="AV142" s="66" t="s">
        <v>1204</v>
      </c>
      <c r="AW142" s="66" t="s">
        <v>1898</v>
      </c>
      <c r="AX142" s="66" t="s">
        <v>1206</v>
      </c>
      <c r="AY142" s="66">
        <v>2023</v>
      </c>
      <c r="AZ142" s="66" t="s">
        <v>927</v>
      </c>
      <c r="BA142" s="66"/>
      <c r="BB142" s="178"/>
      <c r="BC142" s="72">
        <v>2026</v>
      </c>
      <c r="BD142" s="66"/>
      <c r="BE142" s="178"/>
      <c r="BF142" s="66" t="s">
        <v>1278</v>
      </c>
    </row>
    <row r="143" spans="1:58" ht="28">
      <c r="A143" s="66" t="s">
        <v>1703</v>
      </c>
      <c r="B143" s="66" t="s">
        <v>1819</v>
      </c>
      <c r="C143" s="66"/>
      <c r="D143" s="66"/>
      <c r="E143" s="66" t="s">
        <v>1304</v>
      </c>
      <c r="F143" s="66" t="s">
        <v>1356</v>
      </c>
      <c r="G143" s="66" t="s">
        <v>1289</v>
      </c>
      <c r="H143" s="66" t="s">
        <v>1181</v>
      </c>
      <c r="I143" s="66" t="s">
        <v>1820</v>
      </c>
      <c r="J143" s="66" t="s">
        <v>1210</v>
      </c>
      <c r="K143" s="66" t="s">
        <v>1197</v>
      </c>
      <c r="L143" s="66" t="s">
        <v>1215</v>
      </c>
      <c r="M143" s="66" t="s">
        <v>1266</v>
      </c>
      <c r="N143" s="66" t="s">
        <v>1215</v>
      </c>
      <c r="O143" s="66" t="s">
        <v>1213</v>
      </c>
      <c r="P143" s="66" t="s">
        <v>1215</v>
      </c>
      <c r="Q143" s="86" t="s">
        <v>1215</v>
      </c>
      <c r="R143" s="86" t="s">
        <v>1215</v>
      </c>
      <c r="S143" s="86" t="s">
        <v>1215</v>
      </c>
      <c r="T143" s="86" t="s">
        <v>1215</v>
      </c>
      <c r="U143" s="86" t="s">
        <v>1215</v>
      </c>
      <c r="V143" s="86" t="s">
        <v>1215</v>
      </c>
      <c r="W143" s="67"/>
      <c r="X143" s="84" t="str">
        <f t="shared" si="22"/>
        <v>Belum Dinilai</v>
      </c>
      <c r="Y143" s="84" t="str">
        <f t="shared" si="23"/>
        <v>Belum Dinilai</v>
      </c>
      <c r="Z143" s="85" t="str">
        <f t="shared" si="24"/>
        <v/>
      </c>
      <c r="AA143" s="85" t="str">
        <f t="shared" si="25"/>
        <v/>
      </c>
      <c r="AB143" s="85" t="str">
        <f t="shared" si="26"/>
        <v/>
      </c>
      <c r="AC143" s="68" t="s">
        <v>1215</v>
      </c>
      <c r="AD143" s="68" t="s">
        <v>1215</v>
      </c>
      <c r="AE143" s="68" t="s">
        <v>1215</v>
      </c>
      <c r="AF143" s="68" t="s">
        <v>1215</v>
      </c>
      <c r="AG143" s="68" t="s">
        <v>1215</v>
      </c>
      <c r="AH143" s="68" t="s">
        <v>1215</v>
      </c>
      <c r="AI143" s="68" t="s">
        <v>1215</v>
      </c>
      <c r="AJ143" s="68" t="s">
        <v>1215</v>
      </c>
      <c r="AK143" s="68" t="s">
        <v>1215</v>
      </c>
      <c r="AL143" s="68"/>
      <c r="AM143" s="68" t="s">
        <v>1215</v>
      </c>
      <c r="AN143" s="84" t="str">
        <f t="shared" si="27"/>
        <v>Belum Dinilai</v>
      </c>
      <c r="AO143" s="84" t="str">
        <f t="shared" si="28"/>
        <v>Belum Dinilai</v>
      </c>
      <c r="AP143" s="68"/>
      <c r="AQ143" s="71" t="str">
        <f t="shared" si="29"/>
        <v/>
      </c>
      <c r="AR143" s="71" t="str">
        <f t="shared" si="30"/>
        <v/>
      </c>
      <c r="AS143" s="71" t="str">
        <f t="shared" si="31"/>
        <v/>
      </c>
      <c r="AT143" s="69" t="str">
        <f t="shared" si="32"/>
        <v>Belum Dapat Ditentukan</v>
      </c>
      <c r="AU143" s="66" t="s">
        <v>1189</v>
      </c>
      <c r="AV143" s="66" t="s">
        <v>1204</v>
      </c>
      <c r="AW143" s="66" t="s">
        <v>1898</v>
      </c>
      <c r="AX143" s="66" t="s">
        <v>1206</v>
      </c>
      <c r="AY143" s="66">
        <v>2024</v>
      </c>
      <c r="AZ143" s="66" t="s">
        <v>927</v>
      </c>
      <c r="BA143" s="66"/>
      <c r="BB143" s="178"/>
      <c r="BC143" s="72">
        <v>2026</v>
      </c>
      <c r="BD143" s="66"/>
      <c r="BE143" s="178"/>
      <c r="BF143" s="66" t="s">
        <v>1278</v>
      </c>
    </row>
    <row r="144" spans="1:58" ht="28">
      <c r="A144" s="66" t="s">
        <v>1706</v>
      </c>
      <c r="B144" s="66" t="s">
        <v>1821</v>
      </c>
      <c r="C144" s="83" t="s">
        <v>1911</v>
      </c>
      <c r="D144" s="83" t="s">
        <v>1912</v>
      </c>
      <c r="E144" s="66" t="s">
        <v>1910</v>
      </c>
      <c r="F144" s="66" t="s">
        <v>1356</v>
      </c>
      <c r="G144" s="66" t="s">
        <v>1289</v>
      </c>
      <c r="H144" s="66" t="s">
        <v>1181</v>
      </c>
      <c r="I144" s="66" t="s">
        <v>1822</v>
      </c>
      <c r="J144" s="66" t="s">
        <v>1196</v>
      </c>
      <c r="K144" s="66" t="s">
        <v>1183</v>
      </c>
      <c r="L144" s="66" t="s">
        <v>905</v>
      </c>
      <c r="M144" s="66" t="s">
        <v>1266</v>
      </c>
      <c r="N144" s="66" t="s">
        <v>905</v>
      </c>
      <c r="O144" s="66" t="s">
        <v>1213</v>
      </c>
      <c r="P144" s="66" t="s">
        <v>905</v>
      </c>
      <c r="Q144" s="86" t="s">
        <v>1186</v>
      </c>
      <c r="R144" s="86" t="s">
        <v>1201</v>
      </c>
      <c r="S144" s="86" t="s">
        <v>1201</v>
      </c>
      <c r="T144" s="86" t="s">
        <v>1201</v>
      </c>
      <c r="U144" s="86" t="s">
        <v>1201</v>
      </c>
      <c r="V144" s="86" t="s">
        <v>1201</v>
      </c>
      <c r="W144" s="67"/>
      <c r="X144" s="84" t="str">
        <f t="shared" si="22"/>
        <v>Tidak ada faktor rentan</v>
      </c>
      <c r="Y144" s="84" t="str">
        <f t="shared" si="23"/>
        <v>Tidak Ada Faktor Rentan</v>
      </c>
      <c r="Z144" s="85">
        <f t="shared" si="24"/>
        <v>10</v>
      </c>
      <c r="AA144" s="85">
        <f t="shared" si="25"/>
        <v>0</v>
      </c>
      <c r="AB144" s="85">
        <f t="shared" si="26"/>
        <v>10</v>
      </c>
      <c r="AC144" s="68" t="s">
        <v>1201</v>
      </c>
      <c r="AD144" s="68" t="s">
        <v>1201</v>
      </c>
      <c r="AE144" s="68" t="s">
        <v>1187</v>
      </c>
      <c r="AF144" s="68" t="s">
        <v>1201</v>
      </c>
      <c r="AG144" s="68" t="s">
        <v>1187</v>
      </c>
      <c r="AH144" s="68" t="s">
        <v>1187</v>
      </c>
      <c r="AI144" s="68" t="s">
        <v>1187</v>
      </c>
      <c r="AJ144" s="68" t="s">
        <v>1201</v>
      </c>
      <c r="AK144" s="68" t="s">
        <v>1201</v>
      </c>
      <c r="AL144" s="68"/>
      <c r="AM144" s="68" t="s">
        <v>1215</v>
      </c>
      <c r="AN144" s="84" t="str">
        <f t="shared" si="27"/>
        <v xml:space="preserve">Atap atau dinding utama hampir runtuh; Struktur rumah tidak stabil; Instalasi listrik berbahaya; Komponen bangunan lepas atau lapuk; </v>
      </c>
      <c r="AO144" s="84" t="str">
        <f t="shared" si="28"/>
        <v>Risiko Tinggi/Darurat</v>
      </c>
      <c r="AP144" s="68"/>
      <c r="AQ144" s="71">
        <f t="shared" si="29"/>
        <v>36</v>
      </c>
      <c r="AR144" s="71">
        <f t="shared" si="30"/>
        <v>10</v>
      </c>
      <c r="AS144" s="71">
        <f t="shared" si="31"/>
        <v>56</v>
      </c>
      <c r="AT144" s="69" t="str">
        <f t="shared" si="32"/>
        <v>Tinggi</v>
      </c>
      <c r="AU144" s="66" t="s">
        <v>1189</v>
      </c>
      <c r="AV144" s="66" t="s">
        <v>1204</v>
      </c>
      <c r="AW144" s="66" t="s">
        <v>1205</v>
      </c>
      <c r="AX144" s="66" t="s">
        <v>1283</v>
      </c>
      <c r="AY144" s="66">
        <v>2026</v>
      </c>
      <c r="AZ144" s="66" t="s">
        <v>927</v>
      </c>
      <c r="BA144" s="66"/>
      <c r="BB144" s="178"/>
      <c r="BC144" s="72">
        <v>2026</v>
      </c>
      <c r="BD144" s="66"/>
      <c r="BE144" s="178"/>
      <c r="BF144" s="66" t="s">
        <v>1278</v>
      </c>
    </row>
    <row r="145" spans="1:58" ht="28">
      <c r="A145" s="66" t="s">
        <v>1709</v>
      </c>
      <c r="B145" s="66" t="s">
        <v>1823</v>
      </c>
      <c r="C145" s="66"/>
      <c r="D145" s="66"/>
      <c r="E145" s="66" t="s">
        <v>1824</v>
      </c>
      <c r="F145" s="66" t="s">
        <v>1356</v>
      </c>
      <c r="G145" s="66" t="s">
        <v>1289</v>
      </c>
      <c r="H145" s="66" t="s">
        <v>1262</v>
      </c>
      <c r="I145" s="66" t="s">
        <v>1825</v>
      </c>
      <c r="J145" s="66" t="s">
        <v>1182</v>
      </c>
      <c r="K145" s="66" t="s">
        <v>1277</v>
      </c>
      <c r="L145" s="66" t="s">
        <v>1215</v>
      </c>
      <c r="M145" s="66" t="s">
        <v>1265</v>
      </c>
      <c r="N145" s="66" t="s">
        <v>1215</v>
      </c>
      <c r="O145" s="66" t="s">
        <v>1277</v>
      </c>
      <c r="P145" s="66" t="s">
        <v>1215</v>
      </c>
      <c r="Q145" s="86" t="s">
        <v>1215</v>
      </c>
      <c r="R145" s="86" t="s">
        <v>1215</v>
      </c>
      <c r="S145" s="86" t="s">
        <v>1215</v>
      </c>
      <c r="T145" s="86" t="s">
        <v>1215</v>
      </c>
      <c r="U145" s="86" t="s">
        <v>1215</v>
      </c>
      <c r="V145" s="86" t="s">
        <v>1215</v>
      </c>
      <c r="W145" s="67"/>
      <c r="X145" s="84" t="str">
        <f t="shared" si="22"/>
        <v>Belum Dinilai</v>
      </c>
      <c r="Y145" s="84" t="str">
        <f t="shared" si="23"/>
        <v>Belum Dinilai</v>
      </c>
      <c r="Z145" s="85" t="str">
        <f t="shared" si="24"/>
        <v/>
      </c>
      <c r="AA145" s="85" t="str">
        <f t="shared" si="25"/>
        <v/>
      </c>
      <c r="AB145" s="85" t="str">
        <f t="shared" si="26"/>
        <v/>
      </c>
      <c r="AC145" s="68" t="s">
        <v>1215</v>
      </c>
      <c r="AD145" s="68" t="s">
        <v>1215</v>
      </c>
      <c r="AE145" s="68" t="s">
        <v>1215</v>
      </c>
      <c r="AF145" s="68" t="s">
        <v>1215</v>
      </c>
      <c r="AG145" s="68" t="s">
        <v>1215</v>
      </c>
      <c r="AH145" s="68" t="s">
        <v>1215</v>
      </c>
      <c r="AI145" s="68" t="s">
        <v>1215</v>
      </c>
      <c r="AJ145" s="68" t="s">
        <v>1215</v>
      </c>
      <c r="AK145" s="68" t="s">
        <v>1215</v>
      </c>
      <c r="AL145" s="68"/>
      <c r="AM145" s="68" t="s">
        <v>1215</v>
      </c>
      <c r="AN145" s="84" t="str">
        <f t="shared" si="27"/>
        <v>Belum Dinilai</v>
      </c>
      <c r="AO145" s="84" t="str">
        <f t="shared" si="28"/>
        <v>Belum Dinilai</v>
      </c>
      <c r="AP145" s="68"/>
      <c r="AQ145" s="71" t="str">
        <f t="shared" si="29"/>
        <v/>
      </c>
      <c r="AR145" s="71" t="str">
        <f t="shared" si="30"/>
        <v/>
      </c>
      <c r="AS145" s="71" t="str">
        <f t="shared" si="31"/>
        <v/>
      </c>
      <c r="AT145" s="69" t="str">
        <f t="shared" si="32"/>
        <v>Belum Dapat Ditentukan</v>
      </c>
      <c r="AU145" s="66" t="s">
        <v>1189</v>
      </c>
      <c r="AV145" s="66" t="s">
        <v>1204</v>
      </c>
      <c r="AW145" s="66" t="s">
        <v>1190</v>
      </c>
      <c r="AX145" s="66"/>
      <c r="AY145" s="66"/>
      <c r="AZ145" s="66" t="s">
        <v>927</v>
      </c>
      <c r="BA145" s="66"/>
      <c r="BB145" s="178"/>
      <c r="BC145" s="72">
        <v>2026</v>
      </c>
      <c r="BD145" s="66"/>
      <c r="BE145" s="178"/>
      <c r="BF145" s="66" t="s">
        <v>1278</v>
      </c>
    </row>
    <row r="146" spans="1:58" ht="28">
      <c r="A146" s="66" t="s">
        <v>1711</v>
      </c>
      <c r="B146" s="66" t="s">
        <v>1826</v>
      </c>
      <c r="C146" s="66"/>
      <c r="D146" s="66"/>
      <c r="E146" s="66" t="s">
        <v>1827</v>
      </c>
      <c r="F146" s="66" t="s">
        <v>1288</v>
      </c>
      <c r="G146" s="66" t="s">
        <v>1289</v>
      </c>
      <c r="H146" s="66" t="s">
        <v>1262</v>
      </c>
      <c r="I146" s="66" t="s">
        <v>1414</v>
      </c>
      <c r="J146" s="66" t="s">
        <v>1182</v>
      </c>
      <c r="K146" s="66" t="s">
        <v>1277</v>
      </c>
      <c r="L146" s="66" t="s">
        <v>1215</v>
      </c>
      <c r="M146" s="66" t="s">
        <v>1265</v>
      </c>
      <c r="N146" s="66" t="s">
        <v>1215</v>
      </c>
      <c r="O146" s="66" t="s">
        <v>1277</v>
      </c>
      <c r="P146" s="66" t="s">
        <v>1215</v>
      </c>
      <c r="Q146" s="86" t="s">
        <v>1215</v>
      </c>
      <c r="R146" s="86" t="s">
        <v>1215</v>
      </c>
      <c r="S146" s="86" t="s">
        <v>1215</v>
      </c>
      <c r="T146" s="86" t="s">
        <v>1215</v>
      </c>
      <c r="U146" s="86" t="s">
        <v>1215</v>
      </c>
      <c r="V146" s="86" t="s">
        <v>1215</v>
      </c>
      <c r="W146" s="67"/>
      <c r="X146" s="84" t="str">
        <f t="shared" si="22"/>
        <v>Belum Dinilai</v>
      </c>
      <c r="Y146" s="84" t="str">
        <f t="shared" si="23"/>
        <v>Belum Dinilai</v>
      </c>
      <c r="Z146" s="85" t="str">
        <f t="shared" si="24"/>
        <v/>
      </c>
      <c r="AA146" s="85" t="str">
        <f t="shared" si="25"/>
        <v/>
      </c>
      <c r="AB146" s="85" t="str">
        <f t="shared" si="26"/>
        <v/>
      </c>
      <c r="AC146" s="68" t="s">
        <v>1215</v>
      </c>
      <c r="AD146" s="68" t="s">
        <v>1215</v>
      </c>
      <c r="AE146" s="68" t="s">
        <v>1215</v>
      </c>
      <c r="AF146" s="68" t="s">
        <v>1215</v>
      </c>
      <c r="AG146" s="68" t="s">
        <v>1215</v>
      </c>
      <c r="AH146" s="68" t="s">
        <v>1215</v>
      </c>
      <c r="AI146" s="68" t="s">
        <v>1215</v>
      </c>
      <c r="AJ146" s="68" t="s">
        <v>1215</v>
      </c>
      <c r="AK146" s="68" t="s">
        <v>1215</v>
      </c>
      <c r="AL146" s="68"/>
      <c r="AM146" s="68" t="s">
        <v>1215</v>
      </c>
      <c r="AN146" s="84" t="str">
        <f t="shared" si="27"/>
        <v>Belum Dinilai</v>
      </c>
      <c r="AO146" s="84" t="str">
        <f t="shared" si="28"/>
        <v>Belum Dinilai</v>
      </c>
      <c r="AP146" s="68"/>
      <c r="AQ146" s="71" t="str">
        <f t="shared" si="29"/>
        <v/>
      </c>
      <c r="AR146" s="71" t="str">
        <f t="shared" si="30"/>
        <v/>
      </c>
      <c r="AS146" s="71" t="str">
        <f t="shared" si="31"/>
        <v/>
      </c>
      <c r="AT146" s="69" t="str">
        <f t="shared" si="32"/>
        <v>Belum Dapat Ditentukan</v>
      </c>
      <c r="AU146" s="66" t="s">
        <v>1203</v>
      </c>
      <c r="AV146" s="66" t="s">
        <v>1204</v>
      </c>
      <c r="AW146" s="66" t="s">
        <v>1190</v>
      </c>
      <c r="AX146" s="66"/>
      <c r="AY146" s="66"/>
      <c r="AZ146" s="66" t="s">
        <v>927</v>
      </c>
      <c r="BA146" s="66"/>
      <c r="BB146" s="178"/>
      <c r="BC146" s="72">
        <v>2026</v>
      </c>
      <c r="BD146" s="66"/>
      <c r="BE146" s="178"/>
      <c r="BF146" s="66" t="s">
        <v>1278</v>
      </c>
    </row>
    <row r="147" spans="1:58" ht="28">
      <c r="A147" s="66" t="s">
        <v>1714</v>
      </c>
      <c r="B147" s="66" t="s">
        <v>1828</v>
      </c>
      <c r="C147" s="66"/>
      <c r="D147" s="66"/>
      <c r="E147" s="66" t="s">
        <v>1829</v>
      </c>
      <c r="F147" s="66" t="s">
        <v>1458</v>
      </c>
      <c r="G147" s="66" t="s">
        <v>1310</v>
      </c>
      <c r="H147" s="66" t="s">
        <v>1262</v>
      </c>
      <c r="I147" s="66" t="s">
        <v>1414</v>
      </c>
      <c r="J147" s="66" t="s">
        <v>1182</v>
      </c>
      <c r="K147" s="66" t="s">
        <v>1277</v>
      </c>
      <c r="L147" s="66" t="s">
        <v>1215</v>
      </c>
      <c r="M147" s="66" t="s">
        <v>1265</v>
      </c>
      <c r="N147" s="66" t="s">
        <v>1215</v>
      </c>
      <c r="O147" s="66" t="s">
        <v>1277</v>
      </c>
      <c r="P147" s="66" t="s">
        <v>1215</v>
      </c>
      <c r="Q147" s="86" t="s">
        <v>1215</v>
      </c>
      <c r="R147" s="86" t="s">
        <v>1215</v>
      </c>
      <c r="S147" s="86" t="s">
        <v>1215</v>
      </c>
      <c r="T147" s="86" t="s">
        <v>1215</v>
      </c>
      <c r="U147" s="86" t="s">
        <v>1215</v>
      </c>
      <c r="V147" s="86" t="s">
        <v>1215</v>
      </c>
      <c r="W147" s="67"/>
      <c r="X147" s="84" t="str">
        <f t="shared" si="22"/>
        <v>Belum Dinilai</v>
      </c>
      <c r="Y147" s="84" t="str">
        <f t="shared" si="23"/>
        <v>Belum Dinilai</v>
      </c>
      <c r="Z147" s="85" t="str">
        <f t="shared" si="24"/>
        <v/>
      </c>
      <c r="AA147" s="85" t="str">
        <f t="shared" si="25"/>
        <v/>
      </c>
      <c r="AB147" s="85" t="str">
        <f t="shared" si="26"/>
        <v/>
      </c>
      <c r="AC147" s="68" t="s">
        <v>1215</v>
      </c>
      <c r="AD147" s="68" t="s">
        <v>1215</v>
      </c>
      <c r="AE147" s="68" t="s">
        <v>1215</v>
      </c>
      <c r="AF147" s="68" t="s">
        <v>1215</v>
      </c>
      <c r="AG147" s="68" t="s">
        <v>1215</v>
      </c>
      <c r="AH147" s="68" t="s">
        <v>1215</v>
      </c>
      <c r="AI147" s="68" t="s">
        <v>1215</v>
      </c>
      <c r="AJ147" s="68" t="s">
        <v>1215</v>
      </c>
      <c r="AK147" s="68" t="s">
        <v>1215</v>
      </c>
      <c r="AL147" s="68"/>
      <c r="AM147" s="68" t="s">
        <v>1215</v>
      </c>
      <c r="AN147" s="84" t="str">
        <f t="shared" si="27"/>
        <v>Belum Dinilai</v>
      </c>
      <c r="AO147" s="84" t="str">
        <f t="shared" si="28"/>
        <v>Belum Dinilai</v>
      </c>
      <c r="AP147" s="68"/>
      <c r="AQ147" s="71" t="str">
        <f t="shared" si="29"/>
        <v/>
      </c>
      <c r="AR147" s="71" t="str">
        <f t="shared" si="30"/>
        <v/>
      </c>
      <c r="AS147" s="71" t="str">
        <f t="shared" si="31"/>
        <v/>
      </c>
      <c r="AT147" s="69" t="str">
        <f t="shared" si="32"/>
        <v>Belum Dapat Ditentukan</v>
      </c>
      <c r="AU147" s="66" t="s">
        <v>1189</v>
      </c>
      <c r="AV147" s="66" t="s">
        <v>1204</v>
      </c>
      <c r="AW147" s="66" t="s">
        <v>1190</v>
      </c>
      <c r="AX147" s="66"/>
      <c r="AY147" s="66"/>
      <c r="AZ147" s="66" t="s">
        <v>927</v>
      </c>
      <c r="BA147" s="66"/>
      <c r="BB147" s="178"/>
      <c r="BC147" s="72">
        <v>2026</v>
      </c>
      <c r="BD147" s="66"/>
      <c r="BE147" s="178"/>
      <c r="BF147" s="66" t="s">
        <v>1278</v>
      </c>
    </row>
    <row r="148" spans="1:58" ht="28">
      <c r="A148" s="66" t="s">
        <v>1718</v>
      </c>
      <c r="B148" s="66" t="s">
        <v>1830</v>
      </c>
      <c r="C148" s="66"/>
      <c r="D148" s="66"/>
      <c r="E148" s="66" t="s">
        <v>1829</v>
      </c>
      <c r="F148" s="66" t="s">
        <v>1458</v>
      </c>
      <c r="G148" s="66" t="s">
        <v>1310</v>
      </c>
      <c r="H148" s="66" t="s">
        <v>1195</v>
      </c>
      <c r="I148" s="66" t="s">
        <v>1831</v>
      </c>
      <c r="J148" s="66" t="s">
        <v>1196</v>
      </c>
      <c r="K148" s="66" t="s">
        <v>1277</v>
      </c>
      <c r="L148" s="66" t="s">
        <v>1215</v>
      </c>
      <c r="M148" s="66" t="s">
        <v>1266</v>
      </c>
      <c r="N148" s="66" t="s">
        <v>1215</v>
      </c>
      <c r="O148" s="66" t="s">
        <v>1277</v>
      </c>
      <c r="P148" s="66" t="s">
        <v>1215</v>
      </c>
      <c r="Q148" s="86" t="s">
        <v>1215</v>
      </c>
      <c r="R148" s="86" t="s">
        <v>1215</v>
      </c>
      <c r="S148" s="86" t="s">
        <v>1215</v>
      </c>
      <c r="T148" s="86" t="s">
        <v>1215</v>
      </c>
      <c r="U148" s="86" t="s">
        <v>1215</v>
      </c>
      <c r="V148" s="86" t="s">
        <v>1215</v>
      </c>
      <c r="W148" s="67"/>
      <c r="X148" s="84" t="str">
        <f t="shared" si="22"/>
        <v>Belum Dinilai</v>
      </c>
      <c r="Y148" s="84" t="str">
        <f t="shared" si="23"/>
        <v>Belum Dinilai</v>
      </c>
      <c r="Z148" s="85" t="str">
        <f t="shared" si="24"/>
        <v/>
      </c>
      <c r="AA148" s="85" t="str">
        <f t="shared" si="25"/>
        <v/>
      </c>
      <c r="AB148" s="85" t="str">
        <f t="shared" si="26"/>
        <v/>
      </c>
      <c r="AC148" s="68" t="s">
        <v>1215</v>
      </c>
      <c r="AD148" s="68" t="s">
        <v>1215</v>
      </c>
      <c r="AE148" s="68" t="s">
        <v>1215</v>
      </c>
      <c r="AF148" s="68" t="s">
        <v>1215</v>
      </c>
      <c r="AG148" s="68" t="s">
        <v>1215</v>
      </c>
      <c r="AH148" s="68" t="s">
        <v>1215</v>
      </c>
      <c r="AI148" s="68" t="s">
        <v>1215</v>
      </c>
      <c r="AJ148" s="68" t="s">
        <v>1215</v>
      </c>
      <c r="AK148" s="68" t="s">
        <v>1215</v>
      </c>
      <c r="AL148" s="68"/>
      <c r="AM148" s="68" t="s">
        <v>1215</v>
      </c>
      <c r="AN148" s="84" t="str">
        <f t="shared" si="27"/>
        <v>Belum Dinilai</v>
      </c>
      <c r="AO148" s="84" t="str">
        <f t="shared" si="28"/>
        <v>Belum Dinilai</v>
      </c>
      <c r="AP148" s="68"/>
      <c r="AQ148" s="71" t="str">
        <f t="shared" si="29"/>
        <v/>
      </c>
      <c r="AR148" s="71" t="str">
        <f t="shared" si="30"/>
        <v/>
      </c>
      <c r="AS148" s="71" t="str">
        <f t="shared" si="31"/>
        <v/>
      </c>
      <c r="AT148" s="69" t="str">
        <f t="shared" si="32"/>
        <v>Belum Dapat Ditentukan</v>
      </c>
      <c r="AU148" s="66" t="s">
        <v>1189</v>
      </c>
      <c r="AV148" s="66" t="s">
        <v>1204</v>
      </c>
      <c r="AW148" s="66" t="s">
        <v>1898</v>
      </c>
      <c r="AX148" s="66" t="s">
        <v>1206</v>
      </c>
      <c r="AY148" s="66">
        <v>2024</v>
      </c>
      <c r="AZ148" s="66" t="s">
        <v>927</v>
      </c>
      <c r="BA148" s="66"/>
      <c r="BB148" s="178"/>
      <c r="BC148" s="72">
        <v>2026</v>
      </c>
      <c r="BD148" s="66"/>
      <c r="BE148" s="178"/>
      <c r="BF148" s="66" t="s">
        <v>1278</v>
      </c>
    </row>
    <row r="149" spans="1:58" ht="28">
      <c r="A149" s="66" t="s">
        <v>1722</v>
      </c>
      <c r="B149" s="66" t="s">
        <v>1832</v>
      </c>
      <c r="C149" s="66"/>
      <c r="D149" s="66"/>
      <c r="E149" s="66" t="s">
        <v>1833</v>
      </c>
      <c r="F149" s="66" t="s">
        <v>1288</v>
      </c>
      <c r="G149" s="66" t="s">
        <v>1289</v>
      </c>
      <c r="H149" s="66" t="s">
        <v>1181</v>
      </c>
      <c r="I149" s="66" t="s">
        <v>1290</v>
      </c>
      <c r="J149" s="66" t="s">
        <v>1210</v>
      </c>
      <c r="K149" s="66" t="s">
        <v>1277</v>
      </c>
      <c r="L149" s="66" t="s">
        <v>1215</v>
      </c>
      <c r="M149" s="66" t="s">
        <v>1266</v>
      </c>
      <c r="N149" s="66" t="s">
        <v>1215</v>
      </c>
      <c r="O149" s="66" t="s">
        <v>1277</v>
      </c>
      <c r="P149" s="66" t="s">
        <v>1215</v>
      </c>
      <c r="Q149" s="86" t="s">
        <v>1215</v>
      </c>
      <c r="R149" s="86" t="s">
        <v>1215</v>
      </c>
      <c r="S149" s="86" t="s">
        <v>1215</v>
      </c>
      <c r="T149" s="86" t="s">
        <v>1215</v>
      </c>
      <c r="U149" s="86" t="s">
        <v>1215</v>
      </c>
      <c r="V149" s="86" t="s">
        <v>1215</v>
      </c>
      <c r="W149" s="67"/>
      <c r="X149" s="84" t="str">
        <f t="shared" si="22"/>
        <v>Belum Dinilai</v>
      </c>
      <c r="Y149" s="84" t="str">
        <f t="shared" si="23"/>
        <v>Belum Dinilai</v>
      </c>
      <c r="Z149" s="85" t="str">
        <f t="shared" si="24"/>
        <v/>
      </c>
      <c r="AA149" s="85" t="str">
        <f t="shared" si="25"/>
        <v/>
      </c>
      <c r="AB149" s="85" t="str">
        <f t="shared" si="26"/>
        <v/>
      </c>
      <c r="AC149" s="68" t="s">
        <v>1215</v>
      </c>
      <c r="AD149" s="68" t="s">
        <v>1215</v>
      </c>
      <c r="AE149" s="68" t="s">
        <v>1215</v>
      </c>
      <c r="AF149" s="68" t="s">
        <v>1215</v>
      </c>
      <c r="AG149" s="68" t="s">
        <v>1215</v>
      </c>
      <c r="AH149" s="68" t="s">
        <v>1215</v>
      </c>
      <c r="AI149" s="68" t="s">
        <v>1215</v>
      </c>
      <c r="AJ149" s="68" t="s">
        <v>1215</v>
      </c>
      <c r="AK149" s="68" t="s">
        <v>1215</v>
      </c>
      <c r="AL149" s="68"/>
      <c r="AM149" s="68" t="s">
        <v>1215</v>
      </c>
      <c r="AN149" s="84" t="str">
        <f t="shared" si="27"/>
        <v>Belum Dinilai</v>
      </c>
      <c r="AO149" s="84" t="str">
        <f t="shared" si="28"/>
        <v>Belum Dinilai</v>
      </c>
      <c r="AP149" s="68"/>
      <c r="AQ149" s="71" t="str">
        <f t="shared" si="29"/>
        <v/>
      </c>
      <c r="AR149" s="71" t="str">
        <f t="shared" si="30"/>
        <v/>
      </c>
      <c r="AS149" s="71" t="str">
        <f t="shared" si="31"/>
        <v/>
      </c>
      <c r="AT149" s="69" t="str">
        <f t="shared" si="32"/>
        <v>Belum Dapat Ditentukan</v>
      </c>
      <c r="AU149" s="66" t="s">
        <v>1189</v>
      </c>
      <c r="AV149" s="66" t="s">
        <v>1204</v>
      </c>
      <c r="AW149" s="66" t="s">
        <v>1898</v>
      </c>
      <c r="AX149" s="66" t="s">
        <v>1206</v>
      </c>
      <c r="AY149" s="66">
        <v>2022</v>
      </c>
      <c r="AZ149" s="66" t="s">
        <v>927</v>
      </c>
      <c r="BA149" s="66"/>
      <c r="BB149" s="178"/>
      <c r="BC149" s="72">
        <v>2026</v>
      </c>
      <c r="BD149" s="66"/>
      <c r="BE149" s="178"/>
      <c r="BF149" s="66" t="s">
        <v>1278</v>
      </c>
    </row>
    <row r="150" spans="1:58" ht="42">
      <c r="A150" s="66" t="s">
        <v>1726</v>
      </c>
      <c r="B150" s="66" t="s">
        <v>1834</v>
      </c>
      <c r="C150" s="66"/>
      <c r="D150" s="66"/>
      <c r="E150" s="66" t="s">
        <v>1304</v>
      </c>
      <c r="F150" s="66" t="s">
        <v>1350</v>
      </c>
      <c r="G150" s="66" t="s">
        <v>1351</v>
      </c>
      <c r="H150" s="66" t="s">
        <v>1262</v>
      </c>
      <c r="I150" s="66" t="s">
        <v>1835</v>
      </c>
      <c r="J150" s="66" t="s">
        <v>1210</v>
      </c>
      <c r="K150" s="66" t="s">
        <v>1277</v>
      </c>
      <c r="L150" s="66" t="s">
        <v>891</v>
      </c>
      <c r="M150" s="66" t="s">
        <v>1266</v>
      </c>
      <c r="N150" s="66" t="s">
        <v>891</v>
      </c>
      <c r="O150" s="66" t="s">
        <v>1213</v>
      </c>
      <c r="P150" s="66" t="s">
        <v>891</v>
      </c>
      <c r="Q150" s="86" t="s">
        <v>1215</v>
      </c>
      <c r="R150" s="86" t="s">
        <v>1215</v>
      </c>
      <c r="S150" s="86" t="s">
        <v>1215</v>
      </c>
      <c r="T150" s="86" t="s">
        <v>1215</v>
      </c>
      <c r="U150" s="86" t="s">
        <v>1215</v>
      </c>
      <c r="V150" s="86" t="s">
        <v>1215</v>
      </c>
      <c r="W150" s="67"/>
      <c r="X150" s="84" t="str">
        <f t="shared" si="22"/>
        <v>Belum Dinilai</v>
      </c>
      <c r="Y150" s="84" t="str">
        <f t="shared" si="23"/>
        <v>Belum Dinilai</v>
      </c>
      <c r="Z150" s="85" t="str">
        <f t="shared" si="24"/>
        <v/>
      </c>
      <c r="AA150" s="85" t="str">
        <f t="shared" si="25"/>
        <v/>
      </c>
      <c r="AB150" s="85" t="str">
        <f t="shared" si="26"/>
        <v/>
      </c>
      <c r="AC150" s="68" t="s">
        <v>1215</v>
      </c>
      <c r="AD150" s="68" t="s">
        <v>1215</v>
      </c>
      <c r="AE150" s="68" t="s">
        <v>1215</v>
      </c>
      <c r="AF150" s="68" t="s">
        <v>1215</v>
      </c>
      <c r="AG150" s="68" t="s">
        <v>1215</v>
      </c>
      <c r="AH150" s="68" t="s">
        <v>1215</v>
      </c>
      <c r="AI150" s="68" t="s">
        <v>1215</v>
      </c>
      <c r="AJ150" s="68" t="s">
        <v>1215</v>
      </c>
      <c r="AK150" s="68" t="s">
        <v>1215</v>
      </c>
      <c r="AL150" s="68"/>
      <c r="AM150" s="68" t="s">
        <v>1215</v>
      </c>
      <c r="AN150" s="84" t="str">
        <f t="shared" si="27"/>
        <v>Belum Dinilai</v>
      </c>
      <c r="AO150" s="84" t="str">
        <f t="shared" si="28"/>
        <v>Belum Dinilai</v>
      </c>
      <c r="AP150" s="68"/>
      <c r="AQ150" s="71">
        <f t="shared" si="29"/>
        <v>29</v>
      </c>
      <c r="AR150" s="71" t="str">
        <f t="shared" si="30"/>
        <v/>
      </c>
      <c r="AS150" s="71" t="str">
        <f t="shared" si="31"/>
        <v/>
      </c>
      <c r="AT150" s="69" t="str">
        <f t="shared" si="32"/>
        <v>Belum Dapat Ditentukan</v>
      </c>
      <c r="AU150" s="66" t="s">
        <v>1203</v>
      </c>
      <c r="AV150" s="66" t="s">
        <v>1204</v>
      </c>
      <c r="AW150" s="66" t="s">
        <v>1190</v>
      </c>
      <c r="AX150" s="66"/>
      <c r="AY150" s="66"/>
      <c r="AZ150" s="66" t="s">
        <v>927</v>
      </c>
      <c r="BA150" s="66"/>
      <c r="BB150" s="178"/>
      <c r="BC150" s="72">
        <v>2026</v>
      </c>
      <c r="BD150" s="66"/>
      <c r="BE150" s="178"/>
      <c r="BF150" s="66" t="s">
        <v>1278</v>
      </c>
    </row>
    <row r="151" spans="1:58" ht="28">
      <c r="A151" s="66" t="s">
        <v>1728</v>
      </c>
      <c r="B151" s="66" t="s">
        <v>1836</v>
      </c>
      <c r="C151" s="66"/>
      <c r="D151" s="66"/>
      <c r="E151" s="66" t="s">
        <v>1837</v>
      </c>
      <c r="F151" s="66" t="s">
        <v>1309</v>
      </c>
      <c r="G151" s="66" t="s">
        <v>1310</v>
      </c>
      <c r="H151" s="66" t="s">
        <v>1262</v>
      </c>
      <c r="I151" s="66" t="s">
        <v>1838</v>
      </c>
      <c r="J151" s="66" t="s">
        <v>1182</v>
      </c>
      <c r="K151" s="66" t="s">
        <v>1277</v>
      </c>
      <c r="L151" s="66" t="s">
        <v>1215</v>
      </c>
      <c r="M151" s="66" t="s">
        <v>1265</v>
      </c>
      <c r="N151" s="66" t="s">
        <v>1215</v>
      </c>
      <c r="O151" s="66" t="s">
        <v>1277</v>
      </c>
      <c r="P151" s="66" t="s">
        <v>1215</v>
      </c>
      <c r="Q151" s="86" t="s">
        <v>1215</v>
      </c>
      <c r="R151" s="86" t="s">
        <v>1215</v>
      </c>
      <c r="S151" s="86" t="s">
        <v>1215</v>
      </c>
      <c r="T151" s="86" t="s">
        <v>1215</v>
      </c>
      <c r="U151" s="86" t="s">
        <v>1215</v>
      </c>
      <c r="V151" s="86" t="s">
        <v>1215</v>
      </c>
      <c r="W151" s="67"/>
      <c r="X151" s="84" t="str">
        <f t="shared" si="22"/>
        <v>Belum Dinilai</v>
      </c>
      <c r="Y151" s="84" t="str">
        <f t="shared" si="23"/>
        <v>Belum Dinilai</v>
      </c>
      <c r="Z151" s="85" t="str">
        <f t="shared" si="24"/>
        <v/>
      </c>
      <c r="AA151" s="85" t="str">
        <f t="shared" si="25"/>
        <v/>
      </c>
      <c r="AB151" s="85" t="str">
        <f t="shared" si="26"/>
        <v/>
      </c>
      <c r="AC151" s="68" t="s">
        <v>1215</v>
      </c>
      <c r="AD151" s="68" t="s">
        <v>1215</v>
      </c>
      <c r="AE151" s="68" t="s">
        <v>1215</v>
      </c>
      <c r="AF151" s="68" t="s">
        <v>1215</v>
      </c>
      <c r="AG151" s="68" t="s">
        <v>1215</v>
      </c>
      <c r="AH151" s="68" t="s">
        <v>1215</v>
      </c>
      <c r="AI151" s="68" t="s">
        <v>1215</v>
      </c>
      <c r="AJ151" s="68" t="s">
        <v>1215</v>
      </c>
      <c r="AK151" s="68" t="s">
        <v>1215</v>
      </c>
      <c r="AL151" s="68"/>
      <c r="AM151" s="68" t="s">
        <v>1215</v>
      </c>
      <c r="AN151" s="84" t="str">
        <f t="shared" si="27"/>
        <v>Belum Dinilai</v>
      </c>
      <c r="AO151" s="84" t="str">
        <f t="shared" si="28"/>
        <v>Belum Dinilai</v>
      </c>
      <c r="AP151" s="68"/>
      <c r="AQ151" s="71" t="str">
        <f t="shared" si="29"/>
        <v/>
      </c>
      <c r="AR151" s="71" t="str">
        <f t="shared" si="30"/>
        <v/>
      </c>
      <c r="AS151" s="71" t="str">
        <f t="shared" si="31"/>
        <v/>
      </c>
      <c r="AT151" s="69" t="str">
        <f t="shared" si="32"/>
        <v>Belum Dapat Ditentukan</v>
      </c>
      <c r="AU151" s="66" t="s">
        <v>1189</v>
      </c>
      <c r="AV151" s="66" t="s">
        <v>1204</v>
      </c>
      <c r="AW151" s="66" t="s">
        <v>1190</v>
      </c>
      <c r="AX151" s="66"/>
      <c r="AY151" s="66"/>
      <c r="AZ151" s="66" t="s">
        <v>927</v>
      </c>
      <c r="BA151" s="66"/>
      <c r="BB151" s="178"/>
      <c r="BC151" s="72">
        <v>2026</v>
      </c>
      <c r="BD151" s="66"/>
      <c r="BE151" s="178"/>
      <c r="BF151" s="66" t="s">
        <v>1278</v>
      </c>
    </row>
    <row r="152" spans="1:58" ht="28">
      <c r="A152" s="66" t="s">
        <v>1732</v>
      </c>
      <c r="B152" s="66" t="s">
        <v>1839</v>
      </c>
      <c r="C152" s="66"/>
      <c r="D152" s="66"/>
      <c r="E152" s="66" t="s">
        <v>1840</v>
      </c>
      <c r="F152" s="66" t="s">
        <v>1309</v>
      </c>
      <c r="G152" s="66" t="s">
        <v>1310</v>
      </c>
      <c r="H152" s="66" t="s">
        <v>1195</v>
      </c>
      <c r="I152" s="66" t="s">
        <v>1841</v>
      </c>
      <c r="J152" s="66" t="s">
        <v>1196</v>
      </c>
      <c r="K152" s="66" t="s">
        <v>1277</v>
      </c>
      <c r="L152" s="66" t="s">
        <v>1215</v>
      </c>
      <c r="M152" s="66" t="s">
        <v>1305</v>
      </c>
      <c r="N152" s="66" t="s">
        <v>1215</v>
      </c>
      <c r="O152" s="66" t="s">
        <v>1277</v>
      </c>
      <c r="P152" s="66" t="s">
        <v>1215</v>
      </c>
      <c r="Q152" s="86" t="s">
        <v>1215</v>
      </c>
      <c r="R152" s="86" t="s">
        <v>1215</v>
      </c>
      <c r="S152" s="86" t="s">
        <v>1215</v>
      </c>
      <c r="T152" s="86" t="s">
        <v>1215</v>
      </c>
      <c r="U152" s="86" t="s">
        <v>1215</v>
      </c>
      <c r="V152" s="86" t="s">
        <v>1215</v>
      </c>
      <c r="W152" s="67"/>
      <c r="X152" s="84" t="str">
        <f t="shared" si="22"/>
        <v>Belum Dinilai</v>
      </c>
      <c r="Y152" s="84" t="str">
        <f t="shared" si="23"/>
        <v>Belum Dinilai</v>
      </c>
      <c r="Z152" s="85" t="str">
        <f t="shared" si="24"/>
        <v/>
      </c>
      <c r="AA152" s="85" t="str">
        <f t="shared" si="25"/>
        <v/>
      </c>
      <c r="AB152" s="85" t="str">
        <f t="shared" si="26"/>
        <v/>
      </c>
      <c r="AC152" s="68" t="s">
        <v>1215</v>
      </c>
      <c r="AD152" s="68" t="s">
        <v>1215</v>
      </c>
      <c r="AE152" s="68" t="s">
        <v>1215</v>
      </c>
      <c r="AF152" s="68" t="s">
        <v>1215</v>
      </c>
      <c r="AG152" s="68" t="s">
        <v>1215</v>
      </c>
      <c r="AH152" s="68" t="s">
        <v>1215</v>
      </c>
      <c r="AI152" s="68" t="s">
        <v>1215</v>
      </c>
      <c r="AJ152" s="68" t="s">
        <v>1215</v>
      </c>
      <c r="AK152" s="68" t="s">
        <v>1215</v>
      </c>
      <c r="AL152" s="68"/>
      <c r="AM152" s="68" t="s">
        <v>1215</v>
      </c>
      <c r="AN152" s="84" t="str">
        <f t="shared" si="27"/>
        <v>Belum Dinilai</v>
      </c>
      <c r="AO152" s="84" t="str">
        <f t="shared" si="28"/>
        <v>Belum Dinilai</v>
      </c>
      <c r="AP152" s="68"/>
      <c r="AQ152" s="71" t="str">
        <f t="shared" si="29"/>
        <v/>
      </c>
      <c r="AR152" s="71" t="str">
        <f t="shared" si="30"/>
        <v/>
      </c>
      <c r="AS152" s="71" t="str">
        <f t="shared" si="31"/>
        <v/>
      </c>
      <c r="AT152" s="69" t="str">
        <f t="shared" si="32"/>
        <v>Belum Dapat Ditentukan</v>
      </c>
      <c r="AU152" s="66" t="s">
        <v>1189</v>
      </c>
      <c r="AV152" s="66" t="s">
        <v>1204</v>
      </c>
      <c r="AW152" s="66" t="s">
        <v>1898</v>
      </c>
      <c r="AX152" s="66" t="s">
        <v>1206</v>
      </c>
      <c r="AY152" s="66"/>
      <c r="AZ152" s="66" t="s">
        <v>927</v>
      </c>
      <c r="BA152" s="66"/>
      <c r="BB152" s="178"/>
      <c r="BC152" s="72">
        <v>2026</v>
      </c>
      <c r="BD152" s="66"/>
      <c r="BE152" s="178"/>
      <c r="BF152" s="66" t="s">
        <v>1278</v>
      </c>
    </row>
    <row r="153" spans="1:58" ht="28">
      <c r="A153" s="66" t="s">
        <v>1736</v>
      </c>
      <c r="B153" s="66" t="s">
        <v>1842</v>
      </c>
      <c r="C153" s="66"/>
      <c r="D153" s="66"/>
      <c r="E153" s="66" t="s">
        <v>1304</v>
      </c>
      <c r="F153" s="66" t="s">
        <v>1309</v>
      </c>
      <c r="G153" s="66" t="s">
        <v>1310</v>
      </c>
      <c r="H153" s="66" t="s">
        <v>1181</v>
      </c>
      <c r="I153" s="66" t="s">
        <v>1843</v>
      </c>
      <c r="J153" s="66" t="s">
        <v>1196</v>
      </c>
      <c r="K153" s="66" t="s">
        <v>1277</v>
      </c>
      <c r="L153" s="66" t="s">
        <v>1215</v>
      </c>
      <c r="M153" s="66" t="s">
        <v>1305</v>
      </c>
      <c r="N153" s="66" t="s">
        <v>1215</v>
      </c>
      <c r="O153" s="66" t="s">
        <v>1213</v>
      </c>
      <c r="P153" s="66" t="s">
        <v>1215</v>
      </c>
      <c r="Q153" s="86" t="s">
        <v>1215</v>
      </c>
      <c r="R153" s="86" t="s">
        <v>1215</v>
      </c>
      <c r="S153" s="86" t="s">
        <v>1215</v>
      </c>
      <c r="T153" s="86" t="s">
        <v>1215</v>
      </c>
      <c r="U153" s="86" t="s">
        <v>1215</v>
      </c>
      <c r="V153" s="86" t="s">
        <v>1215</v>
      </c>
      <c r="W153" s="67"/>
      <c r="X153" s="84" t="str">
        <f t="shared" si="22"/>
        <v>Belum Dinilai</v>
      </c>
      <c r="Y153" s="84" t="str">
        <f t="shared" si="23"/>
        <v>Belum Dinilai</v>
      </c>
      <c r="Z153" s="85" t="str">
        <f t="shared" si="24"/>
        <v/>
      </c>
      <c r="AA153" s="85" t="str">
        <f t="shared" si="25"/>
        <v/>
      </c>
      <c r="AB153" s="85" t="str">
        <f t="shared" si="26"/>
        <v/>
      </c>
      <c r="AC153" s="68" t="s">
        <v>1215</v>
      </c>
      <c r="AD153" s="68" t="s">
        <v>1215</v>
      </c>
      <c r="AE153" s="68" t="s">
        <v>1215</v>
      </c>
      <c r="AF153" s="68" t="s">
        <v>1215</v>
      </c>
      <c r="AG153" s="68" t="s">
        <v>1215</v>
      </c>
      <c r="AH153" s="68" t="s">
        <v>1215</v>
      </c>
      <c r="AI153" s="68" t="s">
        <v>1215</v>
      </c>
      <c r="AJ153" s="68" t="s">
        <v>1215</v>
      </c>
      <c r="AK153" s="68" t="s">
        <v>1215</v>
      </c>
      <c r="AL153" s="68"/>
      <c r="AM153" s="68" t="s">
        <v>1215</v>
      </c>
      <c r="AN153" s="84" t="str">
        <f t="shared" si="27"/>
        <v>Belum Dinilai</v>
      </c>
      <c r="AO153" s="84" t="str">
        <f t="shared" si="28"/>
        <v>Belum Dinilai</v>
      </c>
      <c r="AP153" s="68"/>
      <c r="AQ153" s="71" t="str">
        <f t="shared" si="29"/>
        <v/>
      </c>
      <c r="AR153" s="71" t="str">
        <f t="shared" si="30"/>
        <v/>
      </c>
      <c r="AS153" s="71" t="str">
        <f t="shared" si="31"/>
        <v/>
      </c>
      <c r="AT153" s="69" t="str">
        <f t="shared" si="32"/>
        <v>Belum Dapat Ditentukan</v>
      </c>
      <c r="AU153" s="66" t="s">
        <v>1189</v>
      </c>
      <c r="AV153" s="66" t="s">
        <v>1204</v>
      </c>
      <c r="AW153" s="66" t="s">
        <v>1898</v>
      </c>
      <c r="AX153" s="66" t="s">
        <v>1206</v>
      </c>
      <c r="AY153" s="66"/>
      <c r="AZ153" s="66" t="s">
        <v>927</v>
      </c>
      <c r="BA153" s="66"/>
      <c r="BB153" s="178"/>
      <c r="BC153" s="72">
        <v>2026</v>
      </c>
      <c r="BD153" s="66"/>
      <c r="BE153" s="178"/>
      <c r="BF153" s="66" t="s">
        <v>1278</v>
      </c>
    </row>
    <row r="154" spans="1:58" ht="42">
      <c r="A154" s="66" t="s">
        <v>1739</v>
      </c>
      <c r="B154" s="66" t="s">
        <v>1844</v>
      </c>
      <c r="C154" s="66"/>
      <c r="D154" s="66"/>
      <c r="E154" s="66" t="s">
        <v>1845</v>
      </c>
      <c r="F154" s="66" t="s">
        <v>1341</v>
      </c>
      <c r="G154" s="66" t="s">
        <v>1331</v>
      </c>
      <c r="H154" s="66" t="s">
        <v>1262</v>
      </c>
      <c r="I154" s="66" t="s">
        <v>1846</v>
      </c>
      <c r="J154" s="66" t="s">
        <v>1182</v>
      </c>
      <c r="K154" s="66" t="s">
        <v>1197</v>
      </c>
      <c r="L154" s="66" t="s">
        <v>1215</v>
      </c>
      <c r="M154" s="66" t="s">
        <v>1265</v>
      </c>
      <c r="N154" s="66" t="s">
        <v>1215</v>
      </c>
      <c r="O154" s="66" t="s">
        <v>1213</v>
      </c>
      <c r="P154" s="66" t="s">
        <v>1215</v>
      </c>
      <c r="Q154" s="86" t="s">
        <v>1215</v>
      </c>
      <c r="R154" s="86" t="s">
        <v>1215</v>
      </c>
      <c r="S154" s="86" t="s">
        <v>1215</v>
      </c>
      <c r="T154" s="86" t="s">
        <v>1215</v>
      </c>
      <c r="U154" s="86" t="s">
        <v>1215</v>
      </c>
      <c r="V154" s="86" t="s">
        <v>1215</v>
      </c>
      <c r="W154" s="67"/>
      <c r="X154" s="84" t="str">
        <f t="shared" si="22"/>
        <v>Belum Dinilai</v>
      </c>
      <c r="Y154" s="84" t="str">
        <f t="shared" si="23"/>
        <v>Belum Dinilai</v>
      </c>
      <c r="Z154" s="85" t="str">
        <f t="shared" si="24"/>
        <v/>
      </c>
      <c r="AA154" s="85" t="str">
        <f t="shared" si="25"/>
        <v/>
      </c>
      <c r="AB154" s="85" t="str">
        <f t="shared" si="26"/>
        <v/>
      </c>
      <c r="AC154" s="68" t="s">
        <v>1215</v>
      </c>
      <c r="AD154" s="68" t="s">
        <v>1215</v>
      </c>
      <c r="AE154" s="68" t="s">
        <v>1215</v>
      </c>
      <c r="AF154" s="68" t="s">
        <v>1215</v>
      </c>
      <c r="AG154" s="68" t="s">
        <v>1215</v>
      </c>
      <c r="AH154" s="68" t="s">
        <v>1215</v>
      </c>
      <c r="AI154" s="68" t="s">
        <v>1215</v>
      </c>
      <c r="AJ154" s="68" t="s">
        <v>1215</v>
      </c>
      <c r="AK154" s="68" t="s">
        <v>1215</v>
      </c>
      <c r="AL154" s="68"/>
      <c r="AM154" s="68" t="s">
        <v>1215</v>
      </c>
      <c r="AN154" s="84" t="str">
        <f t="shared" si="27"/>
        <v>Belum Dinilai</v>
      </c>
      <c r="AO154" s="84" t="str">
        <f t="shared" si="28"/>
        <v>Belum Dinilai</v>
      </c>
      <c r="AP154" s="68"/>
      <c r="AQ154" s="71" t="str">
        <f t="shared" si="29"/>
        <v/>
      </c>
      <c r="AR154" s="71" t="str">
        <f t="shared" si="30"/>
        <v/>
      </c>
      <c r="AS154" s="71" t="str">
        <f t="shared" si="31"/>
        <v/>
      </c>
      <c r="AT154" s="69" t="str">
        <f t="shared" si="32"/>
        <v>Belum Dapat Ditentukan</v>
      </c>
      <c r="AU154" s="66" t="s">
        <v>1189</v>
      </c>
      <c r="AV154" s="66" t="s">
        <v>1204</v>
      </c>
      <c r="AW154" s="66" t="s">
        <v>1190</v>
      </c>
      <c r="AX154" s="66"/>
      <c r="AY154" s="66"/>
      <c r="AZ154" s="66" t="s">
        <v>927</v>
      </c>
      <c r="BA154" s="66"/>
      <c r="BB154" s="178"/>
      <c r="BC154" s="72">
        <v>2026</v>
      </c>
      <c r="BD154" s="66"/>
      <c r="BE154" s="178"/>
      <c r="BF154" s="66" t="s">
        <v>1278</v>
      </c>
    </row>
    <row r="155" spans="1:58" ht="42">
      <c r="A155" s="66" t="s">
        <v>1743</v>
      </c>
      <c r="B155" s="66" t="s">
        <v>1847</v>
      </c>
      <c r="C155" s="66"/>
      <c r="D155" s="66"/>
      <c r="E155" s="66" t="s">
        <v>1848</v>
      </c>
      <c r="F155" s="66" t="s">
        <v>1341</v>
      </c>
      <c r="G155" s="66" t="s">
        <v>1331</v>
      </c>
      <c r="H155" s="66" t="s">
        <v>1181</v>
      </c>
      <c r="I155" s="66" t="s">
        <v>1849</v>
      </c>
      <c r="J155" s="66" t="s">
        <v>1210</v>
      </c>
      <c r="K155" s="66" t="s">
        <v>1197</v>
      </c>
      <c r="L155" s="66" t="s">
        <v>891</v>
      </c>
      <c r="M155" s="66" t="s">
        <v>1266</v>
      </c>
      <c r="N155" s="66" t="s">
        <v>891</v>
      </c>
      <c r="O155" s="66" t="s">
        <v>1213</v>
      </c>
      <c r="P155" s="66" t="s">
        <v>891</v>
      </c>
      <c r="Q155" s="86" t="s">
        <v>1215</v>
      </c>
      <c r="R155" s="86" t="s">
        <v>1215</v>
      </c>
      <c r="S155" s="86" t="s">
        <v>1215</v>
      </c>
      <c r="T155" s="86" t="s">
        <v>1215</v>
      </c>
      <c r="U155" s="86" t="s">
        <v>1215</v>
      </c>
      <c r="V155" s="86" t="s">
        <v>1215</v>
      </c>
      <c r="W155" s="67"/>
      <c r="X155" s="84" t="str">
        <f t="shared" si="22"/>
        <v>Belum Dinilai</v>
      </c>
      <c r="Y155" s="84" t="str">
        <f t="shared" si="23"/>
        <v>Belum Dinilai</v>
      </c>
      <c r="Z155" s="85" t="str">
        <f t="shared" si="24"/>
        <v/>
      </c>
      <c r="AA155" s="85" t="str">
        <f t="shared" si="25"/>
        <v/>
      </c>
      <c r="AB155" s="85" t="str">
        <f t="shared" si="26"/>
        <v/>
      </c>
      <c r="AC155" s="68" t="s">
        <v>1215</v>
      </c>
      <c r="AD155" s="68" t="s">
        <v>1215</v>
      </c>
      <c r="AE155" s="68" t="s">
        <v>1215</v>
      </c>
      <c r="AF155" s="68" t="s">
        <v>1215</v>
      </c>
      <c r="AG155" s="68" t="s">
        <v>1215</v>
      </c>
      <c r="AH155" s="68" t="s">
        <v>1215</v>
      </c>
      <c r="AI155" s="68" t="s">
        <v>1215</v>
      </c>
      <c r="AJ155" s="68" t="s">
        <v>1215</v>
      </c>
      <c r="AK155" s="68" t="s">
        <v>1215</v>
      </c>
      <c r="AL155" s="68"/>
      <c r="AM155" s="68" t="s">
        <v>1215</v>
      </c>
      <c r="AN155" s="84" t="str">
        <f t="shared" si="27"/>
        <v>Belum Dinilai</v>
      </c>
      <c r="AO155" s="84" t="str">
        <f t="shared" si="28"/>
        <v>Belum Dinilai</v>
      </c>
      <c r="AP155" s="68"/>
      <c r="AQ155" s="71">
        <f t="shared" si="29"/>
        <v>29</v>
      </c>
      <c r="AR155" s="71" t="str">
        <f t="shared" si="30"/>
        <v/>
      </c>
      <c r="AS155" s="71" t="str">
        <f t="shared" si="31"/>
        <v/>
      </c>
      <c r="AT155" s="69" t="str">
        <f t="shared" si="32"/>
        <v>Belum Dapat Ditentukan</v>
      </c>
      <c r="AU155" s="66" t="s">
        <v>1189</v>
      </c>
      <c r="AV155" s="66" t="s">
        <v>1204</v>
      </c>
      <c r="AW155" s="66" t="s">
        <v>1190</v>
      </c>
      <c r="AX155" s="66"/>
      <c r="AY155" s="66"/>
      <c r="AZ155" s="66" t="s">
        <v>927</v>
      </c>
      <c r="BA155" s="66"/>
      <c r="BB155" s="178"/>
      <c r="BC155" s="72">
        <v>2026</v>
      </c>
      <c r="BD155" s="66"/>
      <c r="BE155" s="178"/>
      <c r="BF155" s="66" t="s">
        <v>1278</v>
      </c>
    </row>
    <row r="156" spans="1:58" ht="28">
      <c r="A156" s="66" t="s">
        <v>1747</v>
      </c>
      <c r="B156" s="66" t="s">
        <v>1850</v>
      </c>
      <c r="C156" s="66"/>
      <c r="D156" s="66"/>
      <c r="E156" s="66" t="s">
        <v>1851</v>
      </c>
      <c r="F156" s="66" t="s">
        <v>1458</v>
      </c>
      <c r="G156" s="66" t="s">
        <v>1310</v>
      </c>
      <c r="H156" s="66" t="s">
        <v>1181</v>
      </c>
      <c r="I156" s="66" t="s">
        <v>1290</v>
      </c>
      <c r="J156" s="66" t="s">
        <v>1210</v>
      </c>
      <c r="K156" s="66" t="s">
        <v>1277</v>
      </c>
      <c r="L156" s="66" t="s">
        <v>1215</v>
      </c>
      <c r="M156" s="66" t="s">
        <v>1266</v>
      </c>
      <c r="N156" s="66" t="s">
        <v>1215</v>
      </c>
      <c r="O156" s="66" t="s">
        <v>1277</v>
      </c>
      <c r="P156" s="66" t="s">
        <v>1215</v>
      </c>
      <c r="Q156" s="86" t="s">
        <v>1215</v>
      </c>
      <c r="R156" s="86" t="s">
        <v>1215</v>
      </c>
      <c r="S156" s="86" t="s">
        <v>1215</v>
      </c>
      <c r="T156" s="86" t="s">
        <v>1215</v>
      </c>
      <c r="U156" s="86" t="s">
        <v>1215</v>
      </c>
      <c r="V156" s="86" t="s">
        <v>1215</v>
      </c>
      <c r="W156" s="67"/>
      <c r="X156" s="84" t="str">
        <f t="shared" si="22"/>
        <v>Belum Dinilai</v>
      </c>
      <c r="Y156" s="84" t="str">
        <f t="shared" si="23"/>
        <v>Belum Dinilai</v>
      </c>
      <c r="Z156" s="85" t="str">
        <f t="shared" si="24"/>
        <v/>
      </c>
      <c r="AA156" s="85" t="str">
        <f t="shared" si="25"/>
        <v/>
      </c>
      <c r="AB156" s="85" t="str">
        <f t="shared" si="26"/>
        <v/>
      </c>
      <c r="AC156" s="68" t="s">
        <v>1215</v>
      </c>
      <c r="AD156" s="68" t="s">
        <v>1215</v>
      </c>
      <c r="AE156" s="68" t="s">
        <v>1215</v>
      </c>
      <c r="AF156" s="68" t="s">
        <v>1215</v>
      </c>
      <c r="AG156" s="68" t="s">
        <v>1215</v>
      </c>
      <c r="AH156" s="68" t="s">
        <v>1215</v>
      </c>
      <c r="AI156" s="68" t="s">
        <v>1215</v>
      </c>
      <c r="AJ156" s="68" t="s">
        <v>1215</v>
      </c>
      <c r="AK156" s="68" t="s">
        <v>1215</v>
      </c>
      <c r="AL156" s="68"/>
      <c r="AM156" s="68" t="s">
        <v>1215</v>
      </c>
      <c r="AN156" s="84" t="str">
        <f t="shared" si="27"/>
        <v>Belum Dinilai</v>
      </c>
      <c r="AO156" s="84" t="str">
        <f t="shared" si="28"/>
        <v>Belum Dinilai</v>
      </c>
      <c r="AP156" s="68"/>
      <c r="AQ156" s="71" t="str">
        <f t="shared" si="29"/>
        <v/>
      </c>
      <c r="AR156" s="71" t="str">
        <f t="shared" si="30"/>
        <v/>
      </c>
      <c r="AS156" s="71" t="str">
        <f t="shared" si="31"/>
        <v/>
      </c>
      <c r="AT156" s="69" t="str">
        <f t="shared" si="32"/>
        <v>Belum Dapat Ditentukan</v>
      </c>
      <c r="AU156" s="66" t="s">
        <v>1189</v>
      </c>
      <c r="AV156" s="66" t="s">
        <v>1204</v>
      </c>
      <c r="AW156" s="66" t="s">
        <v>1898</v>
      </c>
      <c r="AX156" s="66" t="s">
        <v>1283</v>
      </c>
      <c r="AY156" s="66"/>
      <c r="AZ156" s="66" t="s">
        <v>927</v>
      </c>
      <c r="BA156" s="66"/>
      <c r="BB156" s="178"/>
      <c r="BC156" s="72">
        <v>2026</v>
      </c>
      <c r="BD156" s="66"/>
      <c r="BE156" s="178"/>
      <c r="BF156" s="66" t="s">
        <v>1278</v>
      </c>
    </row>
    <row r="157" spans="1:58" ht="56">
      <c r="A157" s="66" t="s">
        <v>1961</v>
      </c>
      <c r="B157" s="66" t="s">
        <v>1471</v>
      </c>
      <c r="C157" s="66"/>
      <c r="D157" s="66"/>
      <c r="E157" s="66" t="s">
        <v>1852</v>
      </c>
      <c r="F157" s="66" t="s">
        <v>1458</v>
      </c>
      <c r="G157" s="66" t="s">
        <v>1310</v>
      </c>
      <c r="H157" s="66" t="s">
        <v>1181</v>
      </c>
      <c r="I157" s="66" t="s">
        <v>1853</v>
      </c>
      <c r="J157" s="66" t="s">
        <v>1196</v>
      </c>
      <c r="K157" s="66" t="s">
        <v>1277</v>
      </c>
      <c r="L157" s="66" t="s">
        <v>891</v>
      </c>
      <c r="M157" s="66" t="s">
        <v>1305</v>
      </c>
      <c r="N157" s="66" t="s">
        <v>891</v>
      </c>
      <c r="O157" s="66" t="s">
        <v>1277</v>
      </c>
      <c r="P157" s="66" t="s">
        <v>891</v>
      </c>
      <c r="Q157" s="86" t="s">
        <v>1215</v>
      </c>
      <c r="R157" s="86" t="s">
        <v>1215</v>
      </c>
      <c r="S157" s="86" t="s">
        <v>1215</v>
      </c>
      <c r="T157" s="86" t="s">
        <v>1215</v>
      </c>
      <c r="U157" s="86" t="s">
        <v>1215</v>
      </c>
      <c r="V157" s="86" t="s">
        <v>1215</v>
      </c>
      <c r="W157" s="67"/>
      <c r="X157" s="84" t="str">
        <f t="shared" si="22"/>
        <v>Belum Dinilai</v>
      </c>
      <c r="Y157" s="84" t="str">
        <f t="shared" si="23"/>
        <v>Belum Dinilai</v>
      </c>
      <c r="Z157" s="85" t="str">
        <f t="shared" si="24"/>
        <v/>
      </c>
      <c r="AA157" s="85" t="str">
        <f t="shared" si="25"/>
        <v/>
      </c>
      <c r="AB157" s="85" t="str">
        <f t="shared" si="26"/>
        <v/>
      </c>
      <c r="AC157" s="68" t="s">
        <v>1215</v>
      </c>
      <c r="AD157" s="68" t="s">
        <v>1215</v>
      </c>
      <c r="AE157" s="68" t="s">
        <v>1215</v>
      </c>
      <c r="AF157" s="68" t="s">
        <v>1215</v>
      </c>
      <c r="AG157" s="68" t="s">
        <v>1215</v>
      </c>
      <c r="AH157" s="68" t="s">
        <v>1215</v>
      </c>
      <c r="AI157" s="68" t="s">
        <v>1215</v>
      </c>
      <c r="AJ157" s="68" t="s">
        <v>1215</v>
      </c>
      <c r="AK157" s="68" t="s">
        <v>1215</v>
      </c>
      <c r="AL157" s="68"/>
      <c r="AM157" s="68" t="s">
        <v>1215</v>
      </c>
      <c r="AN157" s="84" t="str">
        <f t="shared" si="27"/>
        <v>Belum Dinilai</v>
      </c>
      <c r="AO157" s="84" t="str">
        <f t="shared" si="28"/>
        <v>Belum Dinilai</v>
      </c>
      <c r="AP157" s="68"/>
      <c r="AQ157" s="71">
        <f t="shared" si="29"/>
        <v>22</v>
      </c>
      <c r="AR157" s="71" t="str">
        <f t="shared" si="30"/>
        <v/>
      </c>
      <c r="AS157" s="71" t="str">
        <f t="shared" si="31"/>
        <v/>
      </c>
      <c r="AT157" s="69" t="str">
        <f t="shared" si="32"/>
        <v>Belum Dapat Ditentukan</v>
      </c>
      <c r="AU157" s="66" t="s">
        <v>1189</v>
      </c>
      <c r="AV157" s="66" t="s">
        <v>1204</v>
      </c>
      <c r="AW157" s="66" t="s">
        <v>1898</v>
      </c>
      <c r="AX157" s="66" t="s">
        <v>1206</v>
      </c>
      <c r="AY157" s="66">
        <v>2022</v>
      </c>
      <c r="AZ157" s="66" t="s">
        <v>927</v>
      </c>
      <c r="BA157" s="66"/>
      <c r="BB157" s="178"/>
      <c r="BC157" s="72">
        <v>2026</v>
      </c>
      <c r="BD157" s="66"/>
      <c r="BE157" s="178"/>
      <c r="BF157" s="66" t="s">
        <v>1278</v>
      </c>
    </row>
    <row r="158" spans="1:58" ht="28">
      <c r="A158" s="66" t="s">
        <v>1962</v>
      </c>
      <c r="B158" s="66" t="s">
        <v>1854</v>
      </c>
      <c r="C158" s="66"/>
      <c r="D158" s="66"/>
      <c r="E158" s="66" t="s">
        <v>1855</v>
      </c>
      <c r="F158" s="66" t="s">
        <v>1458</v>
      </c>
      <c r="G158" s="66" t="s">
        <v>1310</v>
      </c>
      <c r="H158" s="66" t="s">
        <v>1262</v>
      </c>
      <c r="I158" s="66" t="s">
        <v>1856</v>
      </c>
      <c r="J158" s="66" t="s">
        <v>1196</v>
      </c>
      <c r="K158" s="66" t="s">
        <v>1277</v>
      </c>
      <c r="L158" s="66" t="s">
        <v>1215</v>
      </c>
      <c r="M158" s="66" t="s">
        <v>1305</v>
      </c>
      <c r="N158" s="66" t="s">
        <v>1215</v>
      </c>
      <c r="O158" s="66" t="s">
        <v>1277</v>
      </c>
      <c r="P158" s="66" t="s">
        <v>1215</v>
      </c>
      <c r="Q158" s="86" t="s">
        <v>1215</v>
      </c>
      <c r="R158" s="86" t="s">
        <v>1215</v>
      </c>
      <c r="S158" s="86" t="s">
        <v>1215</v>
      </c>
      <c r="T158" s="86" t="s">
        <v>1215</v>
      </c>
      <c r="U158" s="86" t="s">
        <v>1215</v>
      </c>
      <c r="V158" s="86" t="s">
        <v>1215</v>
      </c>
      <c r="W158" s="67"/>
      <c r="X158" s="84" t="str">
        <f t="shared" si="22"/>
        <v>Belum Dinilai</v>
      </c>
      <c r="Y158" s="84" t="str">
        <f t="shared" si="23"/>
        <v>Belum Dinilai</v>
      </c>
      <c r="Z158" s="85" t="str">
        <f t="shared" si="24"/>
        <v/>
      </c>
      <c r="AA158" s="85" t="str">
        <f t="shared" si="25"/>
        <v/>
      </c>
      <c r="AB158" s="85" t="str">
        <f t="shared" si="26"/>
        <v/>
      </c>
      <c r="AC158" s="68" t="s">
        <v>1215</v>
      </c>
      <c r="AD158" s="68" t="s">
        <v>1215</v>
      </c>
      <c r="AE158" s="68" t="s">
        <v>1215</v>
      </c>
      <c r="AF158" s="68" t="s">
        <v>1215</v>
      </c>
      <c r="AG158" s="68" t="s">
        <v>1215</v>
      </c>
      <c r="AH158" s="68" t="s">
        <v>1215</v>
      </c>
      <c r="AI158" s="68" t="s">
        <v>1215</v>
      </c>
      <c r="AJ158" s="68" t="s">
        <v>1215</v>
      </c>
      <c r="AK158" s="68" t="s">
        <v>1215</v>
      </c>
      <c r="AL158" s="68"/>
      <c r="AM158" s="68" t="s">
        <v>1215</v>
      </c>
      <c r="AN158" s="84" t="str">
        <f t="shared" si="27"/>
        <v>Belum Dinilai</v>
      </c>
      <c r="AO158" s="84" t="str">
        <f t="shared" si="28"/>
        <v>Belum Dinilai</v>
      </c>
      <c r="AP158" s="68"/>
      <c r="AQ158" s="71" t="str">
        <f t="shared" si="29"/>
        <v/>
      </c>
      <c r="AR158" s="71" t="str">
        <f t="shared" si="30"/>
        <v/>
      </c>
      <c r="AS158" s="71" t="str">
        <f t="shared" si="31"/>
        <v/>
      </c>
      <c r="AT158" s="69" t="str">
        <f t="shared" si="32"/>
        <v>Belum Dapat Ditentukan</v>
      </c>
      <c r="AU158" s="66" t="s">
        <v>1189</v>
      </c>
      <c r="AV158" s="66" t="s">
        <v>1204</v>
      </c>
      <c r="AW158" s="66" t="s">
        <v>1190</v>
      </c>
      <c r="AX158" s="66"/>
      <c r="AY158" s="66"/>
      <c r="AZ158" s="66" t="s">
        <v>927</v>
      </c>
      <c r="BA158" s="66"/>
      <c r="BB158" s="178"/>
      <c r="BC158" s="72">
        <v>2026</v>
      </c>
      <c r="BD158" s="66"/>
      <c r="BE158" s="178"/>
      <c r="BF158" s="66" t="s">
        <v>1278</v>
      </c>
    </row>
    <row r="159" spans="1:58" ht="28">
      <c r="A159" s="66" t="s">
        <v>1748</v>
      </c>
      <c r="B159" s="66" t="s">
        <v>1857</v>
      </c>
      <c r="C159" s="66"/>
      <c r="D159" s="66"/>
      <c r="E159" s="66" t="s">
        <v>1855</v>
      </c>
      <c r="F159" s="66" t="s">
        <v>1458</v>
      </c>
      <c r="G159" s="66" t="s">
        <v>1310</v>
      </c>
      <c r="H159" s="66" t="s">
        <v>1181</v>
      </c>
      <c r="I159" s="66" t="s">
        <v>1858</v>
      </c>
      <c r="J159" s="66" t="s">
        <v>1196</v>
      </c>
      <c r="K159" s="66" t="s">
        <v>1277</v>
      </c>
      <c r="L159" s="66" t="s">
        <v>1215</v>
      </c>
      <c r="M159" s="66" t="s">
        <v>1305</v>
      </c>
      <c r="N159" s="66" t="s">
        <v>1215</v>
      </c>
      <c r="O159" s="66" t="s">
        <v>1277</v>
      </c>
      <c r="P159" s="66" t="s">
        <v>1215</v>
      </c>
      <c r="Q159" s="86" t="s">
        <v>1215</v>
      </c>
      <c r="R159" s="86" t="s">
        <v>1215</v>
      </c>
      <c r="S159" s="86" t="s">
        <v>1215</v>
      </c>
      <c r="T159" s="86" t="s">
        <v>1215</v>
      </c>
      <c r="U159" s="86" t="s">
        <v>1215</v>
      </c>
      <c r="V159" s="86" t="s">
        <v>1215</v>
      </c>
      <c r="W159" s="67"/>
      <c r="X159" s="84" t="str">
        <f t="shared" si="22"/>
        <v>Belum Dinilai</v>
      </c>
      <c r="Y159" s="84" t="str">
        <f t="shared" si="23"/>
        <v>Belum Dinilai</v>
      </c>
      <c r="Z159" s="85" t="str">
        <f t="shared" si="24"/>
        <v/>
      </c>
      <c r="AA159" s="85" t="str">
        <f t="shared" si="25"/>
        <v/>
      </c>
      <c r="AB159" s="85" t="str">
        <f t="shared" si="26"/>
        <v/>
      </c>
      <c r="AC159" s="68" t="s">
        <v>1215</v>
      </c>
      <c r="AD159" s="68" t="s">
        <v>1215</v>
      </c>
      <c r="AE159" s="68" t="s">
        <v>1215</v>
      </c>
      <c r="AF159" s="68" t="s">
        <v>1215</v>
      </c>
      <c r="AG159" s="68" t="s">
        <v>1215</v>
      </c>
      <c r="AH159" s="68" t="s">
        <v>1215</v>
      </c>
      <c r="AI159" s="68" t="s">
        <v>1215</v>
      </c>
      <c r="AJ159" s="68" t="s">
        <v>1215</v>
      </c>
      <c r="AK159" s="68" t="s">
        <v>1215</v>
      </c>
      <c r="AL159" s="68"/>
      <c r="AM159" s="68" t="s">
        <v>1215</v>
      </c>
      <c r="AN159" s="84" t="str">
        <f t="shared" si="27"/>
        <v>Belum Dinilai</v>
      </c>
      <c r="AO159" s="84" t="str">
        <f t="shared" si="28"/>
        <v>Belum Dinilai</v>
      </c>
      <c r="AP159" s="68"/>
      <c r="AQ159" s="71" t="str">
        <f t="shared" si="29"/>
        <v/>
      </c>
      <c r="AR159" s="71" t="str">
        <f t="shared" si="30"/>
        <v/>
      </c>
      <c r="AS159" s="71" t="str">
        <f t="shared" si="31"/>
        <v/>
      </c>
      <c r="AT159" s="69" t="str">
        <f t="shared" si="32"/>
        <v>Belum Dapat Ditentukan</v>
      </c>
      <c r="AU159" s="66" t="s">
        <v>1189</v>
      </c>
      <c r="AV159" s="66" t="s">
        <v>1204</v>
      </c>
      <c r="AW159" s="66" t="s">
        <v>1190</v>
      </c>
      <c r="AX159" s="66"/>
      <c r="AY159" s="66"/>
      <c r="AZ159" s="66" t="s">
        <v>927</v>
      </c>
      <c r="BA159" s="66"/>
      <c r="BB159" s="178"/>
      <c r="BC159" s="72">
        <v>2026</v>
      </c>
      <c r="BD159" s="66"/>
      <c r="BE159" s="178"/>
      <c r="BF159" s="66" t="s">
        <v>1278</v>
      </c>
    </row>
    <row r="160" spans="1:58" ht="28">
      <c r="A160" s="66" t="s">
        <v>1749</v>
      </c>
      <c r="B160" s="66" t="s">
        <v>1859</v>
      </c>
      <c r="C160" s="66"/>
      <c r="D160" s="66"/>
      <c r="E160" s="66" t="s">
        <v>1860</v>
      </c>
      <c r="F160" s="66" t="s">
        <v>1458</v>
      </c>
      <c r="G160" s="66" t="s">
        <v>1310</v>
      </c>
      <c r="H160" s="66" t="s">
        <v>1195</v>
      </c>
      <c r="I160" s="66" t="s">
        <v>1861</v>
      </c>
      <c r="J160" s="66" t="s">
        <v>1196</v>
      </c>
      <c r="K160" s="66" t="s">
        <v>1197</v>
      </c>
      <c r="L160" s="66" t="s">
        <v>1215</v>
      </c>
      <c r="M160" s="66" t="s">
        <v>1305</v>
      </c>
      <c r="N160" s="66" t="s">
        <v>1215</v>
      </c>
      <c r="O160" s="66" t="s">
        <v>1213</v>
      </c>
      <c r="P160" s="66" t="s">
        <v>1215</v>
      </c>
      <c r="Q160" s="86" t="s">
        <v>1215</v>
      </c>
      <c r="R160" s="86" t="s">
        <v>1215</v>
      </c>
      <c r="S160" s="86" t="s">
        <v>1215</v>
      </c>
      <c r="T160" s="86" t="s">
        <v>1215</v>
      </c>
      <c r="U160" s="86" t="s">
        <v>1215</v>
      </c>
      <c r="V160" s="86" t="s">
        <v>1215</v>
      </c>
      <c r="W160" s="67"/>
      <c r="X160" s="84" t="str">
        <f t="shared" si="22"/>
        <v>Belum Dinilai</v>
      </c>
      <c r="Y160" s="84" t="str">
        <f t="shared" si="23"/>
        <v>Belum Dinilai</v>
      </c>
      <c r="Z160" s="85" t="str">
        <f t="shared" si="24"/>
        <v/>
      </c>
      <c r="AA160" s="85" t="str">
        <f t="shared" si="25"/>
        <v/>
      </c>
      <c r="AB160" s="85" t="str">
        <f t="shared" si="26"/>
        <v/>
      </c>
      <c r="AC160" s="68" t="s">
        <v>1215</v>
      </c>
      <c r="AD160" s="68" t="s">
        <v>1215</v>
      </c>
      <c r="AE160" s="68" t="s">
        <v>1215</v>
      </c>
      <c r="AF160" s="68" t="s">
        <v>1215</v>
      </c>
      <c r="AG160" s="68" t="s">
        <v>1215</v>
      </c>
      <c r="AH160" s="68" t="s">
        <v>1215</v>
      </c>
      <c r="AI160" s="68" t="s">
        <v>1215</v>
      </c>
      <c r="AJ160" s="68" t="s">
        <v>1215</v>
      </c>
      <c r="AK160" s="68" t="s">
        <v>1215</v>
      </c>
      <c r="AL160" s="68"/>
      <c r="AM160" s="68" t="s">
        <v>1215</v>
      </c>
      <c r="AN160" s="84" t="str">
        <f t="shared" si="27"/>
        <v>Belum Dinilai</v>
      </c>
      <c r="AO160" s="84" t="str">
        <f t="shared" si="28"/>
        <v>Belum Dinilai</v>
      </c>
      <c r="AP160" s="68"/>
      <c r="AQ160" s="71" t="str">
        <f t="shared" si="29"/>
        <v/>
      </c>
      <c r="AR160" s="71" t="str">
        <f t="shared" si="30"/>
        <v/>
      </c>
      <c r="AS160" s="71" t="str">
        <f t="shared" si="31"/>
        <v/>
      </c>
      <c r="AT160" s="69" t="str">
        <f t="shared" si="32"/>
        <v>Belum Dapat Ditentukan</v>
      </c>
      <c r="AU160" s="66" t="s">
        <v>1189</v>
      </c>
      <c r="AV160" s="66" t="s">
        <v>1204</v>
      </c>
      <c r="AW160" s="66" t="s">
        <v>1898</v>
      </c>
      <c r="AX160" s="66" t="s">
        <v>1206</v>
      </c>
      <c r="AY160" s="66">
        <v>2022</v>
      </c>
      <c r="AZ160" s="66" t="s">
        <v>927</v>
      </c>
      <c r="BA160" s="66"/>
      <c r="BB160" s="178"/>
      <c r="BC160" s="72">
        <v>2026</v>
      </c>
      <c r="BD160" s="66"/>
      <c r="BE160" s="178"/>
      <c r="BF160" s="66" t="s">
        <v>1278</v>
      </c>
    </row>
    <row r="161" spans="1:58" ht="28">
      <c r="A161" s="66" t="s">
        <v>1963</v>
      </c>
      <c r="B161" s="66" t="s">
        <v>1862</v>
      </c>
      <c r="C161" s="66"/>
      <c r="D161" s="66"/>
      <c r="E161" s="66" t="s">
        <v>1863</v>
      </c>
      <c r="F161" s="66" t="s">
        <v>1458</v>
      </c>
      <c r="G161" s="66" t="s">
        <v>1310</v>
      </c>
      <c r="H161" s="66" t="s">
        <v>1195</v>
      </c>
      <c r="I161" s="66" t="s">
        <v>1861</v>
      </c>
      <c r="J161" s="66" t="s">
        <v>1196</v>
      </c>
      <c r="K161" s="66" t="s">
        <v>1197</v>
      </c>
      <c r="L161" s="66" t="s">
        <v>1215</v>
      </c>
      <c r="M161" s="66" t="s">
        <v>1305</v>
      </c>
      <c r="N161" s="66" t="s">
        <v>1215</v>
      </c>
      <c r="O161" s="66" t="s">
        <v>1213</v>
      </c>
      <c r="P161" s="66" t="s">
        <v>1215</v>
      </c>
      <c r="Q161" s="86" t="s">
        <v>1215</v>
      </c>
      <c r="R161" s="86" t="s">
        <v>1215</v>
      </c>
      <c r="S161" s="86" t="s">
        <v>1215</v>
      </c>
      <c r="T161" s="86" t="s">
        <v>1215</v>
      </c>
      <c r="U161" s="86" t="s">
        <v>1215</v>
      </c>
      <c r="V161" s="86" t="s">
        <v>1215</v>
      </c>
      <c r="W161" s="67"/>
      <c r="X161" s="84" t="str">
        <f t="shared" si="22"/>
        <v>Belum Dinilai</v>
      </c>
      <c r="Y161" s="84" t="str">
        <f t="shared" si="23"/>
        <v>Belum Dinilai</v>
      </c>
      <c r="Z161" s="85" t="str">
        <f t="shared" si="24"/>
        <v/>
      </c>
      <c r="AA161" s="85" t="str">
        <f t="shared" si="25"/>
        <v/>
      </c>
      <c r="AB161" s="85" t="str">
        <f t="shared" si="26"/>
        <v/>
      </c>
      <c r="AC161" s="68" t="s">
        <v>1215</v>
      </c>
      <c r="AD161" s="68" t="s">
        <v>1215</v>
      </c>
      <c r="AE161" s="68" t="s">
        <v>1215</v>
      </c>
      <c r="AF161" s="68" t="s">
        <v>1215</v>
      </c>
      <c r="AG161" s="68" t="s">
        <v>1215</v>
      </c>
      <c r="AH161" s="68" t="s">
        <v>1215</v>
      </c>
      <c r="AI161" s="68" t="s">
        <v>1215</v>
      </c>
      <c r="AJ161" s="68" t="s">
        <v>1215</v>
      </c>
      <c r="AK161" s="68" t="s">
        <v>1215</v>
      </c>
      <c r="AL161" s="68"/>
      <c r="AM161" s="68" t="s">
        <v>1215</v>
      </c>
      <c r="AN161" s="84" t="str">
        <f t="shared" si="27"/>
        <v>Belum Dinilai</v>
      </c>
      <c r="AO161" s="84" t="str">
        <f t="shared" si="28"/>
        <v>Belum Dinilai</v>
      </c>
      <c r="AP161" s="68"/>
      <c r="AQ161" s="71" t="str">
        <f t="shared" si="29"/>
        <v/>
      </c>
      <c r="AR161" s="71" t="str">
        <f t="shared" si="30"/>
        <v/>
      </c>
      <c r="AS161" s="71" t="str">
        <f t="shared" si="31"/>
        <v/>
      </c>
      <c r="AT161" s="69" t="str">
        <f t="shared" si="32"/>
        <v>Belum Dapat Ditentukan</v>
      </c>
      <c r="AU161" s="66" t="s">
        <v>1189</v>
      </c>
      <c r="AV161" s="66" t="s">
        <v>1204</v>
      </c>
      <c r="AW161" s="66" t="s">
        <v>1898</v>
      </c>
      <c r="AX161" s="66" t="s">
        <v>1206</v>
      </c>
      <c r="AY161" s="66">
        <v>2022</v>
      </c>
      <c r="AZ161" s="66" t="s">
        <v>927</v>
      </c>
      <c r="BA161" s="66"/>
      <c r="BB161" s="178"/>
      <c r="BC161" s="72">
        <v>2026</v>
      </c>
      <c r="BD161" s="66"/>
      <c r="BE161" s="178"/>
      <c r="BF161" s="66" t="s">
        <v>1278</v>
      </c>
    </row>
    <row r="162" spans="1:58" ht="42">
      <c r="A162" s="66" t="s">
        <v>1753</v>
      </c>
      <c r="B162" s="66" t="s">
        <v>1864</v>
      </c>
      <c r="C162" s="66"/>
      <c r="D162" s="66"/>
      <c r="E162" s="66" t="s">
        <v>1865</v>
      </c>
      <c r="F162" s="66" t="s">
        <v>1458</v>
      </c>
      <c r="G162" s="66" t="s">
        <v>1310</v>
      </c>
      <c r="H162" s="66" t="s">
        <v>1262</v>
      </c>
      <c r="I162" s="66" t="s">
        <v>1866</v>
      </c>
      <c r="J162" s="66" t="s">
        <v>1210</v>
      </c>
      <c r="K162" s="66" t="s">
        <v>1197</v>
      </c>
      <c r="L162" s="66" t="s">
        <v>1215</v>
      </c>
      <c r="M162" s="66" t="s">
        <v>1266</v>
      </c>
      <c r="N162" s="66" t="s">
        <v>1215</v>
      </c>
      <c r="O162" s="66" t="s">
        <v>1213</v>
      </c>
      <c r="P162" s="66" t="s">
        <v>1215</v>
      </c>
      <c r="Q162" s="86" t="s">
        <v>1215</v>
      </c>
      <c r="R162" s="86" t="s">
        <v>1215</v>
      </c>
      <c r="S162" s="86" t="s">
        <v>1215</v>
      </c>
      <c r="T162" s="86" t="s">
        <v>1215</v>
      </c>
      <c r="U162" s="86" t="s">
        <v>1215</v>
      </c>
      <c r="V162" s="86" t="s">
        <v>1215</v>
      </c>
      <c r="W162" s="67"/>
      <c r="X162" s="84" t="str">
        <f t="shared" si="22"/>
        <v>Belum Dinilai</v>
      </c>
      <c r="Y162" s="84" t="str">
        <f t="shared" si="23"/>
        <v>Belum Dinilai</v>
      </c>
      <c r="Z162" s="85" t="str">
        <f t="shared" si="24"/>
        <v/>
      </c>
      <c r="AA162" s="85" t="str">
        <f t="shared" si="25"/>
        <v/>
      </c>
      <c r="AB162" s="85" t="str">
        <f t="shared" si="26"/>
        <v/>
      </c>
      <c r="AC162" s="68" t="s">
        <v>1215</v>
      </c>
      <c r="AD162" s="68" t="s">
        <v>1215</v>
      </c>
      <c r="AE162" s="68" t="s">
        <v>1215</v>
      </c>
      <c r="AF162" s="68" t="s">
        <v>1215</v>
      </c>
      <c r="AG162" s="68" t="s">
        <v>1215</v>
      </c>
      <c r="AH162" s="68" t="s">
        <v>1215</v>
      </c>
      <c r="AI162" s="68" t="s">
        <v>1215</v>
      </c>
      <c r="AJ162" s="68" t="s">
        <v>1215</v>
      </c>
      <c r="AK162" s="68" t="s">
        <v>1215</v>
      </c>
      <c r="AL162" s="68"/>
      <c r="AM162" s="68" t="s">
        <v>1215</v>
      </c>
      <c r="AN162" s="84" t="str">
        <f t="shared" si="27"/>
        <v>Belum Dinilai</v>
      </c>
      <c r="AO162" s="84" t="str">
        <f t="shared" si="28"/>
        <v>Belum Dinilai</v>
      </c>
      <c r="AP162" s="68"/>
      <c r="AQ162" s="71" t="str">
        <f t="shared" si="29"/>
        <v/>
      </c>
      <c r="AR162" s="71" t="str">
        <f t="shared" si="30"/>
        <v/>
      </c>
      <c r="AS162" s="71" t="str">
        <f t="shared" si="31"/>
        <v/>
      </c>
      <c r="AT162" s="69" t="str">
        <f t="shared" si="32"/>
        <v>Belum Dapat Ditentukan</v>
      </c>
      <c r="AU162" s="66" t="s">
        <v>1189</v>
      </c>
      <c r="AV162" s="66" t="s">
        <v>1204</v>
      </c>
      <c r="AW162" s="66" t="s">
        <v>1190</v>
      </c>
      <c r="AX162" s="66"/>
      <c r="AY162" s="66"/>
      <c r="AZ162" s="66" t="s">
        <v>927</v>
      </c>
      <c r="BA162" s="66"/>
      <c r="BB162" s="178"/>
      <c r="BC162" s="72">
        <v>2026</v>
      </c>
      <c r="BD162" s="66"/>
      <c r="BE162" s="178"/>
      <c r="BF162" s="66" t="s">
        <v>1278</v>
      </c>
    </row>
    <row r="163" spans="1:58" ht="28">
      <c r="A163" s="66" t="s">
        <v>1757</v>
      </c>
      <c r="B163" s="66" t="s">
        <v>1867</v>
      </c>
      <c r="C163" s="66"/>
      <c r="D163" s="66"/>
      <c r="E163" s="66" t="s">
        <v>1868</v>
      </c>
      <c r="F163" s="66" t="s">
        <v>1458</v>
      </c>
      <c r="G163" s="66" t="s">
        <v>1310</v>
      </c>
      <c r="H163" s="66" t="s">
        <v>1181</v>
      </c>
      <c r="I163" s="66" t="s">
        <v>1869</v>
      </c>
      <c r="J163" s="66" t="s">
        <v>1210</v>
      </c>
      <c r="K163" s="66" t="s">
        <v>1197</v>
      </c>
      <c r="L163" s="66" t="s">
        <v>1215</v>
      </c>
      <c r="M163" s="66" t="s">
        <v>1266</v>
      </c>
      <c r="N163" s="66" t="s">
        <v>1215</v>
      </c>
      <c r="O163" s="66" t="s">
        <v>1213</v>
      </c>
      <c r="P163" s="66" t="s">
        <v>1215</v>
      </c>
      <c r="Q163" s="86" t="s">
        <v>1215</v>
      </c>
      <c r="R163" s="86" t="s">
        <v>1215</v>
      </c>
      <c r="S163" s="86" t="s">
        <v>1215</v>
      </c>
      <c r="T163" s="86" t="s">
        <v>1215</v>
      </c>
      <c r="U163" s="86" t="s">
        <v>1215</v>
      </c>
      <c r="V163" s="86" t="s">
        <v>1215</v>
      </c>
      <c r="W163" s="67"/>
      <c r="X163" s="84" t="str">
        <f t="shared" si="22"/>
        <v>Belum Dinilai</v>
      </c>
      <c r="Y163" s="84" t="str">
        <f t="shared" si="23"/>
        <v>Belum Dinilai</v>
      </c>
      <c r="Z163" s="85" t="str">
        <f t="shared" si="24"/>
        <v/>
      </c>
      <c r="AA163" s="85" t="str">
        <f t="shared" si="25"/>
        <v/>
      </c>
      <c r="AB163" s="85" t="str">
        <f t="shared" si="26"/>
        <v/>
      </c>
      <c r="AC163" s="68" t="s">
        <v>1215</v>
      </c>
      <c r="AD163" s="68" t="s">
        <v>1215</v>
      </c>
      <c r="AE163" s="68" t="s">
        <v>1215</v>
      </c>
      <c r="AF163" s="68" t="s">
        <v>1215</v>
      </c>
      <c r="AG163" s="68" t="s">
        <v>1215</v>
      </c>
      <c r="AH163" s="68" t="s">
        <v>1215</v>
      </c>
      <c r="AI163" s="68" t="s">
        <v>1215</v>
      </c>
      <c r="AJ163" s="68" t="s">
        <v>1215</v>
      </c>
      <c r="AK163" s="68" t="s">
        <v>1215</v>
      </c>
      <c r="AL163" s="68"/>
      <c r="AM163" s="68" t="s">
        <v>1215</v>
      </c>
      <c r="AN163" s="84" t="str">
        <f t="shared" si="27"/>
        <v>Belum Dinilai</v>
      </c>
      <c r="AO163" s="84" t="str">
        <f t="shared" si="28"/>
        <v>Belum Dinilai</v>
      </c>
      <c r="AP163" s="68"/>
      <c r="AQ163" s="71" t="str">
        <f t="shared" si="29"/>
        <v/>
      </c>
      <c r="AR163" s="71" t="str">
        <f t="shared" si="30"/>
        <v/>
      </c>
      <c r="AS163" s="71" t="str">
        <f t="shared" si="31"/>
        <v/>
      </c>
      <c r="AT163" s="69" t="str">
        <f t="shared" si="32"/>
        <v>Belum Dapat Ditentukan</v>
      </c>
      <c r="AU163" s="66" t="s">
        <v>1189</v>
      </c>
      <c r="AV163" s="66" t="s">
        <v>1204</v>
      </c>
      <c r="AW163" s="66" t="s">
        <v>1190</v>
      </c>
      <c r="AX163" s="66"/>
      <c r="AY163" s="66"/>
      <c r="AZ163" s="66" t="s">
        <v>1207</v>
      </c>
      <c r="BA163" s="66"/>
      <c r="BB163" s="178"/>
      <c r="BC163" s="72">
        <v>2026</v>
      </c>
      <c r="BD163" s="66"/>
      <c r="BE163" s="178"/>
      <c r="BF163" s="66" t="s">
        <v>1278</v>
      </c>
    </row>
    <row r="164" spans="1:58" ht="42">
      <c r="A164" s="66" t="s">
        <v>1761</v>
      </c>
      <c r="B164" s="66" t="s">
        <v>1870</v>
      </c>
      <c r="C164" s="66"/>
      <c r="D164" s="66"/>
      <c r="E164" s="66" t="s">
        <v>1909</v>
      </c>
      <c r="F164" s="66" t="s">
        <v>1274</v>
      </c>
      <c r="G164" s="66" t="s">
        <v>1275</v>
      </c>
      <c r="H164" s="66" t="s">
        <v>1181</v>
      </c>
      <c r="I164" s="66" t="s">
        <v>1871</v>
      </c>
      <c r="J164" s="66" t="s">
        <v>1196</v>
      </c>
      <c r="K164" s="66" t="s">
        <v>1277</v>
      </c>
      <c r="L164" s="66" t="s">
        <v>1215</v>
      </c>
      <c r="M164" s="66" t="s">
        <v>1266</v>
      </c>
      <c r="N164" s="66" t="s">
        <v>1215</v>
      </c>
      <c r="O164" s="66" t="s">
        <v>1277</v>
      </c>
      <c r="P164" s="66" t="s">
        <v>1215</v>
      </c>
      <c r="Q164" s="86" t="s">
        <v>1215</v>
      </c>
      <c r="R164" s="86" t="s">
        <v>1215</v>
      </c>
      <c r="S164" s="86" t="s">
        <v>1215</v>
      </c>
      <c r="T164" s="86" t="s">
        <v>1215</v>
      </c>
      <c r="U164" s="86" t="s">
        <v>1215</v>
      </c>
      <c r="V164" s="86" t="s">
        <v>1215</v>
      </c>
      <c r="W164" s="67"/>
      <c r="X164" s="84" t="str">
        <f t="shared" si="22"/>
        <v>Belum Dinilai</v>
      </c>
      <c r="Y164" s="84" t="str">
        <f t="shared" si="23"/>
        <v>Belum Dinilai</v>
      </c>
      <c r="Z164" s="85" t="str">
        <f t="shared" si="24"/>
        <v/>
      </c>
      <c r="AA164" s="85" t="str">
        <f t="shared" si="25"/>
        <v/>
      </c>
      <c r="AB164" s="85" t="str">
        <f t="shared" si="26"/>
        <v/>
      </c>
      <c r="AC164" s="68" t="s">
        <v>1215</v>
      </c>
      <c r="AD164" s="68" t="s">
        <v>1215</v>
      </c>
      <c r="AE164" s="68" t="s">
        <v>1215</v>
      </c>
      <c r="AF164" s="68" t="s">
        <v>1215</v>
      </c>
      <c r="AG164" s="68" t="s">
        <v>1215</v>
      </c>
      <c r="AH164" s="68" t="s">
        <v>1215</v>
      </c>
      <c r="AI164" s="68" t="s">
        <v>1215</v>
      </c>
      <c r="AJ164" s="68" t="s">
        <v>1215</v>
      </c>
      <c r="AK164" s="68" t="s">
        <v>1215</v>
      </c>
      <c r="AL164" s="68"/>
      <c r="AM164" s="68" t="s">
        <v>1215</v>
      </c>
      <c r="AN164" s="84" t="str">
        <f t="shared" si="27"/>
        <v>Belum Dinilai</v>
      </c>
      <c r="AO164" s="84" t="str">
        <f t="shared" si="28"/>
        <v>Belum Dinilai</v>
      </c>
      <c r="AP164" s="68"/>
      <c r="AQ164" s="71" t="str">
        <f t="shared" si="29"/>
        <v/>
      </c>
      <c r="AR164" s="71" t="str">
        <f t="shared" si="30"/>
        <v/>
      </c>
      <c r="AS164" s="71" t="str">
        <f t="shared" si="31"/>
        <v/>
      </c>
      <c r="AT164" s="69" t="str">
        <f t="shared" si="32"/>
        <v>Belum Dapat Ditentukan</v>
      </c>
      <c r="AU164" s="66" t="s">
        <v>1189</v>
      </c>
      <c r="AV164" s="66" t="s">
        <v>1204</v>
      </c>
      <c r="AW164" s="66" t="s">
        <v>1190</v>
      </c>
      <c r="AX164" s="66"/>
      <c r="AY164" s="66"/>
      <c r="AZ164" s="66" t="s">
        <v>1207</v>
      </c>
      <c r="BA164" s="66"/>
      <c r="BB164" s="178"/>
      <c r="BC164" s="72">
        <v>2026</v>
      </c>
      <c r="BD164" s="66"/>
      <c r="BE164" s="178"/>
      <c r="BF164" s="66" t="s">
        <v>1278</v>
      </c>
    </row>
    <row r="165" spans="1:58" ht="42">
      <c r="A165" s="66" t="s">
        <v>1765</v>
      </c>
      <c r="B165" s="66" t="s">
        <v>1913</v>
      </c>
      <c r="C165" s="83" t="s">
        <v>2181</v>
      </c>
      <c r="D165" s="83" t="s">
        <v>2182</v>
      </c>
      <c r="E165" s="66" t="s">
        <v>1914</v>
      </c>
      <c r="F165" s="66" t="s">
        <v>1537</v>
      </c>
      <c r="G165" s="66" t="s">
        <v>1351</v>
      </c>
      <c r="H165" s="66" t="s">
        <v>1181</v>
      </c>
      <c r="I165" s="66"/>
      <c r="J165" s="66" t="s">
        <v>1210</v>
      </c>
      <c r="K165" s="66" t="s">
        <v>1197</v>
      </c>
      <c r="L165" s="66" t="s">
        <v>895</v>
      </c>
      <c r="M165" s="66" t="s">
        <v>1266</v>
      </c>
      <c r="N165" s="66" t="s">
        <v>895</v>
      </c>
      <c r="O165" s="66" t="s">
        <v>1213</v>
      </c>
      <c r="P165" s="66" t="s">
        <v>895</v>
      </c>
      <c r="Q165" s="86" t="s">
        <v>1186</v>
      </c>
      <c r="R165" s="86" t="s">
        <v>1187</v>
      </c>
      <c r="S165" s="86" t="s">
        <v>1201</v>
      </c>
      <c r="T165" s="86" t="s">
        <v>1201</v>
      </c>
      <c r="U165" s="86" t="s">
        <v>1201</v>
      </c>
      <c r="V165" s="86" t="s">
        <v>1201</v>
      </c>
      <c r="W165" s="67"/>
      <c r="X165" s="84" t="str">
        <f t="shared" si="22"/>
        <v xml:space="preserve">Lansia; </v>
      </c>
      <c r="Y165" s="84" t="str">
        <f t="shared" si="23"/>
        <v>1 Faktor Rentan</v>
      </c>
      <c r="Z165" s="85">
        <f t="shared" si="24"/>
        <v>10</v>
      </c>
      <c r="AA165" s="85">
        <f t="shared" si="25"/>
        <v>5</v>
      </c>
      <c r="AB165" s="85">
        <f t="shared" si="26"/>
        <v>15</v>
      </c>
      <c r="AC165" s="68" t="s">
        <v>1187</v>
      </c>
      <c r="AD165" s="68" t="s">
        <v>1201</v>
      </c>
      <c r="AE165" s="68" t="s">
        <v>1187</v>
      </c>
      <c r="AF165" s="68" t="s">
        <v>1201</v>
      </c>
      <c r="AG165" s="68" t="s">
        <v>1187</v>
      </c>
      <c r="AH165" s="68" t="s">
        <v>1187</v>
      </c>
      <c r="AI165" s="68" t="s">
        <v>1187</v>
      </c>
      <c r="AJ165" s="68" t="s">
        <v>1215</v>
      </c>
      <c r="AK165" s="68" t="s">
        <v>1215</v>
      </c>
      <c r="AL165" s="68"/>
      <c r="AM165" s="68" t="s">
        <v>1215</v>
      </c>
      <c r="AN165" s="84" t="str">
        <f t="shared" si="27"/>
        <v xml:space="preserve">Bangunan berpotensi roboh; Atap atau dinding utama hampir runtuh; Struktur rumah tidak stabil; Instalasi listrik berbahaya; Komponen bangunan lepas atau lapuk; </v>
      </c>
      <c r="AO165" s="84" t="str">
        <f t="shared" si="28"/>
        <v>Risiko Tinggi/Darurat</v>
      </c>
      <c r="AP165" s="68"/>
      <c r="AQ165" s="71">
        <f t="shared" si="29"/>
        <v>57</v>
      </c>
      <c r="AR165" s="71">
        <f t="shared" si="30"/>
        <v>10</v>
      </c>
      <c r="AS165" s="71">
        <f t="shared" si="31"/>
        <v>82</v>
      </c>
      <c r="AT165" s="69" t="str">
        <f t="shared" si="32"/>
        <v>Sangat Tinggi</v>
      </c>
      <c r="AU165" s="66" t="s">
        <v>1189</v>
      </c>
      <c r="AV165" s="66" t="s">
        <v>1204</v>
      </c>
      <c r="AW165" s="66" t="s">
        <v>1205</v>
      </c>
      <c r="AX165" s="66" t="s">
        <v>1283</v>
      </c>
      <c r="AY165" s="66">
        <v>2026</v>
      </c>
      <c r="AZ165" s="66" t="s">
        <v>1207</v>
      </c>
      <c r="BA165" s="66"/>
      <c r="BB165" s="178"/>
      <c r="BC165" s="72">
        <v>2026</v>
      </c>
      <c r="BD165" s="66"/>
      <c r="BE165" s="178"/>
      <c r="BF165" s="66" t="s">
        <v>1278</v>
      </c>
    </row>
    <row r="166" spans="1:58" ht="28">
      <c r="A166" s="66" t="s">
        <v>1964</v>
      </c>
      <c r="B166" s="66" t="s">
        <v>1915</v>
      </c>
      <c r="C166" s="83" t="s">
        <v>1921</v>
      </c>
      <c r="D166" s="83" t="s">
        <v>1922</v>
      </c>
      <c r="E166" s="66" t="s">
        <v>1916</v>
      </c>
      <c r="F166" s="66" t="s">
        <v>1537</v>
      </c>
      <c r="G166" s="66" t="s">
        <v>1351</v>
      </c>
      <c r="H166" s="66" t="s">
        <v>1262</v>
      </c>
      <c r="I166" s="66"/>
      <c r="J166" s="66" t="s">
        <v>1182</v>
      </c>
      <c r="K166" s="66" t="s">
        <v>1211</v>
      </c>
      <c r="L166" s="66" t="s">
        <v>1215</v>
      </c>
      <c r="M166" s="66" t="s">
        <v>1198</v>
      </c>
      <c r="N166" s="66" t="s">
        <v>1215</v>
      </c>
      <c r="O166" s="66" t="s">
        <v>1277</v>
      </c>
      <c r="P166" s="66" t="s">
        <v>1215</v>
      </c>
      <c r="Q166" s="86" t="s">
        <v>1186</v>
      </c>
      <c r="R166" s="86" t="s">
        <v>1215</v>
      </c>
      <c r="S166" s="86" t="s">
        <v>1215</v>
      </c>
      <c r="T166" s="86" t="s">
        <v>1215</v>
      </c>
      <c r="U166" s="86" t="s">
        <v>1215</v>
      </c>
      <c r="V166" s="86" t="s">
        <v>1215</v>
      </c>
      <c r="W166" s="67"/>
      <c r="X166" s="84" t="str">
        <f t="shared" si="22"/>
        <v>Belum Dinilai</v>
      </c>
      <c r="Y166" s="84" t="str">
        <f t="shared" si="23"/>
        <v>Belum Dinilai</v>
      </c>
      <c r="Z166" s="85">
        <f t="shared" si="24"/>
        <v>10</v>
      </c>
      <c r="AA166" s="85" t="str">
        <f t="shared" si="25"/>
        <v/>
      </c>
      <c r="AB166" s="85" t="str">
        <f t="shared" si="26"/>
        <v/>
      </c>
      <c r="AC166" s="68" t="s">
        <v>1215</v>
      </c>
      <c r="AD166" s="68" t="s">
        <v>1215</v>
      </c>
      <c r="AE166" s="68" t="s">
        <v>1215</v>
      </c>
      <c r="AF166" s="68" t="s">
        <v>1215</v>
      </c>
      <c r="AG166" s="68" t="s">
        <v>1215</v>
      </c>
      <c r="AH166" s="68" t="s">
        <v>1215</v>
      </c>
      <c r="AI166" s="68" t="s">
        <v>1215</v>
      </c>
      <c r="AJ166" s="68" t="s">
        <v>1215</v>
      </c>
      <c r="AK166" s="68" t="s">
        <v>1215</v>
      </c>
      <c r="AL166" s="68"/>
      <c r="AM166" s="68" t="s">
        <v>1215</v>
      </c>
      <c r="AN166" s="84" t="str">
        <f t="shared" si="27"/>
        <v>Belum Dinilai</v>
      </c>
      <c r="AO166" s="84" t="str">
        <f t="shared" si="28"/>
        <v>Belum Dinilai</v>
      </c>
      <c r="AP166" s="68"/>
      <c r="AQ166" s="71" t="str">
        <f t="shared" si="29"/>
        <v/>
      </c>
      <c r="AR166" s="71" t="str">
        <f t="shared" si="30"/>
        <v/>
      </c>
      <c r="AS166" s="71" t="str">
        <f t="shared" si="31"/>
        <v/>
      </c>
      <c r="AT166" s="69" t="str">
        <f t="shared" si="32"/>
        <v>Belum Dapat Ditentukan</v>
      </c>
      <c r="AU166" s="66" t="s">
        <v>1203</v>
      </c>
      <c r="AV166" s="66" t="s">
        <v>1204</v>
      </c>
      <c r="AW166" s="66" t="s">
        <v>1190</v>
      </c>
      <c r="AX166" s="66"/>
      <c r="AY166" s="66"/>
      <c r="AZ166" s="66"/>
      <c r="BA166" s="66"/>
      <c r="BB166" s="178"/>
      <c r="BC166" s="72"/>
      <c r="BD166" s="66"/>
      <c r="BE166" s="178"/>
      <c r="BF166" s="66" t="s">
        <v>1278</v>
      </c>
    </row>
    <row r="167" spans="1:58" ht="28">
      <c r="A167" s="66" t="s">
        <v>1769</v>
      </c>
      <c r="B167" s="66" t="s">
        <v>1917</v>
      </c>
      <c r="C167" s="83" t="s">
        <v>1918</v>
      </c>
      <c r="D167" s="83" t="s">
        <v>1919</v>
      </c>
      <c r="E167" s="66" t="s">
        <v>1920</v>
      </c>
      <c r="F167" s="66" t="s">
        <v>1356</v>
      </c>
      <c r="G167" s="66" t="s">
        <v>1289</v>
      </c>
      <c r="H167" s="66" t="s">
        <v>1262</v>
      </c>
      <c r="I167" s="66"/>
      <c r="J167" s="66" t="s">
        <v>1263</v>
      </c>
      <c r="K167" s="66"/>
      <c r="L167" s="66" t="s">
        <v>1215</v>
      </c>
      <c r="M167" s="66"/>
      <c r="N167" s="66" t="s">
        <v>1215</v>
      </c>
      <c r="O167" s="66"/>
      <c r="P167" s="66" t="s">
        <v>1215</v>
      </c>
      <c r="Q167" s="86" t="s">
        <v>1215</v>
      </c>
      <c r="R167" s="86" t="s">
        <v>1215</v>
      </c>
      <c r="S167" s="86" t="s">
        <v>1215</v>
      </c>
      <c r="T167" s="86" t="s">
        <v>1215</v>
      </c>
      <c r="U167" s="86" t="s">
        <v>1215</v>
      </c>
      <c r="V167" s="86" t="s">
        <v>1215</v>
      </c>
      <c r="W167" s="67"/>
      <c r="X167" s="84" t="str">
        <f t="shared" si="22"/>
        <v>Belum Dinilai</v>
      </c>
      <c r="Y167" s="84" t="str">
        <f t="shared" si="23"/>
        <v>Belum Dinilai</v>
      </c>
      <c r="Z167" s="85" t="str">
        <f t="shared" si="24"/>
        <v/>
      </c>
      <c r="AA167" s="85" t="str">
        <f t="shared" si="25"/>
        <v/>
      </c>
      <c r="AB167" s="85" t="str">
        <f t="shared" si="26"/>
        <v/>
      </c>
      <c r="AC167" s="68" t="s">
        <v>1215</v>
      </c>
      <c r="AD167" s="68" t="s">
        <v>1215</v>
      </c>
      <c r="AE167" s="68" t="s">
        <v>1215</v>
      </c>
      <c r="AF167" s="68" t="s">
        <v>1215</v>
      </c>
      <c r="AG167" s="68" t="s">
        <v>1215</v>
      </c>
      <c r="AH167" s="68" t="s">
        <v>1215</v>
      </c>
      <c r="AI167" s="68" t="s">
        <v>1215</v>
      </c>
      <c r="AJ167" s="68" t="s">
        <v>1215</v>
      </c>
      <c r="AK167" s="68" t="s">
        <v>1215</v>
      </c>
      <c r="AL167" s="68"/>
      <c r="AM167" s="68" t="s">
        <v>1215</v>
      </c>
      <c r="AN167" s="84" t="str">
        <f t="shared" si="27"/>
        <v>Belum Dinilai</v>
      </c>
      <c r="AO167" s="84" t="str">
        <f t="shared" si="28"/>
        <v>Belum Dinilai</v>
      </c>
      <c r="AP167" s="68"/>
      <c r="AQ167" s="71" t="str">
        <f t="shared" si="29"/>
        <v/>
      </c>
      <c r="AR167" s="71" t="str">
        <f t="shared" si="30"/>
        <v/>
      </c>
      <c r="AS167" s="71" t="str">
        <f t="shared" si="31"/>
        <v/>
      </c>
      <c r="AT167" s="69" t="str">
        <f t="shared" si="32"/>
        <v>Belum Dapat Ditentukan</v>
      </c>
      <c r="AU167" s="66" t="s">
        <v>1203</v>
      </c>
      <c r="AV167" s="66" t="s">
        <v>1204</v>
      </c>
      <c r="AW167" s="66" t="s">
        <v>1190</v>
      </c>
      <c r="AX167" s="66"/>
      <c r="AY167" s="66"/>
      <c r="AZ167" s="66"/>
      <c r="BA167" s="66"/>
      <c r="BB167" s="178"/>
      <c r="BC167" s="72"/>
      <c r="BD167" s="66"/>
      <c r="BE167" s="178"/>
      <c r="BF167" s="66" t="s">
        <v>1278</v>
      </c>
    </row>
    <row r="168" spans="1:58" ht="28">
      <c r="A168" s="66" t="s">
        <v>1773</v>
      </c>
      <c r="B168" s="66" t="s">
        <v>1923</v>
      </c>
      <c r="C168" s="83" t="s">
        <v>1924</v>
      </c>
      <c r="D168" s="83" t="s">
        <v>1925</v>
      </c>
      <c r="E168" s="66" t="s">
        <v>1926</v>
      </c>
      <c r="F168" s="66" t="s">
        <v>1641</v>
      </c>
      <c r="G168" s="66" t="s">
        <v>1275</v>
      </c>
      <c r="H168" s="66" t="s">
        <v>1262</v>
      </c>
      <c r="I168" s="66"/>
      <c r="J168" s="66" t="s">
        <v>1196</v>
      </c>
      <c r="K168" s="66" t="s">
        <v>1197</v>
      </c>
      <c r="L168" s="66" t="s">
        <v>905</v>
      </c>
      <c r="M168" s="66" t="s">
        <v>1266</v>
      </c>
      <c r="N168" s="66" t="s">
        <v>905</v>
      </c>
      <c r="O168" s="66" t="s">
        <v>1213</v>
      </c>
      <c r="P168" s="66" t="s">
        <v>891</v>
      </c>
      <c r="Q168" s="86" t="s">
        <v>1215</v>
      </c>
      <c r="R168" s="86" t="s">
        <v>1215</v>
      </c>
      <c r="S168" s="86" t="s">
        <v>1215</v>
      </c>
      <c r="T168" s="86" t="s">
        <v>1215</v>
      </c>
      <c r="U168" s="86" t="s">
        <v>1215</v>
      </c>
      <c r="V168" s="86" t="s">
        <v>1215</v>
      </c>
      <c r="W168" s="67"/>
      <c r="X168" s="84" t="str">
        <f t="shared" si="22"/>
        <v>Belum Dinilai</v>
      </c>
      <c r="Y168" s="84" t="str">
        <f t="shared" si="23"/>
        <v>Belum Dinilai</v>
      </c>
      <c r="Z168" s="85" t="str">
        <f t="shared" si="24"/>
        <v/>
      </c>
      <c r="AA168" s="85" t="str">
        <f t="shared" si="25"/>
        <v/>
      </c>
      <c r="AB168" s="85" t="str">
        <f t="shared" si="26"/>
        <v/>
      </c>
      <c r="AC168" s="68"/>
      <c r="AD168" s="68"/>
      <c r="AE168" s="68"/>
      <c r="AF168" s="68"/>
      <c r="AG168" s="68"/>
      <c r="AH168" s="68"/>
      <c r="AI168" s="68"/>
      <c r="AJ168" s="68"/>
      <c r="AK168" s="68"/>
      <c r="AL168" s="68"/>
      <c r="AM168" s="68"/>
      <c r="AN168" s="84" t="str">
        <f t="shared" si="27"/>
        <v>Tidak ada risiko khusus</v>
      </c>
      <c r="AO168" s="84" t="str">
        <f t="shared" si="28"/>
        <v>Tidak Ada Risiko Khusus</v>
      </c>
      <c r="AP168" s="68"/>
      <c r="AQ168" s="71">
        <f t="shared" si="29"/>
        <v>32</v>
      </c>
      <c r="AR168" s="71">
        <f t="shared" si="30"/>
        <v>0</v>
      </c>
      <c r="AS168" s="71" t="str">
        <f t="shared" si="31"/>
        <v/>
      </c>
      <c r="AT168" s="69" t="str">
        <f t="shared" si="32"/>
        <v>Belum Dapat Ditentukan</v>
      </c>
      <c r="AU168" s="66"/>
      <c r="AV168" s="66" t="s">
        <v>1204</v>
      </c>
      <c r="AW168" s="66" t="s">
        <v>1190</v>
      </c>
      <c r="AX168" s="66"/>
      <c r="AY168" s="66"/>
      <c r="AZ168" s="66" t="s">
        <v>1192</v>
      </c>
      <c r="BA168" s="66"/>
      <c r="BB168" s="178"/>
      <c r="BC168" s="72"/>
      <c r="BD168" s="66"/>
      <c r="BE168" s="178"/>
      <c r="BF168" s="66" t="s">
        <v>1278</v>
      </c>
    </row>
    <row r="169" spans="1:58" ht="28">
      <c r="A169" s="66" t="s">
        <v>1777</v>
      </c>
      <c r="B169" s="66" t="s">
        <v>1927</v>
      </c>
      <c r="C169" s="83" t="s">
        <v>1928</v>
      </c>
      <c r="D169" s="83" t="s">
        <v>1929</v>
      </c>
      <c r="E169" s="66" t="s">
        <v>1930</v>
      </c>
      <c r="F169" s="66" t="s">
        <v>1931</v>
      </c>
      <c r="G169" s="66" t="s">
        <v>1351</v>
      </c>
      <c r="H169" s="66" t="s">
        <v>1262</v>
      </c>
      <c r="I169" s="66"/>
      <c r="J169" s="66" t="s">
        <v>1196</v>
      </c>
      <c r="K169" s="66" t="s">
        <v>1197</v>
      </c>
      <c r="L169" s="66" t="s">
        <v>895</v>
      </c>
      <c r="M169" s="66" t="s">
        <v>1266</v>
      </c>
      <c r="N169" s="66" t="s">
        <v>905</v>
      </c>
      <c r="O169" s="66" t="s">
        <v>1213</v>
      </c>
      <c r="P169" s="66" t="s">
        <v>891</v>
      </c>
      <c r="Q169" s="86" t="s">
        <v>1186</v>
      </c>
      <c r="R169" s="86" t="s">
        <v>1187</v>
      </c>
      <c r="S169" s="86" t="s">
        <v>1201</v>
      </c>
      <c r="T169" s="86" t="s">
        <v>1187</v>
      </c>
      <c r="U169" s="86" t="s">
        <v>1201</v>
      </c>
      <c r="V169" s="86" t="s">
        <v>1215</v>
      </c>
      <c r="W169" s="67"/>
      <c r="X169" s="84" t="str">
        <f t="shared" si="22"/>
        <v>Belum Dinilai</v>
      </c>
      <c r="Y169" s="84" t="str">
        <f t="shared" si="23"/>
        <v>Belum Dinilai</v>
      </c>
      <c r="Z169" s="85">
        <f t="shared" si="24"/>
        <v>10</v>
      </c>
      <c r="AA169" s="85" t="str">
        <f t="shared" si="25"/>
        <v/>
      </c>
      <c r="AB169" s="85" t="str">
        <f t="shared" si="26"/>
        <v/>
      </c>
      <c r="AC169" s="68" t="s">
        <v>1201</v>
      </c>
      <c r="AD169" s="68" t="s">
        <v>1201</v>
      </c>
      <c r="AE169" s="68" t="s">
        <v>1187</v>
      </c>
      <c r="AF169" s="68" t="s">
        <v>1201</v>
      </c>
      <c r="AG169" s="68" t="s">
        <v>1201</v>
      </c>
      <c r="AH169" s="68" t="s">
        <v>1187</v>
      </c>
      <c r="AI169" s="68" t="s">
        <v>1187</v>
      </c>
      <c r="AJ169" s="68" t="s">
        <v>1201</v>
      </c>
      <c r="AK169" s="68" t="s">
        <v>1201</v>
      </c>
      <c r="AL169" s="68"/>
      <c r="AM169" s="68" t="s">
        <v>1215</v>
      </c>
      <c r="AN169" s="84" t="str">
        <f t="shared" si="27"/>
        <v xml:space="preserve">Atap atau dinding utama hampir runtuh; Instalasi listrik berbahaya; Komponen bangunan lepas atau lapuk; </v>
      </c>
      <c r="AO169" s="84" t="str">
        <f t="shared" si="28"/>
        <v>Risiko Tinggi/Darurat</v>
      </c>
      <c r="AP169" s="68"/>
      <c r="AQ169" s="71">
        <f t="shared" si="29"/>
        <v>37</v>
      </c>
      <c r="AR169" s="71">
        <f t="shared" si="30"/>
        <v>10</v>
      </c>
      <c r="AS169" s="71" t="str">
        <f t="shared" si="31"/>
        <v/>
      </c>
      <c r="AT169" s="69" t="str">
        <f t="shared" si="32"/>
        <v>Belum Dapat Ditentukan</v>
      </c>
      <c r="AU169" s="66"/>
      <c r="AV169" s="66" t="s">
        <v>1204</v>
      </c>
      <c r="AW169" s="66" t="s">
        <v>1190</v>
      </c>
      <c r="AX169" s="66"/>
      <c r="AY169" s="66"/>
      <c r="AZ169" s="66"/>
      <c r="BA169" s="66"/>
      <c r="BB169" s="178"/>
      <c r="BC169" s="72"/>
      <c r="BD169" s="66"/>
      <c r="BE169" s="178"/>
      <c r="BF169" s="66" t="s">
        <v>1278</v>
      </c>
    </row>
    <row r="170" spans="1:58" ht="28">
      <c r="A170" s="66" t="s">
        <v>1781</v>
      </c>
      <c r="B170" s="66" t="s">
        <v>1966</v>
      </c>
      <c r="C170" s="83" t="s">
        <v>1967</v>
      </c>
      <c r="D170" s="83" t="s">
        <v>1968</v>
      </c>
      <c r="E170" s="66" t="s">
        <v>1969</v>
      </c>
      <c r="F170" s="66" t="s">
        <v>1537</v>
      </c>
      <c r="G170" s="66" t="s">
        <v>1351</v>
      </c>
      <c r="H170" s="66" t="s">
        <v>1262</v>
      </c>
      <c r="I170" s="66"/>
      <c r="J170" s="66" t="s">
        <v>1182</v>
      </c>
      <c r="K170" s="66" t="s">
        <v>1211</v>
      </c>
      <c r="L170" s="66" t="s">
        <v>888</v>
      </c>
      <c r="M170" s="66" t="s">
        <v>1184</v>
      </c>
      <c r="N170" s="66" t="s">
        <v>888</v>
      </c>
      <c r="O170" s="66" t="s">
        <v>1185</v>
      </c>
      <c r="P170" s="66" t="s">
        <v>888</v>
      </c>
      <c r="Q170" s="86" t="s">
        <v>1186</v>
      </c>
      <c r="R170" s="86" t="s">
        <v>1187</v>
      </c>
      <c r="S170" s="86" t="s">
        <v>1201</v>
      </c>
      <c r="T170" s="86" t="s">
        <v>1201</v>
      </c>
      <c r="U170" s="86" t="s">
        <v>1201</v>
      </c>
      <c r="V170" s="86" t="s">
        <v>1215</v>
      </c>
      <c r="W170" s="67"/>
      <c r="X170" s="84" t="str">
        <f t="shared" si="22"/>
        <v>Belum Dinilai</v>
      </c>
      <c r="Y170" s="84" t="str">
        <f t="shared" si="23"/>
        <v>Belum Dinilai</v>
      </c>
      <c r="Z170" s="85">
        <f t="shared" si="24"/>
        <v>10</v>
      </c>
      <c r="AA170" s="85" t="str">
        <f t="shared" si="25"/>
        <v/>
      </c>
      <c r="AB170" s="85" t="str">
        <f t="shared" si="26"/>
        <v/>
      </c>
      <c r="AC170" s="68" t="s">
        <v>1201</v>
      </c>
      <c r="AD170" s="68" t="s">
        <v>1201</v>
      </c>
      <c r="AE170" s="68" t="s">
        <v>1201</v>
      </c>
      <c r="AF170" s="68" t="s">
        <v>1201</v>
      </c>
      <c r="AG170" s="68" t="s">
        <v>1201</v>
      </c>
      <c r="AH170" s="68" t="s">
        <v>1201</v>
      </c>
      <c r="AI170" s="68" t="s">
        <v>1201</v>
      </c>
      <c r="AJ170" s="68" t="s">
        <v>1201</v>
      </c>
      <c r="AK170" s="68" t="s">
        <v>1201</v>
      </c>
      <c r="AL170" s="68"/>
      <c r="AM170" s="68" t="s">
        <v>1215</v>
      </c>
      <c r="AN170" s="84" t="str">
        <f t="shared" si="27"/>
        <v>Tidak ada risiko khusus</v>
      </c>
      <c r="AO170" s="84" t="str">
        <f t="shared" si="28"/>
        <v>Tidak Ada Risiko Khusus</v>
      </c>
      <c r="AP170" s="68"/>
      <c r="AQ170" s="71">
        <f t="shared" si="29"/>
        <v>0</v>
      </c>
      <c r="AR170" s="71">
        <f t="shared" si="30"/>
        <v>0</v>
      </c>
      <c r="AS170" s="71" t="str">
        <f t="shared" si="31"/>
        <v/>
      </c>
      <c r="AT170" s="69" t="str">
        <f t="shared" si="32"/>
        <v>Belum Dapat Ditentukan</v>
      </c>
      <c r="AU170" s="66"/>
      <c r="AV170" s="66" t="s">
        <v>1204</v>
      </c>
      <c r="AW170" s="66" t="s">
        <v>1190</v>
      </c>
      <c r="AX170" s="66"/>
      <c r="AY170" s="66"/>
      <c r="AZ170" s="66" t="s">
        <v>927</v>
      </c>
      <c r="BA170" s="66"/>
      <c r="BB170" s="178"/>
      <c r="BC170" s="72"/>
      <c r="BD170" s="66"/>
      <c r="BE170" s="178"/>
      <c r="BF170" s="66" t="s">
        <v>1278</v>
      </c>
    </row>
    <row r="171" spans="1:58" ht="28">
      <c r="A171" s="66" t="s">
        <v>1965</v>
      </c>
      <c r="B171" s="66" t="s">
        <v>1970</v>
      </c>
      <c r="C171" s="83" t="s">
        <v>1971</v>
      </c>
      <c r="D171" s="83" t="s">
        <v>1972</v>
      </c>
      <c r="E171" s="66" t="s">
        <v>1973</v>
      </c>
      <c r="F171" s="66" t="s">
        <v>1537</v>
      </c>
      <c r="G171" s="66" t="s">
        <v>1351</v>
      </c>
      <c r="H171" s="66" t="s">
        <v>1262</v>
      </c>
      <c r="I171" s="66"/>
      <c r="J171" s="66" t="s">
        <v>1182</v>
      </c>
      <c r="K171" s="66" t="s">
        <v>1211</v>
      </c>
      <c r="L171" s="66" t="s">
        <v>895</v>
      </c>
      <c r="M171" s="66" t="s">
        <v>1184</v>
      </c>
      <c r="N171" s="66" t="s">
        <v>888</v>
      </c>
      <c r="O171" s="66" t="s">
        <v>1185</v>
      </c>
      <c r="P171" s="66" t="s">
        <v>891</v>
      </c>
      <c r="Q171" s="86" t="s">
        <v>1186</v>
      </c>
      <c r="R171" s="86" t="s">
        <v>1201</v>
      </c>
      <c r="S171" s="86" t="s">
        <v>1201</v>
      </c>
      <c r="T171" s="86" t="s">
        <v>1187</v>
      </c>
      <c r="U171" s="86" t="s">
        <v>1187</v>
      </c>
      <c r="V171" s="86" t="s">
        <v>1215</v>
      </c>
      <c r="W171" s="67"/>
      <c r="X171" s="84" t="str">
        <f t="shared" si="22"/>
        <v>Belum Dinilai</v>
      </c>
      <c r="Y171" s="84" t="str">
        <f t="shared" si="23"/>
        <v>Belum Dinilai</v>
      </c>
      <c r="Z171" s="85">
        <f t="shared" si="24"/>
        <v>10</v>
      </c>
      <c r="AA171" s="85" t="str">
        <f t="shared" si="25"/>
        <v/>
      </c>
      <c r="AB171" s="85" t="str">
        <f t="shared" si="26"/>
        <v/>
      </c>
      <c r="AC171" s="68" t="s">
        <v>1201</v>
      </c>
      <c r="AD171" s="68" t="s">
        <v>1201</v>
      </c>
      <c r="AE171" s="68" t="s">
        <v>1201</v>
      </c>
      <c r="AF171" s="68" t="s">
        <v>1201</v>
      </c>
      <c r="AG171" s="68" t="s">
        <v>1201</v>
      </c>
      <c r="AH171" s="68" t="s">
        <v>1201</v>
      </c>
      <c r="AI171" s="68" t="s">
        <v>1201</v>
      </c>
      <c r="AJ171" s="68" t="s">
        <v>1201</v>
      </c>
      <c r="AK171" s="68" t="s">
        <v>1201</v>
      </c>
      <c r="AL171" s="68"/>
      <c r="AM171" s="68" t="s">
        <v>1215</v>
      </c>
      <c r="AN171" s="84" t="str">
        <f t="shared" si="27"/>
        <v>Tidak ada risiko khusus</v>
      </c>
      <c r="AO171" s="84" t="str">
        <f t="shared" si="28"/>
        <v>Tidak Ada Risiko Khusus</v>
      </c>
      <c r="AP171" s="68"/>
      <c r="AQ171" s="71">
        <f t="shared" si="29"/>
        <v>19</v>
      </c>
      <c r="AR171" s="71">
        <f t="shared" si="30"/>
        <v>0</v>
      </c>
      <c r="AS171" s="71" t="str">
        <f t="shared" si="31"/>
        <v/>
      </c>
      <c r="AT171" s="69" t="str">
        <f t="shared" si="32"/>
        <v>Belum Dapat Ditentukan</v>
      </c>
      <c r="AU171" s="66" t="s">
        <v>1203</v>
      </c>
      <c r="AV171" s="66" t="s">
        <v>1204</v>
      </c>
      <c r="AW171" s="66" t="s">
        <v>1190</v>
      </c>
      <c r="AX171" s="66"/>
      <c r="AY171" s="66"/>
      <c r="AZ171" s="66"/>
      <c r="BA171" s="66"/>
      <c r="BB171" s="178"/>
      <c r="BC171" s="72"/>
      <c r="BD171" s="66"/>
      <c r="BE171" s="178"/>
      <c r="BF171" s="66" t="s">
        <v>1278</v>
      </c>
    </row>
    <row r="172" spans="1:58" ht="28">
      <c r="A172" s="66" t="s">
        <v>1785</v>
      </c>
      <c r="B172" s="66" t="s">
        <v>1976</v>
      </c>
      <c r="C172" s="66"/>
      <c r="D172" s="83" t="s">
        <v>1977</v>
      </c>
      <c r="E172" s="66" t="s">
        <v>1978</v>
      </c>
      <c r="F172" s="66" t="s">
        <v>1537</v>
      </c>
      <c r="G172" s="66" t="s">
        <v>1351</v>
      </c>
      <c r="H172" s="66" t="s">
        <v>1262</v>
      </c>
      <c r="I172" s="66"/>
      <c r="J172" s="66" t="s">
        <v>1182</v>
      </c>
      <c r="K172" s="66" t="s">
        <v>1211</v>
      </c>
      <c r="L172" s="66" t="s">
        <v>888</v>
      </c>
      <c r="M172" s="66" t="s">
        <v>1184</v>
      </c>
      <c r="N172" s="66" t="s">
        <v>888</v>
      </c>
      <c r="O172" s="66" t="s">
        <v>1213</v>
      </c>
      <c r="P172" s="66" t="s">
        <v>888</v>
      </c>
      <c r="Q172" s="86" t="s">
        <v>1186</v>
      </c>
      <c r="R172" s="86" t="s">
        <v>1201</v>
      </c>
      <c r="S172" s="86" t="s">
        <v>1201</v>
      </c>
      <c r="T172" s="86" t="s">
        <v>1201</v>
      </c>
      <c r="U172" s="86" t="s">
        <v>1201</v>
      </c>
      <c r="V172" s="86" t="s">
        <v>1215</v>
      </c>
      <c r="W172" s="67"/>
      <c r="X172" s="84" t="str">
        <f t="shared" si="22"/>
        <v>Belum Dinilai</v>
      </c>
      <c r="Y172" s="84" t="str">
        <f t="shared" si="23"/>
        <v>Belum Dinilai</v>
      </c>
      <c r="Z172" s="85">
        <f t="shared" si="24"/>
        <v>10</v>
      </c>
      <c r="AA172" s="85" t="str">
        <f t="shared" si="25"/>
        <v/>
      </c>
      <c r="AB172" s="85" t="str">
        <f t="shared" si="26"/>
        <v/>
      </c>
      <c r="AC172" s="68" t="s">
        <v>1201</v>
      </c>
      <c r="AD172" s="68" t="s">
        <v>1201</v>
      </c>
      <c r="AE172" s="68" t="s">
        <v>1201</v>
      </c>
      <c r="AF172" s="68" t="s">
        <v>1201</v>
      </c>
      <c r="AG172" s="68" t="s">
        <v>1201</v>
      </c>
      <c r="AH172" s="68" t="s">
        <v>1201</v>
      </c>
      <c r="AI172" s="68" t="s">
        <v>1201</v>
      </c>
      <c r="AJ172" s="68" t="s">
        <v>1201</v>
      </c>
      <c r="AK172" s="68" t="s">
        <v>1201</v>
      </c>
      <c r="AL172" s="68"/>
      <c r="AM172" s="68" t="s">
        <v>1215</v>
      </c>
      <c r="AN172" s="84" t="str">
        <f t="shared" si="27"/>
        <v>Tidak ada risiko khusus</v>
      </c>
      <c r="AO172" s="84" t="str">
        <f t="shared" si="28"/>
        <v>Tidak Ada Risiko Khusus</v>
      </c>
      <c r="AP172" s="68"/>
      <c r="AQ172" s="71">
        <f t="shared" si="29"/>
        <v>0</v>
      </c>
      <c r="AR172" s="71">
        <f t="shared" si="30"/>
        <v>0</v>
      </c>
      <c r="AS172" s="71" t="str">
        <f t="shared" si="31"/>
        <v/>
      </c>
      <c r="AT172" s="69" t="str">
        <f t="shared" si="32"/>
        <v>Belum Dapat Ditentukan</v>
      </c>
      <c r="AU172" s="66" t="s">
        <v>1203</v>
      </c>
      <c r="AV172" s="66" t="s">
        <v>1204</v>
      </c>
      <c r="AW172" s="66" t="s">
        <v>1190</v>
      </c>
      <c r="AX172" s="66"/>
      <c r="AY172" s="66"/>
      <c r="AZ172" s="66"/>
      <c r="BA172" s="66"/>
      <c r="BB172" s="178"/>
      <c r="BC172" s="72"/>
      <c r="BD172" s="66"/>
      <c r="BE172" s="178"/>
      <c r="BF172" s="66" t="s">
        <v>1278</v>
      </c>
    </row>
    <row r="173" spans="1:58" ht="28">
      <c r="A173" s="66" t="s">
        <v>1786</v>
      </c>
      <c r="B173" s="66" t="s">
        <v>2183</v>
      </c>
      <c r="C173" s="83" t="s">
        <v>1979</v>
      </c>
      <c r="D173" s="83" t="s">
        <v>1980</v>
      </c>
      <c r="E173" s="66" t="s">
        <v>1981</v>
      </c>
      <c r="F173" s="66" t="s">
        <v>1537</v>
      </c>
      <c r="G173" s="66" t="s">
        <v>1351</v>
      </c>
      <c r="H173" s="66" t="s">
        <v>1262</v>
      </c>
      <c r="I173" s="66"/>
      <c r="J173" s="66" t="s">
        <v>1182</v>
      </c>
      <c r="K173" s="66" t="s">
        <v>1211</v>
      </c>
      <c r="L173" s="66" t="s">
        <v>888</v>
      </c>
      <c r="M173" s="66" t="s">
        <v>1184</v>
      </c>
      <c r="N173" s="66" t="s">
        <v>888</v>
      </c>
      <c r="O173" s="66" t="s">
        <v>1185</v>
      </c>
      <c r="P173" s="66" t="s">
        <v>888</v>
      </c>
      <c r="Q173" s="86" t="s">
        <v>1186</v>
      </c>
      <c r="R173" s="86" t="s">
        <v>1201</v>
      </c>
      <c r="S173" s="86" t="s">
        <v>1201</v>
      </c>
      <c r="T173" s="86" t="s">
        <v>1201</v>
      </c>
      <c r="U173" s="86" t="s">
        <v>1201</v>
      </c>
      <c r="V173" s="86" t="s">
        <v>1215</v>
      </c>
      <c r="W173" s="67"/>
      <c r="X173" s="84" t="str">
        <f t="shared" si="22"/>
        <v>Belum Dinilai</v>
      </c>
      <c r="Y173" s="84" t="str">
        <f t="shared" si="23"/>
        <v>Belum Dinilai</v>
      </c>
      <c r="Z173" s="85">
        <f t="shared" si="24"/>
        <v>10</v>
      </c>
      <c r="AA173" s="85" t="str">
        <f t="shared" si="25"/>
        <v/>
      </c>
      <c r="AB173" s="85" t="str">
        <f t="shared" si="26"/>
        <v/>
      </c>
      <c r="AC173" s="68" t="s">
        <v>1201</v>
      </c>
      <c r="AD173" s="68" t="s">
        <v>1201</v>
      </c>
      <c r="AE173" s="68" t="s">
        <v>1201</v>
      </c>
      <c r="AF173" s="68" t="s">
        <v>1201</v>
      </c>
      <c r="AG173" s="68" t="s">
        <v>1201</v>
      </c>
      <c r="AH173" s="68" t="s">
        <v>1201</v>
      </c>
      <c r="AI173" s="68" t="s">
        <v>1201</v>
      </c>
      <c r="AJ173" s="68" t="s">
        <v>1201</v>
      </c>
      <c r="AK173" s="68" t="s">
        <v>1201</v>
      </c>
      <c r="AL173" s="68"/>
      <c r="AM173" s="68" t="s">
        <v>1215</v>
      </c>
      <c r="AN173" s="84" t="str">
        <f t="shared" si="27"/>
        <v>Tidak ada risiko khusus</v>
      </c>
      <c r="AO173" s="84" t="str">
        <f t="shared" si="28"/>
        <v>Tidak Ada Risiko Khusus</v>
      </c>
      <c r="AP173" s="68"/>
      <c r="AQ173" s="71">
        <f t="shared" si="29"/>
        <v>0</v>
      </c>
      <c r="AR173" s="71">
        <f t="shared" si="30"/>
        <v>0</v>
      </c>
      <c r="AS173" s="71" t="str">
        <f t="shared" si="31"/>
        <v/>
      </c>
      <c r="AT173" s="69" t="str">
        <f t="shared" si="32"/>
        <v>Belum Dapat Ditentukan</v>
      </c>
      <c r="AU173" s="66"/>
      <c r="AV173" s="66" t="s">
        <v>1204</v>
      </c>
      <c r="AW173" s="66" t="s">
        <v>1190</v>
      </c>
      <c r="AX173" s="66"/>
      <c r="AY173" s="66"/>
      <c r="AZ173" s="66"/>
      <c r="BA173" s="66"/>
      <c r="BB173" s="178"/>
      <c r="BC173" s="72"/>
      <c r="BD173" s="66"/>
      <c r="BE173" s="178"/>
      <c r="BF173" s="66" t="s">
        <v>1278</v>
      </c>
    </row>
    <row r="174" spans="1:58" ht="28">
      <c r="A174" s="66" t="s">
        <v>1790</v>
      </c>
      <c r="B174" s="66" t="s">
        <v>1982</v>
      </c>
      <c r="C174" s="83" t="s">
        <v>1983</v>
      </c>
      <c r="D174" s="83" t="s">
        <v>1984</v>
      </c>
      <c r="E174" s="66" t="s">
        <v>1985</v>
      </c>
      <c r="F174" s="66" t="s">
        <v>1537</v>
      </c>
      <c r="G174" s="66" t="s">
        <v>1351</v>
      </c>
      <c r="H174" s="66" t="s">
        <v>1262</v>
      </c>
      <c r="I174" s="66"/>
      <c r="J174" s="66" t="s">
        <v>1182</v>
      </c>
      <c r="K174" s="66" t="s">
        <v>1211</v>
      </c>
      <c r="L174" s="66" t="s">
        <v>888</v>
      </c>
      <c r="M174" s="66" t="s">
        <v>1184</v>
      </c>
      <c r="N174" s="66" t="s">
        <v>888</v>
      </c>
      <c r="O174" s="66" t="s">
        <v>1185</v>
      </c>
      <c r="P174" s="66" t="s">
        <v>888</v>
      </c>
      <c r="Q174" s="86" t="s">
        <v>1186</v>
      </c>
      <c r="R174" s="86" t="s">
        <v>1201</v>
      </c>
      <c r="S174" s="86" t="s">
        <v>1201</v>
      </c>
      <c r="T174" s="86" t="s">
        <v>1201</v>
      </c>
      <c r="U174" s="86" t="s">
        <v>1201</v>
      </c>
      <c r="V174" s="86" t="s">
        <v>1215</v>
      </c>
      <c r="W174" s="67"/>
      <c r="X174" s="84" t="str">
        <f t="shared" si="22"/>
        <v>Belum Dinilai</v>
      </c>
      <c r="Y174" s="84" t="str">
        <f t="shared" si="23"/>
        <v>Belum Dinilai</v>
      </c>
      <c r="Z174" s="85">
        <f t="shared" si="24"/>
        <v>10</v>
      </c>
      <c r="AA174" s="85" t="str">
        <f t="shared" si="25"/>
        <v/>
      </c>
      <c r="AB174" s="85" t="str">
        <f t="shared" si="26"/>
        <v/>
      </c>
      <c r="AC174" s="68" t="s">
        <v>1201</v>
      </c>
      <c r="AD174" s="68" t="s">
        <v>1201</v>
      </c>
      <c r="AE174" s="68" t="s">
        <v>1201</v>
      </c>
      <c r="AF174" s="68" t="s">
        <v>1201</v>
      </c>
      <c r="AG174" s="68" t="s">
        <v>1201</v>
      </c>
      <c r="AH174" s="68" t="s">
        <v>1201</v>
      </c>
      <c r="AI174" s="68" t="s">
        <v>1201</v>
      </c>
      <c r="AJ174" s="68" t="s">
        <v>1201</v>
      </c>
      <c r="AK174" s="68" t="s">
        <v>1201</v>
      </c>
      <c r="AL174" s="68"/>
      <c r="AM174" s="68" t="s">
        <v>1215</v>
      </c>
      <c r="AN174" s="84" t="str">
        <f t="shared" si="27"/>
        <v>Tidak ada risiko khusus</v>
      </c>
      <c r="AO174" s="84" t="str">
        <f t="shared" si="28"/>
        <v>Tidak Ada Risiko Khusus</v>
      </c>
      <c r="AP174" s="68"/>
      <c r="AQ174" s="71">
        <f t="shared" si="29"/>
        <v>0</v>
      </c>
      <c r="AR174" s="71">
        <f t="shared" si="30"/>
        <v>0</v>
      </c>
      <c r="AS174" s="71" t="str">
        <f t="shared" si="31"/>
        <v/>
      </c>
      <c r="AT174" s="69" t="str">
        <f t="shared" si="32"/>
        <v>Belum Dapat Ditentukan</v>
      </c>
      <c r="AU174" s="66"/>
      <c r="AV174" s="66" t="s">
        <v>1204</v>
      </c>
      <c r="AW174" s="66" t="s">
        <v>1190</v>
      </c>
      <c r="AX174" s="66"/>
      <c r="AY174" s="66"/>
      <c r="AZ174" s="66"/>
      <c r="BA174" s="66"/>
      <c r="BB174" s="178"/>
      <c r="BC174" s="72"/>
      <c r="BD174" s="66"/>
      <c r="BE174" s="178"/>
      <c r="BF174" s="66" t="s">
        <v>1278</v>
      </c>
    </row>
    <row r="175" spans="1:58" ht="28">
      <c r="A175" s="66" t="s">
        <v>1794</v>
      </c>
      <c r="B175" s="66" t="s">
        <v>1987</v>
      </c>
      <c r="C175" s="66"/>
      <c r="D175" s="83" t="s">
        <v>1988</v>
      </c>
      <c r="E175" s="66" t="s">
        <v>1986</v>
      </c>
      <c r="F175" s="66" t="s">
        <v>1537</v>
      </c>
      <c r="G175" s="66" t="s">
        <v>1351</v>
      </c>
      <c r="H175" s="66" t="s">
        <v>1262</v>
      </c>
      <c r="I175" s="66"/>
      <c r="J175" s="66" t="s">
        <v>1182</v>
      </c>
      <c r="K175" s="66" t="s">
        <v>1211</v>
      </c>
      <c r="L175" s="66" t="s">
        <v>888</v>
      </c>
      <c r="M175" s="66" t="s">
        <v>1184</v>
      </c>
      <c r="N175" s="66" t="s">
        <v>888</v>
      </c>
      <c r="O175" s="66" t="s">
        <v>1185</v>
      </c>
      <c r="P175" s="66" t="s">
        <v>888</v>
      </c>
      <c r="Q175" s="86" t="s">
        <v>1186</v>
      </c>
      <c r="R175" s="86" t="s">
        <v>1201</v>
      </c>
      <c r="S175" s="86" t="s">
        <v>1201</v>
      </c>
      <c r="T175" s="86" t="s">
        <v>1201</v>
      </c>
      <c r="U175" s="86" t="s">
        <v>1201</v>
      </c>
      <c r="V175" s="86" t="s">
        <v>1215</v>
      </c>
      <c r="W175" s="67"/>
      <c r="X175" s="84" t="str">
        <f t="shared" si="22"/>
        <v>Belum Dinilai</v>
      </c>
      <c r="Y175" s="84" t="str">
        <f t="shared" si="23"/>
        <v>Belum Dinilai</v>
      </c>
      <c r="Z175" s="85">
        <f t="shared" si="24"/>
        <v>10</v>
      </c>
      <c r="AA175" s="85" t="str">
        <f t="shared" si="25"/>
        <v/>
      </c>
      <c r="AB175" s="85" t="str">
        <f t="shared" si="26"/>
        <v/>
      </c>
      <c r="AC175" s="68" t="s">
        <v>1201</v>
      </c>
      <c r="AD175" s="68" t="s">
        <v>1201</v>
      </c>
      <c r="AE175" s="68" t="s">
        <v>1201</v>
      </c>
      <c r="AF175" s="68" t="s">
        <v>1201</v>
      </c>
      <c r="AG175" s="68" t="s">
        <v>1201</v>
      </c>
      <c r="AH175" s="68" t="s">
        <v>1201</v>
      </c>
      <c r="AI175" s="68" t="s">
        <v>1201</v>
      </c>
      <c r="AJ175" s="68" t="s">
        <v>1201</v>
      </c>
      <c r="AK175" s="68" t="s">
        <v>1201</v>
      </c>
      <c r="AL175" s="68"/>
      <c r="AM175" s="68" t="s">
        <v>1215</v>
      </c>
      <c r="AN175" s="84" t="str">
        <f t="shared" si="27"/>
        <v>Tidak ada risiko khusus</v>
      </c>
      <c r="AO175" s="84" t="str">
        <f t="shared" si="28"/>
        <v>Tidak Ada Risiko Khusus</v>
      </c>
      <c r="AP175" s="68"/>
      <c r="AQ175" s="71">
        <f t="shared" si="29"/>
        <v>0</v>
      </c>
      <c r="AR175" s="71">
        <f t="shared" si="30"/>
        <v>0</v>
      </c>
      <c r="AS175" s="71" t="str">
        <f t="shared" si="31"/>
        <v/>
      </c>
      <c r="AT175" s="69" t="str">
        <f t="shared" si="32"/>
        <v>Belum Dapat Ditentukan</v>
      </c>
      <c r="AU175" s="66"/>
      <c r="AV175" s="66" t="s">
        <v>1204</v>
      </c>
      <c r="AW175" s="66" t="s">
        <v>1190</v>
      </c>
      <c r="AX175" s="66"/>
      <c r="AY175" s="66"/>
      <c r="AZ175" s="66" t="s">
        <v>927</v>
      </c>
      <c r="BA175" s="66"/>
      <c r="BB175" s="178"/>
      <c r="BC175" s="72"/>
      <c r="BD175" s="66"/>
      <c r="BE175" s="178"/>
      <c r="BF175" s="66" t="s">
        <v>1278</v>
      </c>
    </row>
    <row r="176" spans="1:58" ht="28">
      <c r="A176" s="66" t="s">
        <v>1974</v>
      </c>
      <c r="B176" s="66" t="s">
        <v>1989</v>
      </c>
      <c r="C176" s="83" t="s">
        <v>1990</v>
      </c>
      <c r="D176" s="83" t="s">
        <v>1991</v>
      </c>
      <c r="E176" s="66" t="s">
        <v>1992</v>
      </c>
      <c r="F176" s="66" t="s">
        <v>1537</v>
      </c>
      <c r="G176" s="66" t="s">
        <v>1351</v>
      </c>
      <c r="H176" s="66" t="s">
        <v>1262</v>
      </c>
      <c r="I176" s="66"/>
      <c r="J176" s="66" t="s">
        <v>1182</v>
      </c>
      <c r="K176" s="66" t="s">
        <v>1211</v>
      </c>
      <c r="L176" s="66" t="s">
        <v>905</v>
      </c>
      <c r="M176" s="66" t="s">
        <v>1184</v>
      </c>
      <c r="N176" s="66" t="s">
        <v>905</v>
      </c>
      <c r="O176" s="66" t="s">
        <v>1185</v>
      </c>
      <c r="P176" s="66" t="s">
        <v>891</v>
      </c>
      <c r="Q176" s="86" t="s">
        <v>1186</v>
      </c>
      <c r="R176" s="86" t="s">
        <v>1201</v>
      </c>
      <c r="S176" s="86" t="s">
        <v>1201</v>
      </c>
      <c r="T176" s="86" t="s">
        <v>1201</v>
      </c>
      <c r="U176" s="86" t="s">
        <v>1201</v>
      </c>
      <c r="V176" s="86" t="s">
        <v>1215</v>
      </c>
      <c r="W176" s="67"/>
      <c r="X176" s="84" t="str">
        <f t="shared" si="22"/>
        <v>Belum Dinilai</v>
      </c>
      <c r="Y176" s="84" t="str">
        <f t="shared" si="23"/>
        <v>Belum Dinilai</v>
      </c>
      <c r="Z176" s="85">
        <f t="shared" si="24"/>
        <v>10</v>
      </c>
      <c r="AA176" s="85" t="str">
        <f t="shared" si="25"/>
        <v/>
      </c>
      <c r="AB176" s="85" t="str">
        <f t="shared" si="26"/>
        <v/>
      </c>
      <c r="AC176" s="68" t="s">
        <v>1201</v>
      </c>
      <c r="AD176" s="68" t="s">
        <v>1201</v>
      </c>
      <c r="AE176" s="68" t="s">
        <v>1201</v>
      </c>
      <c r="AF176" s="68" t="s">
        <v>1201</v>
      </c>
      <c r="AG176" s="68" t="s">
        <v>1201</v>
      </c>
      <c r="AH176" s="68" t="s">
        <v>1201</v>
      </c>
      <c r="AI176" s="68" t="s">
        <v>1201</v>
      </c>
      <c r="AJ176" s="68" t="s">
        <v>1201</v>
      </c>
      <c r="AK176" s="68" t="s">
        <v>1201</v>
      </c>
      <c r="AL176" s="68"/>
      <c r="AM176" s="68" t="s">
        <v>1215</v>
      </c>
      <c r="AN176" s="84" t="str">
        <f t="shared" si="27"/>
        <v>Tidak ada risiko khusus</v>
      </c>
      <c r="AO176" s="84" t="str">
        <f t="shared" si="28"/>
        <v>Tidak Ada Risiko Khusus</v>
      </c>
      <c r="AP176" s="68"/>
      <c r="AQ176" s="71">
        <f t="shared" si="29"/>
        <v>24</v>
      </c>
      <c r="AR176" s="71">
        <f t="shared" si="30"/>
        <v>0</v>
      </c>
      <c r="AS176" s="71" t="str">
        <f t="shared" si="31"/>
        <v/>
      </c>
      <c r="AT176" s="69" t="str">
        <f t="shared" si="32"/>
        <v>Belum Dapat Ditentukan</v>
      </c>
      <c r="AU176" s="66"/>
      <c r="AV176" s="66" t="s">
        <v>1204</v>
      </c>
      <c r="AW176" s="66" t="s">
        <v>1190</v>
      </c>
      <c r="AX176" s="66"/>
      <c r="AY176" s="66"/>
      <c r="AZ176" s="66"/>
      <c r="BA176" s="66"/>
      <c r="BB176" s="178"/>
      <c r="BC176" s="72"/>
      <c r="BD176" s="66"/>
      <c r="BE176" s="178"/>
      <c r="BF176" s="66" t="s">
        <v>1278</v>
      </c>
    </row>
    <row r="177" spans="1:58" ht="28">
      <c r="A177" s="66" t="s">
        <v>1975</v>
      </c>
      <c r="B177" s="66" t="s">
        <v>1993</v>
      </c>
      <c r="C177" s="83" t="s">
        <v>2184</v>
      </c>
      <c r="D177" s="83" t="s">
        <v>1994</v>
      </c>
      <c r="E177" s="66" t="s">
        <v>1995</v>
      </c>
      <c r="F177" s="66" t="s">
        <v>1458</v>
      </c>
      <c r="G177" s="66" t="s">
        <v>1310</v>
      </c>
      <c r="H177" s="66" t="s">
        <v>1181</v>
      </c>
      <c r="I177" s="66"/>
      <c r="J177" s="66" t="s">
        <v>1196</v>
      </c>
      <c r="K177" s="66" t="s">
        <v>1183</v>
      </c>
      <c r="L177" s="66" t="s">
        <v>905</v>
      </c>
      <c r="M177" s="66" t="s">
        <v>1305</v>
      </c>
      <c r="N177" s="66" t="s">
        <v>891</v>
      </c>
      <c r="O177" s="66" t="s">
        <v>1213</v>
      </c>
      <c r="P177" s="66" t="s">
        <v>891</v>
      </c>
      <c r="Q177" s="86" t="s">
        <v>1186</v>
      </c>
      <c r="R177" s="86" t="s">
        <v>1201</v>
      </c>
      <c r="S177" s="86" t="s">
        <v>1201</v>
      </c>
      <c r="T177" s="86" t="s">
        <v>1201</v>
      </c>
      <c r="U177" s="86" t="s">
        <v>1201</v>
      </c>
      <c r="V177" s="86" t="s">
        <v>1201</v>
      </c>
      <c r="W177" s="67"/>
      <c r="X177" s="84" t="str">
        <f t="shared" si="22"/>
        <v>Tidak ada faktor rentan</v>
      </c>
      <c r="Y177" s="84" t="str">
        <f t="shared" si="23"/>
        <v>Tidak Ada Faktor Rentan</v>
      </c>
      <c r="Z177" s="85">
        <f t="shared" si="24"/>
        <v>10</v>
      </c>
      <c r="AA177" s="85">
        <f t="shared" si="25"/>
        <v>0</v>
      </c>
      <c r="AB177" s="85">
        <f t="shared" si="26"/>
        <v>10</v>
      </c>
      <c r="AC177" s="68" t="s">
        <v>1201</v>
      </c>
      <c r="AD177" s="68" t="s">
        <v>1201</v>
      </c>
      <c r="AE177" s="68" t="s">
        <v>1187</v>
      </c>
      <c r="AF177" s="68" t="s">
        <v>1201</v>
      </c>
      <c r="AG177" s="68" t="s">
        <v>1187</v>
      </c>
      <c r="AH177" s="68" t="s">
        <v>1187</v>
      </c>
      <c r="AI177" s="68" t="s">
        <v>1187</v>
      </c>
      <c r="AJ177" s="68" t="s">
        <v>1201</v>
      </c>
      <c r="AK177" s="68" t="s">
        <v>1201</v>
      </c>
      <c r="AL177" s="68"/>
      <c r="AM177" s="68" t="s">
        <v>1215</v>
      </c>
      <c r="AN177" s="84" t="str">
        <f t="shared" si="27"/>
        <v xml:space="preserve">Atap atau dinding utama hampir runtuh; Struktur rumah tidak stabil; Instalasi listrik berbahaya; Komponen bangunan lepas atau lapuk; </v>
      </c>
      <c r="AO177" s="84" t="str">
        <f t="shared" si="28"/>
        <v>Risiko Tinggi/Darurat</v>
      </c>
      <c r="AP177" s="68"/>
      <c r="AQ177" s="71">
        <f t="shared" si="29"/>
        <v>27</v>
      </c>
      <c r="AR177" s="71">
        <f t="shared" si="30"/>
        <v>10</v>
      </c>
      <c r="AS177" s="71">
        <f t="shared" si="31"/>
        <v>47</v>
      </c>
      <c r="AT177" s="69" t="str">
        <f t="shared" si="32"/>
        <v>Tinggi</v>
      </c>
      <c r="AU177" s="66" t="s">
        <v>1189</v>
      </c>
      <c r="AV177" s="66" t="s">
        <v>1204</v>
      </c>
      <c r="AW177" s="66" t="s">
        <v>1205</v>
      </c>
      <c r="AX177" s="66" t="s">
        <v>1283</v>
      </c>
      <c r="AY177" s="66">
        <v>2026</v>
      </c>
      <c r="AZ177" s="66" t="s">
        <v>1207</v>
      </c>
      <c r="BA177" s="66"/>
      <c r="BB177" s="178"/>
      <c r="BC177" s="72">
        <v>2026</v>
      </c>
      <c r="BD177" s="66" t="s">
        <v>1219</v>
      </c>
      <c r="BE177" s="178"/>
      <c r="BF177" s="66" t="s">
        <v>1278</v>
      </c>
    </row>
    <row r="178" spans="1:58" ht="28">
      <c r="A178" s="66" t="s">
        <v>2028</v>
      </c>
      <c r="B178" s="66" t="s">
        <v>1996</v>
      </c>
      <c r="C178" s="83" t="s">
        <v>1997</v>
      </c>
      <c r="D178" s="83" t="s">
        <v>1998</v>
      </c>
      <c r="E178" s="66" t="s">
        <v>1999</v>
      </c>
      <c r="F178" s="66" t="s">
        <v>1350</v>
      </c>
      <c r="G178" s="66" t="s">
        <v>1351</v>
      </c>
      <c r="H178" s="66" t="s">
        <v>1262</v>
      </c>
      <c r="I178" s="66"/>
      <c r="J178" s="66" t="s">
        <v>1210</v>
      </c>
      <c r="K178" s="66" t="s">
        <v>1211</v>
      </c>
      <c r="L178" s="66" t="s">
        <v>891</v>
      </c>
      <c r="M178" s="66" t="s">
        <v>1266</v>
      </c>
      <c r="N178" s="66" t="s">
        <v>905</v>
      </c>
      <c r="O178" s="66" t="s">
        <v>1213</v>
      </c>
      <c r="P178" s="66" t="s">
        <v>891</v>
      </c>
      <c r="Q178" s="86" t="s">
        <v>1186</v>
      </c>
      <c r="R178" s="86" t="s">
        <v>1201</v>
      </c>
      <c r="S178" s="86" t="s">
        <v>1201</v>
      </c>
      <c r="T178" s="86" t="s">
        <v>1187</v>
      </c>
      <c r="U178" s="86" t="s">
        <v>1201</v>
      </c>
      <c r="V178" s="86" t="s">
        <v>1215</v>
      </c>
      <c r="W178" s="67"/>
      <c r="X178" s="84" t="str">
        <f t="shared" si="22"/>
        <v>Belum Dinilai</v>
      </c>
      <c r="Y178" s="84" t="str">
        <f t="shared" si="23"/>
        <v>Belum Dinilai</v>
      </c>
      <c r="Z178" s="85">
        <f t="shared" si="24"/>
        <v>10</v>
      </c>
      <c r="AA178" s="85" t="str">
        <f t="shared" si="25"/>
        <v/>
      </c>
      <c r="AB178" s="85" t="str">
        <f t="shared" si="26"/>
        <v/>
      </c>
      <c r="AC178" s="68" t="s">
        <v>1201</v>
      </c>
      <c r="AD178" s="68" t="s">
        <v>1201</v>
      </c>
      <c r="AE178" s="68" t="s">
        <v>1201</v>
      </c>
      <c r="AF178" s="68" t="s">
        <v>1201</v>
      </c>
      <c r="AG178" s="68" t="s">
        <v>1201</v>
      </c>
      <c r="AH178" s="68" t="s">
        <v>1201</v>
      </c>
      <c r="AI178" s="68" t="s">
        <v>1201</v>
      </c>
      <c r="AJ178" s="68" t="s">
        <v>1201</v>
      </c>
      <c r="AK178" s="68" t="s">
        <v>1201</v>
      </c>
      <c r="AL178" s="68"/>
      <c r="AM178" s="68" t="s">
        <v>1215</v>
      </c>
      <c r="AN178" s="84" t="str">
        <f t="shared" si="27"/>
        <v>Tidak ada risiko khusus</v>
      </c>
      <c r="AO178" s="84" t="str">
        <f t="shared" si="28"/>
        <v>Tidak Ada Risiko Khusus</v>
      </c>
      <c r="AP178" s="68"/>
      <c r="AQ178" s="71">
        <f t="shared" si="29"/>
        <v>34</v>
      </c>
      <c r="AR178" s="71">
        <f t="shared" si="30"/>
        <v>0</v>
      </c>
      <c r="AS178" s="71" t="str">
        <f t="shared" si="31"/>
        <v/>
      </c>
      <c r="AT178" s="69" t="str">
        <f t="shared" si="32"/>
        <v>Belum Dapat Ditentukan</v>
      </c>
      <c r="AU178" s="66" t="s">
        <v>1189</v>
      </c>
      <c r="AV178" s="66" t="s">
        <v>1204</v>
      </c>
      <c r="AW178" s="66" t="s">
        <v>1216</v>
      </c>
      <c r="AX178" s="66" t="s">
        <v>1268</v>
      </c>
      <c r="AY178" s="66">
        <v>2026</v>
      </c>
      <c r="AZ178" s="66" t="s">
        <v>1192</v>
      </c>
      <c r="BA178" s="66"/>
      <c r="BB178" s="178"/>
      <c r="BC178" s="72">
        <v>2025</v>
      </c>
      <c r="BD178" s="66" t="s">
        <v>1208</v>
      </c>
      <c r="BE178" s="178"/>
      <c r="BF178" s="66" t="s">
        <v>1278</v>
      </c>
    </row>
    <row r="179" spans="1:58" ht="28">
      <c r="A179" s="66" t="s">
        <v>2029</v>
      </c>
      <c r="B179" s="66" t="s">
        <v>2000</v>
      </c>
      <c r="C179" s="83" t="s">
        <v>2001</v>
      </c>
      <c r="D179" s="83" t="s">
        <v>2002</v>
      </c>
      <c r="E179" s="66" t="s">
        <v>2003</v>
      </c>
      <c r="F179" s="66" t="s">
        <v>1341</v>
      </c>
      <c r="G179" s="66" t="s">
        <v>1331</v>
      </c>
      <c r="H179" s="66" t="s">
        <v>1262</v>
      </c>
      <c r="I179" s="66"/>
      <c r="J179" s="66"/>
      <c r="K179" s="66"/>
      <c r="L179" s="66" t="s">
        <v>1215</v>
      </c>
      <c r="M179" s="66"/>
      <c r="N179" s="66" t="s">
        <v>1215</v>
      </c>
      <c r="O179" s="66"/>
      <c r="P179" s="66" t="s">
        <v>1215</v>
      </c>
      <c r="Q179" s="86"/>
      <c r="R179" s="86"/>
      <c r="S179" s="86"/>
      <c r="T179" s="86"/>
      <c r="U179" s="86"/>
      <c r="V179" s="86"/>
      <c r="W179" s="67"/>
      <c r="X179" s="84" t="str">
        <f t="shared" si="22"/>
        <v>Tidak ada faktor rentan</v>
      </c>
      <c r="Y179" s="84" t="str">
        <f t="shared" si="23"/>
        <v>Tidak Ada Faktor Rentan</v>
      </c>
      <c r="Z179" s="85" t="str">
        <f t="shared" si="24"/>
        <v/>
      </c>
      <c r="AA179" s="85">
        <f t="shared" si="25"/>
        <v>0</v>
      </c>
      <c r="AB179" s="85" t="str">
        <f t="shared" si="26"/>
        <v/>
      </c>
      <c r="AC179" s="68" t="s">
        <v>1201</v>
      </c>
      <c r="AD179" s="68" t="s">
        <v>1201</v>
      </c>
      <c r="AE179" s="68" t="s">
        <v>1201</v>
      </c>
      <c r="AF179" s="68" t="s">
        <v>1201</v>
      </c>
      <c r="AG179" s="68" t="s">
        <v>1201</v>
      </c>
      <c r="AH179" s="68" t="s">
        <v>1201</v>
      </c>
      <c r="AI179" s="68" t="s">
        <v>1201</v>
      </c>
      <c r="AJ179" s="68" t="s">
        <v>1201</v>
      </c>
      <c r="AK179" s="68" t="s">
        <v>1201</v>
      </c>
      <c r="AL179" s="68"/>
      <c r="AM179" s="68" t="s">
        <v>1215</v>
      </c>
      <c r="AN179" s="84" t="str">
        <f t="shared" si="27"/>
        <v>Tidak ada risiko khusus</v>
      </c>
      <c r="AO179" s="84" t="str">
        <f t="shared" si="28"/>
        <v>Tidak Ada Risiko Khusus</v>
      </c>
      <c r="AP179" s="68"/>
      <c r="AQ179" s="71" t="str">
        <f t="shared" si="29"/>
        <v/>
      </c>
      <c r="AR179" s="71">
        <f t="shared" si="30"/>
        <v>0</v>
      </c>
      <c r="AS179" s="71" t="str">
        <f t="shared" si="31"/>
        <v/>
      </c>
      <c r="AT179" s="69" t="str">
        <f t="shared" si="32"/>
        <v>Belum Dapat Ditentukan</v>
      </c>
      <c r="AU179" s="66"/>
      <c r="AV179" s="66" t="s">
        <v>1204</v>
      </c>
      <c r="AW179" s="66" t="s">
        <v>1190</v>
      </c>
      <c r="AX179" s="66"/>
      <c r="AY179" s="66"/>
      <c r="AZ179" s="66"/>
      <c r="BA179" s="66"/>
      <c r="BB179" s="178"/>
      <c r="BC179" s="72"/>
      <c r="BD179" s="66"/>
      <c r="BE179" s="178"/>
      <c r="BF179" s="66" t="s">
        <v>1278</v>
      </c>
    </row>
    <row r="180" spans="1:58" ht="28">
      <c r="A180" s="66" t="s">
        <v>2030</v>
      </c>
      <c r="B180" s="66" t="s">
        <v>2004</v>
      </c>
      <c r="C180" s="83" t="s">
        <v>2005</v>
      </c>
      <c r="D180" s="83" t="s">
        <v>2006</v>
      </c>
      <c r="E180" s="66" t="s">
        <v>2007</v>
      </c>
      <c r="F180" s="66" t="s">
        <v>1341</v>
      </c>
      <c r="G180" s="66" t="s">
        <v>1331</v>
      </c>
      <c r="H180" s="66" t="s">
        <v>1262</v>
      </c>
      <c r="I180" s="66"/>
      <c r="J180" s="66" t="s">
        <v>1196</v>
      </c>
      <c r="K180" s="66" t="s">
        <v>1211</v>
      </c>
      <c r="L180" s="66" t="s">
        <v>891</v>
      </c>
      <c r="M180" s="66" t="s">
        <v>1305</v>
      </c>
      <c r="N180" s="66" t="s">
        <v>891</v>
      </c>
      <c r="O180" s="66" t="s">
        <v>1213</v>
      </c>
      <c r="P180" s="66" t="s">
        <v>891</v>
      </c>
      <c r="Q180" s="86" t="s">
        <v>1186</v>
      </c>
      <c r="R180" s="86" t="s">
        <v>1201</v>
      </c>
      <c r="S180" s="86" t="s">
        <v>1201</v>
      </c>
      <c r="T180" s="86" t="s">
        <v>1187</v>
      </c>
      <c r="U180" s="86" t="s">
        <v>1201</v>
      </c>
      <c r="V180" s="86" t="s">
        <v>1201</v>
      </c>
      <c r="W180" s="67"/>
      <c r="X180" s="84" t="str">
        <f t="shared" si="22"/>
        <v xml:space="preserve">Kepala keluarga perempuan; </v>
      </c>
      <c r="Y180" s="84" t="str">
        <f t="shared" si="23"/>
        <v>1 Faktor Rentan</v>
      </c>
      <c r="Z180" s="85">
        <f t="shared" si="24"/>
        <v>10</v>
      </c>
      <c r="AA180" s="85">
        <f t="shared" si="25"/>
        <v>5</v>
      </c>
      <c r="AB180" s="85">
        <f t="shared" si="26"/>
        <v>15</v>
      </c>
      <c r="AC180" s="68" t="s">
        <v>1201</v>
      </c>
      <c r="AD180" s="68" t="s">
        <v>1201</v>
      </c>
      <c r="AE180" s="68" t="s">
        <v>1201</v>
      </c>
      <c r="AF180" s="68" t="s">
        <v>1201</v>
      </c>
      <c r="AG180" s="68" t="s">
        <v>1201</v>
      </c>
      <c r="AH180" s="68" t="s">
        <v>1201</v>
      </c>
      <c r="AI180" s="68" t="s">
        <v>1187</v>
      </c>
      <c r="AJ180" s="68" t="s">
        <v>1201</v>
      </c>
      <c r="AK180" s="68" t="s">
        <v>1201</v>
      </c>
      <c r="AL180" s="68"/>
      <c r="AM180" s="68" t="s">
        <v>1215</v>
      </c>
      <c r="AN180" s="84" t="str">
        <f t="shared" si="27"/>
        <v xml:space="preserve">Komponen bangunan lepas atau lapuk; </v>
      </c>
      <c r="AO180" s="84" t="str">
        <f t="shared" si="28"/>
        <v>Risiko Sedang</v>
      </c>
      <c r="AP180" s="68"/>
      <c r="AQ180" s="71">
        <f t="shared" si="29"/>
        <v>22</v>
      </c>
      <c r="AR180" s="71">
        <f t="shared" si="30"/>
        <v>5</v>
      </c>
      <c r="AS180" s="71">
        <f t="shared" si="31"/>
        <v>42</v>
      </c>
      <c r="AT180" s="69" t="str">
        <f t="shared" si="32"/>
        <v>Rendah</v>
      </c>
      <c r="AU180" s="66" t="s">
        <v>1189</v>
      </c>
      <c r="AV180" s="66" t="s">
        <v>1204</v>
      </c>
      <c r="AW180" s="66" t="s">
        <v>1190</v>
      </c>
      <c r="AX180" s="66" t="s">
        <v>1283</v>
      </c>
      <c r="AY180" s="66">
        <v>2026</v>
      </c>
      <c r="AZ180" s="66" t="s">
        <v>1192</v>
      </c>
      <c r="BA180" s="66"/>
      <c r="BB180" s="178"/>
      <c r="BC180" s="72">
        <v>2026</v>
      </c>
      <c r="BD180" s="66" t="s">
        <v>1208</v>
      </c>
      <c r="BE180" s="178"/>
      <c r="BF180" s="66" t="s">
        <v>1278</v>
      </c>
    </row>
    <row r="181" spans="1:58" ht="28">
      <c r="A181" s="66" t="s">
        <v>2031</v>
      </c>
      <c r="B181" s="66" t="s">
        <v>2008</v>
      </c>
      <c r="C181" s="83" t="s">
        <v>2009</v>
      </c>
      <c r="D181" s="83" t="s">
        <v>2010</v>
      </c>
      <c r="E181" s="66" t="s">
        <v>1439</v>
      </c>
      <c r="F181" s="66" t="s">
        <v>1429</v>
      </c>
      <c r="G181" s="66" t="s">
        <v>1310</v>
      </c>
      <c r="H181" s="66" t="s">
        <v>1262</v>
      </c>
      <c r="I181" s="66"/>
      <c r="J181" s="66"/>
      <c r="K181" s="66"/>
      <c r="L181" s="66" t="s">
        <v>1215</v>
      </c>
      <c r="M181" s="66"/>
      <c r="N181" s="66" t="s">
        <v>1215</v>
      </c>
      <c r="O181" s="66"/>
      <c r="P181" s="66" t="s">
        <v>1215</v>
      </c>
      <c r="Q181" s="86"/>
      <c r="R181" s="86"/>
      <c r="S181" s="86"/>
      <c r="T181" s="86"/>
      <c r="U181" s="86"/>
      <c r="V181" s="86"/>
      <c r="W181" s="67"/>
      <c r="X181" s="84" t="str">
        <f t="shared" si="22"/>
        <v>Tidak ada faktor rentan</v>
      </c>
      <c r="Y181" s="84" t="str">
        <f t="shared" si="23"/>
        <v>Tidak Ada Faktor Rentan</v>
      </c>
      <c r="Z181" s="85" t="str">
        <f t="shared" si="24"/>
        <v/>
      </c>
      <c r="AA181" s="85">
        <f t="shared" si="25"/>
        <v>0</v>
      </c>
      <c r="AB181" s="85" t="str">
        <f t="shared" si="26"/>
        <v/>
      </c>
      <c r="AC181" s="68" t="s">
        <v>1201</v>
      </c>
      <c r="AD181" s="68" t="s">
        <v>1201</v>
      </c>
      <c r="AE181" s="68" t="s">
        <v>1201</v>
      </c>
      <c r="AF181" s="68" t="s">
        <v>1201</v>
      </c>
      <c r="AG181" s="68" t="s">
        <v>1201</v>
      </c>
      <c r="AH181" s="68" t="s">
        <v>1201</v>
      </c>
      <c r="AI181" s="68" t="s">
        <v>1201</v>
      </c>
      <c r="AJ181" s="68" t="s">
        <v>1201</v>
      </c>
      <c r="AK181" s="68" t="s">
        <v>1201</v>
      </c>
      <c r="AL181" s="68"/>
      <c r="AM181" s="68" t="s">
        <v>1215</v>
      </c>
      <c r="AN181" s="84" t="str">
        <f t="shared" si="27"/>
        <v>Tidak ada risiko khusus</v>
      </c>
      <c r="AO181" s="84" t="str">
        <f t="shared" si="28"/>
        <v>Tidak Ada Risiko Khusus</v>
      </c>
      <c r="AP181" s="68"/>
      <c r="AQ181" s="71" t="str">
        <f t="shared" si="29"/>
        <v/>
      </c>
      <c r="AR181" s="71">
        <f t="shared" si="30"/>
        <v>0</v>
      </c>
      <c r="AS181" s="71" t="str">
        <f t="shared" si="31"/>
        <v/>
      </c>
      <c r="AT181" s="69" t="str">
        <f t="shared" si="32"/>
        <v>Belum Dapat Ditentukan</v>
      </c>
      <c r="AU181" s="66"/>
      <c r="AV181" s="66" t="s">
        <v>1204</v>
      </c>
      <c r="AW181" s="66" t="s">
        <v>1190</v>
      </c>
      <c r="AX181" s="66"/>
      <c r="AY181" s="66"/>
      <c r="AZ181" s="66"/>
      <c r="BA181" s="66"/>
      <c r="BB181" s="178"/>
      <c r="BC181" s="72"/>
      <c r="BD181" s="66"/>
      <c r="BE181" s="178"/>
      <c r="BF181" s="66" t="s">
        <v>1278</v>
      </c>
    </row>
    <row r="182" spans="1:58" ht="28">
      <c r="A182" s="66" t="s">
        <v>2032</v>
      </c>
      <c r="B182" s="66" t="s">
        <v>1432</v>
      </c>
      <c r="C182" s="83" t="s">
        <v>2011</v>
      </c>
      <c r="D182" s="83" t="s">
        <v>2012</v>
      </c>
      <c r="E182" s="66" t="s">
        <v>1433</v>
      </c>
      <c r="F182" s="66" t="s">
        <v>1429</v>
      </c>
      <c r="G182" s="66" t="s">
        <v>1310</v>
      </c>
      <c r="H182" s="66" t="s">
        <v>1262</v>
      </c>
      <c r="I182" s="66"/>
      <c r="J182" s="66"/>
      <c r="K182" s="66"/>
      <c r="L182" s="66" t="s">
        <v>1215</v>
      </c>
      <c r="M182" s="66"/>
      <c r="N182" s="66" t="s">
        <v>1215</v>
      </c>
      <c r="O182" s="66"/>
      <c r="P182" s="66" t="s">
        <v>1215</v>
      </c>
      <c r="Q182" s="86"/>
      <c r="R182" s="86"/>
      <c r="S182" s="86"/>
      <c r="T182" s="86"/>
      <c r="U182" s="86"/>
      <c r="V182" s="86"/>
      <c r="W182" s="67"/>
      <c r="X182" s="84" t="str">
        <f t="shared" si="22"/>
        <v>Tidak ada faktor rentan</v>
      </c>
      <c r="Y182" s="84" t="str">
        <f t="shared" si="23"/>
        <v>Tidak Ada Faktor Rentan</v>
      </c>
      <c r="Z182" s="85" t="str">
        <f t="shared" si="24"/>
        <v/>
      </c>
      <c r="AA182" s="85">
        <f t="shared" si="25"/>
        <v>0</v>
      </c>
      <c r="AB182" s="85" t="str">
        <f t="shared" si="26"/>
        <v/>
      </c>
      <c r="AC182" s="68" t="s">
        <v>1201</v>
      </c>
      <c r="AD182" s="68" t="s">
        <v>1201</v>
      </c>
      <c r="AE182" s="68" t="s">
        <v>1201</v>
      </c>
      <c r="AF182" s="68" t="s">
        <v>1201</v>
      </c>
      <c r="AG182" s="68" t="s">
        <v>1201</v>
      </c>
      <c r="AH182" s="68" t="s">
        <v>1201</v>
      </c>
      <c r="AI182" s="68" t="s">
        <v>1201</v>
      </c>
      <c r="AJ182" s="68" t="s">
        <v>1201</v>
      </c>
      <c r="AK182" s="68" t="s">
        <v>1201</v>
      </c>
      <c r="AL182" s="68"/>
      <c r="AM182" s="68" t="s">
        <v>1215</v>
      </c>
      <c r="AN182" s="84" t="str">
        <f t="shared" si="27"/>
        <v>Tidak ada risiko khusus</v>
      </c>
      <c r="AO182" s="84" t="str">
        <f t="shared" si="28"/>
        <v>Tidak Ada Risiko Khusus</v>
      </c>
      <c r="AP182" s="68"/>
      <c r="AQ182" s="71" t="str">
        <f t="shared" si="29"/>
        <v/>
      </c>
      <c r="AR182" s="71">
        <f t="shared" si="30"/>
        <v>0</v>
      </c>
      <c r="AS182" s="71" t="str">
        <f t="shared" si="31"/>
        <v/>
      </c>
      <c r="AT182" s="69" t="str">
        <f t="shared" si="32"/>
        <v>Belum Dapat Ditentukan</v>
      </c>
      <c r="AU182" s="66"/>
      <c r="AV182" s="66" t="s">
        <v>1204</v>
      </c>
      <c r="AW182" s="66" t="s">
        <v>1190</v>
      </c>
      <c r="AX182" s="66"/>
      <c r="AY182" s="66"/>
      <c r="AZ182" s="66"/>
      <c r="BA182" s="66"/>
      <c r="BB182" s="178"/>
      <c r="BC182" s="72"/>
      <c r="BD182" s="66"/>
      <c r="BE182" s="178"/>
      <c r="BF182" s="66" t="s">
        <v>1278</v>
      </c>
    </row>
    <row r="183" spans="1:58" ht="28">
      <c r="A183" s="66" t="s">
        <v>2033</v>
      </c>
      <c r="B183" s="66" t="s">
        <v>2013</v>
      </c>
      <c r="C183" s="83" t="s">
        <v>2014</v>
      </c>
      <c r="D183" s="83" t="s">
        <v>2015</v>
      </c>
      <c r="E183" s="66" t="s">
        <v>1439</v>
      </c>
      <c r="F183" s="66" t="s">
        <v>1429</v>
      </c>
      <c r="G183" s="66" t="s">
        <v>1310</v>
      </c>
      <c r="H183" s="66" t="s">
        <v>1262</v>
      </c>
      <c r="I183" s="66"/>
      <c r="J183" s="66"/>
      <c r="K183" s="66"/>
      <c r="L183" s="66" t="s">
        <v>1215</v>
      </c>
      <c r="M183" s="66"/>
      <c r="N183" s="66" t="s">
        <v>1215</v>
      </c>
      <c r="O183" s="66"/>
      <c r="P183" s="66" t="s">
        <v>1215</v>
      </c>
      <c r="Q183" s="86"/>
      <c r="R183" s="86"/>
      <c r="S183" s="86"/>
      <c r="T183" s="86"/>
      <c r="U183" s="86"/>
      <c r="V183" s="86"/>
      <c r="W183" s="67"/>
      <c r="X183" s="84" t="str">
        <f t="shared" si="22"/>
        <v>Tidak ada faktor rentan</v>
      </c>
      <c r="Y183" s="84" t="str">
        <f t="shared" si="23"/>
        <v>Tidak Ada Faktor Rentan</v>
      </c>
      <c r="Z183" s="85" t="str">
        <f t="shared" si="24"/>
        <v/>
      </c>
      <c r="AA183" s="85">
        <f t="shared" si="25"/>
        <v>0</v>
      </c>
      <c r="AB183" s="85" t="str">
        <f t="shared" si="26"/>
        <v/>
      </c>
      <c r="AC183" s="68" t="s">
        <v>1201</v>
      </c>
      <c r="AD183" s="68" t="s">
        <v>1201</v>
      </c>
      <c r="AE183" s="68" t="s">
        <v>1201</v>
      </c>
      <c r="AF183" s="68" t="s">
        <v>1201</v>
      </c>
      <c r="AG183" s="68" t="s">
        <v>1201</v>
      </c>
      <c r="AH183" s="68" t="s">
        <v>1201</v>
      </c>
      <c r="AI183" s="68" t="s">
        <v>1201</v>
      </c>
      <c r="AJ183" s="68" t="s">
        <v>1201</v>
      </c>
      <c r="AK183" s="68" t="s">
        <v>1201</v>
      </c>
      <c r="AL183" s="68"/>
      <c r="AM183" s="68" t="s">
        <v>1215</v>
      </c>
      <c r="AN183" s="84" t="str">
        <f t="shared" si="27"/>
        <v>Tidak ada risiko khusus</v>
      </c>
      <c r="AO183" s="84" t="str">
        <f t="shared" si="28"/>
        <v>Tidak Ada Risiko Khusus</v>
      </c>
      <c r="AP183" s="68"/>
      <c r="AQ183" s="71" t="str">
        <f t="shared" si="29"/>
        <v/>
      </c>
      <c r="AR183" s="71">
        <f t="shared" si="30"/>
        <v>0</v>
      </c>
      <c r="AS183" s="71" t="str">
        <f t="shared" si="31"/>
        <v/>
      </c>
      <c r="AT183" s="69" t="str">
        <f t="shared" si="32"/>
        <v>Belum Dapat Ditentukan</v>
      </c>
      <c r="AU183" s="66"/>
      <c r="AV183" s="66" t="s">
        <v>1204</v>
      </c>
      <c r="AW183" s="66" t="s">
        <v>1190</v>
      </c>
      <c r="AX183" s="66"/>
      <c r="AY183" s="66"/>
      <c r="AZ183" s="66"/>
      <c r="BA183" s="66"/>
      <c r="BB183" s="178"/>
      <c r="BC183" s="72"/>
      <c r="BD183" s="66"/>
      <c r="BE183" s="178"/>
      <c r="BF183" s="66" t="s">
        <v>1278</v>
      </c>
    </row>
    <row r="184" spans="1:58" s="179" customFormat="1" ht="28">
      <c r="A184" s="66" t="s">
        <v>2034</v>
      </c>
      <c r="B184" s="66" t="s">
        <v>2016</v>
      </c>
      <c r="C184" s="83" t="s">
        <v>2017</v>
      </c>
      <c r="D184" s="83" t="s">
        <v>2018</v>
      </c>
      <c r="E184" s="66" t="s">
        <v>2019</v>
      </c>
      <c r="F184" s="66" t="s">
        <v>2020</v>
      </c>
      <c r="G184" s="66" t="s">
        <v>1325</v>
      </c>
      <c r="H184" s="66" t="s">
        <v>1262</v>
      </c>
      <c r="I184" s="66"/>
      <c r="J184" s="66"/>
      <c r="K184" s="66"/>
      <c r="L184" s="66" t="s">
        <v>1215</v>
      </c>
      <c r="M184" s="66"/>
      <c r="N184" s="66" t="s">
        <v>1215</v>
      </c>
      <c r="O184" s="66"/>
      <c r="P184" s="66" t="s">
        <v>1215</v>
      </c>
      <c r="Q184" s="86"/>
      <c r="R184" s="86"/>
      <c r="S184" s="86"/>
      <c r="T184" s="86"/>
      <c r="U184" s="86"/>
      <c r="V184" s="86"/>
      <c r="W184" s="67"/>
      <c r="X184" s="84" t="str">
        <f t="shared" si="22"/>
        <v>Tidak ada faktor rentan</v>
      </c>
      <c r="Y184" s="84" t="str">
        <f t="shared" si="23"/>
        <v>Tidak Ada Faktor Rentan</v>
      </c>
      <c r="Z184" s="85" t="str">
        <f t="shared" si="24"/>
        <v/>
      </c>
      <c r="AA184" s="85">
        <f t="shared" si="25"/>
        <v>0</v>
      </c>
      <c r="AB184" s="85" t="str">
        <f t="shared" si="26"/>
        <v/>
      </c>
      <c r="AC184" s="68" t="s">
        <v>1201</v>
      </c>
      <c r="AD184" s="68" t="s">
        <v>1201</v>
      </c>
      <c r="AE184" s="68" t="s">
        <v>1201</v>
      </c>
      <c r="AF184" s="68" t="s">
        <v>1201</v>
      </c>
      <c r="AG184" s="68" t="s">
        <v>1201</v>
      </c>
      <c r="AH184" s="68" t="s">
        <v>1201</v>
      </c>
      <c r="AI184" s="68" t="s">
        <v>1201</v>
      </c>
      <c r="AJ184" s="68" t="s">
        <v>1201</v>
      </c>
      <c r="AK184" s="68" t="s">
        <v>1201</v>
      </c>
      <c r="AL184" s="68"/>
      <c r="AM184" s="68" t="s">
        <v>1215</v>
      </c>
      <c r="AN184" s="84" t="str">
        <f t="shared" si="27"/>
        <v>Tidak ada risiko khusus</v>
      </c>
      <c r="AO184" s="84" t="str">
        <f t="shared" si="28"/>
        <v>Tidak Ada Risiko Khusus</v>
      </c>
      <c r="AP184" s="68"/>
      <c r="AQ184" s="71" t="str">
        <f t="shared" si="29"/>
        <v/>
      </c>
      <c r="AR184" s="71">
        <f t="shared" si="30"/>
        <v>0</v>
      </c>
      <c r="AS184" s="71" t="str">
        <f t="shared" si="31"/>
        <v/>
      </c>
      <c r="AT184" s="69" t="str">
        <f t="shared" si="32"/>
        <v>Belum Dapat Ditentukan</v>
      </c>
      <c r="AU184" s="66"/>
      <c r="AV184" s="66" t="s">
        <v>1204</v>
      </c>
      <c r="AW184" s="66" t="s">
        <v>1190</v>
      </c>
      <c r="AX184" s="66"/>
      <c r="AY184" s="66"/>
      <c r="AZ184" s="66"/>
      <c r="BA184" s="66"/>
      <c r="BB184" s="178"/>
      <c r="BC184" s="72"/>
      <c r="BD184" s="66"/>
      <c r="BE184" s="178"/>
      <c r="BF184" s="66" t="s">
        <v>1278</v>
      </c>
    </row>
    <row r="185" spans="1:58" s="179" customFormat="1" ht="28">
      <c r="A185" s="66" t="s">
        <v>2035</v>
      </c>
      <c r="B185" s="66" t="s">
        <v>2021</v>
      </c>
      <c r="C185" s="66"/>
      <c r="D185" s="83" t="s">
        <v>2022</v>
      </c>
      <c r="E185" s="66" t="s">
        <v>1973</v>
      </c>
      <c r="F185" s="66" t="s">
        <v>1537</v>
      </c>
      <c r="G185" s="66" t="s">
        <v>1351</v>
      </c>
      <c r="H185" s="66" t="s">
        <v>1262</v>
      </c>
      <c r="I185" s="66"/>
      <c r="J185" s="66" t="s">
        <v>1196</v>
      </c>
      <c r="K185" s="66" t="s">
        <v>1211</v>
      </c>
      <c r="L185" s="66" t="s">
        <v>888</v>
      </c>
      <c r="M185" s="66" t="s">
        <v>1305</v>
      </c>
      <c r="N185" s="66" t="s">
        <v>888</v>
      </c>
      <c r="O185" s="66" t="s">
        <v>1185</v>
      </c>
      <c r="P185" s="66" t="s">
        <v>891</v>
      </c>
      <c r="Q185" s="86" t="s">
        <v>1186</v>
      </c>
      <c r="R185" s="86" t="s">
        <v>1201</v>
      </c>
      <c r="S185" s="86" t="s">
        <v>1201</v>
      </c>
      <c r="T185" s="86" t="s">
        <v>1201</v>
      </c>
      <c r="U185" s="86" t="s">
        <v>1201</v>
      </c>
      <c r="V185" s="86" t="s">
        <v>1215</v>
      </c>
      <c r="W185" s="67"/>
      <c r="X185" s="84" t="str">
        <f t="shared" si="22"/>
        <v>Belum Dinilai</v>
      </c>
      <c r="Y185" s="84" t="str">
        <f t="shared" si="23"/>
        <v>Belum Dinilai</v>
      </c>
      <c r="Z185" s="85">
        <f t="shared" si="24"/>
        <v>10</v>
      </c>
      <c r="AA185" s="85" t="str">
        <f t="shared" si="25"/>
        <v/>
      </c>
      <c r="AB185" s="85" t="str">
        <f t="shared" si="26"/>
        <v/>
      </c>
      <c r="AC185" s="68" t="s">
        <v>1201</v>
      </c>
      <c r="AD185" s="68" t="s">
        <v>1201</v>
      </c>
      <c r="AE185" s="68" t="s">
        <v>1201</v>
      </c>
      <c r="AF185" s="68" t="s">
        <v>1201</v>
      </c>
      <c r="AG185" s="68" t="s">
        <v>1201</v>
      </c>
      <c r="AH185" s="68" t="s">
        <v>1201</v>
      </c>
      <c r="AI185" s="68" t="s">
        <v>1201</v>
      </c>
      <c r="AJ185" s="68" t="s">
        <v>1201</v>
      </c>
      <c r="AK185" s="68" t="s">
        <v>1201</v>
      </c>
      <c r="AL185" s="68"/>
      <c r="AM185" s="68" t="s">
        <v>1215</v>
      </c>
      <c r="AN185" s="84" t="str">
        <f t="shared" si="27"/>
        <v>Tidak ada risiko khusus</v>
      </c>
      <c r="AO185" s="84" t="str">
        <f t="shared" si="28"/>
        <v>Tidak Ada Risiko Khusus</v>
      </c>
      <c r="AP185" s="68"/>
      <c r="AQ185" s="71">
        <f t="shared" si="29"/>
        <v>12</v>
      </c>
      <c r="AR185" s="71">
        <f t="shared" si="30"/>
        <v>0</v>
      </c>
      <c r="AS185" s="71" t="str">
        <f t="shared" si="31"/>
        <v/>
      </c>
      <c r="AT185" s="69" t="str">
        <f t="shared" si="32"/>
        <v>Belum Dapat Ditentukan</v>
      </c>
      <c r="AU185" s="66"/>
      <c r="AV185" s="66" t="s">
        <v>1204</v>
      </c>
      <c r="AW185" s="66" t="s">
        <v>1190</v>
      </c>
      <c r="AX185" s="66"/>
      <c r="AY185" s="66"/>
      <c r="AZ185" s="66"/>
      <c r="BA185" s="66"/>
      <c r="BB185" s="178"/>
      <c r="BC185" s="72"/>
      <c r="BD185" s="66"/>
      <c r="BE185" s="178"/>
      <c r="BF185" s="66" t="s">
        <v>1278</v>
      </c>
    </row>
    <row r="186" spans="1:58" s="179" customFormat="1" ht="28">
      <c r="A186" s="66" t="s">
        <v>2036</v>
      </c>
      <c r="B186" s="66" t="s">
        <v>2185</v>
      </c>
      <c r="C186" s="83" t="s">
        <v>2023</v>
      </c>
      <c r="D186" s="83" t="s">
        <v>2024</v>
      </c>
      <c r="E186" s="66" t="s">
        <v>1978</v>
      </c>
      <c r="F186" s="66" t="s">
        <v>1537</v>
      </c>
      <c r="G186" s="66" t="s">
        <v>1351</v>
      </c>
      <c r="H186" s="66" t="s">
        <v>1262</v>
      </c>
      <c r="I186" s="66"/>
      <c r="J186" s="66" t="s">
        <v>1182</v>
      </c>
      <c r="K186" s="66" t="s">
        <v>1211</v>
      </c>
      <c r="L186" s="66" t="s">
        <v>888</v>
      </c>
      <c r="M186" s="66" t="s">
        <v>1184</v>
      </c>
      <c r="N186" s="66" t="s">
        <v>888</v>
      </c>
      <c r="O186" s="66" t="s">
        <v>1185</v>
      </c>
      <c r="P186" s="66" t="s">
        <v>888</v>
      </c>
      <c r="Q186" s="86" t="s">
        <v>1186</v>
      </c>
      <c r="R186" s="86" t="s">
        <v>1201</v>
      </c>
      <c r="S186" s="86" t="s">
        <v>1201</v>
      </c>
      <c r="T186" s="86" t="s">
        <v>1201</v>
      </c>
      <c r="U186" s="86" t="s">
        <v>1201</v>
      </c>
      <c r="V186" s="86" t="s">
        <v>1215</v>
      </c>
      <c r="W186" s="67"/>
      <c r="X186" s="84" t="str">
        <f t="shared" si="22"/>
        <v>Belum Dinilai</v>
      </c>
      <c r="Y186" s="84" t="str">
        <f t="shared" si="23"/>
        <v>Belum Dinilai</v>
      </c>
      <c r="Z186" s="85">
        <f t="shared" si="24"/>
        <v>10</v>
      </c>
      <c r="AA186" s="85" t="str">
        <f t="shared" si="25"/>
        <v/>
      </c>
      <c r="AB186" s="85" t="str">
        <f t="shared" si="26"/>
        <v/>
      </c>
      <c r="AC186" s="68" t="s">
        <v>1201</v>
      </c>
      <c r="AD186" s="68" t="s">
        <v>1201</v>
      </c>
      <c r="AE186" s="68" t="s">
        <v>1201</v>
      </c>
      <c r="AF186" s="68" t="s">
        <v>1201</v>
      </c>
      <c r="AG186" s="68" t="s">
        <v>1201</v>
      </c>
      <c r="AH186" s="68" t="s">
        <v>1201</v>
      </c>
      <c r="AI186" s="68" t="s">
        <v>1201</v>
      </c>
      <c r="AJ186" s="68" t="s">
        <v>1201</v>
      </c>
      <c r="AK186" s="68" t="s">
        <v>1201</v>
      </c>
      <c r="AL186" s="68"/>
      <c r="AM186" s="68" t="s">
        <v>1215</v>
      </c>
      <c r="AN186" s="84" t="str">
        <f t="shared" si="27"/>
        <v>Tidak ada risiko khusus</v>
      </c>
      <c r="AO186" s="84" t="str">
        <f t="shared" si="28"/>
        <v>Tidak Ada Risiko Khusus</v>
      </c>
      <c r="AP186" s="68"/>
      <c r="AQ186" s="71">
        <f t="shared" si="29"/>
        <v>0</v>
      </c>
      <c r="AR186" s="71">
        <f t="shared" si="30"/>
        <v>0</v>
      </c>
      <c r="AS186" s="71" t="str">
        <f t="shared" si="31"/>
        <v/>
      </c>
      <c r="AT186" s="69" t="str">
        <f t="shared" si="32"/>
        <v>Belum Dapat Ditentukan</v>
      </c>
      <c r="AU186" s="66"/>
      <c r="AV186" s="66" t="s">
        <v>1204</v>
      </c>
      <c r="AW186" s="66" t="s">
        <v>1190</v>
      </c>
      <c r="AX186" s="66"/>
      <c r="AY186" s="66"/>
      <c r="AZ186" s="66"/>
      <c r="BA186" s="66"/>
      <c r="BB186" s="178"/>
      <c r="BC186" s="72"/>
      <c r="BD186" s="66"/>
      <c r="BE186" s="178"/>
      <c r="BF186" s="66" t="s">
        <v>1278</v>
      </c>
    </row>
    <row r="187" spans="1:58" s="179" customFormat="1" ht="28">
      <c r="A187" s="66" t="s">
        <v>2037</v>
      </c>
      <c r="B187" s="66" t="s">
        <v>2025</v>
      </c>
      <c r="C187" s="83" t="s">
        <v>2026</v>
      </c>
      <c r="D187" s="83" t="s">
        <v>2027</v>
      </c>
      <c r="E187" s="66" t="s">
        <v>1973</v>
      </c>
      <c r="F187" s="66" t="s">
        <v>1537</v>
      </c>
      <c r="G187" s="66" t="s">
        <v>1351</v>
      </c>
      <c r="H187" s="66" t="s">
        <v>1262</v>
      </c>
      <c r="I187" s="66"/>
      <c r="J187" s="66" t="s">
        <v>1182</v>
      </c>
      <c r="K187" s="66" t="s">
        <v>1211</v>
      </c>
      <c r="L187" s="66" t="s">
        <v>888</v>
      </c>
      <c r="M187" s="66" t="s">
        <v>1198</v>
      </c>
      <c r="N187" s="66" t="s">
        <v>888</v>
      </c>
      <c r="O187" s="66" t="s">
        <v>1185</v>
      </c>
      <c r="P187" s="66" t="s">
        <v>888</v>
      </c>
      <c r="Q187" s="86" t="s">
        <v>1186</v>
      </c>
      <c r="R187" s="86" t="s">
        <v>1201</v>
      </c>
      <c r="S187" s="86" t="s">
        <v>1201</v>
      </c>
      <c r="T187" s="86" t="s">
        <v>1201</v>
      </c>
      <c r="U187" s="86" t="s">
        <v>1187</v>
      </c>
      <c r="V187" s="86" t="s">
        <v>1215</v>
      </c>
      <c r="W187" s="67"/>
      <c r="X187" s="84" t="str">
        <f t="shared" si="22"/>
        <v>Belum Dinilai</v>
      </c>
      <c r="Y187" s="84" t="str">
        <f t="shared" si="23"/>
        <v>Belum Dinilai</v>
      </c>
      <c r="Z187" s="85">
        <f t="shared" si="24"/>
        <v>10</v>
      </c>
      <c r="AA187" s="85" t="str">
        <f t="shared" si="25"/>
        <v/>
      </c>
      <c r="AB187" s="85" t="str">
        <f t="shared" si="26"/>
        <v/>
      </c>
      <c r="AC187" s="68" t="s">
        <v>1201</v>
      </c>
      <c r="AD187" s="68" t="s">
        <v>1201</v>
      </c>
      <c r="AE187" s="68" t="s">
        <v>1201</v>
      </c>
      <c r="AF187" s="68" t="s">
        <v>1201</v>
      </c>
      <c r="AG187" s="68" t="s">
        <v>1201</v>
      </c>
      <c r="AH187" s="68" t="s">
        <v>1201</v>
      </c>
      <c r="AI187" s="68" t="s">
        <v>1201</v>
      </c>
      <c r="AJ187" s="68" t="s">
        <v>1201</v>
      </c>
      <c r="AK187" s="68" t="s">
        <v>1201</v>
      </c>
      <c r="AL187" s="68"/>
      <c r="AM187" s="68"/>
      <c r="AN187" s="84" t="str">
        <f t="shared" si="27"/>
        <v>Tidak ada risiko khusus</v>
      </c>
      <c r="AO187" s="84" t="str">
        <f t="shared" si="28"/>
        <v>Tidak Ada Risiko Khusus</v>
      </c>
      <c r="AP187" s="68"/>
      <c r="AQ187" s="71">
        <f t="shared" si="29"/>
        <v>0</v>
      </c>
      <c r="AR187" s="71">
        <f t="shared" si="30"/>
        <v>0</v>
      </c>
      <c r="AS187" s="71" t="str">
        <f t="shared" si="31"/>
        <v/>
      </c>
      <c r="AT187" s="69" t="str">
        <f t="shared" si="32"/>
        <v>Belum Dapat Ditentukan</v>
      </c>
      <c r="AU187" s="66"/>
      <c r="AV187" s="66" t="s">
        <v>1204</v>
      </c>
      <c r="AW187" s="66" t="s">
        <v>1190</v>
      </c>
      <c r="AX187" s="66"/>
      <c r="AY187" s="66"/>
      <c r="AZ187" s="66"/>
      <c r="BA187" s="66"/>
      <c r="BB187" s="178"/>
      <c r="BC187" s="72"/>
      <c r="BD187" s="66"/>
      <c r="BE187" s="178"/>
      <c r="BF187" s="66" t="s">
        <v>1278</v>
      </c>
    </row>
    <row r="188" spans="1:58" ht="28">
      <c r="A188" s="180" t="s">
        <v>2038</v>
      </c>
      <c r="B188" s="180" t="s">
        <v>2186</v>
      </c>
      <c r="C188" s="180"/>
      <c r="D188" s="180"/>
      <c r="E188" s="180" t="s">
        <v>2187</v>
      </c>
      <c r="F188" s="180" t="s">
        <v>1458</v>
      </c>
      <c r="G188" s="180" t="s">
        <v>1310</v>
      </c>
      <c r="H188" s="180" t="s">
        <v>1181</v>
      </c>
      <c r="I188" s="180"/>
      <c r="J188" s="180" t="s">
        <v>1196</v>
      </c>
      <c r="K188" s="180" t="s">
        <v>1197</v>
      </c>
      <c r="L188" s="180" t="s">
        <v>888</v>
      </c>
      <c r="M188" s="180" t="s">
        <v>1266</v>
      </c>
      <c r="N188" s="180" t="s">
        <v>888</v>
      </c>
      <c r="O188" s="180" t="s">
        <v>1213</v>
      </c>
      <c r="P188" s="180" t="s">
        <v>888</v>
      </c>
      <c r="Q188" s="180" t="s">
        <v>1215</v>
      </c>
      <c r="R188" s="180" t="s">
        <v>1215</v>
      </c>
      <c r="S188" s="180" t="s">
        <v>1215</v>
      </c>
      <c r="T188" s="180" t="s">
        <v>1215</v>
      </c>
      <c r="U188" s="180" t="s">
        <v>1215</v>
      </c>
      <c r="V188" s="180" t="s">
        <v>1215</v>
      </c>
      <c r="W188" s="180"/>
      <c r="X188" s="180" t="str">
        <f t="shared" si="22"/>
        <v>Belum Dinilai</v>
      </c>
      <c r="Y188" s="180" t="str">
        <f t="shared" si="23"/>
        <v>Belum Dinilai</v>
      </c>
      <c r="Z188" s="181" t="str">
        <f t="shared" si="24"/>
        <v/>
      </c>
      <c r="AA188" s="181" t="str">
        <f t="shared" si="25"/>
        <v/>
      </c>
      <c r="AB188" s="181" t="str">
        <f t="shared" si="26"/>
        <v/>
      </c>
      <c r="AC188" s="180" t="s">
        <v>1201</v>
      </c>
      <c r="AD188" s="180" t="s">
        <v>1201</v>
      </c>
      <c r="AE188" s="180" t="s">
        <v>1201</v>
      </c>
      <c r="AF188" s="180" t="s">
        <v>1201</v>
      </c>
      <c r="AG188" s="180" t="s">
        <v>1187</v>
      </c>
      <c r="AH188" s="180" t="s">
        <v>1201</v>
      </c>
      <c r="AI188" s="180" t="s">
        <v>1187</v>
      </c>
      <c r="AJ188" s="180" t="s">
        <v>1201</v>
      </c>
      <c r="AK188" s="180" t="s">
        <v>1201</v>
      </c>
      <c r="AL188" s="180"/>
      <c r="AM188" s="180"/>
      <c r="AN188" s="180" t="str">
        <f t="shared" si="27"/>
        <v xml:space="preserve">Struktur rumah tidak stabil; Komponen bangunan lepas atau lapuk; </v>
      </c>
      <c r="AO188" s="180" t="str">
        <f t="shared" si="28"/>
        <v>Risiko Tinggi/Darurat</v>
      </c>
      <c r="AP188" s="180"/>
      <c r="AQ188" s="181">
        <f t="shared" si="29"/>
        <v>8</v>
      </c>
      <c r="AR188" s="181">
        <f t="shared" si="30"/>
        <v>10</v>
      </c>
      <c r="AS188" s="181" t="str">
        <f t="shared" si="31"/>
        <v/>
      </c>
      <c r="AT188" s="180" t="str">
        <f t="shared" si="32"/>
        <v>Belum Dapat Ditentukan</v>
      </c>
      <c r="AU188" s="180"/>
      <c r="AV188" s="180" t="s">
        <v>1204</v>
      </c>
      <c r="AW188" s="180" t="s">
        <v>1190</v>
      </c>
      <c r="AX188" s="180"/>
      <c r="AY188" s="180"/>
      <c r="AZ188" s="180" t="s">
        <v>1207</v>
      </c>
      <c r="BA188" s="180"/>
      <c r="BB188" s="182"/>
      <c r="BC188" s="181">
        <v>2025</v>
      </c>
      <c r="BD188" s="180" t="s">
        <v>1208</v>
      </c>
      <c r="BE188" s="182"/>
      <c r="BF188" s="180" t="s">
        <v>1278</v>
      </c>
    </row>
    <row r="189" spans="1:58" ht="28">
      <c r="A189" s="180" t="s">
        <v>2039</v>
      </c>
      <c r="B189" s="180" t="s">
        <v>2188</v>
      </c>
      <c r="C189" s="180"/>
      <c r="D189" s="180"/>
      <c r="E189" s="180" t="s">
        <v>2189</v>
      </c>
      <c r="F189" s="180" t="s">
        <v>1458</v>
      </c>
      <c r="G189" s="180" t="s">
        <v>1310</v>
      </c>
      <c r="H189" s="180" t="s">
        <v>1181</v>
      </c>
      <c r="I189" s="180"/>
      <c r="J189" s="180" t="s">
        <v>1196</v>
      </c>
      <c r="K189" s="180" t="s">
        <v>1197</v>
      </c>
      <c r="L189" s="180" t="s">
        <v>891</v>
      </c>
      <c r="M189" s="180" t="s">
        <v>1305</v>
      </c>
      <c r="N189" s="180" t="s">
        <v>905</v>
      </c>
      <c r="O189" s="180" t="s">
        <v>1213</v>
      </c>
      <c r="P189" s="180" t="s">
        <v>891</v>
      </c>
      <c r="Q189" s="180" t="s">
        <v>1186</v>
      </c>
      <c r="R189" s="180" t="s">
        <v>1201</v>
      </c>
      <c r="S189" s="180" t="s">
        <v>1201</v>
      </c>
      <c r="T189" s="180" t="s">
        <v>1201</v>
      </c>
      <c r="U189" s="180" t="s">
        <v>1201</v>
      </c>
      <c r="V189" s="180" t="s">
        <v>1201</v>
      </c>
      <c r="W189" s="180"/>
      <c r="X189" s="180" t="str">
        <f t="shared" si="22"/>
        <v>Tidak ada faktor rentan</v>
      </c>
      <c r="Y189" s="180" t="str">
        <f t="shared" si="23"/>
        <v>Tidak Ada Faktor Rentan</v>
      </c>
      <c r="Z189" s="181">
        <f t="shared" si="24"/>
        <v>10</v>
      </c>
      <c r="AA189" s="181">
        <f t="shared" si="25"/>
        <v>0</v>
      </c>
      <c r="AB189" s="181">
        <f t="shared" si="26"/>
        <v>10</v>
      </c>
      <c r="AC189" s="180" t="s">
        <v>1201</v>
      </c>
      <c r="AD189" s="180" t="s">
        <v>1201</v>
      </c>
      <c r="AE189" s="180" t="s">
        <v>1187</v>
      </c>
      <c r="AF189" s="180" t="s">
        <v>1201</v>
      </c>
      <c r="AG189" s="180" t="s">
        <v>1187</v>
      </c>
      <c r="AH189" s="180" t="s">
        <v>1187</v>
      </c>
      <c r="AI189" s="180" t="s">
        <v>1187</v>
      </c>
      <c r="AJ189" s="180" t="s">
        <v>1201</v>
      </c>
      <c r="AK189" s="180" t="s">
        <v>1201</v>
      </c>
      <c r="AL189" s="180"/>
      <c r="AM189" s="180"/>
      <c r="AN189" s="180" t="str">
        <f t="shared" si="27"/>
        <v xml:space="preserve">Atap atau dinding utama hampir runtuh; Struktur rumah tidak stabil; Instalasi listrik berbahaya; Komponen bangunan lepas atau lapuk; </v>
      </c>
      <c r="AO189" s="180" t="str">
        <f t="shared" si="28"/>
        <v>Risiko Tinggi/Darurat</v>
      </c>
      <c r="AP189" s="180"/>
      <c r="AQ189" s="181">
        <f t="shared" si="29"/>
        <v>27</v>
      </c>
      <c r="AR189" s="181">
        <f t="shared" si="30"/>
        <v>10</v>
      </c>
      <c r="AS189" s="181">
        <f t="shared" si="31"/>
        <v>47</v>
      </c>
      <c r="AT189" s="180" t="str">
        <f t="shared" si="32"/>
        <v>Tinggi</v>
      </c>
      <c r="AU189" s="180"/>
      <c r="AV189" s="180" t="s">
        <v>1204</v>
      </c>
      <c r="AW189" s="180" t="s">
        <v>1190</v>
      </c>
      <c r="AX189" s="180"/>
      <c r="AY189" s="180"/>
      <c r="AZ189" s="180" t="s">
        <v>1207</v>
      </c>
      <c r="BA189" s="180"/>
      <c r="BB189" s="182"/>
      <c r="BC189" s="181">
        <v>2025</v>
      </c>
      <c r="BD189" s="180" t="s">
        <v>1208</v>
      </c>
      <c r="BE189" s="182"/>
      <c r="BF189" s="180" t="s">
        <v>1278</v>
      </c>
    </row>
    <row r="190" spans="1:58" ht="28">
      <c r="A190" s="180" t="s">
        <v>2040</v>
      </c>
      <c r="B190" s="180" t="s">
        <v>2190</v>
      </c>
      <c r="C190" s="183" t="s">
        <v>2191</v>
      </c>
      <c r="D190" s="183" t="s">
        <v>2192</v>
      </c>
      <c r="E190" s="180" t="s">
        <v>2193</v>
      </c>
      <c r="F190" s="180" t="s">
        <v>1458</v>
      </c>
      <c r="G190" s="180" t="s">
        <v>1310</v>
      </c>
      <c r="H190" s="180" t="s">
        <v>1195</v>
      </c>
      <c r="I190" s="180"/>
      <c r="J190" s="180" t="s">
        <v>1196</v>
      </c>
      <c r="K190" s="180" t="s">
        <v>1197</v>
      </c>
      <c r="L190" s="180" t="s">
        <v>891</v>
      </c>
      <c r="M190" s="180" t="s">
        <v>1305</v>
      </c>
      <c r="N190" s="180" t="s">
        <v>891</v>
      </c>
      <c r="O190" s="180" t="s">
        <v>1213</v>
      </c>
      <c r="P190" s="180" t="s">
        <v>888</v>
      </c>
      <c r="Q190" s="180" t="s">
        <v>1186</v>
      </c>
      <c r="R190" s="180" t="s">
        <v>1201</v>
      </c>
      <c r="S190" s="180" t="s">
        <v>1201</v>
      </c>
      <c r="T190" s="180" t="s">
        <v>1201</v>
      </c>
      <c r="U190" s="180" t="s">
        <v>1201</v>
      </c>
      <c r="V190" s="180" t="s">
        <v>1201</v>
      </c>
      <c r="W190" s="180"/>
      <c r="X190" s="180" t="str">
        <f t="shared" si="22"/>
        <v>Tidak ada faktor rentan</v>
      </c>
      <c r="Y190" s="180" t="str">
        <f t="shared" si="23"/>
        <v>Tidak Ada Faktor Rentan</v>
      </c>
      <c r="Z190" s="181">
        <f t="shared" si="24"/>
        <v>10</v>
      </c>
      <c r="AA190" s="181">
        <f t="shared" si="25"/>
        <v>0</v>
      </c>
      <c r="AB190" s="181">
        <f t="shared" si="26"/>
        <v>10</v>
      </c>
      <c r="AC190" s="180" t="s">
        <v>1187</v>
      </c>
      <c r="AD190" s="180" t="s">
        <v>1201</v>
      </c>
      <c r="AE190" s="180" t="s">
        <v>1187</v>
      </c>
      <c r="AF190" s="180" t="s">
        <v>1201</v>
      </c>
      <c r="AG190" s="180" t="s">
        <v>1187</v>
      </c>
      <c r="AH190" s="180" t="s">
        <v>1187</v>
      </c>
      <c r="AI190" s="180" t="s">
        <v>1201</v>
      </c>
      <c r="AJ190" s="180" t="s">
        <v>1201</v>
      </c>
      <c r="AK190" s="180" t="s">
        <v>1201</v>
      </c>
      <c r="AL190" s="180"/>
      <c r="AM190" s="180"/>
      <c r="AN190" s="180" t="str">
        <f t="shared" si="27"/>
        <v xml:space="preserve">Bangunan berpotensi roboh; Atap atau dinding utama hampir runtuh; Struktur rumah tidak stabil; Instalasi listrik berbahaya; </v>
      </c>
      <c r="AO190" s="180" t="str">
        <f t="shared" si="28"/>
        <v>Risiko Tinggi/Darurat</v>
      </c>
      <c r="AP190" s="180"/>
      <c r="AQ190" s="181">
        <f t="shared" si="29"/>
        <v>18</v>
      </c>
      <c r="AR190" s="181">
        <f t="shared" si="30"/>
        <v>10</v>
      </c>
      <c r="AS190" s="181">
        <f t="shared" si="31"/>
        <v>38</v>
      </c>
      <c r="AT190" s="180" t="str">
        <f t="shared" si="32"/>
        <v>Tinggi</v>
      </c>
      <c r="AU190" s="180" t="s">
        <v>1189</v>
      </c>
      <c r="AV190" s="180" t="s">
        <v>1204</v>
      </c>
      <c r="AW190" s="180" t="s">
        <v>1267</v>
      </c>
      <c r="AX190" s="180" t="s">
        <v>1206</v>
      </c>
      <c r="AY190" s="180">
        <v>2026</v>
      </c>
      <c r="AZ190" s="180" t="s">
        <v>1192</v>
      </c>
      <c r="BA190" s="180"/>
      <c r="BB190" s="182"/>
      <c r="BC190" s="181">
        <v>2025</v>
      </c>
      <c r="BD190" s="180" t="s">
        <v>1208</v>
      </c>
      <c r="BE190" s="182"/>
      <c r="BF190" s="180" t="s">
        <v>1278</v>
      </c>
    </row>
    <row r="191" spans="1:58" ht="28">
      <c r="A191" s="180" t="s">
        <v>2041</v>
      </c>
      <c r="B191" s="180" t="s">
        <v>2194</v>
      </c>
      <c r="C191" s="183" t="s">
        <v>2195</v>
      </c>
      <c r="D191" s="183" t="s">
        <v>2196</v>
      </c>
      <c r="E191" s="180" t="s">
        <v>2197</v>
      </c>
      <c r="F191" s="180" t="s">
        <v>1350</v>
      </c>
      <c r="G191" s="180" t="s">
        <v>1351</v>
      </c>
      <c r="H191" s="180" t="s">
        <v>1195</v>
      </c>
      <c r="I191" s="180"/>
      <c r="J191" s="180" t="s">
        <v>1196</v>
      </c>
      <c r="K191" s="180" t="s">
        <v>1197</v>
      </c>
      <c r="L191" s="180" t="s">
        <v>891</v>
      </c>
      <c r="M191" s="180" t="s">
        <v>1305</v>
      </c>
      <c r="N191" s="180" t="s">
        <v>891</v>
      </c>
      <c r="O191" s="180" t="s">
        <v>1213</v>
      </c>
      <c r="P191" s="180" t="s">
        <v>891</v>
      </c>
      <c r="Q191" s="180" t="s">
        <v>1186</v>
      </c>
      <c r="R191" s="180" t="s">
        <v>1201</v>
      </c>
      <c r="S191" s="180" t="s">
        <v>1201</v>
      </c>
      <c r="T191" s="180" t="s">
        <v>1201</v>
      </c>
      <c r="U191" s="180" t="s">
        <v>1201</v>
      </c>
      <c r="V191" s="180" t="s">
        <v>1201</v>
      </c>
      <c r="W191" s="180"/>
      <c r="X191" s="180" t="str">
        <f t="shared" si="22"/>
        <v>Tidak ada faktor rentan</v>
      </c>
      <c r="Y191" s="180" t="str">
        <f t="shared" si="23"/>
        <v>Tidak Ada Faktor Rentan</v>
      </c>
      <c r="Z191" s="181">
        <f t="shared" si="24"/>
        <v>10</v>
      </c>
      <c r="AA191" s="181">
        <f t="shared" si="25"/>
        <v>0</v>
      </c>
      <c r="AB191" s="181">
        <f t="shared" si="26"/>
        <v>10</v>
      </c>
      <c r="AC191" s="180" t="s">
        <v>1201</v>
      </c>
      <c r="AD191" s="180" t="s">
        <v>1201</v>
      </c>
      <c r="AE191" s="180" t="s">
        <v>1201</v>
      </c>
      <c r="AF191" s="180" t="s">
        <v>1187</v>
      </c>
      <c r="AG191" s="180" t="s">
        <v>1187</v>
      </c>
      <c r="AH191" s="180" t="s">
        <v>1187</v>
      </c>
      <c r="AI191" s="180" t="s">
        <v>1187</v>
      </c>
      <c r="AJ191" s="180" t="s">
        <v>1201</v>
      </c>
      <c r="AK191" s="180" t="s">
        <v>1201</v>
      </c>
      <c r="AL191" s="180"/>
      <c r="AM191" s="180"/>
      <c r="AN191" s="180" t="str">
        <f t="shared" si="27"/>
        <v xml:space="preserve">Genangan yang membahayakan; Struktur rumah tidak stabil; Instalasi listrik berbahaya; Komponen bangunan lepas atau lapuk; </v>
      </c>
      <c r="AO191" s="180" t="str">
        <f t="shared" si="28"/>
        <v>Risiko Tinggi/Darurat</v>
      </c>
      <c r="AP191" s="180"/>
      <c r="AQ191" s="181">
        <f t="shared" si="29"/>
        <v>22</v>
      </c>
      <c r="AR191" s="181">
        <f t="shared" si="30"/>
        <v>10</v>
      </c>
      <c r="AS191" s="181">
        <f t="shared" si="31"/>
        <v>42</v>
      </c>
      <c r="AT191" s="180" t="str">
        <f t="shared" si="32"/>
        <v>Tinggi</v>
      </c>
      <c r="AU191" s="180" t="s">
        <v>1189</v>
      </c>
      <c r="AV191" s="180" t="s">
        <v>1204</v>
      </c>
      <c r="AW191" s="180" t="s">
        <v>1267</v>
      </c>
      <c r="AX191" s="180" t="s">
        <v>1206</v>
      </c>
      <c r="AY191" s="180">
        <v>2026</v>
      </c>
      <c r="AZ191" s="180" t="s">
        <v>1192</v>
      </c>
      <c r="BA191" s="180"/>
      <c r="BB191" s="182"/>
      <c r="BC191" s="181">
        <v>2025</v>
      </c>
      <c r="BD191" s="180" t="s">
        <v>1208</v>
      </c>
      <c r="BE191" s="182"/>
      <c r="BF191" s="180" t="s">
        <v>1278</v>
      </c>
    </row>
    <row r="192" spans="1:58" ht="28">
      <c r="A192" s="180" t="s">
        <v>2042</v>
      </c>
      <c r="B192" s="180" t="s">
        <v>2198</v>
      </c>
      <c r="C192" s="180"/>
      <c r="D192" s="180"/>
      <c r="E192" s="180" t="s">
        <v>2199</v>
      </c>
      <c r="F192" s="180" t="s">
        <v>1350</v>
      </c>
      <c r="G192" s="180" t="s">
        <v>1351</v>
      </c>
      <c r="H192" s="180" t="s">
        <v>1181</v>
      </c>
      <c r="I192" s="180"/>
      <c r="J192" s="180" t="s">
        <v>1196</v>
      </c>
      <c r="K192" s="180" t="s">
        <v>1211</v>
      </c>
      <c r="L192" s="180" t="s">
        <v>891</v>
      </c>
      <c r="M192" s="180" t="s">
        <v>1305</v>
      </c>
      <c r="N192" s="180" t="s">
        <v>891</v>
      </c>
      <c r="O192" s="180" t="s">
        <v>1213</v>
      </c>
      <c r="P192" s="180" t="s">
        <v>891</v>
      </c>
      <c r="Q192" s="180" t="s">
        <v>1186</v>
      </c>
      <c r="R192" s="180" t="s">
        <v>1201</v>
      </c>
      <c r="S192" s="180" t="s">
        <v>1201</v>
      </c>
      <c r="T192" s="180" t="s">
        <v>1201</v>
      </c>
      <c r="U192" s="180" t="s">
        <v>1201</v>
      </c>
      <c r="V192" s="180" t="s">
        <v>1201</v>
      </c>
      <c r="W192" s="180"/>
      <c r="X192" s="180" t="str">
        <f t="shared" si="22"/>
        <v>Tidak ada faktor rentan</v>
      </c>
      <c r="Y192" s="180" t="str">
        <f t="shared" si="23"/>
        <v>Tidak Ada Faktor Rentan</v>
      </c>
      <c r="Z192" s="181">
        <f t="shared" si="24"/>
        <v>10</v>
      </c>
      <c r="AA192" s="181">
        <f t="shared" si="25"/>
        <v>0</v>
      </c>
      <c r="AB192" s="181">
        <f t="shared" si="26"/>
        <v>10</v>
      </c>
      <c r="AC192" s="180" t="s">
        <v>1201</v>
      </c>
      <c r="AD192" s="180" t="s">
        <v>1201</v>
      </c>
      <c r="AE192" s="180" t="s">
        <v>1201</v>
      </c>
      <c r="AF192" s="180" t="s">
        <v>1201</v>
      </c>
      <c r="AG192" s="180" t="s">
        <v>1187</v>
      </c>
      <c r="AH192" s="180" t="s">
        <v>1187</v>
      </c>
      <c r="AI192" s="180" t="s">
        <v>1187</v>
      </c>
      <c r="AJ192" s="180" t="s">
        <v>1201</v>
      </c>
      <c r="AK192" s="180" t="s">
        <v>1201</v>
      </c>
      <c r="AL192" s="180"/>
      <c r="AM192" s="180"/>
      <c r="AN192" s="180" t="str">
        <f t="shared" si="27"/>
        <v xml:space="preserve">Struktur rumah tidak stabil; Instalasi listrik berbahaya; Komponen bangunan lepas atau lapuk; </v>
      </c>
      <c r="AO192" s="180" t="str">
        <f t="shared" si="28"/>
        <v>Risiko Tinggi/Darurat</v>
      </c>
      <c r="AP192" s="180"/>
      <c r="AQ192" s="181">
        <f t="shared" si="29"/>
        <v>22</v>
      </c>
      <c r="AR192" s="181">
        <f t="shared" si="30"/>
        <v>10</v>
      </c>
      <c r="AS192" s="181">
        <f t="shared" si="31"/>
        <v>42</v>
      </c>
      <c r="AT192" s="180" t="str">
        <f t="shared" si="32"/>
        <v>Tinggi</v>
      </c>
      <c r="AU192" s="180" t="s">
        <v>1203</v>
      </c>
      <c r="AV192" s="180" t="s">
        <v>1204</v>
      </c>
      <c r="AW192" s="180" t="s">
        <v>1190</v>
      </c>
      <c r="AX192" s="180"/>
      <c r="AY192" s="180"/>
      <c r="AZ192" s="180" t="s">
        <v>927</v>
      </c>
      <c r="BA192" s="180"/>
      <c r="BB192" s="182"/>
      <c r="BC192" s="181">
        <v>2025</v>
      </c>
      <c r="BD192" s="180" t="s">
        <v>1208</v>
      </c>
      <c r="BE192" s="182"/>
      <c r="BF192" s="180" t="s">
        <v>1278</v>
      </c>
    </row>
    <row r="193" spans="1:58" ht="28">
      <c r="A193" s="180" t="s">
        <v>2200</v>
      </c>
      <c r="B193" s="180" t="s">
        <v>2201</v>
      </c>
      <c r="C193" s="180"/>
      <c r="D193" s="180"/>
      <c r="E193" s="180" t="s">
        <v>2202</v>
      </c>
      <c r="F193" s="180" t="s">
        <v>1350</v>
      </c>
      <c r="G193" s="180" t="s">
        <v>1351</v>
      </c>
      <c r="H193" s="180" t="s">
        <v>1195</v>
      </c>
      <c r="I193" s="180"/>
      <c r="J193" s="180" t="s">
        <v>1196</v>
      </c>
      <c r="K193" s="180" t="s">
        <v>1197</v>
      </c>
      <c r="L193" s="180" t="s">
        <v>888</v>
      </c>
      <c r="M193" s="180" t="s">
        <v>1305</v>
      </c>
      <c r="N193" s="180" t="s">
        <v>888</v>
      </c>
      <c r="O193" s="180" t="s">
        <v>1213</v>
      </c>
      <c r="P193" s="180" t="s">
        <v>888</v>
      </c>
      <c r="Q193" s="180" t="s">
        <v>1215</v>
      </c>
      <c r="R193" s="180" t="s">
        <v>1201</v>
      </c>
      <c r="S193" s="180" t="s">
        <v>1201</v>
      </c>
      <c r="T193" s="180" t="s">
        <v>1201</v>
      </c>
      <c r="U193" s="180"/>
      <c r="V193" s="180"/>
      <c r="W193" s="180"/>
      <c r="X193" s="180" t="str">
        <f t="shared" si="22"/>
        <v>Tidak ada faktor rentan</v>
      </c>
      <c r="Y193" s="180" t="str">
        <f t="shared" si="23"/>
        <v>Tidak Ada Faktor Rentan</v>
      </c>
      <c r="Z193" s="181" t="str">
        <f t="shared" si="24"/>
        <v/>
      </c>
      <c r="AA193" s="181">
        <f t="shared" si="25"/>
        <v>0</v>
      </c>
      <c r="AB193" s="181" t="str">
        <f t="shared" si="26"/>
        <v/>
      </c>
      <c r="AC193" s="180" t="s">
        <v>1201</v>
      </c>
      <c r="AD193" s="180" t="s">
        <v>1201</v>
      </c>
      <c r="AE193" s="180" t="s">
        <v>1201</v>
      </c>
      <c r="AF193" s="180" t="s">
        <v>1201</v>
      </c>
      <c r="AG193" s="180" t="s">
        <v>1201</v>
      </c>
      <c r="AH193" s="180" t="s">
        <v>1201</v>
      </c>
      <c r="AI193" s="180" t="s">
        <v>1187</v>
      </c>
      <c r="AJ193" s="180" t="s">
        <v>1201</v>
      </c>
      <c r="AK193" s="180" t="s">
        <v>1201</v>
      </c>
      <c r="AL193" s="180"/>
      <c r="AM193" s="180"/>
      <c r="AN193" s="180" t="str">
        <f t="shared" si="27"/>
        <v xml:space="preserve">Komponen bangunan lepas atau lapuk; </v>
      </c>
      <c r="AO193" s="180" t="str">
        <f t="shared" si="28"/>
        <v>Risiko Sedang</v>
      </c>
      <c r="AP193" s="180"/>
      <c r="AQ193" s="181">
        <f t="shared" si="29"/>
        <v>8</v>
      </c>
      <c r="AR193" s="181">
        <f t="shared" si="30"/>
        <v>5</v>
      </c>
      <c r="AS193" s="181" t="str">
        <f t="shared" si="31"/>
        <v/>
      </c>
      <c r="AT193" s="180" t="str">
        <f t="shared" si="32"/>
        <v>Belum Dapat Ditentukan</v>
      </c>
      <c r="AU193" s="180" t="s">
        <v>1189</v>
      </c>
      <c r="AV193" s="180" t="s">
        <v>1204</v>
      </c>
      <c r="AW193" s="180" t="s">
        <v>1190</v>
      </c>
      <c r="AX193" s="180"/>
      <c r="AY193" s="180"/>
      <c r="AZ193" s="180" t="s">
        <v>1192</v>
      </c>
      <c r="BA193" s="180"/>
      <c r="BB193" s="182"/>
      <c r="BC193" s="181">
        <v>2025</v>
      </c>
      <c r="BD193" s="180" t="s">
        <v>1208</v>
      </c>
      <c r="BE193" s="182"/>
      <c r="BF193" s="180" t="s">
        <v>1278</v>
      </c>
    </row>
    <row r="194" spans="1:58" ht="28">
      <c r="A194" s="180" t="s">
        <v>2203</v>
      </c>
      <c r="B194" s="180" t="s">
        <v>2204</v>
      </c>
      <c r="C194" s="183" t="s">
        <v>2205</v>
      </c>
      <c r="D194" s="183" t="s">
        <v>2206</v>
      </c>
      <c r="E194" s="180" t="s">
        <v>2207</v>
      </c>
      <c r="F194" s="180" t="s">
        <v>1350</v>
      </c>
      <c r="G194" s="180" t="s">
        <v>1351</v>
      </c>
      <c r="H194" s="180" t="s">
        <v>1195</v>
      </c>
      <c r="I194" s="180"/>
      <c r="J194" s="180" t="s">
        <v>1196</v>
      </c>
      <c r="K194" s="180" t="s">
        <v>1197</v>
      </c>
      <c r="L194" s="180" t="s">
        <v>891</v>
      </c>
      <c r="M194" s="180" t="s">
        <v>1198</v>
      </c>
      <c r="N194" s="180" t="s">
        <v>891</v>
      </c>
      <c r="O194" s="180" t="s">
        <v>1213</v>
      </c>
      <c r="P194" s="180" t="s">
        <v>891</v>
      </c>
      <c r="Q194" s="180" t="s">
        <v>1186</v>
      </c>
      <c r="R194" s="180" t="s">
        <v>1187</v>
      </c>
      <c r="S194" s="180" t="s">
        <v>1201</v>
      </c>
      <c r="T194" s="180" t="s">
        <v>1187</v>
      </c>
      <c r="U194" s="180" t="s">
        <v>1201</v>
      </c>
      <c r="V194" s="180" t="s">
        <v>1201</v>
      </c>
      <c r="W194" s="180"/>
      <c r="X194" s="180" t="str">
        <f t="shared" si="22"/>
        <v xml:space="preserve">Lansia; Kepala keluarga perempuan; </v>
      </c>
      <c r="Y194" s="180" t="str">
        <f t="shared" si="23"/>
        <v>2 atau Lebih Faktor Rentan</v>
      </c>
      <c r="Z194" s="181">
        <f t="shared" si="24"/>
        <v>10</v>
      </c>
      <c r="AA194" s="181">
        <f t="shared" si="25"/>
        <v>10</v>
      </c>
      <c r="AB194" s="181">
        <f t="shared" si="26"/>
        <v>20</v>
      </c>
      <c r="AC194" s="180" t="s">
        <v>1201</v>
      </c>
      <c r="AD194" s="180" t="s">
        <v>1201</v>
      </c>
      <c r="AE194" s="180" t="s">
        <v>1187</v>
      </c>
      <c r="AF194" s="180" t="s">
        <v>1201</v>
      </c>
      <c r="AG194" s="180" t="s">
        <v>1187</v>
      </c>
      <c r="AH194" s="180" t="s">
        <v>1187</v>
      </c>
      <c r="AI194" s="180" t="s">
        <v>1187</v>
      </c>
      <c r="AJ194" s="180" t="s">
        <v>1201</v>
      </c>
      <c r="AK194" s="180" t="s">
        <v>1201</v>
      </c>
      <c r="AL194" s="180"/>
      <c r="AM194" s="180"/>
      <c r="AN194" s="180" t="str">
        <f t="shared" si="27"/>
        <v xml:space="preserve">Atap atau dinding utama hampir runtuh; Struktur rumah tidak stabil; Instalasi listrik berbahaya; Komponen bangunan lepas atau lapuk; </v>
      </c>
      <c r="AO194" s="180" t="str">
        <f t="shared" si="28"/>
        <v>Risiko Tinggi/Darurat</v>
      </c>
      <c r="AP194" s="180"/>
      <c r="AQ194" s="181">
        <f t="shared" si="29"/>
        <v>22</v>
      </c>
      <c r="AR194" s="181">
        <f t="shared" si="30"/>
        <v>10</v>
      </c>
      <c r="AS194" s="181">
        <f t="shared" si="31"/>
        <v>52</v>
      </c>
      <c r="AT194" s="180" t="str">
        <f t="shared" si="32"/>
        <v>Tinggi</v>
      </c>
      <c r="AU194" s="180" t="s">
        <v>1189</v>
      </c>
      <c r="AV194" s="180" t="s">
        <v>1204</v>
      </c>
      <c r="AW194" s="180" t="s">
        <v>1267</v>
      </c>
      <c r="AX194" s="180" t="s">
        <v>1206</v>
      </c>
      <c r="AY194" s="180">
        <v>2026</v>
      </c>
      <c r="AZ194" s="180" t="s">
        <v>1192</v>
      </c>
      <c r="BA194" s="180"/>
      <c r="BB194" s="182"/>
      <c r="BC194" s="181">
        <v>2025</v>
      </c>
      <c r="BD194" s="180" t="s">
        <v>1193</v>
      </c>
      <c r="BE194" s="182"/>
      <c r="BF194" s="180" t="s">
        <v>1278</v>
      </c>
    </row>
    <row r="195" spans="1:58" ht="28">
      <c r="A195" s="180" t="s">
        <v>2208</v>
      </c>
      <c r="B195" s="180" t="s">
        <v>2209</v>
      </c>
      <c r="C195" s="180"/>
      <c r="D195" s="180"/>
      <c r="E195" s="180" t="s">
        <v>2210</v>
      </c>
      <c r="F195" s="180" t="s">
        <v>1350</v>
      </c>
      <c r="G195" s="180" t="s">
        <v>1351</v>
      </c>
      <c r="H195" s="180" t="s">
        <v>1181</v>
      </c>
      <c r="I195" s="180"/>
      <c r="J195" s="180" t="s">
        <v>1182</v>
      </c>
      <c r="K195" s="180" t="s">
        <v>1197</v>
      </c>
      <c r="L195" s="180" t="s">
        <v>891</v>
      </c>
      <c r="M195" s="180" t="s">
        <v>1198</v>
      </c>
      <c r="N195" s="180" t="s">
        <v>891</v>
      </c>
      <c r="O195" s="180" t="s">
        <v>1185</v>
      </c>
      <c r="P195" s="180" t="s">
        <v>888</v>
      </c>
      <c r="Q195" s="180" t="s">
        <v>1186</v>
      </c>
      <c r="R195" s="180" t="s">
        <v>1201</v>
      </c>
      <c r="S195" s="180" t="s">
        <v>1201</v>
      </c>
      <c r="T195" s="180" t="s">
        <v>1201</v>
      </c>
      <c r="U195" s="180" t="s">
        <v>1201</v>
      </c>
      <c r="V195" s="180" t="s">
        <v>1201</v>
      </c>
      <c r="W195" s="180"/>
      <c r="X195" s="180" t="str">
        <f t="shared" si="22"/>
        <v>Tidak ada faktor rentan</v>
      </c>
      <c r="Y195" s="180" t="str">
        <f t="shared" si="23"/>
        <v>Tidak Ada Faktor Rentan</v>
      </c>
      <c r="Z195" s="181">
        <f t="shared" si="24"/>
        <v>10</v>
      </c>
      <c r="AA195" s="181">
        <f t="shared" si="25"/>
        <v>0</v>
      </c>
      <c r="AB195" s="181">
        <f t="shared" si="26"/>
        <v>10</v>
      </c>
      <c r="AC195" s="180" t="s">
        <v>1201</v>
      </c>
      <c r="AD195" s="180" t="s">
        <v>1201</v>
      </c>
      <c r="AE195" s="180" t="s">
        <v>1201</v>
      </c>
      <c r="AF195" s="180" t="s">
        <v>1215</v>
      </c>
      <c r="AG195" s="180" t="s">
        <v>1215</v>
      </c>
      <c r="AH195" s="180" t="s">
        <v>1215</v>
      </c>
      <c r="AI195" s="180" t="s">
        <v>1215</v>
      </c>
      <c r="AJ195" s="180" t="s">
        <v>1201</v>
      </c>
      <c r="AK195" s="180" t="s">
        <v>1201</v>
      </c>
      <c r="AL195" s="180"/>
      <c r="AM195" s="180"/>
      <c r="AN195" s="180" t="str">
        <f t="shared" si="27"/>
        <v>Belum Dinilai</v>
      </c>
      <c r="AO195" s="180" t="str">
        <f t="shared" si="28"/>
        <v>Belum Dinilai</v>
      </c>
      <c r="AP195" s="180"/>
      <c r="AQ195" s="181">
        <f t="shared" si="29"/>
        <v>10</v>
      </c>
      <c r="AR195" s="181" t="str">
        <f t="shared" si="30"/>
        <v/>
      </c>
      <c r="AS195" s="181" t="str">
        <f t="shared" si="31"/>
        <v/>
      </c>
      <c r="AT195" s="180" t="str">
        <f t="shared" si="32"/>
        <v>Belum Dapat Ditentukan</v>
      </c>
      <c r="AU195" s="180"/>
      <c r="AV195" s="180"/>
      <c r="AW195" s="180"/>
      <c r="AX195" s="180"/>
      <c r="AY195" s="180"/>
      <c r="AZ195" s="180"/>
      <c r="BA195" s="180"/>
      <c r="BB195" s="182"/>
      <c r="BC195" s="181"/>
      <c r="BD195" s="180"/>
      <c r="BE195" s="182"/>
      <c r="BF195" s="180" t="s">
        <v>1278</v>
      </c>
    </row>
    <row r="196" spans="1:58" ht="28">
      <c r="A196" s="180" t="s">
        <v>2211</v>
      </c>
      <c r="B196" s="180" t="s">
        <v>2212</v>
      </c>
      <c r="C196" s="180"/>
      <c r="D196" s="180"/>
      <c r="E196" s="180"/>
      <c r="F196" s="180" t="s">
        <v>2213</v>
      </c>
      <c r="G196" s="180" t="s">
        <v>1310</v>
      </c>
      <c r="H196" s="180" t="s">
        <v>1181</v>
      </c>
      <c r="I196" s="180"/>
      <c r="J196" s="180" t="s">
        <v>1196</v>
      </c>
      <c r="K196" s="180" t="s">
        <v>1197</v>
      </c>
      <c r="L196" s="180" t="s">
        <v>905</v>
      </c>
      <c r="M196" s="180" t="s">
        <v>1305</v>
      </c>
      <c r="N196" s="180" t="s">
        <v>891</v>
      </c>
      <c r="O196" s="180" t="s">
        <v>1213</v>
      </c>
      <c r="P196" s="180" t="s">
        <v>891</v>
      </c>
      <c r="Q196" s="180" t="s">
        <v>1186</v>
      </c>
      <c r="R196" s="180"/>
      <c r="S196" s="180"/>
      <c r="T196" s="180"/>
      <c r="U196" s="180"/>
      <c r="V196" s="180"/>
      <c r="W196" s="180"/>
      <c r="X196" s="180" t="str">
        <f t="shared" si="22"/>
        <v>Tidak ada faktor rentan</v>
      </c>
      <c r="Y196" s="180" t="str">
        <f t="shared" si="23"/>
        <v>Tidak Ada Faktor Rentan</v>
      </c>
      <c r="Z196" s="181">
        <f t="shared" si="24"/>
        <v>10</v>
      </c>
      <c r="AA196" s="181">
        <f t="shared" si="25"/>
        <v>0</v>
      </c>
      <c r="AB196" s="181">
        <f t="shared" si="26"/>
        <v>10</v>
      </c>
      <c r="AC196" s="180" t="s">
        <v>1201</v>
      </c>
      <c r="AD196" s="180" t="s">
        <v>1201</v>
      </c>
      <c r="AE196" s="180" t="s">
        <v>1187</v>
      </c>
      <c r="AF196" s="180" t="s">
        <v>1201</v>
      </c>
      <c r="AG196" s="180" t="s">
        <v>1201</v>
      </c>
      <c r="AH196" s="180" t="s">
        <v>1201</v>
      </c>
      <c r="AI196" s="180" t="s">
        <v>1187</v>
      </c>
      <c r="AJ196" s="180" t="s">
        <v>1201</v>
      </c>
      <c r="AK196" s="180" t="s">
        <v>1201</v>
      </c>
      <c r="AL196" s="180"/>
      <c r="AM196" s="180"/>
      <c r="AN196" s="180" t="str">
        <f t="shared" si="27"/>
        <v xml:space="preserve">Atap atau dinding utama hampir runtuh; Komponen bangunan lepas atau lapuk; </v>
      </c>
      <c r="AO196" s="180" t="str">
        <f t="shared" si="28"/>
        <v>Risiko Tinggi/Darurat</v>
      </c>
      <c r="AP196" s="180"/>
      <c r="AQ196" s="181">
        <f t="shared" si="29"/>
        <v>27</v>
      </c>
      <c r="AR196" s="181">
        <f t="shared" si="30"/>
        <v>10</v>
      </c>
      <c r="AS196" s="181">
        <f t="shared" si="31"/>
        <v>47</v>
      </c>
      <c r="AT196" s="180" t="str">
        <f t="shared" si="32"/>
        <v>Tinggi</v>
      </c>
      <c r="AU196" s="180" t="s">
        <v>1203</v>
      </c>
      <c r="AV196" s="180" t="s">
        <v>1204</v>
      </c>
      <c r="AW196" s="180" t="s">
        <v>1190</v>
      </c>
      <c r="AX196" s="180"/>
      <c r="AY196" s="180"/>
      <c r="AZ196" s="180"/>
      <c r="BA196" s="180"/>
      <c r="BB196" s="182"/>
      <c r="BC196" s="181">
        <v>2025</v>
      </c>
      <c r="BD196" s="180" t="s">
        <v>1208</v>
      </c>
      <c r="BE196" s="182"/>
      <c r="BF196" s="180" t="s">
        <v>1278</v>
      </c>
    </row>
    <row r="197" spans="1:58" ht="28">
      <c r="A197" s="180" t="s">
        <v>2214</v>
      </c>
      <c r="B197" s="180" t="s">
        <v>2215</v>
      </c>
      <c r="C197" s="180"/>
      <c r="D197" s="180"/>
      <c r="E197" s="180"/>
      <c r="F197" s="180" t="s">
        <v>2213</v>
      </c>
      <c r="G197" s="180" t="s">
        <v>1310</v>
      </c>
      <c r="H197" s="180" t="s">
        <v>1181</v>
      </c>
      <c r="I197" s="180"/>
      <c r="J197" s="180" t="s">
        <v>1210</v>
      </c>
      <c r="K197" s="180" t="s">
        <v>1197</v>
      </c>
      <c r="L197" s="180" t="s">
        <v>891</v>
      </c>
      <c r="M197" s="180" t="s">
        <v>1266</v>
      </c>
      <c r="N197" s="180" t="s">
        <v>891</v>
      </c>
      <c r="O197" s="180" t="s">
        <v>1213</v>
      </c>
      <c r="P197" s="180" t="s">
        <v>891</v>
      </c>
      <c r="Q197" s="180" t="s">
        <v>1186</v>
      </c>
      <c r="R197" s="180"/>
      <c r="S197" s="180"/>
      <c r="T197" s="180"/>
      <c r="U197" s="180"/>
      <c r="V197" s="180"/>
      <c r="W197" s="180"/>
      <c r="X197" s="180" t="str">
        <f t="shared" si="22"/>
        <v>Tidak ada faktor rentan</v>
      </c>
      <c r="Y197" s="180" t="str">
        <f t="shared" si="23"/>
        <v>Tidak Ada Faktor Rentan</v>
      </c>
      <c r="Z197" s="181">
        <f t="shared" si="24"/>
        <v>10</v>
      </c>
      <c r="AA197" s="181">
        <f t="shared" si="25"/>
        <v>0</v>
      </c>
      <c r="AB197" s="181">
        <f t="shared" si="26"/>
        <v>10</v>
      </c>
      <c r="AC197" s="180" t="s">
        <v>1201</v>
      </c>
      <c r="AD197" s="180" t="s">
        <v>1201</v>
      </c>
      <c r="AE197" s="180" t="s">
        <v>1201</v>
      </c>
      <c r="AF197" s="180" t="s">
        <v>1201</v>
      </c>
      <c r="AG197" s="180" t="s">
        <v>1201</v>
      </c>
      <c r="AH197" s="180" t="s">
        <v>1201</v>
      </c>
      <c r="AI197" s="180" t="s">
        <v>1187</v>
      </c>
      <c r="AJ197" s="180" t="s">
        <v>1201</v>
      </c>
      <c r="AK197" s="180" t="s">
        <v>1201</v>
      </c>
      <c r="AL197" s="180"/>
      <c r="AM197" s="180"/>
      <c r="AN197" s="180" t="str">
        <f t="shared" si="27"/>
        <v xml:space="preserve">Komponen bangunan lepas atau lapuk; </v>
      </c>
      <c r="AO197" s="180" t="str">
        <f t="shared" si="28"/>
        <v>Risiko Sedang</v>
      </c>
      <c r="AP197" s="180"/>
      <c r="AQ197" s="181">
        <f t="shared" si="29"/>
        <v>29</v>
      </c>
      <c r="AR197" s="181">
        <f t="shared" si="30"/>
        <v>5</v>
      </c>
      <c r="AS197" s="181">
        <f t="shared" si="31"/>
        <v>44</v>
      </c>
      <c r="AT197" s="180" t="str">
        <f t="shared" si="32"/>
        <v>Rendah</v>
      </c>
      <c r="AU197" s="180"/>
      <c r="AV197" s="180"/>
      <c r="AW197" s="180"/>
      <c r="AX197" s="180"/>
      <c r="AY197" s="180"/>
      <c r="AZ197" s="180"/>
      <c r="BA197" s="180"/>
      <c r="BB197" s="182"/>
      <c r="BC197" s="181"/>
      <c r="BD197" s="180"/>
      <c r="BE197" s="182"/>
      <c r="BF197" s="180" t="s">
        <v>1278</v>
      </c>
    </row>
    <row r="198" spans="1:58" ht="28">
      <c r="A198" s="180" t="s">
        <v>2216</v>
      </c>
      <c r="B198" s="180" t="s">
        <v>2217</v>
      </c>
      <c r="C198" s="180"/>
      <c r="D198" s="180"/>
      <c r="E198" s="180" t="s">
        <v>2218</v>
      </c>
      <c r="F198" s="180" t="s">
        <v>2213</v>
      </c>
      <c r="G198" s="180" t="s">
        <v>1310</v>
      </c>
      <c r="H198" s="180"/>
      <c r="I198" s="180"/>
      <c r="J198" s="180" t="s">
        <v>1196</v>
      </c>
      <c r="K198" s="180" t="s">
        <v>1183</v>
      </c>
      <c r="L198" s="180" t="s">
        <v>891</v>
      </c>
      <c r="M198" s="180" t="s">
        <v>1305</v>
      </c>
      <c r="N198" s="180" t="s">
        <v>891</v>
      </c>
      <c r="O198" s="180" t="s">
        <v>1213</v>
      </c>
      <c r="P198" s="180" t="s">
        <v>891</v>
      </c>
      <c r="Q198" s="180" t="s">
        <v>1186</v>
      </c>
      <c r="R198" s="180"/>
      <c r="S198" s="180"/>
      <c r="T198" s="180"/>
      <c r="U198" s="180"/>
      <c r="V198" s="180"/>
      <c r="W198" s="180"/>
      <c r="X198" s="180" t="str">
        <f t="shared" ref="X198:X261" si="33">IF(COUNTIF(R198:V198,"Belum Dinilai")&gt;0,"Belum Dinilai",IF(COUNTIF(R198:V198,"Ya")=0,"Tidak ada faktor rentan",IF(R198="Ya","Lansia; ","")&amp;IF(S198="Ya","Penyandang disabilitas; ","")&amp;IF(T198="Ya","Kepala keluarga perempuan; ","")&amp;IF(U198="Ya","Balita; ","")&amp;IF(V198="Ya","Anggota keluarga dengan ketergantungan tinggi; ","")))</f>
        <v>Tidak ada faktor rentan</v>
      </c>
      <c r="Y198" s="180" t="str">
        <f t="shared" ref="Y198:Y261" si="34">IF(COUNTIF(R198:V198,"Belum Dinilai")&gt;0,"Belum Dinilai",IF(COUNTIF(R198:V198,"Ya")=0,"Tidak Ada Faktor Rentan",IF(COUNTIF(R198:V198,"Ya")=1,"1 Faktor Rentan","2 atau Lebih Faktor Rentan")))</f>
        <v>Tidak Ada Faktor Rentan</v>
      </c>
      <c r="Z198" s="181">
        <f t="shared" ref="Z198:Z261" si="35">IF(OR(Q198="",Q198="Belum Dinilai"),"",IF(Q198="Terverifikasi DTKS/P3KE/MBR",10,IF(Q198="Diusulkan, Belum Terverifikasi",5,0)))</f>
        <v>10</v>
      </c>
      <c r="AA198" s="181">
        <f t="shared" ref="AA198:AA261" si="36">IF(COUNTIF(R198:V198,"Belum Dinilai")&gt;0,"",IF(COUNTIF(R198:V198,"Ya")=0,0,IF(COUNTIF(R198:V198,"Ya")=1,5,10)))</f>
        <v>0</v>
      </c>
      <c r="AB198" s="181">
        <f t="shared" ref="AB198:AB261" si="37">IF(OR(Z198="",AA198=""),"",Z198+AA198)</f>
        <v>10</v>
      </c>
      <c r="AC198" s="180" t="s">
        <v>1201</v>
      </c>
      <c r="AD198" s="180" t="s">
        <v>1201</v>
      </c>
      <c r="AE198" s="180" t="s">
        <v>1201</v>
      </c>
      <c r="AF198" s="180" t="s">
        <v>1201</v>
      </c>
      <c r="AG198" s="180" t="s">
        <v>1201</v>
      </c>
      <c r="AH198" s="180" t="s">
        <v>1201</v>
      </c>
      <c r="AI198" s="180" t="s">
        <v>1187</v>
      </c>
      <c r="AJ198" s="180" t="s">
        <v>1201</v>
      </c>
      <c r="AK198" s="180" t="s">
        <v>1201</v>
      </c>
      <c r="AL198" s="180"/>
      <c r="AM198" s="180"/>
      <c r="AN198" s="180" t="str">
        <f t="shared" ref="AN198:AN261" si="38">IF(AND(COUNTIF(AC198:AK198,"Ya")=0,AL198=""),IF(COUNTIF(AC198:AK198,"Belum Dinilai")&gt;0,"Belum Dinilai","Tidak ada risiko khusus"),IF(AC198="Ya","Bangunan berpotensi roboh; ","")&amp;IF(AD198="Ya","Bekas kebakaran dan tidak aman dihuni; ","")&amp;IF(AE198="Ya","Atap atau dinding utama hampir runtuh; ","")&amp;IF(AF198="Ya","Genangan yang membahayakan; ","")&amp;IF(AG198="Ya","Struktur rumah tidak stabil; ","")&amp;IF(AH198="Ya","Instalasi listrik berbahaya; ","")&amp;IF(AI198="Ya","Komponen bangunan lepas atau lapuk; ","")&amp;IF(AJ198="Ya","Akses keluar atau evakuasi terbatas; ","")&amp;IF(AK198="Ya","Lokasi rawan bencana; ","")&amp;IF(AL198&lt;&gt;"","Lainnya: "&amp;AL198,""))</f>
        <v xml:space="preserve">Komponen bangunan lepas atau lapuk; </v>
      </c>
      <c r="AO198" s="180" t="str">
        <f t="shared" ref="AO198:AO261" si="39">IF(AR198="","Belum Dinilai",IF(AR198=10,"Risiko Tinggi/Darurat",IF(AR198=5,"Risiko Sedang","Tidak Ada Risiko Khusus")))</f>
        <v>Risiko Sedang</v>
      </c>
      <c r="AP198" s="180"/>
      <c r="AQ198" s="181">
        <f t="shared" ref="AQ198:AQ261" si="40">IF(OR(J198="",J198="Belum Dapat Ditentukan",L198="",L198="Belum Dinilai",N198="",N198="Belum Dinilai",P198="",P198="Belum Dinilai"),"",IF(J198="Permanen",0,IF(J198="Semipermanen",8,IF(J198="Nonpermanen",15,0)))+IF(L198="Baik",0,IF(L198="Rusak Ringan",5,IF(L198="Rusak Sedang",10,IF(L198="Rusak Berat",15,IF(L198="Tidak Ada/Terbuka",20,0)))))+IF(N198="Baik",0,IF(N198="Rusak Ringan",5,IF(N198="Rusak Sedang",10,IF(N198="Rusak Berat",15,IF(N198="Tidak Ada/Terbuka",20,0)))))+IF(P198="Baik",0,IF(P198="Rusak Ringan",4,IF(P198="Rusak Sedang",8,IF(P198="Rusak Berat",12,IF(P198="Tidak Layak",15,0))))))</f>
        <v>22</v>
      </c>
      <c r="AR198" s="181">
        <f t="shared" ref="AR198:AR261" si="41">IF(
 OR(
  COUNTIF(AC198:AH198,"Ya")&gt;0,
  AND(AL198&lt;&gt;"",AM198="Risiko Tinggi/Darurat"),
  COUNTIF(AI198:AK198,"Ya")+IF(AND(AL198&lt;&gt;"",AM198="Risiko Sedang"),1,0)&gt;=2
 ),
 10,
 IF(
  OR(
   COUNTIF(AC198:AK198,"Belum Dinilai")&gt;0,
   AND(AL198&lt;&gt;"",OR(AM198="",AM198="Belum Dinilai")),
   AND(AL198="",OR(AM198="Risiko Sedang",AM198="Risiko Tinggi/Darurat"))
  ),
  "",
  IF(
   COUNTIF(AI198:AK198,"Ya")+IF(AND(AL198&lt;&gt;"",AM198="Risiko Sedang"),1,0)=1,
   5,
   0
  )
 )
)</f>
        <v>5</v>
      </c>
      <c r="AS198" s="181">
        <f t="shared" ref="AS198:AS261" si="42">IF(OR(AQ198="",AB198="",AR198=""),"",AQ198+AB198+AR198)</f>
        <v>37</v>
      </c>
      <c r="AT198" s="180" t="str">
        <f t="shared" ref="AT198:AT261" si="43">IF(AS198="","Belum Dapat Ditentukan",IF(AS198&gt;=80,"Sangat Tinggi",IF(OR(AO198="Risiko Tinggi/Darurat",(IF(L198="Rusak Berat",1,0)+IF(L198="Tidak Ada/Terbuka",1,0)+IF(N198="Rusak Berat",1,0)+IF(N198="Tidak Ada/Terbuka",1,0)+IF(P198="Rusak Berat",1,0)+IF(P198="Tidak Layak",1,0))&gt;=2),"Tinggi",IF(AS198&gt;=65,"Tinggi",IF(AS198&gt;=50,"Sedang","Rendah")))))</f>
        <v>Rendah</v>
      </c>
      <c r="AU198" s="180" t="s">
        <v>1203</v>
      </c>
      <c r="AV198" s="180" t="s">
        <v>1204</v>
      </c>
      <c r="AW198" s="180" t="s">
        <v>1190</v>
      </c>
      <c r="AX198" s="180"/>
      <c r="AY198" s="180"/>
      <c r="AZ198" s="180"/>
      <c r="BA198" s="180"/>
      <c r="BB198" s="182"/>
      <c r="BC198" s="181">
        <v>2025</v>
      </c>
      <c r="BD198" s="180" t="s">
        <v>1208</v>
      </c>
      <c r="BE198" s="182"/>
      <c r="BF198" s="180" t="s">
        <v>1278</v>
      </c>
    </row>
    <row r="199" spans="1:58" ht="28">
      <c r="A199" s="180" t="s">
        <v>2219</v>
      </c>
      <c r="B199" s="180" t="s">
        <v>2220</v>
      </c>
      <c r="C199" s="180"/>
      <c r="D199" s="180"/>
      <c r="E199" s="180" t="s">
        <v>2221</v>
      </c>
      <c r="F199" s="180" t="s">
        <v>2213</v>
      </c>
      <c r="G199" s="180" t="s">
        <v>1310</v>
      </c>
      <c r="H199" s="180" t="s">
        <v>1181</v>
      </c>
      <c r="I199" s="180"/>
      <c r="J199" s="180" t="s">
        <v>1196</v>
      </c>
      <c r="K199" s="180" t="s">
        <v>1197</v>
      </c>
      <c r="L199" s="180" t="s">
        <v>891</v>
      </c>
      <c r="M199" s="180" t="s">
        <v>1266</v>
      </c>
      <c r="N199" s="180" t="s">
        <v>905</v>
      </c>
      <c r="O199" s="180" t="s">
        <v>1213</v>
      </c>
      <c r="P199" s="180" t="s">
        <v>888</v>
      </c>
      <c r="Q199" s="180" t="s">
        <v>1186</v>
      </c>
      <c r="R199" s="180"/>
      <c r="S199" s="180"/>
      <c r="T199" s="180"/>
      <c r="U199" s="180"/>
      <c r="V199" s="180"/>
      <c r="W199" s="180"/>
      <c r="X199" s="180" t="str">
        <f t="shared" si="33"/>
        <v>Tidak ada faktor rentan</v>
      </c>
      <c r="Y199" s="180" t="str">
        <f t="shared" si="34"/>
        <v>Tidak Ada Faktor Rentan</v>
      </c>
      <c r="Z199" s="181">
        <f t="shared" si="35"/>
        <v>10</v>
      </c>
      <c r="AA199" s="181">
        <f t="shared" si="36"/>
        <v>0</v>
      </c>
      <c r="AB199" s="181">
        <f t="shared" si="37"/>
        <v>10</v>
      </c>
      <c r="AC199" s="180" t="s">
        <v>1201</v>
      </c>
      <c r="AD199" s="180" t="s">
        <v>1201</v>
      </c>
      <c r="AE199" s="180" t="s">
        <v>1201</v>
      </c>
      <c r="AF199" s="180" t="s">
        <v>1201</v>
      </c>
      <c r="AG199" s="180" t="s">
        <v>1201</v>
      </c>
      <c r="AH199" s="180" t="s">
        <v>1201</v>
      </c>
      <c r="AI199" s="180" t="s">
        <v>1201</v>
      </c>
      <c r="AJ199" s="180" t="s">
        <v>1201</v>
      </c>
      <c r="AK199" s="180" t="s">
        <v>1201</v>
      </c>
      <c r="AL199" s="180"/>
      <c r="AM199" s="180"/>
      <c r="AN199" s="180" t="str">
        <f t="shared" si="38"/>
        <v>Tidak ada risiko khusus</v>
      </c>
      <c r="AO199" s="180" t="str">
        <f t="shared" si="39"/>
        <v>Tidak Ada Risiko Khusus</v>
      </c>
      <c r="AP199" s="180"/>
      <c r="AQ199" s="181">
        <f t="shared" si="40"/>
        <v>23</v>
      </c>
      <c r="AR199" s="181">
        <f t="shared" si="41"/>
        <v>0</v>
      </c>
      <c r="AS199" s="181">
        <f t="shared" si="42"/>
        <v>33</v>
      </c>
      <c r="AT199" s="180" t="str">
        <f t="shared" si="43"/>
        <v>Rendah</v>
      </c>
      <c r="AU199" s="180" t="s">
        <v>1189</v>
      </c>
      <c r="AV199" s="180" t="s">
        <v>1204</v>
      </c>
      <c r="AW199" s="180" t="s">
        <v>1190</v>
      </c>
      <c r="AX199" s="180"/>
      <c r="AY199" s="180"/>
      <c r="AZ199" s="180"/>
      <c r="BA199" s="180"/>
      <c r="BB199" s="182"/>
      <c r="BC199" s="181">
        <v>2025</v>
      </c>
      <c r="BD199" s="180" t="s">
        <v>1208</v>
      </c>
      <c r="BE199" s="182"/>
      <c r="BF199" s="180" t="s">
        <v>1278</v>
      </c>
    </row>
    <row r="200" spans="1:58" ht="28">
      <c r="A200" s="180" t="s">
        <v>2222</v>
      </c>
      <c r="B200" s="180" t="s">
        <v>2223</v>
      </c>
      <c r="C200" s="180"/>
      <c r="D200" s="180"/>
      <c r="E200" s="180" t="s">
        <v>2224</v>
      </c>
      <c r="F200" s="180" t="s">
        <v>2213</v>
      </c>
      <c r="G200" s="180" t="s">
        <v>1310</v>
      </c>
      <c r="H200" s="180" t="s">
        <v>1181</v>
      </c>
      <c r="I200" s="180"/>
      <c r="J200" s="180" t="s">
        <v>1210</v>
      </c>
      <c r="K200" s="180" t="s">
        <v>1211</v>
      </c>
      <c r="L200" s="180" t="s">
        <v>891</v>
      </c>
      <c r="M200" s="180" t="s">
        <v>1266</v>
      </c>
      <c r="N200" s="180" t="s">
        <v>891</v>
      </c>
      <c r="O200" s="180" t="s">
        <v>1213</v>
      </c>
      <c r="P200" s="180" t="s">
        <v>891</v>
      </c>
      <c r="Q200" s="180" t="s">
        <v>1186</v>
      </c>
      <c r="R200" s="180"/>
      <c r="S200" s="180"/>
      <c r="T200" s="180"/>
      <c r="U200" s="180"/>
      <c r="V200" s="180"/>
      <c r="W200" s="180"/>
      <c r="X200" s="180" t="str">
        <f t="shared" si="33"/>
        <v>Tidak ada faktor rentan</v>
      </c>
      <c r="Y200" s="180" t="str">
        <f t="shared" si="34"/>
        <v>Tidak Ada Faktor Rentan</v>
      </c>
      <c r="Z200" s="181">
        <f t="shared" si="35"/>
        <v>10</v>
      </c>
      <c r="AA200" s="181">
        <f t="shared" si="36"/>
        <v>0</v>
      </c>
      <c r="AB200" s="181">
        <f t="shared" si="37"/>
        <v>10</v>
      </c>
      <c r="AC200" s="180"/>
      <c r="AD200" s="180" t="s">
        <v>1201</v>
      </c>
      <c r="AE200" s="180" t="s">
        <v>1201</v>
      </c>
      <c r="AF200" s="180" t="s">
        <v>1201</v>
      </c>
      <c r="AG200" s="180" t="s">
        <v>1201</v>
      </c>
      <c r="AH200" s="180" t="s">
        <v>1201</v>
      </c>
      <c r="AI200" s="180" t="s">
        <v>1187</v>
      </c>
      <c r="AJ200" s="180" t="s">
        <v>1201</v>
      </c>
      <c r="AK200" s="180" t="s">
        <v>1201</v>
      </c>
      <c r="AL200" s="180"/>
      <c r="AM200" s="180"/>
      <c r="AN200" s="180" t="str">
        <f t="shared" si="38"/>
        <v xml:space="preserve">Komponen bangunan lepas atau lapuk; </v>
      </c>
      <c r="AO200" s="180" t="str">
        <f t="shared" si="39"/>
        <v>Risiko Sedang</v>
      </c>
      <c r="AP200" s="180"/>
      <c r="AQ200" s="181">
        <f t="shared" si="40"/>
        <v>29</v>
      </c>
      <c r="AR200" s="181">
        <f t="shared" si="41"/>
        <v>5</v>
      </c>
      <c r="AS200" s="181">
        <f t="shared" si="42"/>
        <v>44</v>
      </c>
      <c r="AT200" s="180" t="str">
        <f t="shared" si="43"/>
        <v>Rendah</v>
      </c>
      <c r="AU200" s="180" t="s">
        <v>1203</v>
      </c>
      <c r="AV200" s="180" t="s">
        <v>1204</v>
      </c>
      <c r="AW200" s="180" t="s">
        <v>1190</v>
      </c>
      <c r="AX200" s="180"/>
      <c r="AY200" s="180"/>
      <c r="AZ200" s="180" t="s">
        <v>1207</v>
      </c>
      <c r="BA200" s="180"/>
      <c r="BB200" s="182"/>
      <c r="BC200" s="181">
        <v>2025</v>
      </c>
      <c r="BD200" s="180" t="s">
        <v>1208</v>
      </c>
      <c r="BE200" s="182"/>
      <c r="BF200" s="180" t="s">
        <v>1278</v>
      </c>
    </row>
    <row r="201" spans="1:58" ht="28">
      <c r="A201" s="180" t="s">
        <v>2225</v>
      </c>
      <c r="B201" s="180" t="s">
        <v>2226</v>
      </c>
      <c r="C201" s="180"/>
      <c r="D201" s="180"/>
      <c r="E201" s="180" t="s">
        <v>2227</v>
      </c>
      <c r="F201" s="180" t="s">
        <v>1356</v>
      </c>
      <c r="G201" s="180" t="s">
        <v>1289</v>
      </c>
      <c r="H201" s="180" t="s">
        <v>1181</v>
      </c>
      <c r="I201" s="180"/>
      <c r="J201" s="180" t="s">
        <v>1210</v>
      </c>
      <c r="K201" s="180" t="s">
        <v>1197</v>
      </c>
      <c r="L201" s="180" t="s">
        <v>888</v>
      </c>
      <c r="M201" s="180" t="s">
        <v>1266</v>
      </c>
      <c r="N201" s="180" t="s">
        <v>888</v>
      </c>
      <c r="O201" s="180" t="s">
        <v>1213</v>
      </c>
      <c r="P201" s="180" t="s">
        <v>888</v>
      </c>
      <c r="Q201" s="180" t="s">
        <v>1215</v>
      </c>
      <c r="R201" s="180"/>
      <c r="S201" s="180"/>
      <c r="T201" s="180"/>
      <c r="U201" s="180"/>
      <c r="V201" s="180"/>
      <c r="W201" s="180"/>
      <c r="X201" s="180" t="str">
        <f t="shared" si="33"/>
        <v>Tidak ada faktor rentan</v>
      </c>
      <c r="Y201" s="180" t="str">
        <f t="shared" si="34"/>
        <v>Tidak Ada Faktor Rentan</v>
      </c>
      <c r="Z201" s="181" t="str">
        <f t="shared" si="35"/>
        <v/>
      </c>
      <c r="AA201" s="181">
        <f t="shared" si="36"/>
        <v>0</v>
      </c>
      <c r="AB201" s="181" t="str">
        <f t="shared" si="37"/>
        <v/>
      </c>
      <c r="AC201" s="180" t="s">
        <v>1201</v>
      </c>
      <c r="AD201" s="180" t="s">
        <v>1201</v>
      </c>
      <c r="AE201" s="180" t="s">
        <v>1201</v>
      </c>
      <c r="AF201" s="180" t="s">
        <v>1201</v>
      </c>
      <c r="AG201" s="180" t="s">
        <v>1201</v>
      </c>
      <c r="AH201" s="180" t="s">
        <v>1201</v>
      </c>
      <c r="AI201" s="180" t="s">
        <v>1187</v>
      </c>
      <c r="AJ201" s="180" t="s">
        <v>1201</v>
      </c>
      <c r="AK201" s="180" t="s">
        <v>1201</v>
      </c>
      <c r="AL201" s="180"/>
      <c r="AM201" s="180"/>
      <c r="AN201" s="180" t="str">
        <f t="shared" si="38"/>
        <v xml:space="preserve">Komponen bangunan lepas atau lapuk; </v>
      </c>
      <c r="AO201" s="180" t="str">
        <f t="shared" si="39"/>
        <v>Risiko Sedang</v>
      </c>
      <c r="AP201" s="180"/>
      <c r="AQ201" s="181">
        <f t="shared" si="40"/>
        <v>15</v>
      </c>
      <c r="AR201" s="181">
        <f t="shared" si="41"/>
        <v>5</v>
      </c>
      <c r="AS201" s="181" t="str">
        <f t="shared" si="42"/>
        <v/>
      </c>
      <c r="AT201" s="180" t="str">
        <f t="shared" si="43"/>
        <v>Belum Dapat Ditentukan</v>
      </c>
      <c r="AU201" s="180" t="s">
        <v>1189</v>
      </c>
      <c r="AV201" s="180" t="s">
        <v>1204</v>
      </c>
      <c r="AW201" s="180" t="s">
        <v>1190</v>
      </c>
      <c r="AX201" s="180"/>
      <c r="AY201" s="180"/>
      <c r="AZ201" s="180" t="s">
        <v>1192</v>
      </c>
      <c r="BA201" s="180"/>
      <c r="BB201" s="182"/>
      <c r="BC201" s="181">
        <v>2025</v>
      </c>
      <c r="BD201" s="180" t="s">
        <v>1219</v>
      </c>
      <c r="BE201" s="182"/>
      <c r="BF201" s="180" t="s">
        <v>1278</v>
      </c>
    </row>
    <row r="202" spans="1:58" ht="28">
      <c r="A202" s="180" t="s">
        <v>2228</v>
      </c>
      <c r="B202" s="180" t="s">
        <v>2229</v>
      </c>
      <c r="C202" s="180"/>
      <c r="D202" s="180"/>
      <c r="E202" s="180" t="s">
        <v>2230</v>
      </c>
      <c r="F202" s="180" t="s">
        <v>1378</v>
      </c>
      <c r="G202" s="180" t="s">
        <v>1289</v>
      </c>
      <c r="H202" s="180" t="s">
        <v>1195</v>
      </c>
      <c r="I202" s="180"/>
      <c r="J202" s="180" t="s">
        <v>1210</v>
      </c>
      <c r="K202" s="180"/>
      <c r="L202" s="180" t="s">
        <v>905</v>
      </c>
      <c r="M202" s="180" t="s">
        <v>1266</v>
      </c>
      <c r="N202" s="180" t="s">
        <v>891</v>
      </c>
      <c r="O202" s="180" t="s">
        <v>1213</v>
      </c>
      <c r="P202" s="180" t="s">
        <v>891</v>
      </c>
      <c r="Q202" s="180" t="s">
        <v>1186</v>
      </c>
      <c r="R202" s="180"/>
      <c r="S202" s="180"/>
      <c r="T202" s="180"/>
      <c r="U202" s="180"/>
      <c r="V202" s="180"/>
      <c r="W202" s="180"/>
      <c r="X202" s="180" t="str">
        <f t="shared" si="33"/>
        <v>Tidak ada faktor rentan</v>
      </c>
      <c r="Y202" s="180" t="str">
        <f t="shared" si="34"/>
        <v>Tidak Ada Faktor Rentan</v>
      </c>
      <c r="Z202" s="181">
        <f t="shared" si="35"/>
        <v>10</v>
      </c>
      <c r="AA202" s="181">
        <f t="shared" si="36"/>
        <v>0</v>
      </c>
      <c r="AB202" s="181">
        <f t="shared" si="37"/>
        <v>10</v>
      </c>
      <c r="AC202" s="180" t="s">
        <v>1201</v>
      </c>
      <c r="AD202" s="180" t="s">
        <v>1201</v>
      </c>
      <c r="AE202" s="180" t="s">
        <v>1201</v>
      </c>
      <c r="AF202" s="180" t="s">
        <v>1201</v>
      </c>
      <c r="AG202" s="180" t="s">
        <v>1187</v>
      </c>
      <c r="AH202" s="180" t="s">
        <v>1187</v>
      </c>
      <c r="AI202" s="180" t="s">
        <v>1187</v>
      </c>
      <c r="AJ202" s="180" t="s">
        <v>1201</v>
      </c>
      <c r="AK202" s="180" t="s">
        <v>1201</v>
      </c>
      <c r="AL202" s="180"/>
      <c r="AM202" s="180"/>
      <c r="AN202" s="180" t="str">
        <f t="shared" si="38"/>
        <v xml:space="preserve">Struktur rumah tidak stabil; Instalasi listrik berbahaya; Komponen bangunan lepas atau lapuk; </v>
      </c>
      <c r="AO202" s="180" t="str">
        <f t="shared" si="39"/>
        <v>Risiko Tinggi/Darurat</v>
      </c>
      <c r="AP202" s="180"/>
      <c r="AQ202" s="181">
        <f t="shared" si="40"/>
        <v>34</v>
      </c>
      <c r="AR202" s="181">
        <f t="shared" si="41"/>
        <v>10</v>
      </c>
      <c r="AS202" s="181">
        <f t="shared" si="42"/>
        <v>54</v>
      </c>
      <c r="AT202" s="180" t="str">
        <f t="shared" si="43"/>
        <v>Tinggi</v>
      </c>
      <c r="AU202" s="180" t="s">
        <v>1189</v>
      </c>
      <c r="AV202" s="180" t="s">
        <v>1204</v>
      </c>
      <c r="AW202" s="180" t="s">
        <v>1190</v>
      </c>
      <c r="AX202" s="180"/>
      <c r="AY202" s="180"/>
      <c r="AZ202" s="180" t="s">
        <v>1192</v>
      </c>
      <c r="BA202" s="180"/>
      <c r="BB202" s="182"/>
      <c r="BC202" s="181">
        <v>2025</v>
      </c>
      <c r="BD202" s="180" t="s">
        <v>1219</v>
      </c>
      <c r="BE202" s="182"/>
      <c r="BF202" s="180" t="s">
        <v>1278</v>
      </c>
    </row>
    <row r="203" spans="1:58" ht="42">
      <c r="A203" s="180" t="s">
        <v>2231</v>
      </c>
      <c r="B203" s="180" t="s">
        <v>2232</v>
      </c>
      <c r="C203" s="180"/>
      <c r="D203" s="180"/>
      <c r="E203" s="180" t="s">
        <v>2233</v>
      </c>
      <c r="F203" s="180" t="s">
        <v>1274</v>
      </c>
      <c r="G203" s="180" t="s">
        <v>1275</v>
      </c>
      <c r="H203" s="180" t="s">
        <v>1195</v>
      </c>
      <c r="I203" s="180"/>
      <c r="J203" s="180" t="s">
        <v>1182</v>
      </c>
      <c r="K203" s="180" t="s">
        <v>1211</v>
      </c>
      <c r="L203" s="180" t="s">
        <v>905</v>
      </c>
      <c r="M203" s="180" t="s">
        <v>1198</v>
      </c>
      <c r="N203" s="180" t="s">
        <v>905</v>
      </c>
      <c r="O203" s="180" t="s">
        <v>1213</v>
      </c>
      <c r="P203" s="180" t="s">
        <v>891</v>
      </c>
      <c r="Q203" s="180" t="s">
        <v>1186</v>
      </c>
      <c r="R203" s="180" t="s">
        <v>1201</v>
      </c>
      <c r="S203" s="180" t="s">
        <v>1201</v>
      </c>
      <c r="T203" s="180" t="s">
        <v>1201</v>
      </c>
      <c r="U203" s="180" t="s">
        <v>1201</v>
      </c>
      <c r="V203" s="180" t="s">
        <v>1201</v>
      </c>
      <c r="W203" s="180"/>
      <c r="X203" s="180" t="str">
        <f t="shared" si="33"/>
        <v>Tidak ada faktor rentan</v>
      </c>
      <c r="Y203" s="180" t="str">
        <f t="shared" si="34"/>
        <v>Tidak Ada Faktor Rentan</v>
      </c>
      <c r="Z203" s="181">
        <f t="shared" si="35"/>
        <v>10</v>
      </c>
      <c r="AA203" s="181">
        <f t="shared" si="36"/>
        <v>0</v>
      </c>
      <c r="AB203" s="181">
        <f t="shared" si="37"/>
        <v>10</v>
      </c>
      <c r="AC203" s="180" t="s">
        <v>1201</v>
      </c>
      <c r="AD203" s="180" t="s">
        <v>1201</v>
      </c>
      <c r="AE203" s="180" t="s">
        <v>1201</v>
      </c>
      <c r="AF203" s="180" t="s">
        <v>1201</v>
      </c>
      <c r="AG203" s="180" t="s">
        <v>1201</v>
      </c>
      <c r="AH203" s="180" t="s">
        <v>1201</v>
      </c>
      <c r="AI203" s="180" t="s">
        <v>1187</v>
      </c>
      <c r="AJ203" s="180" t="s">
        <v>1201</v>
      </c>
      <c r="AK203" s="180" t="s">
        <v>1201</v>
      </c>
      <c r="AL203" s="180"/>
      <c r="AM203" s="180"/>
      <c r="AN203" s="180" t="str">
        <f t="shared" si="38"/>
        <v xml:space="preserve">Komponen bangunan lepas atau lapuk; </v>
      </c>
      <c r="AO203" s="180" t="str">
        <f t="shared" si="39"/>
        <v>Risiko Sedang</v>
      </c>
      <c r="AP203" s="180"/>
      <c r="AQ203" s="181">
        <f t="shared" si="40"/>
        <v>24</v>
      </c>
      <c r="AR203" s="181">
        <f t="shared" si="41"/>
        <v>5</v>
      </c>
      <c r="AS203" s="181">
        <f t="shared" si="42"/>
        <v>39</v>
      </c>
      <c r="AT203" s="180" t="str">
        <f t="shared" si="43"/>
        <v>Rendah</v>
      </c>
      <c r="AU203" s="180" t="s">
        <v>1189</v>
      </c>
      <c r="AV203" s="180" t="s">
        <v>1204</v>
      </c>
      <c r="AW203" s="180" t="s">
        <v>1267</v>
      </c>
      <c r="AX203" s="180" t="s">
        <v>1206</v>
      </c>
      <c r="AY203" s="180">
        <v>2025</v>
      </c>
      <c r="AZ203" s="180" t="s">
        <v>1192</v>
      </c>
      <c r="BA203" s="180"/>
      <c r="BB203" s="182"/>
      <c r="BC203" s="181">
        <v>2025</v>
      </c>
      <c r="BD203" s="180" t="s">
        <v>1219</v>
      </c>
      <c r="BE203" s="182"/>
      <c r="BF203" s="180" t="s">
        <v>1278</v>
      </c>
    </row>
    <row r="204" spans="1:58" ht="56">
      <c r="A204" s="180" t="s">
        <v>2234</v>
      </c>
      <c r="B204" s="180" t="s">
        <v>2235</v>
      </c>
      <c r="C204" s="183" t="s">
        <v>2236</v>
      </c>
      <c r="D204" s="183" t="s">
        <v>2237</v>
      </c>
      <c r="E204" s="180" t="s">
        <v>1640</v>
      </c>
      <c r="F204" s="180" t="s">
        <v>1641</v>
      </c>
      <c r="G204" s="180" t="s">
        <v>1275</v>
      </c>
      <c r="H204" s="180" t="s">
        <v>1181</v>
      </c>
      <c r="I204" s="180"/>
      <c r="J204" s="180" t="s">
        <v>1210</v>
      </c>
      <c r="K204" s="180" t="s">
        <v>1197</v>
      </c>
      <c r="L204" s="180" t="s">
        <v>891</v>
      </c>
      <c r="M204" s="180" t="s">
        <v>1266</v>
      </c>
      <c r="N204" s="180" t="s">
        <v>905</v>
      </c>
      <c r="O204" s="180" t="s">
        <v>1266</v>
      </c>
      <c r="P204" s="180" t="s">
        <v>891</v>
      </c>
      <c r="Q204" s="180" t="s">
        <v>1186</v>
      </c>
      <c r="R204" s="180" t="s">
        <v>1201</v>
      </c>
      <c r="S204" s="180" t="s">
        <v>1187</v>
      </c>
      <c r="T204" s="180" t="s">
        <v>1201</v>
      </c>
      <c r="U204" s="180" t="s">
        <v>1201</v>
      </c>
      <c r="V204" s="180" t="s">
        <v>1201</v>
      </c>
      <c r="W204" s="180"/>
      <c r="X204" s="180" t="str">
        <f t="shared" si="33"/>
        <v xml:space="preserve">Penyandang disabilitas; </v>
      </c>
      <c r="Y204" s="180" t="str">
        <f t="shared" si="34"/>
        <v>1 Faktor Rentan</v>
      </c>
      <c r="Z204" s="181">
        <f t="shared" si="35"/>
        <v>10</v>
      </c>
      <c r="AA204" s="181">
        <f t="shared" si="36"/>
        <v>5</v>
      </c>
      <c r="AB204" s="181">
        <f t="shared" si="37"/>
        <v>15</v>
      </c>
      <c r="AC204" s="180" t="s">
        <v>1187</v>
      </c>
      <c r="AD204" s="180" t="s">
        <v>1201</v>
      </c>
      <c r="AE204" s="180" t="s">
        <v>1187</v>
      </c>
      <c r="AF204" s="180" t="s">
        <v>1187</v>
      </c>
      <c r="AG204" s="180" t="s">
        <v>1187</v>
      </c>
      <c r="AH204" s="180" t="s">
        <v>1187</v>
      </c>
      <c r="AI204" s="180" t="s">
        <v>1187</v>
      </c>
      <c r="AJ204" s="180" t="s">
        <v>1201</v>
      </c>
      <c r="AK204" s="180" t="s">
        <v>1187</v>
      </c>
      <c r="AL204" s="180"/>
      <c r="AM204" s="180"/>
      <c r="AN204" s="180" t="str">
        <f t="shared" si="38"/>
        <v xml:space="preserve">Bangunan berpotensi roboh; Atap atau dinding utama hampir runtuh; Genangan yang membahayakan; Struktur rumah tidak stabil; Instalasi listrik berbahaya; Komponen bangunan lepas atau lapuk; Lokasi rawan bencana; </v>
      </c>
      <c r="AO204" s="180" t="str">
        <f t="shared" si="39"/>
        <v>Risiko Tinggi/Darurat</v>
      </c>
      <c r="AP204" s="180"/>
      <c r="AQ204" s="181">
        <f t="shared" si="40"/>
        <v>34</v>
      </c>
      <c r="AR204" s="181">
        <f t="shared" si="41"/>
        <v>10</v>
      </c>
      <c r="AS204" s="181">
        <f t="shared" si="42"/>
        <v>59</v>
      </c>
      <c r="AT204" s="180" t="str">
        <f t="shared" si="43"/>
        <v>Tinggi</v>
      </c>
      <c r="AU204" s="180" t="s">
        <v>1189</v>
      </c>
      <c r="AV204" s="180" t="s">
        <v>1204</v>
      </c>
      <c r="AW204" s="180" t="s">
        <v>1267</v>
      </c>
      <c r="AX204" s="180" t="s">
        <v>1206</v>
      </c>
      <c r="AY204" s="180">
        <v>2026</v>
      </c>
      <c r="AZ204" s="180" t="s">
        <v>1192</v>
      </c>
      <c r="BA204" s="180"/>
      <c r="BB204" s="182"/>
      <c r="BC204" s="181">
        <v>2025</v>
      </c>
      <c r="BD204" s="180" t="s">
        <v>1219</v>
      </c>
      <c r="BE204" s="182"/>
      <c r="BF204" s="180" t="s">
        <v>1278</v>
      </c>
    </row>
    <row r="205" spans="1:58" ht="28">
      <c r="A205" s="180" t="s">
        <v>2238</v>
      </c>
      <c r="B205" s="180" t="s">
        <v>2239</v>
      </c>
      <c r="C205" s="180"/>
      <c r="D205" s="180"/>
      <c r="E205" s="180" t="s">
        <v>2240</v>
      </c>
      <c r="F205" s="180" t="s">
        <v>2241</v>
      </c>
      <c r="G205" s="180" t="s">
        <v>1289</v>
      </c>
      <c r="H205" s="180" t="s">
        <v>1181</v>
      </c>
      <c r="I205" s="180"/>
      <c r="J205" s="180" t="s">
        <v>1196</v>
      </c>
      <c r="K205" s="180" t="s">
        <v>1211</v>
      </c>
      <c r="L205" s="180" t="s">
        <v>888</v>
      </c>
      <c r="M205" s="180" t="s">
        <v>1266</v>
      </c>
      <c r="N205" s="180" t="s">
        <v>888</v>
      </c>
      <c r="O205" s="180" t="s">
        <v>1266</v>
      </c>
      <c r="P205" s="180" t="s">
        <v>888</v>
      </c>
      <c r="Q205" s="180" t="s">
        <v>1215</v>
      </c>
      <c r="R205" s="180" t="s">
        <v>1201</v>
      </c>
      <c r="S205" s="180" t="s">
        <v>1201</v>
      </c>
      <c r="T205" s="180" t="s">
        <v>1201</v>
      </c>
      <c r="U205" s="180" t="s">
        <v>1201</v>
      </c>
      <c r="V205" s="180" t="s">
        <v>1201</v>
      </c>
      <c r="W205" s="180"/>
      <c r="X205" s="180" t="str">
        <f t="shared" si="33"/>
        <v>Tidak ada faktor rentan</v>
      </c>
      <c r="Y205" s="180" t="str">
        <f t="shared" si="34"/>
        <v>Tidak Ada Faktor Rentan</v>
      </c>
      <c r="Z205" s="181" t="str">
        <f t="shared" si="35"/>
        <v/>
      </c>
      <c r="AA205" s="181">
        <f t="shared" si="36"/>
        <v>0</v>
      </c>
      <c r="AB205" s="181" t="str">
        <f t="shared" si="37"/>
        <v/>
      </c>
      <c r="AC205" s="180"/>
      <c r="AD205" s="180"/>
      <c r="AE205" s="180" t="s">
        <v>1201</v>
      </c>
      <c r="AF205" s="180" t="s">
        <v>1201</v>
      </c>
      <c r="AG205" s="180" t="s">
        <v>1201</v>
      </c>
      <c r="AH205" s="180" t="s">
        <v>1201</v>
      </c>
      <c r="AI205" s="180" t="s">
        <v>1201</v>
      </c>
      <c r="AJ205" s="180" t="s">
        <v>1201</v>
      </c>
      <c r="AK205" s="180" t="s">
        <v>1201</v>
      </c>
      <c r="AL205" s="180"/>
      <c r="AM205" s="180"/>
      <c r="AN205" s="180" t="str">
        <f t="shared" si="38"/>
        <v>Tidak ada risiko khusus</v>
      </c>
      <c r="AO205" s="180" t="str">
        <f t="shared" si="39"/>
        <v>Tidak Ada Risiko Khusus</v>
      </c>
      <c r="AP205" s="180"/>
      <c r="AQ205" s="181">
        <f t="shared" si="40"/>
        <v>8</v>
      </c>
      <c r="AR205" s="181">
        <f t="shared" si="41"/>
        <v>0</v>
      </c>
      <c r="AS205" s="181" t="str">
        <f t="shared" si="42"/>
        <v/>
      </c>
      <c r="AT205" s="180" t="str">
        <f t="shared" si="43"/>
        <v>Belum Dapat Ditentukan</v>
      </c>
      <c r="AU205" s="180" t="s">
        <v>1203</v>
      </c>
      <c r="AV205" s="180" t="s">
        <v>1204</v>
      </c>
      <c r="AW205" s="180" t="s">
        <v>1190</v>
      </c>
      <c r="AX205" s="180"/>
      <c r="AY205" s="180"/>
      <c r="AZ205" s="180"/>
      <c r="BA205" s="180"/>
      <c r="BB205" s="182"/>
      <c r="BC205" s="181">
        <v>2025</v>
      </c>
      <c r="BD205" s="180" t="s">
        <v>1219</v>
      </c>
      <c r="BE205" s="182"/>
      <c r="BF205" s="180" t="s">
        <v>1278</v>
      </c>
    </row>
    <row r="206" spans="1:58" ht="28">
      <c r="A206" s="180" t="s">
        <v>2242</v>
      </c>
      <c r="B206" s="180" t="s">
        <v>2243</v>
      </c>
      <c r="C206" s="183" t="s">
        <v>2244</v>
      </c>
      <c r="D206" s="183" t="s">
        <v>2245</v>
      </c>
      <c r="E206" s="180" t="s">
        <v>1569</v>
      </c>
      <c r="F206" s="180" t="s">
        <v>1274</v>
      </c>
      <c r="G206" s="180" t="s">
        <v>1275</v>
      </c>
      <c r="H206" s="180" t="s">
        <v>1181</v>
      </c>
      <c r="I206" s="180"/>
      <c r="J206" s="180" t="s">
        <v>1210</v>
      </c>
      <c r="K206" s="180" t="s">
        <v>1197</v>
      </c>
      <c r="L206" s="180" t="s">
        <v>891</v>
      </c>
      <c r="M206" s="180" t="s">
        <v>1266</v>
      </c>
      <c r="N206" s="180" t="s">
        <v>905</v>
      </c>
      <c r="O206" s="180" t="s">
        <v>1213</v>
      </c>
      <c r="P206" s="180" t="s">
        <v>891</v>
      </c>
      <c r="Q206" s="180" t="s">
        <v>1186</v>
      </c>
      <c r="R206" s="180" t="s">
        <v>1187</v>
      </c>
      <c r="S206" s="180" t="s">
        <v>1201</v>
      </c>
      <c r="T206" s="180" t="s">
        <v>1187</v>
      </c>
      <c r="U206" s="180" t="s">
        <v>1201</v>
      </c>
      <c r="V206" s="180" t="s">
        <v>1201</v>
      </c>
      <c r="W206" s="180"/>
      <c r="X206" s="180" t="str">
        <f t="shared" si="33"/>
        <v xml:space="preserve">Lansia; Kepala keluarga perempuan; </v>
      </c>
      <c r="Y206" s="180" t="str">
        <f t="shared" si="34"/>
        <v>2 atau Lebih Faktor Rentan</v>
      </c>
      <c r="Z206" s="181">
        <f t="shared" si="35"/>
        <v>10</v>
      </c>
      <c r="AA206" s="181">
        <f t="shared" si="36"/>
        <v>10</v>
      </c>
      <c r="AB206" s="181">
        <f t="shared" si="37"/>
        <v>20</v>
      </c>
      <c r="AC206" s="180" t="s">
        <v>1201</v>
      </c>
      <c r="AD206" s="180" t="s">
        <v>1201</v>
      </c>
      <c r="AE206" s="180" t="s">
        <v>1187</v>
      </c>
      <c r="AF206" s="180" t="s">
        <v>1201</v>
      </c>
      <c r="AG206" s="180" t="s">
        <v>1187</v>
      </c>
      <c r="AH206" s="180" t="s">
        <v>1187</v>
      </c>
      <c r="AI206" s="180" t="s">
        <v>1187</v>
      </c>
      <c r="AJ206" s="180" t="s">
        <v>1201</v>
      </c>
      <c r="AK206" s="180" t="s">
        <v>1201</v>
      </c>
      <c r="AL206" s="180"/>
      <c r="AM206" s="180"/>
      <c r="AN206" s="180" t="str">
        <f t="shared" si="38"/>
        <v xml:space="preserve">Atap atau dinding utama hampir runtuh; Struktur rumah tidak stabil; Instalasi listrik berbahaya; Komponen bangunan lepas atau lapuk; </v>
      </c>
      <c r="AO206" s="180" t="str">
        <f t="shared" si="39"/>
        <v>Risiko Tinggi/Darurat</v>
      </c>
      <c r="AP206" s="180"/>
      <c r="AQ206" s="181">
        <f t="shared" si="40"/>
        <v>34</v>
      </c>
      <c r="AR206" s="181">
        <f t="shared" si="41"/>
        <v>10</v>
      </c>
      <c r="AS206" s="181">
        <f t="shared" si="42"/>
        <v>64</v>
      </c>
      <c r="AT206" s="180" t="str">
        <f t="shared" si="43"/>
        <v>Tinggi</v>
      </c>
      <c r="AU206" s="180" t="s">
        <v>1189</v>
      </c>
      <c r="AV206" s="180" t="s">
        <v>1204</v>
      </c>
      <c r="AW206" s="180" t="s">
        <v>1267</v>
      </c>
      <c r="AX206" s="180" t="s">
        <v>1206</v>
      </c>
      <c r="AY206" s="180">
        <v>2026</v>
      </c>
      <c r="AZ206" s="180" t="s">
        <v>1192</v>
      </c>
      <c r="BA206" s="180"/>
      <c r="BB206" s="182"/>
      <c r="BC206" s="181">
        <v>2025</v>
      </c>
      <c r="BD206" s="180"/>
      <c r="BE206" s="182"/>
      <c r="BF206" s="180" t="s">
        <v>1278</v>
      </c>
    </row>
    <row r="207" spans="1:58" ht="28">
      <c r="A207" s="180" t="s">
        <v>2246</v>
      </c>
      <c r="B207" s="180" t="s">
        <v>1532</v>
      </c>
      <c r="C207" s="183" t="s">
        <v>2247</v>
      </c>
      <c r="D207" s="183" t="s">
        <v>2248</v>
      </c>
      <c r="E207" s="180" t="s">
        <v>1533</v>
      </c>
      <c r="F207" s="180" t="s">
        <v>1289</v>
      </c>
      <c r="G207" s="180" t="s">
        <v>1289</v>
      </c>
      <c r="H207" s="180" t="s">
        <v>1181</v>
      </c>
      <c r="I207" s="180"/>
      <c r="J207" s="180" t="s">
        <v>1210</v>
      </c>
      <c r="K207" s="180" t="s">
        <v>1211</v>
      </c>
      <c r="L207" s="180" t="s">
        <v>905</v>
      </c>
      <c r="M207" s="180" t="s">
        <v>1266</v>
      </c>
      <c r="N207" s="180" t="s">
        <v>905</v>
      </c>
      <c r="O207" s="180" t="s">
        <v>1213</v>
      </c>
      <c r="P207" s="180" t="s">
        <v>891</v>
      </c>
      <c r="Q207" s="180" t="s">
        <v>1186</v>
      </c>
      <c r="R207" s="180" t="s">
        <v>1201</v>
      </c>
      <c r="S207" s="180" t="s">
        <v>1201</v>
      </c>
      <c r="T207" s="180" t="s">
        <v>1201</v>
      </c>
      <c r="U207" s="180" t="s">
        <v>1201</v>
      </c>
      <c r="V207" s="180" t="s">
        <v>1201</v>
      </c>
      <c r="W207" s="180"/>
      <c r="X207" s="180" t="str">
        <f t="shared" si="33"/>
        <v>Tidak ada faktor rentan</v>
      </c>
      <c r="Y207" s="180" t="str">
        <f t="shared" si="34"/>
        <v>Tidak Ada Faktor Rentan</v>
      </c>
      <c r="Z207" s="181">
        <f t="shared" si="35"/>
        <v>10</v>
      </c>
      <c r="AA207" s="181">
        <f t="shared" si="36"/>
        <v>0</v>
      </c>
      <c r="AB207" s="181">
        <f t="shared" si="37"/>
        <v>10</v>
      </c>
      <c r="AC207" s="180" t="s">
        <v>1201</v>
      </c>
      <c r="AD207" s="180" t="s">
        <v>1201</v>
      </c>
      <c r="AE207" s="180" t="s">
        <v>1187</v>
      </c>
      <c r="AF207" s="180" t="s">
        <v>1201</v>
      </c>
      <c r="AG207" s="180" t="s">
        <v>1187</v>
      </c>
      <c r="AH207" s="180" t="s">
        <v>1187</v>
      </c>
      <c r="AI207" s="180" t="s">
        <v>1187</v>
      </c>
      <c r="AJ207" s="180" t="s">
        <v>1201</v>
      </c>
      <c r="AK207" s="180" t="s">
        <v>1201</v>
      </c>
      <c r="AL207" s="180"/>
      <c r="AM207" s="180"/>
      <c r="AN207" s="180" t="str">
        <f t="shared" si="38"/>
        <v xml:space="preserve">Atap atau dinding utama hampir runtuh; Struktur rumah tidak stabil; Instalasi listrik berbahaya; Komponen bangunan lepas atau lapuk; </v>
      </c>
      <c r="AO207" s="180" t="str">
        <f t="shared" si="39"/>
        <v>Risiko Tinggi/Darurat</v>
      </c>
      <c r="AP207" s="180"/>
      <c r="AQ207" s="181">
        <f t="shared" si="40"/>
        <v>39</v>
      </c>
      <c r="AR207" s="181">
        <f t="shared" si="41"/>
        <v>10</v>
      </c>
      <c r="AS207" s="181">
        <f t="shared" si="42"/>
        <v>59</v>
      </c>
      <c r="AT207" s="180" t="str">
        <f t="shared" si="43"/>
        <v>Tinggi</v>
      </c>
      <c r="AU207" s="180" t="s">
        <v>1189</v>
      </c>
      <c r="AV207" s="180" t="s">
        <v>1204</v>
      </c>
      <c r="AW207" s="180" t="s">
        <v>1267</v>
      </c>
      <c r="AX207" s="180" t="s">
        <v>1206</v>
      </c>
      <c r="AY207" s="180">
        <v>2026</v>
      </c>
      <c r="AZ207" s="180" t="s">
        <v>1192</v>
      </c>
      <c r="BA207" s="180"/>
      <c r="BB207" s="182"/>
      <c r="BC207" s="181">
        <v>2025</v>
      </c>
      <c r="BD207" s="180" t="s">
        <v>1219</v>
      </c>
      <c r="BE207" s="182"/>
      <c r="BF207" s="180" t="s">
        <v>1278</v>
      </c>
    </row>
    <row r="208" spans="1:58" ht="28">
      <c r="A208" s="180" t="s">
        <v>2249</v>
      </c>
      <c r="B208" s="180" t="s">
        <v>2250</v>
      </c>
      <c r="C208" s="183" t="s">
        <v>2251</v>
      </c>
      <c r="D208" s="183" t="s">
        <v>2252</v>
      </c>
      <c r="E208" s="180" t="s">
        <v>1533</v>
      </c>
      <c r="F208" s="180" t="s">
        <v>1289</v>
      </c>
      <c r="G208" s="180" t="s">
        <v>1289</v>
      </c>
      <c r="H208" s="180" t="s">
        <v>1195</v>
      </c>
      <c r="I208" s="180"/>
      <c r="J208" s="180" t="s">
        <v>1210</v>
      </c>
      <c r="K208" s="180" t="s">
        <v>1197</v>
      </c>
      <c r="L208" s="180" t="s">
        <v>905</v>
      </c>
      <c r="M208" s="180" t="s">
        <v>1266</v>
      </c>
      <c r="N208" s="180" t="s">
        <v>905</v>
      </c>
      <c r="O208" s="180" t="s">
        <v>1213</v>
      </c>
      <c r="P208" s="180" t="s">
        <v>891</v>
      </c>
      <c r="Q208" s="180" t="s">
        <v>1186</v>
      </c>
      <c r="R208" s="180" t="s">
        <v>1201</v>
      </c>
      <c r="S208" s="180" t="s">
        <v>1201</v>
      </c>
      <c r="T208" s="180" t="s">
        <v>1201</v>
      </c>
      <c r="U208" s="180" t="s">
        <v>1201</v>
      </c>
      <c r="V208" s="180" t="s">
        <v>1201</v>
      </c>
      <c r="W208" s="180"/>
      <c r="X208" s="180" t="str">
        <f t="shared" si="33"/>
        <v>Tidak ada faktor rentan</v>
      </c>
      <c r="Y208" s="180" t="str">
        <f t="shared" si="34"/>
        <v>Tidak Ada Faktor Rentan</v>
      </c>
      <c r="Z208" s="181">
        <f t="shared" si="35"/>
        <v>10</v>
      </c>
      <c r="AA208" s="181">
        <f t="shared" si="36"/>
        <v>0</v>
      </c>
      <c r="AB208" s="181">
        <f t="shared" si="37"/>
        <v>10</v>
      </c>
      <c r="AC208" s="180" t="s">
        <v>1201</v>
      </c>
      <c r="AD208" s="180" t="s">
        <v>1201</v>
      </c>
      <c r="AE208" s="180" t="s">
        <v>1187</v>
      </c>
      <c r="AF208" s="180" t="s">
        <v>1201</v>
      </c>
      <c r="AG208" s="180" t="s">
        <v>1187</v>
      </c>
      <c r="AH208" s="180" t="s">
        <v>1187</v>
      </c>
      <c r="AI208" s="180" t="s">
        <v>1187</v>
      </c>
      <c r="AJ208" s="180" t="s">
        <v>1201</v>
      </c>
      <c r="AK208" s="180" t="s">
        <v>1201</v>
      </c>
      <c r="AL208" s="180"/>
      <c r="AM208" s="180"/>
      <c r="AN208" s="180" t="str">
        <f t="shared" si="38"/>
        <v xml:space="preserve">Atap atau dinding utama hampir runtuh; Struktur rumah tidak stabil; Instalasi listrik berbahaya; Komponen bangunan lepas atau lapuk; </v>
      </c>
      <c r="AO208" s="180" t="str">
        <f t="shared" si="39"/>
        <v>Risiko Tinggi/Darurat</v>
      </c>
      <c r="AP208" s="180"/>
      <c r="AQ208" s="181">
        <f t="shared" si="40"/>
        <v>39</v>
      </c>
      <c r="AR208" s="181">
        <f t="shared" si="41"/>
        <v>10</v>
      </c>
      <c r="AS208" s="181">
        <f t="shared" si="42"/>
        <v>59</v>
      </c>
      <c r="AT208" s="180" t="str">
        <f t="shared" si="43"/>
        <v>Tinggi</v>
      </c>
      <c r="AU208" s="180" t="s">
        <v>1189</v>
      </c>
      <c r="AV208" s="180" t="s">
        <v>1204</v>
      </c>
      <c r="AW208" s="180" t="s">
        <v>1267</v>
      </c>
      <c r="AX208" s="180" t="s">
        <v>1206</v>
      </c>
      <c r="AY208" s="180">
        <v>2026</v>
      </c>
      <c r="AZ208" s="180" t="s">
        <v>1192</v>
      </c>
      <c r="BA208" s="180"/>
      <c r="BB208" s="182"/>
      <c r="BC208" s="181">
        <v>2025</v>
      </c>
      <c r="BD208" s="180" t="s">
        <v>1219</v>
      </c>
      <c r="BE208" s="182"/>
      <c r="BF208" s="180" t="s">
        <v>1278</v>
      </c>
    </row>
    <row r="209" spans="1:58" ht="28">
      <c r="A209" s="180" t="s">
        <v>2253</v>
      </c>
      <c r="B209" s="180" t="s">
        <v>2254</v>
      </c>
      <c r="C209" s="180"/>
      <c r="D209" s="180"/>
      <c r="E209" s="180"/>
      <c r="F209" s="180" t="s">
        <v>1289</v>
      </c>
      <c r="G209" s="180" t="s">
        <v>1289</v>
      </c>
      <c r="H209" s="180" t="s">
        <v>1195</v>
      </c>
      <c r="I209" s="180"/>
      <c r="J209" s="180" t="s">
        <v>1196</v>
      </c>
      <c r="K209" s="180" t="s">
        <v>1197</v>
      </c>
      <c r="L209" s="180" t="s">
        <v>891</v>
      </c>
      <c r="M209" s="180" t="s">
        <v>1266</v>
      </c>
      <c r="N209" s="180" t="s">
        <v>891</v>
      </c>
      <c r="O209" s="180" t="s">
        <v>1213</v>
      </c>
      <c r="P209" s="180" t="s">
        <v>891</v>
      </c>
      <c r="Q209" s="180" t="s">
        <v>1186</v>
      </c>
      <c r="R209" s="180" t="s">
        <v>1201</v>
      </c>
      <c r="S209" s="180" t="s">
        <v>1201</v>
      </c>
      <c r="T209" s="180" t="s">
        <v>1201</v>
      </c>
      <c r="U209" s="180" t="s">
        <v>1201</v>
      </c>
      <c r="V209" s="180" t="s">
        <v>1201</v>
      </c>
      <c r="W209" s="180"/>
      <c r="X209" s="180" t="str">
        <f t="shared" si="33"/>
        <v>Tidak ada faktor rentan</v>
      </c>
      <c r="Y209" s="180" t="str">
        <f t="shared" si="34"/>
        <v>Tidak Ada Faktor Rentan</v>
      </c>
      <c r="Z209" s="181">
        <f t="shared" si="35"/>
        <v>10</v>
      </c>
      <c r="AA209" s="181">
        <f t="shared" si="36"/>
        <v>0</v>
      </c>
      <c r="AB209" s="181">
        <f t="shared" si="37"/>
        <v>10</v>
      </c>
      <c r="AC209" s="180" t="s">
        <v>1201</v>
      </c>
      <c r="AD209" s="180" t="s">
        <v>1201</v>
      </c>
      <c r="AE209" s="180" t="s">
        <v>1187</v>
      </c>
      <c r="AF209" s="180" t="s">
        <v>1201</v>
      </c>
      <c r="AG209" s="180" t="s">
        <v>1201</v>
      </c>
      <c r="AH209" s="180" t="s">
        <v>1187</v>
      </c>
      <c r="AI209" s="180" t="s">
        <v>1187</v>
      </c>
      <c r="AJ209" s="180" t="s">
        <v>1201</v>
      </c>
      <c r="AK209" s="180" t="s">
        <v>1201</v>
      </c>
      <c r="AL209" s="180"/>
      <c r="AM209" s="180"/>
      <c r="AN209" s="180" t="str">
        <f t="shared" si="38"/>
        <v xml:space="preserve">Atap atau dinding utama hampir runtuh; Instalasi listrik berbahaya; Komponen bangunan lepas atau lapuk; </v>
      </c>
      <c r="AO209" s="180" t="str">
        <f t="shared" si="39"/>
        <v>Risiko Tinggi/Darurat</v>
      </c>
      <c r="AP209" s="180"/>
      <c r="AQ209" s="181">
        <f t="shared" si="40"/>
        <v>22</v>
      </c>
      <c r="AR209" s="181">
        <f t="shared" si="41"/>
        <v>10</v>
      </c>
      <c r="AS209" s="181">
        <f t="shared" si="42"/>
        <v>42</v>
      </c>
      <c r="AT209" s="180" t="str">
        <f t="shared" si="43"/>
        <v>Tinggi</v>
      </c>
      <c r="AU209" s="180" t="s">
        <v>1189</v>
      </c>
      <c r="AV209" s="180" t="s">
        <v>1204</v>
      </c>
      <c r="AW209" s="180" t="s">
        <v>1190</v>
      </c>
      <c r="AX209" s="180"/>
      <c r="AY209" s="180"/>
      <c r="AZ209" s="180" t="s">
        <v>1207</v>
      </c>
      <c r="BA209" s="180"/>
      <c r="BB209" s="182"/>
      <c r="BC209" s="181">
        <v>2025</v>
      </c>
      <c r="BD209" s="180" t="s">
        <v>1219</v>
      </c>
      <c r="BE209" s="182"/>
      <c r="BF209" s="180" t="s">
        <v>1278</v>
      </c>
    </row>
    <row r="210" spans="1:58" ht="42">
      <c r="A210" s="180" t="s">
        <v>2255</v>
      </c>
      <c r="B210" s="180" t="s">
        <v>2256</v>
      </c>
      <c r="C210" s="183" t="s">
        <v>2257</v>
      </c>
      <c r="D210" s="183" t="s">
        <v>2258</v>
      </c>
      <c r="E210" s="180" t="s">
        <v>2259</v>
      </c>
      <c r="F210" s="180" t="s">
        <v>2260</v>
      </c>
      <c r="G210" s="180" t="s">
        <v>1325</v>
      </c>
      <c r="H210" s="180" t="s">
        <v>1195</v>
      </c>
      <c r="I210" s="180"/>
      <c r="J210" s="180" t="s">
        <v>1196</v>
      </c>
      <c r="K210" s="180" t="s">
        <v>1197</v>
      </c>
      <c r="L210" s="180" t="s">
        <v>905</v>
      </c>
      <c r="M210" s="180" t="s">
        <v>1305</v>
      </c>
      <c r="N210" s="180" t="s">
        <v>905</v>
      </c>
      <c r="O210" s="180" t="s">
        <v>1213</v>
      </c>
      <c r="P210" s="180" t="s">
        <v>891</v>
      </c>
      <c r="Q210" s="180" t="s">
        <v>1186</v>
      </c>
      <c r="R210" s="180" t="s">
        <v>1187</v>
      </c>
      <c r="S210" s="180" t="s">
        <v>1201</v>
      </c>
      <c r="T210" s="180" t="s">
        <v>1201</v>
      </c>
      <c r="U210" s="180" t="s">
        <v>1201</v>
      </c>
      <c r="V210" s="180" t="s">
        <v>1201</v>
      </c>
      <c r="W210" s="180"/>
      <c r="X210" s="180" t="str">
        <f t="shared" si="33"/>
        <v xml:space="preserve">Lansia; </v>
      </c>
      <c r="Y210" s="180" t="str">
        <f t="shared" si="34"/>
        <v>1 Faktor Rentan</v>
      </c>
      <c r="Z210" s="181">
        <f t="shared" si="35"/>
        <v>10</v>
      </c>
      <c r="AA210" s="181">
        <f t="shared" si="36"/>
        <v>5</v>
      </c>
      <c r="AB210" s="181">
        <f t="shared" si="37"/>
        <v>15</v>
      </c>
      <c r="AC210" s="180" t="s">
        <v>1187</v>
      </c>
      <c r="AD210" s="180" t="s">
        <v>1201</v>
      </c>
      <c r="AE210" s="180" t="s">
        <v>1187</v>
      </c>
      <c r="AF210" s="180" t="s">
        <v>1201</v>
      </c>
      <c r="AG210" s="180" t="s">
        <v>1187</v>
      </c>
      <c r="AH210" s="180" t="s">
        <v>1187</v>
      </c>
      <c r="AI210" s="180" t="s">
        <v>1187</v>
      </c>
      <c r="AJ210" s="180" t="s">
        <v>1201</v>
      </c>
      <c r="AK210" s="180" t="s">
        <v>1201</v>
      </c>
      <c r="AL210" s="180"/>
      <c r="AM210" s="180"/>
      <c r="AN210" s="180" t="str">
        <f t="shared" si="38"/>
        <v xml:space="preserve">Bangunan berpotensi roboh; Atap atau dinding utama hampir runtuh; Struktur rumah tidak stabil; Instalasi listrik berbahaya; Komponen bangunan lepas atau lapuk; </v>
      </c>
      <c r="AO210" s="180" t="str">
        <f t="shared" si="39"/>
        <v>Risiko Tinggi/Darurat</v>
      </c>
      <c r="AP210" s="180"/>
      <c r="AQ210" s="181">
        <f t="shared" si="40"/>
        <v>32</v>
      </c>
      <c r="AR210" s="181">
        <f t="shared" si="41"/>
        <v>10</v>
      </c>
      <c r="AS210" s="181">
        <f t="shared" si="42"/>
        <v>57</v>
      </c>
      <c r="AT210" s="180" t="str">
        <f t="shared" si="43"/>
        <v>Tinggi</v>
      </c>
      <c r="AU210" s="180" t="s">
        <v>1189</v>
      </c>
      <c r="AV210" s="180" t="s">
        <v>1204</v>
      </c>
      <c r="AW210" s="180" t="s">
        <v>1267</v>
      </c>
      <c r="AX210" s="180" t="s">
        <v>1206</v>
      </c>
      <c r="AY210" s="180">
        <v>2026</v>
      </c>
      <c r="AZ210" s="180" t="s">
        <v>1192</v>
      </c>
      <c r="BA210" s="180"/>
      <c r="BB210" s="182"/>
      <c r="BC210" s="181">
        <v>2025</v>
      </c>
      <c r="BD210" s="180" t="s">
        <v>1219</v>
      </c>
      <c r="BE210" s="182"/>
      <c r="BF210" s="180" t="s">
        <v>1278</v>
      </c>
    </row>
    <row r="211" spans="1:58" ht="28">
      <c r="A211" s="180" t="s">
        <v>2261</v>
      </c>
      <c r="B211" s="180" t="s">
        <v>2262</v>
      </c>
      <c r="C211" s="183" t="s">
        <v>2263</v>
      </c>
      <c r="D211" s="183" t="s">
        <v>2264</v>
      </c>
      <c r="E211" s="180" t="s">
        <v>2265</v>
      </c>
      <c r="F211" s="180" t="s">
        <v>1324</v>
      </c>
      <c r="G211" s="180" t="s">
        <v>1325</v>
      </c>
      <c r="H211" s="180" t="s">
        <v>1181</v>
      </c>
      <c r="I211" s="180"/>
      <c r="J211" s="180" t="s">
        <v>1196</v>
      </c>
      <c r="K211" s="180" t="s">
        <v>1211</v>
      </c>
      <c r="L211" s="180" t="s">
        <v>891</v>
      </c>
      <c r="M211" s="180" t="s">
        <v>1305</v>
      </c>
      <c r="N211" s="180" t="s">
        <v>891</v>
      </c>
      <c r="O211" s="180" t="s">
        <v>1213</v>
      </c>
      <c r="P211" s="180" t="s">
        <v>891</v>
      </c>
      <c r="Q211" s="180" t="s">
        <v>1186</v>
      </c>
      <c r="R211" s="180" t="s">
        <v>1187</v>
      </c>
      <c r="S211" s="180" t="s">
        <v>1201</v>
      </c>
      <c r="T211" s="180" t="s">
        <v>1201</v>
      </c>
      <c r="U211" s="180" t="s">
        <v>1201</v>
      </c>
      <c r="V211" s="180" t="s">
        <v>1201</v>
      </c>
      <c r="W211" s="180"/>
      <c r="X211" s="180" t="str">
        <f t="shared" si="33"/>
        <v xml:space="preserve">Lansia; </v>
      </c>
      <c r="Y211" s="180" t="str">
        <f t="shared" si="34"/>
        <v>1 Faktor Rentan</v>
      </c>
      <c r="Z211" s="181">
        <f t="shared" si="35"/>
        <v>10</v>
      </c>
      <c r="AA211" s="181">
        <f t="shared" si="36"/>
        <v>5</v>
      </c>
      <c r="AB211" s="181">
        <f t="shared" si="37"/>
        <v>15</v>
      </c>
      <c r="AC211" s="180" t="s">
        <v>1201</v>
      </c>
      <c r="AD211" s="180" t="s">
        <v>1201</v>
      </c>
      <c r="AE211" s="180" t="s">
        <v>1201</v>
      </c>
      <c r="AF211" s="180" t="s">
        <v>1201</v>
      </c>
      <c r="AG211" s="180" t="s">
        <v>1187</v>
      </c>
      <c r="AH211" s="180" t="s">
        <v>1187</v>
      </c>
      <c r="AI211" s="180" t="s">
        <v>1187</v>
      </c>
      <c r="AJ211" s="180" t="s">
        <v>1201</v>
      </c>
      <c r="AK211" s="180" t="s">
        <v>1201</v>
      </c>
      <c r="AL211" s="180"/>
      <c r="AM211" s="180"/>
      <c r="AN211" s="180" t="str">
        <f t="shared" si="38"/>
        <v xml:space="preserve">Struktur rumah tidak stabil; Instalasi listrik berbahaya; Komponen bangunan lepas atau lapuk; </v>
      </c>
      <c r="AO211" s="180" t="str">
        <f t="shared" si="39"/>
        <v>Risiko Tinggi/Darurat</v>
      </c>
      <c r="AP211" s="180"/>
      <c r="AQ211" s="181">
        <f t="shared" si="40"/>
        <v>22</v>
      </c>
      <c r="AR211" s="181">
        <f t="shared" si="41"/>
        <v>10</v>
      </c>
      <c r="AS211" s="181">
        <f t="shared" si="42"/>
        <v>47</v>
      </c>
      <c r="AT211" s="180" t="str">
        <f t="shared" si="43"/>
        <v>Tinggi</v>
      </c>
      <c r="AU211" s="180" t="s">
        <v>1189</v>
      </c>
      <c r="AV211" s="180" t="s">
        <v>1204</v>
      </c>
      <c r="AW211" s="180" t="s">
        <v>1267</v>
      </c>
      <c r="AX211" s="180" t="s">
        <v>1206</v>
      </c>
      <c r="AY211" s="180">
        <v>2026</v>
      </c>
      <c r="AZ211" s="180" t="s">
        <v>1192</v>
      </c>
      <c r="BA211" s="180"/>
      <c r="BB211" s="182"/>
      <c r="BC211" s="181">
        <v>2025</v>
      </c>
      <c r="BD211" s="180" t="s">
        <v>1219</v>
      </c>
      <c r="BE211" s="182"/>
      <c r="BF211" s="180" t="s">
        <v>1278</v>
      </c>
    </row>
    <row r="212" spans="1:58" ht="28">
      <c r="A212" s="180" t="s">
        <v>2266</v>
      </c>
      <c r="B212" s="180" t="s">
        <v>2267</v>
      </c>
      <c r="C212" s="183" t="s">
        <v>2268</v>
      </c>
      <c r="D212" s="183" t="s">
        <v>2269</v>
      </c>
      <c r="E212" s="180" t="s">
        <v>2270</v>
      </c>
      <c r="F212" s="180" t="s">
        <v>1366</v>
      </c>
      <c r="G212" s="180" t="s">
        <v>1361</v>
      </c>
      <c r="H212" s="180" t="s">
        <v>1181</v>
      </c>
      <c r="I212" s="180"/>
      <c r="J212" s="180" t="s">
        <v>1210</v>
      </c>
      <c r="K212" s="180" t="s">
        <v>1197</v>
      </c>
      <c r="L212" s="180" t="s">
        <v>891</v>
      </c>
      <c r="M212" s="180" t="s">
        <v>1266</v>
      </c>
      <c r="N212" s="180" t="s">
        <v>905</v>
      </c>
      <c r="O212" s="180" t="s">
        <v>1213</v>
      </c>
      <c r="P212" s="180" t="s">
        <v>891</v>
      </c>
      <c r="Q212" s="180" t="s">
        <v>1186</v>
      </c>
      <c r="R212" s="180" t="s">
        <v>1201</v>
      </c>
      <c r="S212" s="180" t="s">
        <v>1201</v>
      </c>
      <c r="T212" s="180" t="s">
        <v>1201</v>
      </c>
      <c r="U212" s="180" t="s">
        <v>1201</v>
      </c>
      <c r="V212" s="180" t="s">
        <v>1201</v>
      </c>
      <c r="W212" s="180"/>
      <c r="X212" s="180" t="str">
        <f t="shared" si="33"/>
        <v>Tidak ada faktor rentan</v>
      </c>
      <c r="Y212" s="180" t="str">
        <f t="shared" si="34"/>
        <v>Tidak Ada Faktor Rentan</v>
      </c>
      <c r="Z212" s="181">
        <f t="shared" si="35"/>
        <v>10</v>
      </c>
      <c r="AA212" s="181">
        <f t="shared" si="36"/>
        <v>0</v>
      </c>
      <c r="AB212" s="181">
        <f t="shared" si="37"/>
        <v>10</v>
      </c>
      <c r="AC212" s="180" t="s">
        <v>1201</v>
      </c>
      <c r="AD212" s="180" t="s">
        <v>1201</v>
      </c>
      <c r="AE212" s="180" t="s">
        <v>1187</v>
      </c>
      <c r="AF212" s="180" t="s">
        <v>1201</v>
      </c>
      <c r="AG212" s="180" t="s">
        <v>1187</v>
      </c>
      <c r="AH212" s="180" t="s">
        <v>1187</v>
      </c>
      <c r="AI212" s="180" t="s">
        <v>1187</v>
      </c>
      <c r="AJ212" s="180" t="s">
        <v>1201</v>
      </c>
      <c r="AK212" s="180" t="s">
        <v>1201</v>
      </c>
      <c r="AL212" s="180"/>
      <c r="AM212" s="180"/>
      <c r="AN212" s="180" t="str">
        <f t="shared" si="38"/>
        <v xml:space="preserve">Atap atau dinding utama hampir runtuh; Struktur rumah tidak stabil; Instalasi listrik berbahaya; Komponen bangunan lepas atau lapuk; </v>
      </c>
      <c r="AO212" s="180" t="str">
        <f t="shared" si="39"/>
        <v>Risiko Tinggi/Darurat</v>
      </c>
      <c r="AP212" s="180"/>
      <c r="AQ212" s="181">
        <f t="shared" si="40"/>
        <v>34</v>
      </c>
      <c r="AR212" s="181">
        <f t="shared" si="41"/>
        <v>10</v>
      </c>
      <c r="AS212" s="181">
        <f t="shared" si="42"/>
        <v>54</v>
      </c>
      <c r="AT212" s="180" t="str">
        <f t="shared" si="43"/>
        <v>Tinggi</v>
      </c>
      <c r="AU212" s="180" t="s">
        <v>1189</v>
      </c>
      <c r="AV212" s="180" t="s">
        <v>1204</v>
      </c>
      <c r="AW212" s="180" t="s">
        <v>1205</v>
      </c>
      <c r="AX212" s="180" t="s">
        <v>1283</v>
      </c>
      <c r="AY212" s="180">
        <v>2026</v>
      </c>
      <c r="AZ212" s="180" t="s">
        <v>1192</v>
      </c>
      <c r="BA212" s="180"/>
      <c r="BB212" s="182"/>
      <c r="BC212" s="181">
        <v>2025</v>
      </c>
      <c r="BD212" s="180" t="s">
        <v>1193</v>
      </c>
      <c r="BE212" s="182"/>
      <c r="BF212" s="180" t="s">
        <v>1278</v>
      </c>
    </row>
    <row r="213" spans="1:58" ht="28">
      <c r="A213" s="180" t="s">
        <v>2271</v>
      </c>
      <c r="B213" s="180" t="s">
        <v>2272</v>
      </c>
      <c r="C213" s="183" t="s">
        <v>2273</v>
      </c>
      <c r="D213" s="183" t="s">
        <v>2274</v>
      </c>
      <c r="E213" s="180" t="s">
        <v>2275</v>
      </c>
      <c r="F213" s="180" t="s">
        <v>1366</v>
      </c>
      <c r="G213" s="180" t="s">
        <v>1361</v>
      </c>
      <c r="H213" s="180" t="s">
        <v>1181</v>
      </c>
      <c r="I213" s="180"/>
      <c r="J213" s="180" t="s">
        <v>1210</v>
      </c>
      <c r="K213" s="180" t="s">
        <v>1211</v>
      </c>
      <c r="L213" s="180" t="s">
        <v>895</v>
      </c>
      <c r="M213" s="180" t="s">
        <v>1292</v>
      </c>
      <c r="N213" s="180" t="s">
        <v>905</v>
      </c>
      <c r="O213" s="180" t="s">
        <v>1213</v>
      </c>
      <c r="P213" s="180" t="s">
        <v>905</v>
      </c>
      <c r="Q213" s="180" t="s">
        <v>1186</v>
      </c>
      <c r="R213" s="180" t="s">
        <v>1201</v>
      </c>
      <c r="S213" s="180" t="s">
        <v>1201</v>
      </c>
      <c r="T213" s="180" t="s">
        <v>1201</v>
      </c>
      <c r="U213" s="180" t="s">
        <v>1187</v>
      </c>
      <c r="V213" s="180" t="s">
        <v>1201</v>
      </c>
      <c r="W213" s="180"/>
      <c r="X213" s="180" t="str">
        <f t="shared" si="33"/>
        <v xml:space="preserve">Balita; </v>
      </c>
      <c r="Y213" s="180" t="str">
        <f t="shared" si="34"/>
        <v>1 Faktor Rentan</v>
      </c>
      <c r="Z213" s="181">
        <f t="shared" si="35"/>
        <v>10</v>
      </c>
      <c r="AA213" s="181">
        <f t="shared" si="36"/>
        <v>5</v>
      </c>
      <c r="AB213" s="181">
        <f t="shared" si="37"/>
        <v>15</v>
      </c>
      <c r="AC213" s="180" t="s">
        <v>1201</v>
      </c>
      <c r="AD213" s="180" t="s">
        <v>1201</v>
      </c>
      <c r="AE213" s="180" t="s">
        <v>1187</v>
      </c>
      <c r="AF213" s="180" t="s">
        <v>1201</v>
      </c>
      <c r="AG213" s="180" t="s">
        <v>1187</v>
      </c>
      <c r="AH213" s="180" t="s">
        <v>1187</v>
      </c>
      <c r="AI213" s="180" t="s">
        <v>1201</v>
      </c>
      <c r="AJ213" s="180" t="s">
        <v>1201</v>
      </c>
      <c r="AK213" s="180" t="s">
        <v>1201</v>
      </c>
      <c r="AL213" s="180"/>
      <c r="AM213" s="180"/>
      <c r="AN213" s="180" t="str">
        <f t="shared" si="38"/>
        <v xml:space="preserve">Atap atau dinding utama hampir runtuh; Struktur rumah tidak stabil; Instalasi listrik berbahaya; </v>
      </c>
      <c r="AO213" s="180" t="str">
        <f t="shared" si="39"/>
        <v>Risiko Tinggi/Darurat</v>
      </c>
      <c r="AP213" s="180"/>
      <c r="AQ213" s="181">
        <f t="shared" si="40"/>
        <v>48</v>
      </c>
      <c r="AR213" s="181">
        <f t="shared" si="41"/>
        <v>10</v>
      </c>
      <c r="AS213" s="181">
        <f t="shared" si="42"/>
        <v>73</v>
      </c>
      <c r="AT213" s="180" t="str">
        <f t="shared" si="43"/>
        <v>Tinggi</v>
      </c>
      <c r="AU213" s="180" t="s">
        <v>1189</v>
      </c>
      <c r="AV213" s="180" t="s">
        <v>1204</v>
      </c>
      <c r="AW213" s="180" t="s">
        <v>2276</v>
      </c>
      <c r="AX213" s="180" t="s">
        <v>1206</v>
      </c>
      <c r="AY213" s="180">
        <v>2026</v>
      </c>
      <c r="AZ213" s="180" t="s">
        <v>1192</v>
      </c>
      <c r="BA213" s="180"/>
      <c r="BB213" s="182"/>
      <c r="BC213" s="181">
        <v>2025</v>
      </c>
      <c r="BD213" s="180" t="s">
        <v>1208</v>
      </c>
      <c r="BE213" s="182"/>
      <c r="BF213" s="180" t="s">
        <v>1278</v>
      </c>
    </row>
    <row r="214" spans="1:58">
      <c r="A214" s="66"/>
      <c r="B214" s="66"/>
      <c r="C214" s="66"/>
      <c r="D214" s="66"/>
      <c r="E214" s="66"/>
      <c r="F214" s="66"/>
      <c r="G214" s="66"/>
      <c r="H214" s="66"/>
      <c r="I214" s="66"/>
      <c r="J214" s="66"/>
      <c r="K214" s="66"/>
      <c r="L214" s="66"/>
      <c r="M214" s="66"/>
      <c r="N214" s="66"/>
      <c r="O214" s="66"/>
      <c r="P214" s="66"/>
      <c r="Q214" s="86"/>
      <c r="R214" s="86"/>
      <c r="S214" s="86"/>
      <c r="T214" s="86"/>
      <c r="U214" s="86"/>
      <c r="V214" s="86"/>
      <c r="W214" s="67"/>
      <c r="X214" s="84" t="str">
        <f t="shared" si="33"/>
        <v>Tidak ada faktor rentan</v>
      </c>
      <c r="Y214" s="84" t="str">
        <f t="shared" si="34"/>
        <v>Tidak Ada Faktor Rentan</v>
      </c>
      <c r="Z214" s="85" t="str">
        <f t="shared" si="35"/>
        <v/>
      </c>
      <c r="AA214" s="85">
        <f t="shared" si="36"/>
        <v>0</v>
      </c>
      <c r="AB214" s="85" t="str">
        <f t="shared" si="37"/>
        <v/>
      </c>
      <c r="AC214" s="68"/>
      <c r="AD214" s="68"/>
      <c r="AE214" s="68"/>
      <c r="AF214" s="68"/>
      <c r="AG214" s="68"/>
      <c r="AH214" s="68"/>
      <c r="AI214" s="68"/>
      <c r="AJ214" s="68"/>
      <c r="AK214" s="68"/>
      <c r="AL214" s="68"/>
      <c r="AM214" s="68"/>
      <c r="AN214" s="84" t="str">
        <f t="shared" si="38"/>
        <v>Tidak ada risiko khusus</v>
      </c>
      <c r="AO214" s="84" t="str">
        <f t="shared" si="39"/>
        <v>Tidak Ada Risiko Khusus</v>
      </c>
      <c r="AP214" s="68"/>
      <c r="AQ214" s="71" t="str">
        <f t="shared" si="40"/>
        <v/>
      </c>
      <c r="AR214" s="71">
        <f t="shared" si="41"/>
        <v>0</v>
      </c>
      <c r="AS214" s="71" t="str">
        <f t="shared" si="42"/>
        <v/>
      </c>
      <c r="AT214" s="69" t="str">
        <f t="shared" si="43"/>
        <v>Belum Dapat Ditentukan</v>
      </c>
      <c r="AU214" s="66"/>
      <c r="AV214" s="66"/>
      <c r="AW214" s="66"/>
      <c r="AX214" s="66"/>
      <c r="AY214" s="66"/>
      <c r="AZ214" s="66"/>
      <c r="BA214" s="66"/>
      <c r="BB214" s="178"/>
      <c r="BC214" s="72"/>
      <c r="BD214" s="66"/>
      <c r="BE214" s="178"/>
      <c r="BF214" s="66"/>
    </row>
    <row r="215" spans="1:58">
      <c r="A215" s="66"/>
      <c r="B215" s="66"/>
      <c r="C215" s="66"/>
      <c r="D215" s="66"/>
      <c r="E215" s="66"/>
      <c r="F215" s="66"/>
      <c r="G215" s="66"/>
      <c r="H215" s="66"/>
      <c r="I215" s="66"/>
      <c r="J215" s="66"/>
      <c r="K215" s="66"/>
      <c r="L215" s="66"/>
      <c r="M215" s="66"/>
      <c r="N215" s="66"/>
      <c r="O215" s="66"/>
      <c r="P215" s="66"/>
      <c r="Q215" s="86"/>
      <c r="R215" s="86"/>
      <c r="S215" s="86"/>
      <c r="T215" s="86"/>
      <c r="U215" s="86"/>
      <c r="V215" s="86"/>
      <c r="W215" s="67"/>
      <c r="X215" s="84" t="str">
        <f t="shared" si="33"/>
        <v>Tidak ada faktor rentan</v>
      </c>
      <c r="Y215" s="84" t="str">
        <f t="shared" si="34"/>
        <v>Tidak Ada Faktor Rentan</v>
      </c>
      <c r="Z215" s="85" t="str">
        <f t="shared" si="35"/>
        <v/>
      </c>
      <c r="AA215" s="85">
        <f t="shared" si="36"/>
        <v>0</v>
      </c>
      <c r="AB215" s="85" t="str">
        <f t="shared" si="37"/>
        <v/>
      </c>
      <c r="AC215" s="68"/>
      <c r="AD215" s="68"/>
      <c r="AE215" s="68"/>
      <c r="AF215" s="68"/>
      <c r="AG215" s="68"/>
      <c r="AH215" s="68"/>
      <c r="AI215" s="68"/>
      <c r="AJ215" s="68"/>
      <c r="AK215" s="68"/>
      <c r="AL215" s="68"/>
      <c r="AM215" s="68"/>
      <c r="AN215" s="84" t="str">
        <f t="shared" si="38"/>
        <v>Tidak ada risiko khusus</v>
      </c>
      <c r="AO215" s="84" t="str">
        <f t="shared" si="39"/>
        <v>Tidak Ada Risiko Khusus</v>
      </c>
      <c r="AP215" s="68"/>
      <c r="AQ215" s="71" t="str">
        <f t="shared" si="40"/>
        <v/>
      </c>
      <c r="AR215" s="71">
        <f t="shared" si="41"/>
        <v>0</v>
      </c>
      <c r="AS215" s="71" t="str">
        <f t="shared" si="42"/>
        <v/>
      </c>
      <c r="AT215" s="69" t="str">
        <f t="shared" si="43"/>
        <v>Belum Dapat Ditentukan</v>
      </c>
      <c r="AU215" s="66"/>
      <c r="AV215" s="66"/>
      <c r="AW215" s="66"/>
      <c r="AX215" s="66"/>
      <c r="AY215" s="66"/>
      <c r="AZ215" s="66"/>
      <c r="BA215" s="66"/>
      <c r="BB215" s="178"/>
      <c r="BC215" s="72"/>
      <c r="BD215" s="66"/>
      <c r="BE215" s="178"/>
      <c r="BF215" s="66"/>
    </row>
    <row r="216" spans="1:58">
      <c r="A216" s="66"/>
      <c r="B216" s="66"/>
      <c r="C216" s="66"/>
      <c r="D216" s="66"/>
      <c r="E216" s="66"/>
      <c r="F216" s="66"/>
      <c r="G216" s="66"/>
      <c r="H216" s="66"/>
      <c r="I216" s="66"/>
      <c r="J216" s="66"/>
      <c r="K216" s="66"/>
      <c r="L216" s="66"/>
      <c r="M216" s="66"/>
      <c r="N216" s="66"/>
      <c r="O216" s="66"/>
      <c r="P216" s="66"/>
      <c r="Q216" s="86"/>
      <c r="R216" s="86"/>
      <c r="S216" s="86"/>
      <c r="T216" s="86"/>
      <c r="U216" s="86"/>
      <c r="V216" s="86"/>
      <c r="W216" s="67"/>
      <c r="X216" s="84" t="str">
        <f t="shared" si="33"/>
        <v>Tidak ada faktor rentan</v>
      </c>
      <c r="Y216" s="84" t="str">
        <f t="shared" si="34"/>
        <v>Tidak Ada Faktor Rentan</v>
      </c>
      <c r="Z216" s="85" t="str">
        <f t="shared" si="35"/>
        <v/>
      </c>
      <c r="AA216" s="85">
        <f t="shared" si="36"/>
        <v>0</v>
      </c>
      <c r="AB216" s="85" t="str">
        <f t="shared" si="37"/>
        <v/>
      </c>
      <c r="AC216" s="68"/>
      <c r="AD216" s="68"/>
      <c r="AE216" s="68"/>
      <c r="AF216" s="68"/>
      <c r="AG216" s="68"/>
      <c r="AH216" s="68"/>
      <c r="AI216" s="68"/>
      <c r="AJ216" s="68"/>
      <c r="AK216" s="68"/>
      <c r="AL216" s="68"/>
      <c r="AM216" s="68"/>
      <c r="AN216" s="84" t="str">
        <f t="shared" si="38"/>
        <v>Tidak ada risiko khusus</v>
      </c>
      <c r="AO216" s="84" t="str">
        <f t="shared" si="39"/>
        <v>Tidak Ada Risiko Khusus</v>
      </c>
      <c r="AP216" s="68"/>
      <c r="AQ216" s="71" t="str">
        <f t="shared" si="40"/>
        <v/>
      </c>
      <c r="AR216" s="71">
        <f t="shared" si="41"/>
        <v>0</v>
      </c>
      <c r="AS216" s="71" t="str">
        <f t="shared" si="42"/>
        <v/>
      </c>
      <c r="AT216" s="69" t="str">
        <f t="shared" si="43"/>
        <v>Belum Dapat Ditentukan</v>
      </c>
      <c r="AU216" s="66"/>
      <c r="AV216" s="66"/>
      <c r="AW216" s="66"/>
      <c r="AX216" s="66"/>
      <c r="AY216" s="66"/>
      <c r="AZ216" s="66"/>
      <c r="BA216" s="66"/>
      <c r="BB216" s="178"/>
      <c r="BC216" s="72"/>
      <c r="BD216" s="66"/>
      <c r="BE216" s="178"/>
      <c r="BF216" s="66"/>
    </row>
    <row r="217" spans="1:58">
      <c r="A217" s="66"/>
      <c r="B217" s="66"/>
      <c r="C217" s="66"/>
      <c r="D217" s="66"/>
      <c r="E217" s="66"/>
      <c r="F217" s="66"/>
      <c r="G217" s="66"/>
      <c r="H217" s="66"/>
      <c r="I217" s="66"/>
      <c r="J217" s="66"/>
      <c r="K217" s="66"/>
      <c r="L217" s="66"/>
      <c r="M217" s="66"/>
      <c r="N217" s="66"/>
      <c r="O217" s="66"/>
      <c r="P217" s="66"/>
      <c r="Q217" s="86"/>
      <c r="R217" s="86"/>
      <c r="S217" s="86"/>
      <c r="T217" s="86"/>
      <c r="U217" s="86"/>
      <c r="V217" s="86"/>
      <c r="W217" s="67"/>
      <c r="X217" s="84" t="str">
        <f t="shared" si="33"/>
        <v>Tidak ada faktor rentan</v>
      </c>
      <c r="Y217" s="84" t="str">
        <f t="shared" si="34"/>
        <v>Tidak Ada Faktor Rentan</v>
      </c>
      <c r="Z217" s="85" t="str">
        <f t="shared" si="35"/>
        <v/>
      </c>
      <c r="AA217" s="85">
        <f t="shared" si="36"/>
        <v>0</v>
      </c>
      <c r="AB217" s="85" t="str">
        <f t="shared" si="37"/>
        <v/>
      </c>
      <c r="AC217" s="68"/>
      <c r="AD217" s="68"/>
      <c r="AE217" s="68"/>
      <c r="AF217" s="68"/>
      <c r="AG217" s="68"/>
      <c r="AH217" s="68"/>
      <c r="AI217" s="68"/>
      <c r="AJ217" s="68"/>
      <c r="AK217" s="68"/>
      <c r="AL217" s="68"/>
      <c r="AM217" s="68"/>
      <c r="AN217" s="84" t="str">
        <f t="shared" si="38"/>
        <v>Tidak ada risiko khusus</v>
      </c>
      <c r="AO217" s="84" t="str">
        <f t="shared" si="39"/>
        <v>Tidak Ada Risiko Khusus</v>
      </c>
      <c r="AP217" s="68"/>
      <c r="AQ217" s="71" t="str">
        <f t="shared" si="40"/>
        <v/>
      </c>
      <c r="AR217" s="71">
        <f t="shared" si="41"/>
        <v>0</v>
      </c>
      <c r="AS217" s="71" t="str">
        <f t="shared" si="42"/>
        <v/>
      </c>
      <c r="AT217" s="69" t="str">
        <f t="shared" si="43"/>
        <v>Belum Dapat Ditentukan</v>
      </c>
      <c r="AU217" s="66"/>
      <c r="AV217" s="66"/>
      <c r="AW217" s="66"/>
      <c r="AX217" s="66"/>
      <c r="AY217" s="66"/>
      <c r="AZ217" s="66"/>
      <c r="BA217" s="66"/>
      <c r="BB217" s="178"/>
      <c r="BC217" s="72"/>
      <c r="BD217" s="66"/>
      <c r="BE217" s="178"/>
      <c r="BF217" s="66"/>
    </row>
    <row r="218" spans="1:58">
      <c r="A218" s="66"/>
      <c r="B218" s="66"/>
      <c r="C218" s="66"/>
      <c r="D218" s="66"/>
      <c r="E218" s="66"/>
      <c r="F218" s="66"/>
      <c r="G218" s="66"/>
      <c r="H218" s="66"/>
      <c r="I218" s="66"/>
      <c r="J218" s="66"/>
      <c r="K218" s="66"/>
      <c r="L218" s="66"/>
      <c r="M218" s="66"/>
      <c r="N218" s="66"/>
      <c r="O218" s="66"/>
      <c r="P218" s="66"/>
      <c r="Q218" s="86"/>
      <c r="R218" s="86"/>
      <c r="S218" s="86"/>
      <c r="T218" s="86"/>
      <c r="U218" s="86"/>
      <c r="V218" s="86"/>
      <c r="W218" s="67"/>
      <c r="X218" s="84" t="str">
        <f t="shared" si="33"/>
        <v>Tidak ada faktor rentan</v>
      </c>
      <c r="Y218" s="84" t="str">
        <f t="shared" si="34"/>
        <v>Tidak Ada Faktor Rentan</v>
      </c>
      <c r="Z218" s="85" t="str">
        <f t="shared" si="35"/>
        <v/>
      </c>
      <c r="AA218" s="85">
        <f t="shared" si="36"/>
        <v>0</v>
      </c>
      <c r="AB218" s="85" t="str">
        <f t="shared" si="37"/>
        <v/>
      </c>
      <c r="AC218" s="68"/>
      <c r="AD218" s="68"/>
      <c r="AE218" s="68"/>
      <c r="AF218" s="68"/>
      <c r="AG218" s="68"/>
      <c r="AH218" s="68"/>
      <c r="AI218" s="68"/>
      <c r="AJ218" s="68"/>
      <c r="AK218" s="68"/>
      <c r="AL218" s="68"/>
      <c r="AM218" s="68"/>
      <c r="AN218" s="84" t="str">
        <f t="shared" si="38"/>
        <v>Tidak ada risiko khusus</v>
      </c>
      <c r="AO218" s="84" t="str">
        <f t="shared" si="39"/>
        <v>Tidak Ada Risiko Khusus</v>
      </c>
      <c r="AP218" s="68"/>
      <c r="AQ218" s="71" t="str">
        <f t="shared" si="40"/>
        <v/>
      </c>
      <c r="AR218" s="71">
        <f t="shared" si="41"/>
        <v>0</v>
      </c>
      <c r="AS218" s="71" t="str">
        <f t="shared" si="42"/>
        <v/>
      </c>
      <c r="AT218" s="69" t="str">
        <f t="shared" si="43"/>
        <v>Belum Dapat Ditentukan</v>
      </c>
      <c r="AU218" s="66"/>
      <c r="AV218" s="66"/>
      <c r="AW218" s="66"/>
      <c r="AX218" s="66"/>
      <c r="AY218" s="66"/>
      <c r="AZ218" s="66"/>
      <c r="BA218" s="66"/>
      <c r="BB218" s="178"/>
      <c r="BC218" s="72"/>
      <c r="BD218" s="66"/>
      <c r="BE218" s="178"/>
      <c r="BF218" s="66"/>
    </row>
    <row r="219" spans="1:58">
      <c r="A219" s="66"/>
      <c r="B219" s="66"/>
      <c r="C219" s="66"/>
      <c r="D219" s="66"/>
      <c r="E219" s="66"/>
      <c r="F219" s="66"/>
      <c r="G219" s="66"/>
      <c r="H219" s="66"/>
      <c r="I219" s="66"/>
      <c r="J219" s="66"/>
      <c r="K219" s="66"/>
      <c r="L219" s="66"/>
      <c r="M219" s="66"/>
      <c r="N219" s="66"/>
      <c r="O219" s="66"/>
      <c r="P219" s="66"/>
      <c r="Q219" s="86"/>
      <c r="R219" s="86"/>
      <c r="S219" s="86"/>
      <c r="T219" s="86"/>
      <c r="U219" s="86"/>
      <c r="V219" s="86"/>
      <c r="W219" s="67"/>
      <c r="X219" s="84" t="str">
        <f t="shared" si="33"/>
        <v>Tidak ada faktor rentan</v>
      </c>
      <c r="Y219" s="84" t="str">
        <f t="shared" si="34"/>
        <v>Tidak Ada Faktor Rentan</v>
      </c>
      <c r="Z219" s="85" t="str">
        <f t="shared" si="35"/>
        <v/>
      </c>
      <c r="AA219" s="85">
        <f t="shared" si="36"/>
        <v>0</v>
      </c>
      <c r="AB219" s="85" t="str">
        <f t="shared" si="37"/>
        <v/>
      </c>
      <c r="AC219" s="68"/>
      <c r="AD219" s="68"/>
      <c r="AE219" s="68"/>
      <c r="AF219" s="68"/>
      <c r="AG219" s="68"/>
      <c r="AH219" s="68"/>
      <c r="AI219" s="68"/>
      <c r="AJ219" s="68"/>
      <c r="AK219" s="68"/>
      <c r="AL219" s="68"/>
      <c r="AM219" s="68"/>
      <c r="AN219" s="84" t="str">
        <f t="shared" si="38"/>
        <v>Tidak ada risiko khusus</v>
      </c>
      <c r="AO219" s="84" t="str">
        <f t="shared" si="39"/>
        <v>Tidak Ada Risiko Khusus</v>
      </c>
      <c r="AP219" s="68"/>
      <c r="AQ219" s="71" t="str">
        <f t="shared" si="40"/>
        <v/>
      </c>
      <c r="AR219" s="71">
        <f t="shared" si="41"/>
        <v>0</v>
      </c>
      <c r="AS219" s="71" t="str">
        <f t="shared" si="42"/>
        <v/>
      </c>
      <c r="AT219" s="69" t="str">
        <f t="shared" si="43"/>
        <v>Belum Dapat Ditentukan</v>
      </c>
      <c r="AU219" s="66"/>
      <c r="AV219" s="66"/>
      <c r="AW219" s="66"/>
      <c r="AX219" s="66"/>
      <c r="AY219" s="66"/>
      <c r="AZ219" s="66"/>
      <c r="BA219" s="66"/>
      <c r="BB219" s="178"/>
      <c r="BC219" s="72"/>
      <c r="BD219" s="66"/>
      <c r="BE219" s="178"/>
      <c r="BF219" s="66"/>
    </row>
    <row r="220" spans="1:58">
      <c r="A220" s="66"/>
      <c r="B220" s="66"/>
      <c r="C220" s="66"/>
      <c r="D220" s="66"/>
      <c r="E220" s="66"/>
      <c r="F220" s="66"/>
      <c r="G220" s="66"/>
      <c r="H220" s="66"/>
      <c r="I220" s="66"/>
      <c r="J220" s="66"/>
      <c r="K220" s="66"/>
      <c r="L220" s="66"/>
      <c r="M220" s="66"/>
      <c r="N220" s="66"/>
      <c r="O220" s="66"/>
      <c r="P220" s="66"/>
      <c r="Q220" s="86"/>
      <c r="R220" s="86"/>
      <c r="S220" s="86"/>
      <c r="T220" s="86"/>
      <c r="U220" s="86"/>
      <c r="V220" s="86"/>
      <c r="W220" s="67"/>
      <c r="X220" s="84" t="str">
        <f t="shared" si="33"/>
        <v>Tidak ada faktor rentan</v>
      </c>
      <c r="Y220" s="84" t="str">
        <f t="shared" si="34"/>
        <v>Tidak Ada Faktor Rentan</v>
      </c>
      <c r="Z220" s="85" t="str">
        <f t="shared" si="35"/>
        <v/>
      </c>
      <c r="AA220" s="85">
        <f t="shared" si="36"/>
        <v>0</v>
      </c>
      <c r="AB220" s="85" t="str">
        <f t="shared" si="37"/>
        <v/>
      </c>
      <c r="AC220" s="68"/>
      <c r="AD220" s="68"/>
      <c r="AE220" s="68"/>
      <c r="AF220" s="68"/>
      <c r="AG220" s="68"/>
      <c r="AH220" s="68"/>
      <c r="AI220" s="68"/>
      <c r="AJ220" s="68"/>
      <c r="AK220" s="68"/>
      <c r="AL220" s="68"/>
      <c r="AM220" s="68"/>
      <c r="AN220" s="84" t="str">
        <f t="shared" si="38"/>
        <v>Tidak ada risiko khusus</v>
      </c>
      <c r="AO220" s="84" t="str">
        <f t="shared" si="39"/>
        <v>Tidak Ada Risiko Khusus</v>
      </c>
      <c r="AP220" s="68"/>
      <c r="AQ220" s="71" t="str">
        <f t="shared" si="40"/>
        <v/>
      </c>
      <c r="AR220" s="71">
        <f t="shared" si="41"/>
        <v>0</v>
      </c>
      <c r="AS220" s="71" t="str">
        <f t="shared" si="42"/>
        <v/>
      </c>
      <c r="AT220" s="69" t="str">
        <f t="shared" si="43"/>
        <v>Belum Dapat Ditentukan</v>
      </c>
      <c r="AU220" s="66"/>
      <c r="AV220" s="66"/>
      <c r="AW220" s="66"/>
      <c r="AX220" s="66"/>
      <c r="AY220" s="66"/>
      <c r="AZ220" s="66"/>
      <c r="BA220" s="66"/>
      <c r="BB220" s="178"/>
      <c r="BC220" s="72"/>
      <c r="BD220" s="66"/>
      <c r="BE220" s="178"/>
      <c r="BF220" s="66"/>
    </row>
    <row r="221" spans="1:58">
      <c r="A221" s="66"/>
      <c r="B221" s="66"/>
      <c r="C221" s="66"/>
      <c r="D221" s="66"/>
      <c r="E221" s="66"/>
      <c r="F221" s="66"/>
      <c r="G221" s="66"/>
      <c r="H221" s="66"/>
      <c r="I221" s="66"/>
      <c r="J221" s="66"/>
      <c r="K221" s="66"/>
      <c r="L221" s="66"/>
      <c r="M221" s="66"/>
      <c r="N221" s="66"/>
      <c r="O221" s="66"/>
      <c r="P221" s="66"/>
      <c r="Q221" s="86"/>
      <c r="R221" s="86"/>
      <c r="S221" s="86"/>
      <c r="T221" s="86"/>
      <c r="U221" s="86"/>
      <c r="V221" s="86"/>
      <c r="W221" s="67"/>
      <c r="X221" s="84" t="str">
        <f t="shared" si="33"/>
        <v>Tidak ada faktor rentan</v>
      </c>
      <c r="Y221" s="84" t="str">
        <f t="shared" si="34"/>
        <v>Tidak Ada Faktor Rentan</v>
      </c>
      <c r="Z221" s="85" t="str">
        <f t="shared" si="35"/>
        <v/>
      </c>
      <c r="AA221" s="85">
        <f t="shared" si="36"/>
        <v>0</v>
      </c>
      <c r="AB221" s="85" t="str">
        <f t="shared" si="37"/>
        <v/>
      </c>
      <c r="AC221" s="68"/>
      <c r="AD221" s="68"/>
      <c r="AE221" s="68"/>
      <c r="AF221" s="68"/>
      <c r="AG221" s="68"/>
      <c r="AH221" s="68"/>
      <c r="AI221" s="68"/>
      <c r="AJ221" s="68"/>
      <c r="AK221" s="68"/>
      <c r="AL221" s="68"/>
      <c r="AM221" s="68"/>
      <c r="AN221" s="84" t="str">
        <f t="shared" si="38"/>
        <v>Tidak ada risiko khusus</v>
      </c>
      <c r="AO221" s="84" t="str">
        <f t="shared" si="39"/>
        <v>Tidak Ada Risiko Khusus</v>
      </c>
      <c r="AP221" s="68"/>
      <c r="AQ221" s="71" t="str">
        <f t="shared" si="40"/>
        <v/>
      </c>
      <c r="AR221" s="71">
        <f t="shared" si="41"/>
        <v>0</v>
      </c>
      <c r="AS221" s="71" t="str">
        <f t="shared" si="42"/>
        <v/>
      </c>
      <c r="AT221" s="69" t="str">
        <f t="shared" si="43"/>
        <v>Belum Dapat Ditentukan</v>
      </c>
      <c r="AU221" s="66"/>
      <c r="AV221" s="66"/>
      <c r="AW221" s="66"/>
      <c r="AX221" s="66"/>
      <c r="AY221" s="66"/>
      <c r="AZ221" s="66"/>
      <c r="BA221" s="66"/>
      <c r="BB221" s="178"/>
      <c r="BC221" s="72"/>
      <c r="BD221" s="66"/>
      <c r="BE221" s="178"/>
      <c r="BF221" s="66"/>
    </row>
    <row r="222" spans="1:58">
      <c r="A222" s="66"/>
      <c r="B222" s="66"/>
      <c r="C222" s="66"/>
      <c r="D222" s="66"/>
      <c r="E222" s="66"/>
      <c r="F222" s="66"/>
      <c r="G222" s="66"/>
      <c r="H222" s="66"/>
      <c r="I222" s="66"/>
      <c r="J222" s="66"/>
      <c r="K222" s="66"/>
      <c r="L222" s="66"/>
      <c r="M222" s="66"/>
      <c r="N222" s="66"/>
      <c r="O222" s="66"/>
      <c r="P222" s="66"/>
      <c r="Q222" s="86"/>
      <c r="R222" s="86"/>
      <c r="S222" s="86"/>
      <c r="T222" s="86"/>
      <c r="U222" s="86"/>
      <c r="V222" s="86"/>
      <c r="W222" s="67"/>
      <c r="X222" s="84" t="str">
        <f t="shared" si="33"/>
        <v>Tidak ada faktor rentan</v>
      </c>
      <c r="Y222" s="84" t="str">
        <f t="shared" si="34"/>
        <v>Tidak Ada Faktor Rentan</v>
      </c>
      <c r="Z222" s="85" t="str">
        <f t="shared" si="35"/>
        <v/>
      </c>
      <c r="AA222" s="85">
        <f t="shared" si="36"/>
        <v>0</v>
      </c>
      <c r="AB222" s="85" t="str">
        <f t="shared" si="37"/>
        <v/>
      </c>
      <c r="AC222" s="68"/>
      <c r="AD222" s="68"/>
      <c r="AE222" s="68"/>
      <c r="AF222" s="68"/>
      <c r="AG222" s="68"/>
      <c r="AH222" s="68"/>
      <c r="AI222" s="68"/>
      <c r="AJ222" s="68"/>
      <c r="AK222" s="68"/>
      <c r="AL222" s="68"/>
      <c r="AM222" s="68"/>
      <c r="AN222" s="84" t="str">
        <f t="shared" si="38"/>
        <v>Tidak ada risiko khusus</v>
      </c>
      <c r="AO222" s="84" t="str">
        <f t="shared" si="39"/>
        <v>Tidak Ada Risiko Khusus</v>
      </c>
      <c r="AP222" s="68"/>
      <c r="AQ222" s="71" t="str">
        <f t="shared" si="40"/>
        <v/>
      </c>
      <c r="AR222" s="71">
        <f t="shared" si="41"/>
        <v>0</v>
      </c>
      <c r="AS222" s="71" t="str">
        <f t="shared" si="42"/>
        <v/>
      </c>
      <c r="AT222" s="69" t="str">
        <f t="shared" si="43"/>
        <v>Belum Dapat Ditentukan</v>
      </c>
      <c r="AU222" s="66"/>
      <c r="AV222" s="66"/>
      <c r="AW222" s="66"/>
      <c r="AX222" s="66"/>
      <c r="AY222" s="66"/>
      <c r="AZ222" s="66"/>
      <c r="BA222" s="66"/>
      <c r="BB222" s="178"/>
      <c r="BC222" s="72"/>
      <c r="BD222" s="66"/>
      <c r="BE222" s="178"/>
      <c r="BF222" s="66"/>
    </row>
    <row r="223" spans="1:58">
      <c r="A223" s="66"/>
      <c r="B223" s="66"/>
      <c r="C223" s="66"/>
      <c r="D223" s="66"/>
      <c r="E223" s="66"/>
      <c r="F223" s="66"/>
      <c r="G223" s="66"/>
      <c r="H223" s="66"/>
      <c r="I223" s="66"/>
      <c r="J223" s="66"/>
      <c r="K223" s="66"/>
      <c r="L223" s="66"/>
      <c r="M223" s="66"/>
      <c r="N223" s="66"/>
      <c r="O223" s="66"/>
      <c r="P223" s="66"/>
      <c r="Q223" s="86"/>
      <c r="R223" s="86"/>
      <c r="S223" s="86"/>
      <c r="T223" s="86"/>
      <c r="U223" s="86"/>
      <c r="V223" s="86"/>
      <c r="W223" s="67"/>
      <c r="X223" s="84" t="str">
        <f t="shared" si="33"/>
        <v>Tidak ada faktor rentan</v>
      </c>
      <c r="Y223" s="84" t="str">
        <f t="shared" si="34"/>
        <v>Tidak Ada Faktor Rentan</v>
      </c>
      <c r="Z223" s="85" t="str">
        <f t="shared" si="35"/>
        <v/>
      </c>
      <c r="AA223" s="85">
        <f t="shared" si="36"/>
        <v>0</v>
      </c>
      <c r="AB223" s="85" t="str">
        <f t="shared" si="37"/>
        <v/>
      </c>
      <c r="AC223" s="68"/>
      <c r="AD223" s="68"/>
      <c r="AE223" s="68"/>
      <c r="AF223" s="68"/>
      <c r="AG223" s="68"/>
      <c r="AH223" s="68"/>
      <c r="AI223" s="68"/>
      <c r="AJ223" s="68"/>
      <c r="AK223" s="68"/>
      <c r="AL223" s="68"/>
      <c r="AM223" s="68"/>
      <c r="AN223" s="84" t="str">
        <f t="shared" si="38"/>
        <v>Tidak ada risiko khusus</v>
      </c>
      <c r="AO223" s="84" t="str">
        <f t="shared" si="39"/>
        <v>Tidak Ada Risiko Khusus</v>
      </c>
      <c r="AP223" s="68"/>
      <c r="AQ223" s="71" t="str">
        <f t="shared" si="40"/>
        <v/>
      </c>
      <c r="AR223" s="71">
        <f t="shared" si="41"/>
        <v>0</v>
      </c>
      <c r="AS223" s="71" t="str">
        <f t="shared" si="42"/>
        <v/>
      </c>
      <c r="AT223" s="69" t="str">
        <f t="shared" si="43"/>
        <v>Belum Dapat Ditentukan</v>
      </c>
      <c r="AU223" s="66"/>
      <c r="AV223" s="66"/>
      <c r="AW223" s="66"/>
      <c r="AX223" s="66"/>
      <c r="AY223" s="66"/>
      <c r="AZ223" s="66"/>
      <c r="BA223" s="66"/>
      <c r="BB223" s="178"/>
      <c r="BC223" s="72"/>
      <c r="BD223" s="66"/>
      <c r="BE223" s="178"/>
      <c r="BF223" s="66"/>
    </row>
    <row r="224" spans="1:58">
      <c r="A224" s="66"/>
      <c r="B224" s="66"/>
      <c r="C224" s="66"/>
      <c r="D224" s="66"/>
      <c r="E224" s="66"/>
      <c r="F224" s="66"/>
      <c r="G224" s="66"/>
      <c r="H224" s="66"/>
      <c r="I224" s="66"/>
      <c r="J224" s="66"/>
      <c r="K224" s="66"/>
      <c r="L224" s="66"/>
      <c r="M224" s="66"/>
      <c r="N224" s="66"/>
      <c r="O224" s="66"/>
      <c r="P224" s="66"/>
      <c r="Q224" s="86"/>
      <c r="R224" s="86"/>
      <c r="S224" s="86"/>
      <c r="T224" s="86"/>
      <c r="U224" s="86"/>
      <c r="V224" s="86"/>
      <c r="W224" s="67"/>
      <c r="X224" s="84" t="str">
        <f t="shared" si="33"/>
        <v>Tidak ada faktor rentan</v>
      </c>
      <c r="Y224" s="84" t="str">
        <f t="shared" si="34"/>
        <v>Tidak Ada Faktor Rentan</v>
      </c>
      <c r="Z224" s="85" t="str">
        <f t="shared" si="35"/>
        <v/>
      </c>
      <c r="AA224" s="85">
        <f t="shared" si="36"/>
        <v>0</v>
      </c>
      <c r="AB224" s="85" t="str">
        <f t="shared" si="37"/>
        <v/>
      </c>
      <c r="AC224" s="68"/>
      <c r="AD224" s="68"/>
      <c r="AE224" s="68"/>
      <c r="AF224" s="68"/>
      <c r="AG224" s="68"/>
      <c r="AH224" s="68"/>
      <c r="AI224" s="68"/>
      <c r="AJ224" s="68"/>
      <c r="AK224" s="68"/>
      <c r="AL224" s="68"/>
      <c r="AM224" s="68"/>
      <c r="AN224" s="84" t="str">
        <f t="shared" si="38"/>
        <v>Tidak ada risiko khusus</v>
      </c>
      <c r="AO224" s="84" t="str">
        <f t="shared" si="39"/>
        <v>Tidak Ada Risiko Khusus</v>
      </c>
      <c r="AP224" s="68"/>
      <c r="AQ224" s="71" t="str">
        <f t="shared" si="40"/>
        <v/>
      </c>
      <c r="AR224" s="71">
        <f t="shared" si="41"/>
        <v>0</v>
      </c>
      <c r="AS224" s="71" t="str">
        <f t="shared" si="42"/>
        <v/>
      </c>
      <c r="AT224" s="69" t="str">
        <f t="shared" si="43"/>
        <v>Belum Dapat Ditentukan</v>
      </c>
      <c r="AU224" s="66"/>
      <c r="AV224" s="66"/>
      <c r="AW224" s="66"/>
      <c r="AX224" s="66"/>
      <c r="AY224" s="66"/>
      <c r="AZ224" s="66"/>
      <c r="BA224" s="66"/>
      <c r="BB224" s="178"/>
      <c r="BC224" s="72"/>
      <c r="BD224" s="66"/>
      <c r="BE224" s="178"/>
      <c r="BF224" s="66"/>
    </row>
    <row r="225" spans="1:58">
      <c r="A225" s="66"/>
      <c r="B225" s="66"/>
      <c r="C225" s="66"/>
      <c r="D225" s="66"/>
      <c r="E225" s="66"/>
      <c r="F225" s="66"/>
      <c r="G225" s="66"/>
      <c r="H225" s="66"/>
      <c r="I225" s="66"/>
      <c r="J225" s="66"/>
      <c r="K225" s="66"/>
      <c r="L225" s="66"/>
      <c r="M225" s="66"/>
      <c r="N225" s="66"/>
      <c r="O225" s="66"/>
      <c r="P225" s="66"/>
      <c r="Q225" s="86"/>
      <c r="R225" s="86"/>
      <c r="S225" s="86"/>
      <c r="T225" s="86"/>
      <c r="U225" s="86"/>
      <c r="V225" s="86"/>
      <c r="W225" s="67"/>
      <c r="X225" s="84" t="str">
        <f t="shared" si="33"/>
        <v>Tidak ada faktor rentan</v>
      </c>
      <c r="Y225" s="84" t="str">
        <f t="shared" si="34"/>
        <v>Tidak Ada Faktor Rentan</v>
      </c>
      <c r="Z225" s="85" t="str">
        <f t="shared" si="35"/>
        <v/>
      </c>
      <c r="AA225" s="85">
        <f t="shared" si="36"/>
        <v>0</v>
      </c>
      <c r="AB225" s="85" t="str">
        <f t="shared" si="37"/>
        <v/>
      </c>
      <c r="AC225" s="68"/>
      <c r="AD225" s="68"/>
      <c r="AE225" s="68"/>
      <c r="AF225" s="68"/>
      <c r="AG225" s="68"/>
      <c r="AH225" s="68"/>
      <c r="AI225" s="68"/>
      <c r="AJ225" s="68"/>
      <c r="AK225" s="68"/>
      <c r="AL225" s="68"/>
      <c r="AM225" s="68"/>
      <c r="AN225" s="84" t="str">
        <f t="shared" si="38"/>
        <v>Tidak ada risiko khusus</v>
      </c>
      <c r="AO225" s="84" t="str">
        <f t="shared" si="39"/>
        <v>Tidak Ada Risiko Khusus</v>
      </c>
      <c r="AP225" s="68"/>
      <c r="AQ225" s="71" t="str">
        <f t="shared" si="40"/>
        <v/>
      </c>
      <c r="AR225" s="71">
        <f t="shared" si="41"/>
        <v>0</v>
      </c>
      <c r="AS225" s="71" t="str">
        <f t="shared" si="42"/>
        <v/>
      </c>
      <c r="AT225" s="69" t="str">
        <f t="shared" si="43"/>
        <v>Belum Dapat Ditentukan</v>
      </c>
      <c r="AU225" s="66"/>
      <c r="AV225" s="66"/>
      <c r="AW225" s="66"/>
      <c r="AX225" s="66"/>
      <c r="AY225" s="66"/>
      <c r="AZ225" s="66"/>
      <c r="BA225" s="66"/>
      <c r="BB225" s="178"/>
      <c r="BC225" s="72"/>
      <c r="BD225" s="66"/>
      <c r="BE225" s="178"/>
      <c r="BF225" s="66"/>
    </row>
    <row r="226" spans="1:58">
      <c r="A226" s="66"/>
      <c r="B226" s="66"/>
      <c r="C226" s="66"/>
      <c r="D226" s="66"/>
      <c r="E226" s="66"/>
      <c r="F226" s="66"/>
      <c r="G226" s="66"/>
      <c r="H226" s="66"/>
      <c r="I226" s="66"/>
      <c r="J226" s="66"/>
      <c r="K226" s="66"/>
      <c r="L226" s="66"/>
      <c r="M226" s="66"/>
      <c r="N226" s="66"/>
      <c r="O226" s="66"/>
      <c r="P226" s="66"/>
      <c r="Q226" s="86"/>
      <c r="R226" s="86"/>
      <c r="S226" s="86"/>
      <c r="T226" s="86"/>
      <c r="U226" s="86"/>
      <c r="V226" s="86"/>
      <c r="W226" s="67"/>
      <c r="X226" s="84" t="str">
        <f t="shared" si="33"/>
        <v>Tidak ada faktor rentan</v>
      </c>
      <c r="Y226" s="84" t="str">
        <f t="shared" si="34"/>
        <v>Tidak Ada Faktor Rentan</v>
      </c>
      <c r="Z226" s="85" t="str">
        <f t="shared" si="35"/>
        <v/>
      </c>
      <c r="AA226" s="85">
        <f t="shared" si="36"/>
        <v>0</v>
      </c>
      <c r="AB226" s="85" t="str">
        <f t="shared" si="37"/>
        <v/>
      </c>
      <c r="AC226" s="68"/>
      <c r="AD226" s="68"/>
      <c r="AE226" s="68"/>
      <c r="AF226" s="68"/>
      <c r="AG226" s="68"/>
      <c r="AH226" s="68"/>
      <c r="AI226" s="68"/>
      <c r="AJ226" s="68"/>
      <c r="AK226" s="68"/>
      <c r="AL226" s="68"/>
      <c r="AM226" s="68"/>
      <c r="AN226" s="84" t="str">
        <f t="shared" si="38"/>
        <v>Tidak ada risiko khusus</v>
      </c>
      <c r="AO226" s="84" t="str">
        <f t="shared" si="39"/>
        <v>Tidak Ada Risiko Khusus</v>
      </c>
      <c r="AP226" s="68"/>
      <c r="AQ226" s="71" t="str">
        <f t="shared" si="40"/>
        <v/>
      </c>
      <c r="AR226" s="71">
        <f t="shared" si="41"/>
        <v>0</v>
      </c>
      <c r="AS226" s="71" t="str">
        <f t="shared" si="42"/>
        <v/>
      </c>
      <c r="AT226" s="69" t="str">
        <f t="shared" si="43"/>
        <v>Belum Dapat Ditentukan</v>
      </c>
      <c r="AU226" s="66"/>
      <c r="AV226" s="66"/>
      <c r="AW226" s="66"/>
      <c r="AX226" s="66"/>
      <c r="AY226" s="66"/>
      <c r="AZ226" s="66"/>
      <c r="BA226" s="66"/>
      <c r="BB226" s="178"/>
      <c r="BC226" s="72"/>
      <c r="BD226" s="66"/>
      <c r="BE226" s="178"/>
      <c r="BF226" s="66"/>
    </row>
    <row r="227" spans="1:58">
      <c r="A227" s="66"/>
      <c r="B227" s="66"/>
      <c r="C227" s="66"/>
      <c r="D227" s="66"/>
      <c r="E227" s="66"/>
      <c r="F227" s="66"/>
      <c r="G227" s="66"/>
      <c r="H227" s="66"/>
      <c r="I227" s="66"/>
      <c r="J227" s="66"/>
      <c r="K227" s="66"/>
      <c r="L227" s="66"/>
      <c r="M227" s="66"/>
      <c r="N227" s="66"/>
      <c r="O227" s="66"/>
      <c r="P227" s="66"/>
      <c r="Q227" s="86"/>
      <c r="R227" s="86"/>
      <c r="S227" s="86"/>
      <c r="T227" s="86"/>
      <c r="U227" s="86"/>
      <c r="V227" s="86"/>
      <c r="W227" s="67"/>
      <c r="X227" s="84" t="str">
        <f t="shared" si="33"/>
        <v>Tidak ada faktor rentan</v>
      </c>
      <c r="Y227" s="84" t="str">
        <f t="shared" si="34"/>
        <v>Tidak Ada Faktor Rentan</v>
      </c>
      <c r="Z227" s="85" t="str">
        <f t="shared" si="35"/>
        <v/>
      </c>
      <c r="AA227" s="85">
        <f t="shared" si="36"/>
        <v>0</v>
      </c>
      <c r="AB227" s="85" t="str">
        <f t="shared" si="37"/>
        <v/>
      </c>
      <c r="AC227" s="68"/>
      <c r="AD227" s="68"/>
      <c r="AE227" s="68"/>
      <c r="AF227" s="68"/>
      <c r="AG227" s="68"/>
      <c r="AH227" s="68"/>
      <c r="AI227" s="68"/>
      <c r="AJ227" s="68"/>
      <c r="AK227" s="68"/>
      <c r="AL227" s="68"/>
      <c r="AM227" s="68"/>
      <c r="AN227" s="84" t="str">
        <f t="shared" si="38"/>
        <v>Tidak ada risiko khusus</v>
      </c>
      <c r="AO227" s="84" t="str">
        <f t="shared" si="39"/>
        <v>Tidak Ada Risiko Khusus</v>
      </c>
      <c r="AP227" s="68"/>
      <c r="AQ227" s="71" t="str">
        <f t="shared" si="40"/>
        <v/>
      </c>
      <c r="AR227" s="71">
        <f t="shared" si="41"/>
        <v>0</v>
      </c>
      <c r="AS227" s="71" t="str">
        <f t="shared" si="42"/>
        <v/>
      </c>
      <c r="AT227" s="69" t="str">
        <f t="shared" si="43"/>
        <v>Belum Dapat Ditentukan</v>
      </c>
      <c r="AU227" s="66"/>
      <c r="AV227" s="66"/>
      <c r="AW227" s="66"/>
      <c r="AX227" s="66"/>
      <c r="AY227" s="66"/>
      <c r="AZ227" s="66"/>
      <c r="BA227" s="66"/>
      <c r="BB227" s="178"/>
      <c r="BC227" s="72"/>
      <c r="BD227" s="66"/>
      <c r="BE227" s="178"/>
      <c r="BF227" s="66"/>
    </row>
    <row r="228" spans="1:58">
      <c r="A228" s="66"/>
      <c r="B228" s="66"/>
      <c r="C228" s="66"/>
      <c r="D228" s="66"/>
      <c r="E228" s="66"/>
      <c r="F228" s="66"/>
      <c r="G228" s="66"/>
      <c r="H228" s="66"/>
      <c r="I228" s="66"/>
      <c r="J228" s="66"/>
      <c r="K228" s="66"/>
      <c r="L228" s="66"/>
      <c r="M228" s="66"/>
      <c r="N228" s="66"/>
      <c r="O228" s="66"/>
      <c r="P228" s="66"/>
      <c r="Q228" s="86"/>
      <c r="R228" s="86"/>
      <c r="S228" s="86"/>
      <c r="T228" s="86"/>
      <c r="U228" s="86"/>
      <c r="V228" s="86"/>
      <c r="W228" s="67"/>
      <c r="X228" s="84" t="str">
        <f t="shared" si="33"/>
        <v>Tidak ada faktor rentan</v>
      </c>
      <c r="Y228" s="84" t="str">
        <f t="shared" si="34"/>
        <v>Tidak Ada Faktor Rentan</v>
      </c>
      <c r="Z228" s="85" t="str">
        <f t="shared" si="35"/>
        <v/>
      </c>
      <c r="AA228" s="85">
        <f t="shared" si="36"/>
        <v>0</v>
      </c>
      <c r="AB228" s="85" t="str">
        <f t="shared" si="37"/>
        <v/>
      </c>
      <c r="AC228" s="68"/>
      <c r="AD228" s="68"/>
      <c r="AE228" s="68"/>
      <c r="AF228" s="68"/>
      <c r="AG228" s="68"/>
      <c r="AH228" s="68"/>
      <c r="AI228" s="68"/>
      <c r="AJ228" s="68"/>
      <c r="AK228" s="68"/>
      <c r="AL228" s="68"/>
      <c r="AM228" s="68"/>
      <c r="AN228" s="84" t="str">
        <f t="shared" si="38"/>
        <v>Tidak ada risiko khusus</v>
      </c>
      <c r="AO228" s="84" t="str">
        <f t="shared" si="39"/>
        <v>Tidak Ada Risiko Khusus</v>
      </c>
      <c r="AP228" s="68"/>
      <c r="AQ228" s="71" t="str">
        <f t="shared" si="40"/>
        <v/>
      </c>
      <c r="AR228" s="71">
        <f t="shared" si="41"/>
        <v>0</v>
      </c>
      <c r="AS228" s="71" t="str">
        <f t="shared" si="42"/>
        <v/>
      </c>
      <c r="AT228" s="69" t="str">
        <f t="shared" si="43"/>
        <v>Belum Dapat Ditentukan</v>
      </c>
      <c r="AU228" s="66"/>
      <c r="AV228" s="66"/>
      <c r="AW228" s="66"/>
      <c r="AX228" s="66"/>
      <c r="AY228" s="66"/>
      <c r="AZ228" s="66"/>
      <c r="BA228" s="66"/>
      <c r="BB228" s="178"/>
      <c r="BC228" s="72"/>
      <c r="BD228" s="66"/>
      <c r="BE228" s="178"/>
      <c r="BF228" s="66"/>
    </row>
    <row r="229" spans="1:58">
      <c r="A229" s="66"/>
      <c r="B229" s="66"/>
      <c r="C229" s="66"/>
      <c r="D229" s="66"/>
      <c r="E229" s="66"/>
      <c r="F229" s="66"/>
      <c r="G229" s="66"/>
      <c r="H229" s="66"/>
      <c r="I229" s="66"/>
      <c r="J229" s="66"/>
      <c r="K229" s="66"/>
      <c r="L229" s="66"/>
      <c r="M229" s="66"/>
      <c r="N229" s="66"/>
      <c r="O229" s="66"/>
      <c r="P229" s="66"/>
      <c r="Q229" s="86"/>
      <c r="R229" s="86"/>
      <c r="S229" s="86"/>
      <c r="T229" s="86"/>
      <c r="U229" s="86"/>
      <c r="V229" s="86"/>
      <c r="W229" s="67"/>
      <c r="X229" s="84" t="str">
        <f t="shared" si="33"/>
        <v>Tidak ada faktor rentan</v>
      </c>
      <c r="Y229" s="84" t="str">
        <f t="shared" si="34"/>
        <v>Tidak Ada Faktor Rentan</v>
      </c>
      <c r="Z229" s="85" t="str">
        <f t="shared" si="35"/>
        <v/>
      </c>
      <c r="AA229" s="85">
        <f t="shared" si="36"/>
        <v>0</v>
      </c>
      <c r="AB229" s="85" t="str">
        <f t="shared" si="37"/>
        <v/>
      </c>
      <c r="AC229" s="68"/>
      <c r="AD229" s="68"/>
      <c r="AE229" s="68"/>
      <c r="AF229" s="68"/>
      <c r="AG229" s="68"/>
      <c r="AH229" s="68"/>
      <c r="AI229" s="68"/>
      <c r="AJ229" s="68"/>
      <c r="AK229" s="68"/>
      <c r="AL229" s="68"/>
      <c r="AM229" s="68"/>
      <c r="AN229" s="84" t="str">
        <f t="shared" si="38"/>
        <v>Tidak ada risiko khusus</v>
      </c>
      <c r="AO229" s="84" t="str">
        <f t="shared" si="39"/>
        <v>Tidak Ada Risiko Khusus</v>
      </c>
      <c r="AP229" s="68"/>
      <c r="AQ229" s="71" t="str">
        <f t="shared" si="40"/>
        <v/>
      </c>
      <c r="AR229" s="71">
        <f t="shared" si="41"/>
        <v>0</v>
      </c>
      <c r="AS229" s="71" t="str">
        <f t="shared" si="42"/>
        <v/>
      </c>
      <c r="AT229" s="69" t="str">
        <f t="shared" si="43"/>
        <v>Belum Dapat Ditentukan</v>
      </c>
      <c r="AU229" s="66"/>
      <c r="AV229" s="66"/>
      <c r="AW229" s="66"/>
      <c r="AX229" s="66"/>
      <c r="AY229" s="66"/>
      <c r="AZ229" s="66"/>
      <c r="BA229" s="66"/>
      <c r="BB229" s="178"/>
      <c r="BC229" s="72"/>
      <c r="BD229" s="66"/>
      <c r="BE229" s="178"/>
      <c r="BF229" s="66"/>
    </row>
    <row r="230" spans="1:58">
      <c r="A230" s="66"/>
      <c r="B230" s="66"/>
      <c r="C230" s="66"/>
      <c r="D230" s="66"/>
      <c r="E230" s="66"/>
      <c r="F230" s="66"/>
      <c r="G230" s="66"/>
      <c r="H230" s="66"/>
      <c r="I230" s="66"/>
      <c r="J230" s="66"/>
      <c r="K230" s="66"/>
      <c r="L230" s="66"/>
      <c r="M230" s="66"/>
      <c r="N230" s="66"/>
      <c r="O230" s="66"/>
      <c r="P230" s="66"/>
      <c r="Q230" s="86"/>
      <c r="R230" s="86"/>
      <c r="S230" s="86"/>
      <c r="T230" s="86"/>
      <c r="U230" s="86"/>
      <c r="V230" s="86"/>
      <c r="W230" s="67"/>
      <c r="X230" s="84" t="str">
        <f t="shared" si="33"/>
        <v>Tidak ada faktor rentan</v>
      </c>
      <c r="Y230" s="84" t="str">
        <f t="shared" si="34"/>
        <v>Tidak Ada Faktor Rentan</v>
      </c>
      <c r="Z230" s="85" t="str">
        <f t="shared" si="35"/>
        <v/>
      </c>
      <c r="AA230" s="85">
        <f t="shared" si="36"/>
        <v>0</v>
      </c>
      <c r="AB230" s="85" t="str">
        <f t="shared" si="37"/>
        <v/>
      </c>
      <c r="AC230" s="68"/>
      <c r="AD230" s="68"/>
      <c r="AE230" s="68"/>
      <c r="AF230" s="68"/>
      <c r="AG230" s="68"/>
      <c r="AH230" s="68"/>
      <c r="AI230" s="68"/>
      <c r="AJ230" s="68"/>
      <c r="AK230" s="68"/>
      <c r="AL230" s="68"/>
      <c r="AM230" s="68"/>
      <c r="AN230" s="84" t="str">
        <f t="shared" si="38"/>
        <v>Tidak ada risiko khusus</v>
      </c>
      <c r="AO230" s="84" t="str">
        <f t="shared" si="39"/>
        <v>Tidak Ada Risiko Khusus</v>
      </c>
      <c r="AP230" s="68"/>
      <c r="AQ230" s="71" t="str">
        <f t="shared" si="40"/>
        <v/>
      </c>
      <c r="AR230" s="71">
        <f t="shared" si="41"/>
        <v>0</v>
      </c>
      <c r="AS230" s="71" t="str">
        <f t="shared" si="42"/>
        <v/>
      </c>
      <c r="AT230" s="69" t="str">
        <f t="shared" si="43"/>
        <v>Belum Dapat Ditentukan</v>
      </c>
      <c r="AU230" s="66"/>
      <c r="AV230" s="66"/>
      <c r="AW230" s="66"/>
      <c r="AX230" s="66"/>
      <c r="AY230" s="66"/>
      <c r="AZ230" s="66"/>
      <c r="BA230" s="66"/>
      <c r="BB230" s="178"/>
      <c r="BC230" s="72"/>
      <c r="BD230" s="66"/>
      <c r="BE230" s="178"/>
      <c r="BF230" s="66"/>
    </row>
    <row r="231" spans="1:58">
      <c r="A231" s="66"/>
      <c r="B231" s="66"/>
      <c r="C231" s="66"/>
      <c r="D231" s="66"/>
      <c r="E231" s="66"/>
      <c r="F231" s="66"/>
      <c r="G231" s="66"/>
      <c r="H231" s="66"/>
      <c r="I231" s="66"/>
      <c r="J231" s="66"/>
      <c r="K231" s="66"/>
      <c r="L231" s="66"/>
      <c r="M231" s="66"/>
      <c r="N231" s="66"/>
      <c r="O231" s="66"/>
      <c r="P231" s="66"/>
      <c r="Q231" s="86"/>
      <c r="R231" s="86"/>
      <c r="S231" s="86"/>
      <c r="T231" s="86"/>
      <c r="U231" s="86"/>
      <c r="V231" s="86"/>
      <c r="W231" s="67"/>
      <c r="X231" s="84" t="str">
        <f t="shared" si="33"/>
        <v>Tidak ada faktor rentan</v>
      </c>
      <c r="Y231" s="84" t="str">
        <f t="shared" si="34"/>
        <v>Tidak Ada Faktor Rentan</v>
      </c>
      <c r="Z231" s="85" t="str">
        <f t="shared" si="35"/>
        <v/>
      </c>
      <c r="AA231" s="85">
        <f t="shared" si="36"/>
        <v>0</v>
      </c>
      <c r="AB231" s="85" t="str">
        <f t="shared" si="37"/>
        <v/>
      </c>
      <c r="AC231" s="68"/>
      <c r="AD231" s="68"/>
      <c r="AE231" s="68"/>
      <c r="AF231" s="68"/>
      <c r="AG231" s="68"/>
      <c r="AH231" s="68"/>
      <c r="AI231" s="68"/>
      <c r="AJ231" s="68"/>
      <c r="AK231" s="68"/>
      <c r="AL231" s="68"/>
      <c r="AM231" s="68"/>
      <c r="AN231" s="84" t="str">
        <f t="shared" si="38"/>
        <v>Tidak ada risiko khusus</v>
      </c>
      <c r="AO231" s="84" t="str">
        <f t="shared" si="39"/>
        <v>Tidak Ada Risiko Khusus</v>
      </c>
      <c r="AP231" s="68"/>
      <c r="AQ231" s="71" t="str">
        <f t="shared" si="40"/>
        <v/>
      </c>
      <c r="AR231" s="71">
        <f t="shared" si="41"/>
        <v>0</v>
      </c>
      <c r="AS231" s="71" t="str">
        <f t="shared" si="42"/>
        <v/>
      </c>
      <c r="AT231" s="69" t="str">
        <f t="shared" si="43"/>
        <v>Belum Dapat Ditentukan</v>
      </c>
      <c r="AU231" s="66"/>
      <c r="AV231" s="66"/>
      <c r="AW231" s="66"/>
      <c r="AX231" s="66"/>
      <c r="AY231" s="66"/>
      <c r="AZ231" s="66"/>
      <c r="BA231" s="66"/>
      <c r="BB231" s="178"/>
      <c r="BC231" s="72"/>
      <c r="BD231" s="66"/>
      <c r="BE231" s="178"/>
      <c r="BF231" s="66"/>
    </row>
    <row r="232" spans="1:58">
      <c r="A232" s="66"/>
      <c r="B232" s="66"/>
      <c r="C232" s="66"/>
      <c r="D232" s="66"/>
      <c r="E232" s="66"/>
      <c r="F232" s="66"/>
      <c r="G232" s="66"/>
      <c r="H232" s="66"/>
      <c r="I232" s="66"/>
      <c r="J232" s="66"/>
      <c r="K232" s="66"/>
      <c r="L232" s="66"/>
      <c r="M232" s="66"/>
      <c r="N232" s="66"/>
      <c r="O232" s="66"/>
      <c r="P232" s="66"/>
      <c r="Q232" s="86"/>
      <c r="R232" s="86"/>
      <c r="S232" s="86"/>
      <c r="T232" s="86"/>
      <c r="U232" s="86"/>
      <c r="V232" s="86"/>
      <c r="W232" s="67"/>
      <c r="X232" s="84" t="str">
        <f t="shared" si="33"/>
        <v>Tidak ada faktor rentan</v>
      </c>
      <c r="Y232" s="84" t="str">
        <f t="shared" si="34"/>
        <v>Tidak Ada Faktor Rentan</v>
      </c>
      <c r="Z232" s="85" t="str">
        <f t="shared" si="35"/>
        <v/>
      </c>
      <c r="AA232" s="85">
        <f t="shared" si="36"/>
        <v>0</v>
      </c>
      <c r="AB232" s="85" t="str">
        <f t="shared" si="37"/>
        <v/>
      </c>
      <c r="AC232" s="68"/>
      <c r="AD232" s="68"/>
      <c r="AE232" s="68"/>
      <c r="AF232" s="68"/>
      <c r="AG232" s="68"/>
      <c r="AH232" s="68"/>
      <c r="AI232" s="68"/>
      <c r="AJ232" s="68"/>
      <c r="AK232" s="68"/>
      <c r="AL232" s="68"/>
      <c r="AM232" s="68"/>
      <c r="AN232" s="84" t="str">
        <f t="shared" si="38"/>
        <v>Tidak ada risiko khusus</v>
      </c>
      <c r="AO232" s="84" t="str">
        <f t="shared" si="39"/>
        <v>Tidak Ada Risiko Khusus</v>
      </c>
      <c r="AP232" s="68"/>
      <c r="AQ232" s="71" t="str">
        <f t="shared" si="40"/>
        <v/>
      </c>
      <c r="AR232" s="71">
        <f t="shared" si="41"/>
        <v>0</v>
      </c>
      <c r="AS232" s="71" t="str">
        <f t="shared" si="42"/>
        <v/>
      </c>
      <c r="AT232" s="69" t="str">
        <f t="shared" si="43"/>
        <v>Belum Dapat Ditentukan</v>
      </c>
      <c r="AU232" s="66"/>
      <c r="AV232" s="66"/>
      <c r="AW232" s="66"/>
      <c r="AX232" s="66"/>
      <c r="AY232" s="66"/>
      <c r="AZ232" s="66"/>
      <c r="BA232" s="66"/>
      <c r="BB232" s="178"/>
      <c r="BC232" s="72"/>
      <c r="BD232" s="66"/>
      <c r="BE232" s="178"/>
      <c r="BF232" s="66"/>
    </row>
    <row r="233" spans="1:58">
      <c r="A233" s="66"/>
      <c r="B233" s="66"/>
      <c r="C233" s="66"/>
      <c r="D233" s="66"/>
      <c r="E233" s="66"/>
      <c r="F233" s="66"/>
      <c r="G233" s="66"/>
      <c r="H233" s="66"/>
      <c r="I233" s="66"/>
      <c r="J233" s="66"/>
      <c r="K233" s="66"/>
      <c r="L233" s="66"/>
      <c r="M233" s="66"/>
      <c r="N233" s="66"/>
      <c r="O233" s="66"/>
      <c r="P233" s="66"/>
      <c r="Q233" s="86"/>
      <c r="R233" s="86"/>
      <c r="S233" s="86"/>
      <c r="T233" s="86"/>
      <c r="U233" s="86"/>
      <c r="V233" s="86"/>
      <c r="W233" s="67"/>
      <c r="X233" s="84" t="str">
        <f t="shared" si="33"/>
        <v>Tidak ada faktor rentan</v>
      </c>
      <c r="Y233" s="84" t="str">
        <f t="shared" si="34"/>
        <v>Tidak Ada Faktor Rentan</v>
      </c>
      <c r="Z233" s="85" t="str">
        <f t="shared" si="35"/>
        <v/>
      </c>
      <c r="AA233" s="85">
        <f t="shared" si="36"/>
        <v>0</v>
      </c>
      <c r="AB233" s="85" t="str">
        <f t="shared" si="37"/>
        <v/>
      </c>
      <c r="AC233" s="68"/>
      <c r="AD233" s="68"/>
      <c r="AE233" s="68"/>
      <c r="AF233" s="68"/>
      <c r="AG233" s="68"/>
      <c r="AH233" s="68"/>
      <c r="AI233" s="68"/>
      <c r="AJ233" s="68"/>
      <c r="AK233" s="68"/>
      <c r="AL233" s="68"/>
      <c r="AM233" s="68"/>
      <c r="AN233" s="84" t="str">
        <f t="shared" si="38"/>
        <v>Tidak ada risiko khusus</v>
      </c>
      <c r="AO233" s="84" t="str">
        <f t="shared" si="39"/>
        <v>Tidak Ada Risiko Khusus</v>
      </c>
      <c r="AP233" s="68"/>
      <c r="AQ233" s="71" t="str">
        <f t="shared" si="40"/>
        <v/>
      </c>
      <c r="AR233" s="71">
        <f t="shared" si="41"/>
        <v>0</v>
      </c>
      <c r="AS233" s="71" t="str">
        <f t="shared" si="42"/>
        <v/>
      </c>
      <c r="AT233" s="69" t="str">
        <f t="shared" si="43"/>
        <v>Belum Dapat Ditentukan</v>
      </c>
      <c r="AU233" s="66"/>
      <c r="AV233" s="66"/>
      <c r="AW233" s="66"/>
      <c r="AX233" s="66"/>
      <c r="AY233" s="66"/>
      <c r="AZ233" s="66"/>
      <c r="BA233" s="66"/>
      <c r="BB233" s="178"/>
      <c r="BC233" s="72"/>
      <c r="BD233" s="66"/>
      <c r="BE233" s="178"/>
      <c r="BF233" s="66"/>
    </row>
    <row r="234" spans="1:58">
      <c r="A234" s="66"/>
      <c r="B234" s="66"/>
      <c r="C234" s="66"/>
      <c r="D234" s="66"/>
      <c r="E234" s="66"/>
      <c r="F234" s="66"/>
      <c r="G234" s="66"/>
      <c r="H234" s="66"/>
      <c r="I234" s="66"/>
      <c r="J234" s="66"/>
      <c r="K234" s="66"/>
      <c r="L234" s="66"/>
      <c r="M234" s="66"/>
      <c r="N234" s="66"/>
      <c r="O234" s="66"/>
      <c r="P234" s="66"/>
      <c r="Q234" s="86"/>
      <c r="R234" s="86"/>
      <c r="S234" s="86"/>
      <c r="T234" s="86"/>
      <c r="U234" s="86"/>
      <c r="V234" s="86"/>
      <c r="W234" s="67"/>
      <c r="X234" s="84" t="str">
        <f t="shared" si="33"/>
        <v>Tidak ada faktor rentan</v>
      </c>
      <c r="Y234" s="84" t="str">
        <f t="shared" si="34"/>
        <v>Tidak Ada Faktor Rentan</v>
      </c>
      <c r="Z234" s="85" t="str">
        <f t="shared" si="35"/>
        <v/>
      </c>
      <c r="AA234" s="85">
        <f t="shared" si="36"/>
        <v>0</v>
      </c>
      <c r="AB234" s="85" t="str">
        <f t="shared" si="37"/>
        <v/>
      </c>
      <c r="AC234" s="68"/>
      <c r="AD234" s="68"/>
      <c r="AE234" s="68"/>
      <c r="AF234" s="68"/>
      <c r="AG234" s="68"/>
      <c r="AH234" s="68"/>
      <c r="AI234" s="68"/>
      <c r="AJ234" s="68"/>
      <c r="AK234" s="68"/>
      <c r="AL234" s="68"/>
      <c r="AM234" s="68"/>
      <c r="AN234" s="84" t="str">
        <f t="shared" si="38"/>
        <v>Tidak ada risiko khusus</v>
      </c>
      <c r="AO234" s="84" t="str">
        <f t="shared" si="39"/>
        <v>Tidak Ada Risiko Khusus</v>
      </c>
      <c r="AP234" s="68"/>
      <c r="AQ234" s="71" t="str">
        <f t="shared" si="40"/>
        <v/>
      </c>
      <c r="AR234" s="71">
        <f t="shared" si="41"/>
        <v>0</v>
      </c>
      <c r="AS234" s="71" t="str">
        <f t="shared" si="42"/>
        <v/>
      </c>
      <c r="AT234" s="69" t="str">
        <f t="shared" si="43"/>
        <v>Belum Dapat Ditentukan</v>
      </c>
      <c r="AU234" s="66"/>
      <c r="AV234" s="66"/>
      <c r="AW234" s="66"/>
      <c r="AX234" s="66"/>
      <c r="AY234" s="66"/>
      <c r="AZ234" s="66"/>
      <c r="BA234" s="66"/>
      <c r="BB234" s="178"/>
      <c r="BC234" s="72"/>
      <c r="BD234" s="66"/>
      <c r="BE234" s="178"/>
      <c r="BF234" s="66"/>
    </row>
    <row r="235" spans="1:58">
      <c r="A235" s="66"/>
      <c r="B235" s="66"/>
      <c r="C235" s="66"/>
      <c r="D235" s="66"/>
      <c r="E235" s="66"/>
      <c r="F235" s="66"/>
      <c r="G235" s="66"/>
      <c r="H235" s="66"/>
      <c r="I235" s="66"/>
      <c r="J235" s="66"/>
      <c r="K235" s="66"/>
      <c r="L235" s="66"/>
      <c r="M235" s="66"/>
      <c r="N235" s="66"/>
      <c r="O235" s="66"/>
      <c r="P235" s="66"/>
      <c r="Q235" s="86"/>
      <c r="R235" s="86"/>
      <c r="S235" s="86"/>
      <c r="T235" s="86"/>
      <c r="U235" s="86"/>
      <c r="V235" s="86"/>
      <c r="W235" s="67"/>
      <c r="X235" s="84" t="str">
        <f t="shared" si="33"/>
        <v>Tidak ada faktor rentan</v>
      </c>
      <c r="Y235" s="84" t="str">
        <f t="shared" si="34"/>
        <v>Tidak Ada Faktor Rentan</v>
      </c>
      <c r="Z235" s="85" t="str">
        <f t="shared" si="35"/>
        <v/>
      </c>
      <c r="AA235" s="85">
        <f t="shared" si="36"/>
        <v>0</v>
      </c>
      <c r="AB235" s="85" t="str">
        <f t="shared" si="37"/>
        <v/>
      </c>
      <c r="AC235" s="68"/>
      <c r="AD235" s="68"/>
      <c r="AE235" s="68"/>
      <c r="AF235" s="68"/>
      <c r="AG235" s="68"/>
      <c r="AH235" s="68"/>
      <c r="AI235" s="68"/>
      <c r="AJ235" s="68"/>
      <c r="AK235" s="68"/>
      <c r="AL235" s="68"/>
      <c r="AM235" s="68"/>
      <c r="AN235" s="84" t="str">
        <f t="shared" si="38"/>
        <v>Tidak ada risiko khusus</v>
      </c>
      <c r="AO235" s="84" t="str">
        <f t="shared" si="39"/>
        <v>Tidak Ada Risiko Khusus</v>
      </c>
      <c r="AP235" s="68"/>
      <c r="AQ235" s="71" t="str">
        <f t="shared" si="40"/>
        <v/>
      </c>
      <c r="AR235" s="71">
        <f t="shared" si="41"/>
        <v>0</v>
      </c>
      <c r="AS235" s="71" t="str">
        <f t="shared" si="42"/>
        <v/>
      </c>
      <c r="AT235" s="69" t="str">
        <f t="shared" si="43"/>
        <v>Belum Dapat Ditentukan</v>
      </c>
      <c r="AU235" s="66"/>
      <c r="AV235" s="66"/>
      <c r="AW235" s="66"/>
      <c r="AX235" s="66"/>
      <c r="AY235" s="66"/>
      <c r="AZ235" s="66"/>
      <c r="BA235" s="66"/>
      <c r="BB235" s="178"/>
      <c r="BC235" s="72"/>
      <c r="BD235" s="66"/>
      <c r="BE235" s="178"/>
      <c r="BF235" s="66"/>
    </row>
    <row r="236" spans="1:58">
      <c r="A236" s="66"/>
      <c r="B236" s="66"/>
      <c r="C236" s="66"/>
      <c r="D236" s="66"/>
      <c r="E236" s="66"/>
      <c r="F236" s="66"/>
      <c r="G236" s="66"/>
      <c r="H236" s="66"/>
      <c r="I236" s="66"/>
      <c r="J236" s="66"/>
      <c r="K236" s="66"/>
      <c r="L236" s="66"/>
      <c r="M236" s="66"/>
      <c r="N236" s="66"/>
      <c r="O236" s="66"/>
      <c r="P236" s="66"/>
      <c r="Q236" s="86"/>
      <c r="R236" s="86"/>
      <c r="S236" s="86"/>
      <c r="T236" s="86"/>
      <c r="U236" s="86"/>
      <c r="V236" s="86"/>
      <c r="W236" s="67"/>
      <c r="X236" s="84" t="str">
        <f t="shared" si="33"/>
        <v>Tidak ada faktor rentan</v>
      </c>
      <c r="Y236" s="84" t="str">
        <f t="shared" si="34"/>
        <v>Tidak Ada Faktor Rentan</v>
      </c>
      <c r="Z236" s="85" t="str">
        <f t="shared" si="35"/>
        <v/>
      </c>
      <c r="AA236" s="85">
        <f t="shared" si="36"/>
        <v>0</v>
      </c>
      <c r="AB236" s="85" t="str">
        <f t="shared" si="37"/>
        <v/>
      </c>
      <c r="AC236" s="68"/>
      <c r="AD236" s="68"/>
      <c r="AE236" s="68"/>
      <c r="AF236" s="68"/>
      <c r="AG236" s="68"/>
      <c r="AH236" s="68"/>
      <c r="AI236" s="68"/>
      <c r="AJ236" s="68"/>
      <c r="AK236" s="68"/>
      <c r="AL236" s="68"/>
      <c r="AM236" s="68"/>
      <c r="AN236" s="84" t="str">
        <f t="shared" si="38"/>
        <v>Tidak ada risiko khusus</v>
      </c>
      <c r="AO236" s="84" t="str">
        <f t="shared" si="39"/>
        <v>Tidak Ada Risiko Khusus</v>
      </c>
      <c r="AP236" s="68"/>
      <c r="AQ236" s="71" t="str">
        <f t="shared" si="40"/>
        <v/>
      </c>
      <c r="AR236" s="71">
        <f t="shared" si="41"/>
        <v>0</v>
      </c>
      <c r="AS236" s="71" t="str">
        <f t="shared" si="42"/>
        <v/>
      </c>
      <c r="AT236" s="69" t="str">
        <f t="shared" si="43"/>
        <v>Belum Dapat Ditentukan</v>
      </c>
      <c r="AU236" s="66"/>
      <c r="AV236" s="66"/>
      <c r="AW236" s="66"/>
      <c r="AX236" s="66"/>
      <c r="AY236" s="66"/>
      <c r="AZ236" s="66"/>
      <c r="BA236" s="66"/>
      <c r="BB236" s="178"/>
      <c r="BC236" s="72"/>
      <c r="BD236" s="66"/>
      <c r="BE236" s="178"/>
      <c r="BF236" s="66"/>
    </row>
    <row r="237" spans="1:58">
      <c r="A237" s="66"/>
      <c r="B237" s="66"/>
      <c r="C237" s="66"/>
      <c r="D237" s="66"/>
      <c r="E237" s="66"/>
      <c r="F237" s="66"/>
      <c r="G237" s="66"/>
      <c r="H237" s="66"/>
      <c r="I237" s="66"/>
      <c r="J237" s="66"/>
      <c r="K237" s="66"/>
      <c r="L237" s="66"/>
      <c r="M237" s="66"/>
      <c r="N237" s="66"/>
      <c r="O237" s="66"/>
      <c r="P237" s="66"/>
      <c r="Q237" s="86"/>
      <c r="R237" s="86"/>
      <c r="S237" s="86"/>
      <c r="T237" s="86"/>
      <c r="U237" s="86"/>
      <c r="V237" s="86"/>
      <c r="W237" s="67"/>
      <c r="X237" s="84" t="str">
        <f t="shared" si="33"/>
        <v>Tidak ada faktor rentan</v>
      </c>
      <c r="Y237" s="84" t="str">
        <f t="shared" si="34"/>
        <v>Tidak Ada Faktor Rentan</v>
      </c>
      <c r="Z237" s="85" t="str">
        <f t="shared" si="35"/>
        <v/>
      </c>
      <c r="AA237" s="85">
        <f t="shared" si="36"/>
        <v>0</v>
      </c>
      <c r="AB237" s="85" t="str">
        <f t="shared" si="37"/>
        <v/>
      </c>
      <c r="AC237" s="68"/>
      <c r="AD237" s="68"/>
      <c r="AE237" s="68"/>
      <c r="AF237" s="68"/>
      <c r="AG237" s="68"/>
      <c r="AH237" s="68"/>
      <c r="AI237" s="68"/>
      <c r="AJ237" s="68"/>
      <c r="AK237" s="68"/>
      <c r="AL237" s="68"/>
      <c r="AM237" s="68"/>
      <c r="AN237" s="84" t="str">
        <f t="shared" si="38"/>
        <v>Tidak ada risiko khusus</v>
      </c>
      <c r="AO237" s="84" t="str">
        <f t="shared" si="39"/>
        <v>Tidak Ada Risiko Khusus</v>
      </c>
      <c r="AP237" s="68"/>
      <c r="AQ237" s="71" t="str">
        <f t="shared" si="40"/>
        <v/>
      </c>
      <c r="AR237" s="71">
        <f t="shared" si="41"/>
        <v>0</v>
      </c>
      <c r="AS237" s="71" t="str">
        <f t="shared" si="42"/>
        <v/>
      </c>
      <c r="AT237" s="69" t="str">
        <f t="shared" si="43"/>
        <v>Belum Dapat Ditentukan</v>
      </c>
      <c r="AU237" s="66"/>
      <c r="AV237" s="66"/>
      <c r="AW237" s="66"/>
      <c r="AX237" s="66"/>
      <c r="AY237" s="66"/>
      <c r="AZ237" s="66"/>
      <c r="BA237" s="66"/>
      <c r="BB237" s="178"/>
      <c r="BC237" s="72"/>
      <c r="BD237" s="66"/>
      <c r="BE237" s="178"/>
      <c r="BF237" s="66"/>
    </row>
    <row r="238" spans="1:58">
      <c r="A238" s="66"/>
      <c r="B238" s="66"/>
      <c r="C238" s="66"/>
      <c r="D238" s="66"/>
      <c r="E238" s="66"/>
      <c r="F238" s="66"/>
      <c r="G238" s="66"/>
      <c r="H238" s="66"/>
      <c r="I238" s="66"/>
      <c r="J238" s="66"/>
      <c r="K238" s="66"/>
      <c r="L238" s="66"/>
      <c r="M238" s="66"/>
      <c r="N238" s="66"/>
      <c r="O238" s="66"/>
      <c r="P238" s="66"/>
      <c r="Q238" s="86"/>
      <c r="R238" s="86"/>
      <c r="S238" s="86"/>
      <c r="T238" s="86"/>
      <c r="U238" s="86"/>
      <c r="V238" s="86"/>
      <c r="W238" s="67"/>
      <c r="X238" s="84" t="str">
        <f t="shared" si="33"/>
        <v>Tidak ada faktor rentan</v>
      </c>
      <c r="Y238" s="84" t="str">
        <f t="shared" si="34"/>
        <v>Tidak Ada Faktor Rentan</v>
      </c>
      <c r="Z238" s="85" t="str">
        <f t="shared" si="35"/>
        <v/>
      </c>
      <c r="AA238" s="85">
        <f t="shared" si="36"/>
        <v>0</v>
      </c>
      <c r="AB238" s="85" t="str">
        <f t="shared" si="37"/>
        <v/>
      </c>
      <c r="AC238" s="68"/>
      <c r="AD238" s="68"/>
      <c r="AE238" s="68"/>
      <c r="AF238" s="68"/>
      <c r="AG238" s="68"/>
      <c r="AH238" s="68"/>
      <c r="AI238" s="68"/>
      <c r="AJ238" s="68"/>
      <c r="AK238" s="68"/>
      <c r="AL238" s="68"/>
      <c r="AM238" s="68"/>
      <c r="AN238" s="84" t="str">
        <f t="shared" si="38"/>
        <v>Tidak ada risiko khusus</v>
      </c>
      <c r="AO238" s="84" t="str">
        <f t="shared" si="39"/>
        <v>Tidak Ada Risiko Khusus</v>
      </c>
      <c r="AP238" s="68"/>
      <c r="AQ238" s="71" t="str">
        <f t="shared" si="40"/>
        <v/>
      </c>
      <c r="AR238" s="71">
        <f t="shared" si="41"/>
        <v>0</v>
      </c>
      <c r="AS238" s="71" t="str">
        <f t="shared" si="42"/>
        <v/>
      </c>
      <c r="AT238" s="69" t="str">
        <f t="shared" si="43"/>
        <v>Belum Dapat Ditentukan</v>
      </c>
      <c r="AU238" s="66"/>
      <c r="AV238" s="66"/>
      <c r="AW238" s="66"/>
      <c r="AX238" s="66"/>
      <c r="AY238" s="66"/>
      <c r="AZ238" s="66"/>
      <c r="BA238" s="66"/>
      <c r="BB238" s="178"/>
      <c r="BC238" s="72"/>
      <c r="BD238" s="66"/>
      <c r="BE238" s="178"/>
      <c r="BF238" s="66"/>
    </row>
    <row r="239" spans="1:58">
      <c r="A239" s="66"/>
      <c r="B239" s="66"/>
      <c r="C239" s="66"/>
      <c r="D239" s="66"/>
      <c r="E239" s="66"/>
      <c r="F239" s="66"/>
      <c r="G239" s="66"/>
      <c r="H239" s="66"/>
      <c r="I239" s="66"/>
      <c r="J239" s="66"/>
      <c r="K239" s="66"/>
      <c r="L239" s="66"/>
      <c r="M239" s="66"/>
      <c r="N239" s="66"/>
      <c r="O239" s="66"/>
      <c r="P239" s="66"/>
      <c r="Q239" s="86"/>
      <c r="R239" s="86"/>
      <c r="S239" s="86"/>
      <c r="T239" s="86"/>
      <c r="U239" s="86"/>
      <c r="V239" s="86"/>
      <c r="W239" s="67"/>
      <c r="X239" s="84" t="str">
        <f t="shared" si="33"/>
        <v>Tidak ada faktor rentan</v>
      </c>
      <c r="Y239" s="84" t="str">
        <f t="shared" si="34"/>
        <v>Tidak Ada Faktor Rentan</v>
      </c>
      <c r="Z239" s="85" t="str">
        <f t="shared" si="35"/>
        <v/>
      </c>
      <c r="AA239" s="85">
        <f t="shared" si="36"/>
        <v>0</v>
      </c>
      <c r="AB239" s="85" t="str">
        <f t="shared" si="37"/>
        <v/>
      </c>
      <c r="AC239" s="68"/>
      <c r="AD239" s="68"/>
      <c r="AE239" s="68"/>
      <c r="AF239" s="68"/>
      <c r="AG239" s="68"/>
      <c r="AH239" s="68"/>
      <c r="AI239" s="68"/>
      <c r="AJ239" s="68"/>
      <c r="AK239" s="68"/>
      <c r="AL239" s="68"/>
      <c r="AM239" s="68"/>
      <c r="AN239" s="84" t="str">
        <f t="shared" si="38"/>
        <v>Tidak ada risiko khusus</v>
      </c>
      <c r="AO239" s="84" t="str">
        <f t="shared" si="39"/>
        <v>Tidak Ada Risiko Khusus</v>
      </c>
      <c r="AP239" s="68"/>
      <c r="AQ239" s="71" t="str">
        <f t="shared" si="40"/>
        <v/>
      </c>
      <c r="AR239" s="71">
        <f t="shared" si="41"/>
        <v>0</v>
      </c>
      <c r="AS239" s="71" t="str">
        <f t="shared" si="42"/>
        <v/>
      </c>
      <c r="AT239" s="69" t="str">
        <f t="shared" si="43"/>
        <v>Belum Dapat Ditentukan</v>
      </c>
      <c r="AU239" s="66"/>
      <c r="AV239" s="66"/>
      <c r="AW239" s="66"/>
      <c r="AX239" s="66"/>
      <c r="AY239" s="66"/>
      <c r="AZ239" s="66"/>
      <c r="BA239" s="66"/>
      <c r="BB239" s="178"/>
      <c r="BC239" s="72"/>
      <c r="BD239" s="66"/>
      <c r="BE239" s="178"/>
      <c r="BF239" s="66"/>
    </row>
    <row r="240" spans="1:58">
      <c r="A240" s="66"/>
      <c r="B240" s="66"/>
      <c r="C240" s="66"/>
      <c r="D240" s="66"/>
      <c r="E240" s="66"/>
      <c r="F240" s="66"/>
      <c r="G240" s="66"/>
      <c r="H240" s="66"/>
      <c r="I240" s="66"/>
      <c r="J240" s="66"/>
      <c r="K240" s="66"/>
      <c r="L240" s="66"/>
      <c r="M240" s="66"/>
      <c r="N240" s="66"/>
      <c r="O240" s="66"/>
      <c r="P240" s="66"/>
      <c r="Q240" s="86"/>
      <c r="R240" s="86"/>
      <c r="S240" s="86"/>
      <c r="T240" s="86"/>
      <c r="U240" s="86"/>
      <c r="V240" s="86"/>
      <c r="W240" s="67"/>
      <c r="X240" s="84" t="str">
        <f t="shared" si="33"/>
        <v>Tidak ada faktor rentan</v>
      </c>
      <c r="Y240" s="84" t="str">
        <f t="shared" si="34"/>
        <v>Tidak Ada Faktor Rentan</v>
      </c>
      <c r="Z240" s="85" t="str">
        <f t="shared" si="35"/>
        <v/>
      </c>
      <c r="AA240" s="85">
        <f t="shared" si="36"/>
        <v>0</v>
      </c>
      <c r="AB240" s="85" t="str">
        <f t="shared" si="37"/>
        <v/>
      </c>
      <c r="AC240" s="68"/>
      <c r="AD240" s="68"/>
      <c r="AE240" s="68"/>
      <c r="AF240" s="68"/>
      <c r="AG240" s="68"/>
      <c r="AH240" s="68"/>
      <c r="AI240" s="68"/>
      <c r="AJ240" s="68"/>
      <c r="AK240" s="68"/>
      <c r="AL240" s="68"/>
      <c r="AM240" s="68"/>
      <c r="AN240" s="84" t="str">
        <f t="shared" si="38"/>
        <v>Tidak ada risiko khusus</v>
      </c>
      <c r="AO240" s="84" t="str">
        <f t="shared" si="39"/>
        <v>Tidak Ada Risiko Khusus</v>
      </c>
      <c r="AP240" s="68"/>
      <c r="AQ240" s="71" t="str">
        <f t="shared" si="40"/>
        <v/>
      </c>
      <c r="AR240" s="71">
        <f t="shared" si="41"/>
        <v>0</v>
      </c>
      <c r="AS240" s="71" t="str">
        <f t="shared" si="42"/>
        <v/>
      </c>
      <c r="AT240" s="69" t="str">
        <f t="shared" si="43"/>
        <v>Belum Dapat Ditentukan</v>
      </c>
      <c r="AU240" s="66"/>
      <c r="AV240" s="66"/>
      <c r="AW240" s="66"/>
      <c r="AX240" s="66"/>
      <c r="AY240" s="66"/>
      <c r="AZ240" s="66"/>
      <c r="BA240" s="66"/>
      <c r="BB240" s="178"/>
      <c r="BC240" s="72"/>
      <c r="BD240" s="66"/>
      <c r="BE240" s="178"/>
      <c r="BF240" s="66"/>
    </row>
    <row r="241" spans="1:58">
      <c r="A241" s="66"/>
      <c r="B241" s="66"/>
      <c r="C241" s="66"/>
      <c r="D241" s="66"/>
      <c r="E241" s="66"/>
      <c r="F241" s="66"/>
      <c r="G241" s="66"/>
      <c r="H241" s="66"/>
      <c r="I241" s="66"/>
      <c r="J241" s="66"/>
      <c r="K241" s="66"/>
      <c r="L241" s="66"/>
      <c r="M241" s="66"/>
      <c r="N241" s="66"/>
      <c r="O241" s="66"/>
      <c r="P241" s="66"/>
      <c r="Q241" s="86"/>
      <c r="R241" s="86"/>
      <c r="S241" s="86"/>
      <c r="T241" s="86"/>
      <c r="U241" s="86"/>
      <c r="V241" s="86"/>
      <c r="W241" s="67"/>
      <c r="X241" s="84" t="str">
        <f t="shared" si="33"/>
        <v>Tidak ada faktor rentan</v>
      </c>
      <c r="Y241" s="84" t="str">
        <f t="shared" si="34"/>
        <v>Tidak Ada Faktor Rentan</v>
      </c>
      <c r="Z241" s="85" t="str">
        <f t="shared" si="35"/>
        <v/>
      </c>
      <c r="AA241" s="85">
        <f t="shared" si="36"/>
        <v>0</v>
      </c>
      <c r="AB241" s="85" t="str">
        <f t="shared" si="37"/>
        <v/>
      </c>
      <c r="AC241" s="68"/>
      <c r="AD241" s="68"/>
      <c r="AE241" s="68"/>
      <c r="AF241" s="68"/>
      <c r="AG241" s="68"/>
      <c r="AH241" s="68"/>
      <c r="AI241" s="68"/>
      <c r="AJ241" s="68"/>
      <c r="AK241" s="68"/>
      <c r="AL241" s="68"/>
      <c r="AM241" s="68"/>
      <c r="AN241" s="84" t="str">
        <f t="shared" si="38"/>
        <v>Tidak ada risiko khusus</v>
      </c>
      <c r="AO241" s="84" t="str">
        <f t="shared" si="39"/>
        <v>Tidak Ada Risiko Khusus</v>
      </c>
      <c r="AP241" s="68"/>
      <c r="AQ241" s="71" t="str">
        <f t="shared" si="40"/>
        <v/>
      </c>
      <c r="AR241" s="71">
        <f t="shared" si="41"/>
        <v>0</v>
      </c>
      <c r="AS241" s="71" t="str">
        <f t="shared" si="42"/>
        <v/>
      </c>
      <c r="AT241" s="69" t="str">
        <f t="shared" si="43"/>
        <v>Belum Dapat Ditentukan</v>
      </c>
      <c r="AU241" s="66"/>
      <c r="AV241" s="66"/>
      <c r="AW241" s="66"/>
      <c r="AX241" s="66"/>
      <c r="AY241" s="66"/>
      <c r="AZ241" s="66"/>
      <c r="BA241" s="66"/>
      <c r="BB241" s="178"/>
      <c r="BC241" s="72"/>
      <c r="BD241" s="66"/>
      <c r="BE241" s="178"/>
      <c r="BF241" s="66"/>
    </row>
    <row r="242" spans="1:58">
      <c r="A242" s="66"/>
      <c r="B242" s="66"/>
      <c r="C242" s="66"/>
      <c r="D242" s="66"/>
      <c r="E242" s="66"/>
      <c r="F242" s="66"/>
      <c r="G242" s="66"/>
      <c r="H242" s="66"/>
      <c r="I242" s="66"/>
      <c r="J242" s="66"/>
      <c r="K242" s="66"/>
      <c r="L242" s="66"/>
      <c r="M242" s="66"/>
      <c r="N242" s="66"/>
      <c r="O242" s="66"/>
      <c r="P242" s="66"/>
      <c r="Q242" s="86"/>
      <c r="R242" s="86"/>
      <c r="S242" s="86"/>
      <c r="T242" s="86"/>
      <c r="U242" s="86"/>
      <c r="V242" s="86"/>
      <c r="W242" s="67"/>
      <c r="X242" s="84" t="str">
        <f t="shared" si="33"/>
        <v>Tidak ada faktor rentan</v>
      </c>
      <c r="Y242" s="84" t="str">
        <f t="shared" si="34"/>
        <v>Tidak Ada Faktor Rentan</v>
      </c>
      <c r="Z242" s="85" t="str">
        <f t="shared" si="35"/>
        <v/>
      </c>
      <c r="AA242" s="85">
        <f t="shared" si="36"/>
        <v>0</v>
      </c>
      <c r="AB242" s="85" t="str">
        <f t="shared" si="37"/>
        <v/>
      </c>
      <c r="AC242" s="68"/>
      <c r="AD242" s="68"/>
      <c r="AE242" s="68"/>
      <c r="AF242" s="68"/>
      <c r="AG242" s="68"/>
      <c r="AH242" s="68"/>
      <c r="AI242" s="68"/>
      <c r="AJ242" s="68"/>
      <c r="AK242" s="68"/>
      <c r="AL242" s="68"/>
      <c r="AM242" s="68"/>
      <c r="AN242" s="84" t="str">
        <f t="shared" si="38"/>
        <v>Tidak ada risiko khusus</v>
      </c>
      <c r="AO242" s="84" t="str">
        <f t="shared" si="39"/>
        <v>Tidak Ada Risiko Khusus</v>
      </c>
      <c r="AP242" s="68"/>
      <c r="AQ242" s="71" t="str">
        <f t="shared" si="40"/>
        <v/>
      </c>
      <c r="AR242" s="71">
        <f t="shared" si="41"/>
        <v>0</v>
      </c>
      <c r="AS242" s="71" t="str">
        <f t="shared" si="42"/>
        <v/>
      </c>
      <c r="AT242" s="69" t="str">
        <f t="shared" si="43"/>
        <v>Belum Dapat Ditentukan</v>
      </c>
      <c r="AU242" s="66"/>
      <c r="AV242" s="66"/>
      <c r="AW242" s="66"/>
      <c r="AX242" s="66"/>
      <c r="AY242" s="66"/>
      <c r="AZ242" s="66"/>
      <c r="BA242" s="66"/>
      <c r="BB242" s="178"/>
      <c r="BC242" s="72"/>
      <c r="BD242" s="66"/>
      <c r="BE242" s="178"/>
      <c r="BF242" s="66"/>
    </row>
    <row r="243" spans="1:58">
      <c r="A243" s="66"/>
      <c r="B243" s="66"/>
      <c r="C243" s="66"/>
      <c r="D243" s="66"/>
      <c r="E243" s="66"/>
      <c r="F243" s="66"/>
      <c r="G243" s="66"/>
      <c r="H243" s="66"/>
      <c r="I243" s="66"/>
      <c r="J243" s="66"/>
      <c r="K243" s="66"/>
      <c r="L243" s="66"/>
      <c r="M243" s="66"/>
      <c r="N243" s="66"/>
      <c r="O243" s="66"/>
      <c r="P243" s="66"/>
      <c r="Q243" s="86"/>
      <c r="R243" s="86"/>
      <c r="S243" s="86"/>
      <c r="T243" s="86"/>
      <c r="U243" s="86"/>
      <c r="V243" s="86"/>
      <c r="W243" s="67"/>
      <c r="X243" s="84" t="str">
        <f t="shared" si="33"/>
        <v>Tidak ada faktor rentan</v>
      </c>
      <c r="Y243" s="84" t="str">
        <f t="shared" si="34"/>
        <v>Tidak Ada Faktor Rentan</v>
      </c>
      <c r="Z243" s="85" t="str">
        <f t="shared" si="35"/>
        <v/>
      </c>
      <c r="AA243" s="85">
        <f t="shared" si="36"/>
        <v>0</v>
      </c>
      <c r="AB243" s="85" t="str">
        <f t="shared" si="37"/>
        <v/>
      </c>
      <c r="AC243" s="68"/>
      <c r="AD243" s="68"/>
      <c r="AE243" s="68"/>
      <c r="AF243" s="68"/>
      <c r="AG243" s="68"/>
      <c r="AH243" s="68"/>
      <c r="AI243" s="68"/>
      <c r="AJ243" s="68"/>
      <c r="AK243" s="68"/>
      <c r="AL243" s="68"/>
      <c r="AM243" s="68"/>
      <c r="AN243" s="84" t="str">
        <f t="shared" si="38"/>
        <v>Tidak ada risiko khusus</v>
      </c>
      <c r="AO243" s="84" t="str">
        <f t="shared" si="39"/>
        <v>Tidak Ada Risiko Khusus</v>
      </c>
      <c r="AP243" s="68"/>
      <c r="AQ243" s="71" t="str">
        <f t="shared" si="40"/>
        <v/>
      </c>
      <c r="AR243" s="71">
        <f t="shared" si="41"/>
        <v>0</v>
      </c>
      <c r="AS243" s="71" t="str">
        <f t="shared" si="42"/>
        <v/>
      </c>
      <c r="AT243" s="69" t="str">
        <f t="shared" si="43"/>
        <v>Belum Dapat Ditentukan</v>
      </c>
      <c r="AU243" s="66"/>
      <c r="AV243" s="66"/>
      <c r="AW243" s="66"/>
      <c r="AX243" s="66"/>
      <c r="AY243" s="66"/>
      <c r="AZ243" s="66"/>
      <c r="BA243" s="66"/>
      <c r="BB243" s="178"/>
      <c r="BC243" s="72"/>
      <c r="BD243" s="66"/>
      <c r="BE243" s="178"/>
      <c r="BF243" s="66"/>
    </row>
    <row r="244" spans="1:58">
      <c r="A244" s="66"/>
      <c r="B244" s="66"/>
      <c r="C244" s="66"/>
      <c r="D244" s="66"/>
      <c r="E244" s="66"/>
      <c r="F244" s="66"/>
      <c r="G244" s="66"/>
      <c r="H244" s="66"/>
      <c r="I244" s="66"/>
      <c r="J244" s="66"/>
      <c r="K244" s="66"/>
      <c r="L244" s="66"/>
      <c r="M244" s="66"/>
      <c r="N244" s="66"/>
      <c r="O244" s="66"/>
      <c r="P244" s="66"/>
      <c r="Q244" s="86"/>
      <c r="R244" s="86"/>
      <c r="S244" s="86"/>
      <c r="T244" s="86"/>
      <c r="U244" s="86"/>
      <c r="V244" s="86"/>
      <c r="W244" s="67"/>
      <c r="X244" s="84" t="str">
        <f t="shared" si="33"/>
        <v>Tidak ada faktor rentan</v>
      </c>
      <c r="Y244" s="84" t="str">
        <f t="shared" si="34"/>
        <v>Tidak Ada Faktor Rentan</v>
      </c>
      <c r="Z244" s="85" t="str">
        <f t="shared" si="35"/>
        <v/>
      </c>
      <c r="AA244" s="85">
        <f t="shared" si="36"/>
        <v>0</v>
      </c>
      <c r="AB244" s="85" t="str">
        <f t="shared" si="37"/>
        <v/>
      </c>
      <c r="AC244" s="68"/>
      <c r="AD244" s="68"/>
      <c r="AE244" s="68"/>
      <c r="AF244" s="68"/>
      <c r="AG244" s="68"/>
      <c r="AH244" s="68"/>
      <c r="AI244" s="68"/>
      <c r="AJ244" s="68"/>
      <c r="AK244" s="68"/>
      <c r="AL244" s="68"/>
      <c r="AM244" s="68"/>
      <c r="AN244" s="84" t="str">
        <f t="shared" si="38"/>
        <v>Tidak ada risiko khusus</v>
      </c>
      <c r="AO244" s="84" t="str">
        <f t="shared" si="39"/>
        <v>Tidak Ada Risiko Khusus</v>
      </c>
      <c r="AP244" s="68"/>
      <c r="AQ244" s="71" t="str">
        <f t="shared" si="40"/>
        <v/>
      </c>
      <c r="AR244" s="71">
        <f t="shared" si="41"/>
        <v>0</v>
      </c>
      <c r="AS244" s="71" t="str">
        <f t="shared" si="42"/>
        <v/>
      </c>
      <c r="AT244" s="69" t="str">
        <f t="shared" si="43"/>
        <v>Belum Dapat Ditentukan</v>
      </c>
      <c r="AU244" s="66"/>
      <c r="AV244" s="66"/>
      <c r="AW244" s="66"/>
      <c r="AX244" s="66"/>
      <c r="AY244" s="66"/>
      <c r="AZ244" s="66"/>
      <c r="BA244" s="66"/>
      <c r="BB244" s="178"/>
      <c r="BC244" s="72"/>
      <c r="BD244" s="66"/>
      <c r="BE244" s="178"/>
      <c r="BF244" s="66"/>
    </row>
    <row r="245" spans="1:58">
      <c r="A245" s="66"/>
      <c r="B245" s="66"/>
      <c r="C245" s="66"/>
      <c r="D245" s="66"/>
      <c r="E245" s="66"/>
      <c r="F245" s="66"/>
      <c r="G245" s="66"/>
      <c r="H245" s="66"/>
      <c r="I245" s="66"/>
      <c r="J245" s="66"/>
      <c r="K245" s="66"/>
      <c r="L245" s="66"/>
      <c r="M245" s="66"/>
      <c r="N245" s="66"/>
      <c r="O245" s="66"/>
      <c r="P245" s="66"/>
      <c r="Q245" s="86"/>
      <c r="R245" s="86"/>
      <c r="S245" s="86"/>
      <c r="T245" s="86"/>
      <c r="U245" s="86"/>
      <c r="V245" s="86"/>
      <c r="W245" s="67"/>
      <c r="X245" s="84" t="str">
        <f t="shared" si="33"/>
        <v>Tidak ada faktor rentan</v>
      </c>
      <c r="Y245" s="84" t="str">
        <f t="shared" si="34"/>
        <v>Tidak Ada Faktor Rentan</v>
      </c>
      <c r="Z245" s="85" t="str">
        <f t="shared" si="35"/>
        <v/>
      </c>
      <c r="AA245" s="85">
        <f t="shared" si="36"/>
        <v>0</v>
      </c>
      <c r="AB245" s="85" t="str">
        <f t="shared" si="37"/>
        <v/>
      </c>
      <c r="AC245" s="68"/>
      <c r="AD245" s="68"/>
      <c r="AE245" s="68"/>
      <c r="AF245" s="68"/>
      <c r="AG245" s="68"/>
      <c r="AH245" s="68"/>
      <c r="AI245" s="68"/>
      <c r="AJ245" s="68"/>
      <c r="AK245" s="68"/>
      <c r="AL245" s="68"/>
      <c r="AM245" s="68"/>
      <c r="AN245" s="84" t="str">
        <f t="shared" si="38"/>
        <v>Tidak ada risiko khusus</v>
      </c>
      <c r="AO245" s="84" t="str">
        <f t="shared" si="39"/>
        <v>Tidak Ada Risiko Khusus</v>
      </c>
      <c r="AP245" s="68"/>
      <c r="AQ245" s="71" t="str">
        <f t="shared" si="40"/>
        <v/>
      </c>
      <c r="AR245" s="71">
        <f t="shared" si="41"/>
        <v>0</v>
      </c>
      <c r="AS245" s="71" t="str">
        <f t="shared" si="42"/>
        <v/>
      </c>
      <c r="AT245" s="69" t="str">
        <f t="shared" si="43"/>
        <v>Belum Dapat Ditentukan</v>
      </c>
      <c r="AU245" s="66"/>
      <c r="AV245" s="66"/>
      <c r="AW245" s="66"/>
      <c r="AX245" s="66"/>
      <c r="AY245" s="66"/>
      <c r="AZ245" s="66"/>
      <c r="BA245" s="66"/>
      <c r="BB245" s="178"/>
      <c r="BC245" s="72"/>
      <c r="BD245" s="66"/>
      <c r="BE245" s="178"/>
      <c r="BF245" s="66"/>
    </row>
    <row r="246" spans="1:58">
      <c r="A246" s="66"/>
      <c r="B246" s="66"/>
      <c r="C246" s="66"/>
      <c r="D246" s="66"/>
      <c r="E246" s="66"/>
      <c r="F246" s="66"/>
      <c r="G246" s="66"/>
      <c r="H246" s="66"/>
      <c r="I246" s="66"/>
      <c r="J246" s="66"/>
      <c r="K246" s="66"/>
      <c r="L246" s="66"/>
      <c r="M246" s="66"/>
      <c r="N246" s="66"/>
      <c r="O246" s="66"/>
      <c r="P246" s="66"/>
      <c r="Q246" s="86"/>
      <c r="R246" s="86"/>
      <c r="S246" s="86"/>
      <c r="T246" s="86"/>
      <c r="U246" s="86"/>
      <c r="V246" s="86"/>
      <c r="W246" s="67"/>
      <c r="X246" s="84" t="str">
        <f t="shared" si="33"/>
        <v>Tidak ada faktor rentan</v>
      </c>
      <c r="Y246" s="84" t="str">
        <f t="shared" si="34"/>
        <v>Tidak Ada Faktor Rentan</v>
      </c>
      <c r="Z246" s="85" t="str">
        <f t="shared" si="35"/>
        <v/>
      </c>
      <c r="AA246" s="85">
        <f t="shared" si="36"/>
        <v>0</v>
      </c>
      <c r="AB246" s="85" t="str">
        <f t="shared" si="37"/>
        <v/>
      </c>
      <c r="AC246" s="68"/>
      <c r="AD246" s="68"/>
      <c r="AE246" s="68"/>
      <c r="AF246" s="68"/>
      <c r="AG246" s="68"/>
      <c r="AH246" s="68"/>
      <c r="AI246" s="68"/>
      <c r="AJ246" s="68"/>
      <c r="AK246" s="68"/>
      <c r="AL246" s="68"/>
      <c r="AM246" s="68"/>
      <c r="AN246" s="84" t="str">
        <f t="shared" si="38"/>
        <v>Tidak ada risiko khusus</v>
      </c>
      <c r="AO246" s="84" t="str">
        <f t="shared" si="39"/>
        <v>Tidak Ada Risiko Khusus</v>
      </c>
      <c r="AP246" s="68"/>
      <c r="AQ246" s="71" t="str">
        <f t="shared" si="40"/>
        <v/>
      </c>
      <c r="AR246" s="71">
        <f t="shared" si="41"/>
        <v>0</v>
      </c>
      <c r="AS246" s="71" t="str">
        <f t="shared" si="42"/>
        <v/>
      </c>
      <c r="AT246" s="69" t="str">
        <f t="shared" si="43"/>
        <v>Belum Dapat Ditentukan</v>
      </c>
      <c r="AU246" s="66"/>
      <c r="AV246" s="66"/>
      <c r="AW246" s="66"/>
      <c r="AX246" s="66"/>
      <c r="AY246" s="66"/>
      <c r="AZ246" s="66"/>
      <c r="BA246" s="66"/>
      <c r="BB246" s="178"/>
      <c r="BC246" s="72"/>
      <c r="BD246" s="66"/>
      <c r="BE246" s="178"/>
      <c r="BF246" s="66"/>
    </row>
    <row r="247" spans="1:58">
      <c r="A247" s="66"/>
      <c r="B247" s="66"/>
      <c r="C247" s="66"/>
      <c r="D247" s="66"/>
      <c r="E247" s="66"/>
      <c r="F247" s="66"/>
      <c r="G247" s="66"/>
      <c r="H247" s="66"/>
      <c r="I247" s="66"/>
      <c r="J247" s="66"/>
      <c r="K247" s="66"/>
      <c r="L247" s="66"/>
      <c r="M247" s="66"/>
      <c r="N247" s="66"/>
      <c r="O247" s="66"/>
      <c r="P247" s="66"/>
      <c r="Q247" s="86"/>
      <c r="R247" s="86"/>
      <c r="S247" s="86"/>
      <c r="T247" s="86"/>
      <c r="U247" s="86"/>
      <c r="V247" s="86"/>
      <c r="W247" s="67"/>
      <c r="X247" s="84" t="str">
        <f t="shared" si="33"/>
        <v>Tidak ada faktor rentan</v>
      </c>
      <c r="Y247" s="84" t="str">
        <f t="shared" si="34"/>
        <v>Tidak Ada Faktor Rentan</v>
      </c>
      <c r="Z247" s="85" t="str">
        <f t="shared" si="35"/>
        <v/>
      </c>
      <c r="AA247" s="85">
        <f t="shared" si="36"/>
        <v>0</v>
      </c>
      <c r="AB247" s="85" t="str">
        <f t="shared" si="37"/>
        <v/>
      </c>
      <c r="AC247" s="68"/>
      <c r="AD247" s="68"/>
      <c r="AE247" s="68"/>
      <c r="AF247" s="68"/>
      <c r="AG247" s="68"/>
      <c r="AH247" s="68"/>
      <c r="AI247" s="68"/>
      <c r="AJ247" s="68"/>
      <c r="AK247" s="68"/>
      <c r="AL247" s="68"/>
      <c r="AM247" s="68"/>
      <c r="AN247" s="84" t="str">
        <f t="shared" si="38"/>
        <v>Tidak ada risiko khusus</v>
      </c>
      <c r="AO247" s="84" t="str">
        <f t="shared" si="39"/>
        <v>Tidak Ada Risiko Khusus</v>
      </c>
      <c r="AP247" s="68"/>
      <c r="AQ247" s="71" t="str">
        <f t="shared" si="40"/>
        <v/>
      </c>
      <c r="AR247" s="71">
        <f t="shared" si="41"/>
        <v>0</v>
      </c>
      <c r="AS247" s="71" t="str">
        <f t="shared" si="42"/>
        <v/>
      </c>
      <c r="AT247" s="69" t="str">
        <f t="shared" si="43"/>
        <v>Belum Dapat Ditentukan</v>
      </c>
      <c r="AU247" s="66"/>
      <c r="AV247" s="66"/>
      <c r="AW247" s="66"/>
      <c r="AX247" s="66"/>
      <c r="AY247" s="66"/>
      <c r="AZ247" s="66"/>
      <c r="BA247" s="66"/>
      <c r="BB247" s="178"/>
      <c r="BC247" s="72"/>
      <c r="BD247" s="66"/>
      <c r="BE247" s="178"/>
      <c r="BF247" s="66"/>
    </row>
    <row r="248" spans="1:58">
      <c r="A248" s="66"/>
      <c r="B248" s="66"/>
      <c r="C248" s="66"/>
      <c r="D248" s="66"/>
      <c r="E248" s="66"/>
      <c r="F248" s="66"/>
      <c r="G248" s="66"/>
      <c r="H248" s="66"/>
      <c r="I248" s="66"/>
      <c r="J248" s="66"/>
      <c r="K248" s="66"/>
      <c r="L248" s="66"/>
      <c r="M248" s="66"/>
      <c r="N248" s="66"/>
      <c r="O248" s="66"/>
      <c r="P248" s="66"/>
      <c r="Q248" s="86"/>
      <c r="R248" s="86"/>
      <c r="S248" s="86"/>
      <c r="T248" s="86"/>
      <c r="U248" s="86"/>
      <c r="V248" s="86"/>
      <c r="W248" s="67"/>
      <c r="X248" s="84" t="str">
        <f t="shared" si="33"/>
        <v>Tidak ada faktor rentan</v>
      </c>
      <c r="Y248" s="84" t="str">
        <f t="shared" si="34"/>
        <v>Tidak Ada Faktor Rentan</v>
      </c>
      <c r="Z248" s="85" t="str">
        <f t="shared" si="35"/>
        <v/>
      </c>
      <c r="AA248" s="85">
        <f t="shared" si="36"/>
        <v>0</v>
      </c>
      <c r="AB248" s="85" t="str">
        <f t="shared" si="37"/>
        <v/>
      </c>
      <c r="AC248" s="68"/>
      <c r="AD248" s="68"/>
      <c r="AE248" s="68"/>
      <c r="AF248" s="68"/>
      <c r="AG248" s="68"/>
      <c r="AH248" s="68"/>
      <c r="AI248" s="68"/>
      <c r="AJ248" s="68"/>
      <c r="AK248" s="68"/>
      <c r="AL248" s="68"/>
      <c r="AM248" s="68"/>
      <c r="AN248" s="84" t="str">
        <f t="shared" si="38"/>
        <v>Tidak ada risiko khusus</v>
      </c>
      <c r="AO248" s="84" t="str">
        <f t="shared" si="39"/>
        <v>Tidak Ada Risiko Khusus</v>
      </c>
      <c r="AP248" s="68"/>
      <c r="AQ248" s="71" t="str">
        <f t="shared" si="40"/>
        <v/>
      </c>
      <c r="AR248" s="71">
        <f t="shared" si="41"/>
        <v>0</v>
      </c>
      <c r="AS248" s="71" t="str">
        <f t="shared" si="42"/>
        <v/>
      </c>
      <c r="AT248" s="69" t="str">
        <f t="shared" si="43"/>
        <v>Belum Dapat Ditentukan</v>
      </c>
      <c r="AU248" s="66"/>
      <c r="AV248" s="66"/>
      <c r="AW248" s="66"/>
      <c r="AX248" s="66"/>
      <c r="AY248" s="66"/>
      <c r="AZ248" s="66"/>
      <c r="BA248" s="66"/>
      <c r="BB248" s="178"/>
      <c r="BC248" s="72"/>
      <c r="BD248" s="66"/>
      <c r="BE248" s="178"/>
      <c r="BF248" s="66"/>
    </row>
    <row r="249" spans="1:58">
      <c r="A249" s="66"/>
      <c r="B249" s="66"/>
      <c r="C249" s="66"/>
      <c r="D249" s="66"/>
      <c r="E249" s="66"/>
      <c r="F249" s="66"/>
      <c r="G249" s="66"/>
      <c r="H249" s="66"/>
      <c r="I249" s="66"/>
      <c r="J249" s="66"/>
      <c r="K249" s="66"/>
      <c r="L249" s="66"/>
      <c r="M249" s="66"/>
      <c r="N249" s="66"/>
      <c r="O249" s="66"/>
      <c r="P249" s="66"/>
      <c r="Q249" s="86"/>
      <c r="R249" s="86"/>
      <c r="S249" s="86"/>
      <c r="T249" s="86"/>
      <c r="U249" s="86"/>
      <c r="V249" s="86"/>
      <c r="W249" s="67"/>
      <c r="X249" s="84" t="str">
        <f t="shared" si="33"/>
        <v>Tidak ada faktor rentan</v>
      </c>
      <c r="Y249" s="84" t="str">
        <f t="shared" si="34"/>
        <v>Tidak Ada Faktor Rentan</v>
      </c>
      <c r="Z249" s="85" t="str">
        <f t="shared" si="35"/>
        <v/>
      </c>
      <c r="AA249" s="85">
        <f t="shared" si="36"/>
        <v>0</v>
      </c>
      <c r="AB249" s="85" t="str">
        <f t="shared" si="37"/>
        <v/>
      </c>
      <c r="AC249" s="68"/>
      <c r="AD249" s="68"/>
      <c r="AE249" s="68"/>
      <c r="AF249" s="68"/>
      <c r="AG249" s="68"/>
      <c r="AH249" s="68"/>
      <c r="AI249" s="68"/>
      <c r="AJ249" s="68"/>
      <c r="AK249" s="68"/>
      <c r="AL249" s="68"/>
      <c r="AM249" s="68"/>
      <c r="AN249" s="84" t="str">
        <f t="shared" si="38"/>
        <v>Tidak ada risiko khusus</v>
      </c>
      <c r="AO249" s="84" t="str">
        <f t="shared" si="39"/>
        <v>Tidak Ada Risiko Khusus</v>
      </c>
      <c r="AP249" s="68"/>
      <c r="AQ249" s="71" t="str">
        <f t="shared" si="40"/>
        <v/>
      </c>
      <c r="AR249" s="71">
        <f t="shared" si="41"/>
        <v>0</v>
      </c>
      <c r="AS249" s="71" t="str">
        <f t="shared" si="42"/>
        <v/>
      </c>
      <c r="AT249" s="69" t="str">
        <f t="shared" si="43"/>
        <v>Belum Dapat Ditentukan</v>
      </c>
      <c r="AU249" s="66"/>
      <c r="AV249" s="66"/>
      <c r="AW249" s="66"/>
      <c r="AX249" s="66"/>
      <c r="AY249" s="66"/>
      <c r="AZ249" s="66"/>
      <c r="BA249" s="66"/>
      <c r="BB249" s="178"/>
      <c r="BC249" s="72"/>
      <c r="BD249" s="66"/>
      <c r="BE249" s="178"/>
      <c r="BF249" s="66"/>
    </row>
    <row r="250" spans="1:58">
      <c r="A250" s="66"/>
      <c r="B250" s="66"/>
      <c r="C250" s="66"/>
      <c r="D250" s="66"/>
      <c r="E250" s="66"/>
      <c r="F250" s="66"/>
      <c r="G250" s="66"/>
      <c r="H250" s="66"/>
      <c r="I250" s="66"/>
      <c r="J250" s="66"/>
      <c r="K250" s="66"/>
      <c r="L250" s="66"/>
      <c r="M250" s="66"/>
      <c r="N250" s="66"/>
      <c r="O250" s="66"/>
      <c r="P250" s="66"/>
      <c r="Q250" s="86"/>
      <c r="R250" s="86"/>
      <c r="S250" s="86"/>
      <c r="T250" s="86"/>
      <c r="U250" s="86"/>
      <c r="V250" s="86"/>
      <c r="W250" s="67"/>
      <c r="X250" s="84" t="str">
        <f t="shared" si="33"/>
        <v>Tidak ada faktor rentan</v>
      </c>
      <c r="Y250" s="84" t="str">
        <f t="shared" si="34"/>
        <v>Tidak Ada Faktor Rentan</v>
      </c>
      <c r="Z250" s="85" t="str">
        <f t="shared" si="35"/>
        <v/>
      </c>
      <c r="AA250" s="85">
        <f t="shared" si="36"/>
        <v>0</v>
      </c>
      <c r="AB250" s="85" t="str">
        <f t="shared" si="37"/>
        <v/>
      </c>
      <c r="AC250" s="68"/>
      <c r="AD250" s="68"/>
      <c r="AE250" s="68"/>
      <c r="AF250" s="68"/>
      <c r="AG250" s="68"/>
      <c r="AH250" s="68"/>
      <c r="AI250" s="68"/>
      <c r="AJ250" s="68"/>
      <c r="AK250" s="68"/>
      <c r="AL250" s="68"/>
      <c r="AM250" s="68"/>
      <c r="AN250" s="84" t="str">
        <f t="shared" si="38"/>
        <v>Tidak ada risiko khusus</v>
      </c>
      <c r="AO250" s="84" t="str">
        <f t="shared" si="39"/>
        <v>Tidak Ada Risiko Khusus</v>
      </c>
      <c r="AP250" s="68"/>
      <c r="AQ250" s="71" t="str">
        <f t="shared" si="40"/>
        <v/>
      </c>
      <c r="AR250" s="71">
        <f t="shared" si="41"/>
        <v>0</v>
      </c>
      <c r="AS250" s="71" t="str">
        <f t="shared" si="42"/>
        <v/>
      </c>
      <c r="AT250" s="69" t="str">
        <f t="shared" si="43"/>
        <v>Belum Dapat Ditentukan</v>
      </c>
      <c r="AU250" s="66"/>
      <c r="AV250" s="66"/>
      <c r="AW250" s="66"/>
      <c r="AX250" s="66"/>
      <c r="AY250" s="66"/>
      <c r="AZ250" s="66"/>
      <c r="BA250" s="66"/>
      <c r="BB250" s="178"/>
      <c r="BC250" s="72"/>
      <c r="BD250" s="66"/>
      <c r="BE250" s="178"/>
      <c r="BF250" s="66"/>
    </row>
    <row r="251" spans="1:58">
      <c r="A251" s="66"/>
      <c r="B251" s="66"/>
      <c r="C251" s="66"/>
      <c r="D251" s="66"/>
      <c r="E251" s="66"/>
      <c r="F251" s="66"/>
      <c r="G251" s="66"/>
      <c r="H251" s="66"/>
      <c r="I251" s="66"/>
      <c r="J251" s="66"/>
      <c r="K251" s="66"/>
      <c r="L251" s="66"/>
      <c r="M251" s="66"/>
      <c r="N251" s="66"/>
      <c r="O251" s="66"/>
      <c r="P251" s="66"/>
      <c r="Q251" s="86"/>
      <c r="R251" s="86"/>
      <c r="S251" s="86"/>
      <c r="T251" s="86"/>
      <c r="U251" s="86"/>
      <c r="V251" s="86"/>
      <c r="W251" s="67"/>
      <c r="X251" s="84" t="str">
        <f t="shared" si="33"/>
        <v>Tidak ada faktor rentan</v>
      </c>
      <c r="Y251" s="84" t="str">
        <f t="shared" si="34"/>
        <v>Tidak Ada Faktor Rentan</v>
      </c>
      <c r="Z251" s="85" t="str">
        <f t="shared" si="35"/>
        <v/>
      </c>
      <c r="AA251" s="85">
        <f t="shared" si="36"/>
        <v>0</v>
      </c>
      <c r="AB251" s="85" t="str">
        <f t="shared" si="37"/>
        <v/>
      </c>
      <c r="AC251" s="68"/>
      <c r="AD251" s="68"/>
      <c r="AE251" s="68"/>
      <c r="AF251" s="68"/>
      <c r="AG251" s="68"/>
      <c r="AH251" s="68"/>
      <c r="AI251" s="68"/>
      <c r="AJ251" s="68"/>
      <c r="AK251" s="68"/>
      <c r="AL251" s="68"/>
      <c r="AM251" s="68"/>
      <c r="AN251" s="84" t="str">
        <f t="shared" si="38"/>
        <v>Tidak ada risiko khusus</v>
      </c>
      <c r="AO251" s="84" t="str">
        <f t="shared" si="39"/>
        <v>Tidak Ada Risiko Khusus</v>
      </c>
      <c r="AP251" s="68"/>
      <c r="AQ251" s="71" t="str">
        <f t="shared" si="40"/>
        <v/>
      </c>
      <c r="AR251" s="71">
        <f t="shared" si="41"/>
        <v>0</v>
      </c>
      <c r="AS251" s="71" t="str">
        <f t="shared" si="42"/>
        <v/>
      </c>
      <c r="AT251" s="69" t="str">
        <f t="shared" si="43"/>
        <v>Belum Dapat Ditentukan</v>
      </c>
      <c r="AU251" s="66"/>
      <c r="AV251" s="66"/>
      <c r="AW251" s="66"/>
      <c r="AX251" s="66"/>
      <c r="AY251" s="66"/>
      <c r="AZ251" s="66"/>
      <c r="BA251" s="66"/>
      <c r="BB251" s="178"/>
      <c r="BC251" s="72"/>
      <c r="BD251" s="66"/>
      <c r="BE251" s="178"/>
      <c r="BF251" s="66"/>
    </row>
    <row r="252" spans="1:58">
      <c r="A252" s="66"/>
      <c r="B252" s="66"/>
      <c r="C252" s="66"/>
      <c r="D252" s="66"/>
      <c r="E252" s="66"/>
      <c r="F252" s="66"/>
      <c r="G252" s="66"/>
      <c r="H252" s="66"/>
      <c r="I252" s="66"/>
      <c r="J252" s="66"/>
      <c r="K252" s="66"/>
      <c r="L252" s="66"/>
      <c r="M252" s="66"/>
      <c r="N252" s="66"/>
      <c r="O252" s="66"/>
      <c r="P252" s="66"/>
      <c r="Q252" s="86"/>
      <c r="R252" s="86"/>
      <c r="S252" s="86"/>
      <c r="T252" s="86"/>
      <c r="U252" s="86"/>
      <c r="V252" s="86"/>
      <c r="W252" s="67"/>
      <c r="X252" s="84" t="str">
        <f t="shared" si="33"/>
        <v>Tidak ada faktor rentan</v>
      </c>
      <c r="Y252" s="84" t="str">
        <f t="shared" si="34"/>
        <v>Tidak Ada Faktor Rentan</v>
      </c>
      <c r="Z252" s="85" t="str">
        <f t="shared" si="35"/>
        <v/>
      </c>
      <c r="AA252" s="85">
        <f t="shared" si="36"/>
        <v>0</v>
      </c>
      <c r="AB252" s="85" t="str">
        <f t="shared" si="37"/>
        <v/>
      </c>
      <c r="AC252" s="68"/>
      <c r="AD252" s="68"/>
      <c r="AE252" s="68"/>
      <c r="AF252" s="68"/>
      <c r="AG252" s="68"/>
      <c r="AH252" s="68"/>
      <c r="AI252" s="68"/>
      <c r="AJ252" s="68"/>
      <c r="AK252" s="68"/>
      <c r="AL252" s="68"/>
      <c r="AM252" s="68"/>
      <c r="AN252" s="84" t="str">
        <f t="shared" si="38"/>
        <v>Tidak ada risiko khusus</v>
      </c>
      <c r="AO252" s="84" t="str">
        <f t="shared" si="39"/>
        <v>Tidak Ada Risiko Khusus</v>
      </c>
      <c r="AP252" s="68"/>
      <c r="AQ252" s="71" t="str">
        <f t="shared" si="40"/>
        <v/>
      </c>
      <c r="AR252" s="71">
        <f t="shared" si="41"/>
        <v>0</v>
      </c>
      <c r="AS252" s="71" t="str">
        <f t="shared" si="42"/>
        <v/>
      </c>
      <c r="AT252" s="69" t="str">
        <f t="shared" si="43"/>
        <v>Belum Dapat Ditentukan</v>
      </c>
      <c r="AU252" s="66"/>
      <c r="AV252" s="66"/>
      <c r="AW252" s="66"/>
      <c r="AX252" s="66"/>
      <c r="AY252" s="66"/>
      <c r="AZ252" s="66"/>
      <c r="BA252" s="66"/>
      <c r="BB252" s="178"/>
      <c r="BC252" s="72"/>
      <c r="BD252" s="66"/>
      <c r="BE252" s="178"/>
      <c r="BF252" s="66"/>
    </row>
    <row r="253" spans="1:58">
      <c r="A253" s="66"/>
      <c r="B253" s="66"/>
      <c r="C253" s="66"/>
      <c r="D253" s="66"/>
      <c r="E253" s="66"/>
      <c r="F253" s="66"/>
      <c r="G253" s="66"/>
      <c r="H253" s="66"/>
      <c r="I253" s="66"/>
      <c r="J253" s="66"/>
      <c r="K253" s="66"/>
      <c r="L253" s="66"/>
      <c r="M253" s="66"/>
      <c r="N253" s="66"/>
      <c r="O253" s="66"/>
      <c r="P253" s="66"/>
      <c r="Q253" s="86"/>
      <c r="R253" s="86"/>
      <c r="S253" s="86"/>
      <c r="T253" s="86"/>
      <c r="U253" s="86"/>
      <c r="V253" s="86"/>
      <c r="W253" s="67"/>
      <c r="X253" s="84" t="str">
        <f t="shared" si="33"/>
        <v>Tidak ada faktor rentan</v>
      </c>
      <c r="Y253" s="84" t="str">
        <f t="shared" si="34"/>
        <v>Tidak Ada Faktor Rentan</v>
      </c>
      <c r="Z253" s="85" t="str">
        <f t="shared" si="35"/>
        <v/>
      </c>
      <c r="AA253" s="85">
        <f t="shared" si="36"/>
        <v>0</v>
      </c>
      <c r="AB253" s="85" t="str">
        <f t="shared" si="37"/>
        <v/>
      </c>
      <c r="AC253" s="68"/>
      <c r="AD253" s="68"/>
      <c r="AE253" s="68"/>
      <c r="AF253" s="68"/>
      <c r="AG253" s="68"/>
      <c r="AH253" s="68"/>
      <c r="AI253" s="68"/>
      <c r="AJ253" s="68"/>
      <c r="AK253" s="68"/>
      <c r="AL253" s="68"/>
      <c r="AM253" s="68"/>
      <c r="AN253" s="84" t="str">
        <f t="shared" si="38"/>
        <v>Tidak ada risiko khusus</v>
      </c>
      <c r="AO253" s="84" t="str">
        <f t="shared" si="39"/>
        <v>Tidak Ada Risiko Khusus</v>
      </c>
      <c r="AP253" s="68"/>
      <c r="AQ253" s="71" t="str">
        <f t="shared" si="40"/>
        <v/>
      </c>
      <c r="AR253" s="71">
        <f t="shared" si="41"/>
        <v>0</v>
      </c>
      <c r="AS253" s="71" t="str">
        <f t="shared" si="42"/>
        <v/>
      </c>
      <c r="AT253" s="69" t="str">
        <f t="shared" si="43"/>
        <v>Belum Dapat Ditentukan</v>
      </c>
      <c r="AU253" s="66"/>
      <c r="AV253" s="66"/>
      <c r="AW253" s="66"/>
      <c r="AX253" s="66"/>
      <c r="AY253" s="66"/>
      <c r="AZ253" s="66"/>
      <c r="BA253" s="66"/>
      <c r="BB253" s="178"/>
      <c r="BC253" s="72"/>
      <c r="BD253" s="66"/>
      <c r="BE253" s="178"/>
      <c r="BF253" s="66"/>
    </row>
    <row r="254" spans="1:58">
      <c r="A254" s="66"/>
      <c r="B254" s="66"/>
      <c r="C254" s="66"/>
      <c r="D254" s="66"/>
      <c r="E254" s="66"/>
      <c r="F254" s="66"/>
      <c r="G254" s="66"/>
      <c r="H254" s="66"/>
      <c r="I254" s="66"/>
      <c r="J254" s="66"/>
      <c r="K254" s="66"/>
      <c r="L254" s="66"/>
      <c r="M254" s="66"/>
      <c r="N254" s="66"/>
      <c r="O254" s="66"/>
      <c r="P254" s="66"/>
      <c r="Q254" s="86"/>
      <c r="R254" s="86"/>
      <c r="S254" s="86"/>
      <c r="T254" s="86"/>
      <c r="U254" s="86"/>
      <c r="V254" s="86"/>
      <c r="W254" s="67"/>
      <c r="X254" s="84" t="str">
        <f t="shared" si="33"/>
        <v>Tidak ada faktor rentan</v>
      </c>
      <c r="Y254" s="84" t="str">
        <f t="shared" si="34"/>
        <v>Tidak Ada Faktor Rentan</v>
      </c>
      <c r="Z254" s="85" t="str">
        <f t="shared" si="35"/>
        <v/>
      </c>
      <c r="AA254" s="85">
        <f t="shared" si="36"/>
        <v>0</v>
      </c>
      <c r="AB254" s="85" t="str">
        <f t="shared" si="37"/>
        <v/>
      </c>
      <c r="AC254" s="68"/>
      <c r="AD254" s="68"/>
      <c r="AE254" s="68"/>
      <c r="AF254" s="68"/>
      <c r="AG254" s="68"/>
      <c r="AH254" s="68"/>
      <c r="AI254" s="68"/>
      <c r="AJ254" s="68"/>
      <c r="AK254" s="68"/>
      <c r="AL254" s="68"/>
      <c r="AM254" s="68"/>
      <c r="AN254" s="84" t="str">
        <f t="shared" si="38"/>
        <v>Tidak ada risiko khusus</v>
      </c>
      <c r="AO254" s="84" t="str">
        <f t="shared" si="39"/>
        <v>Tidak Ada Risiko Khusus</v>
      </c>
      <c r="AP254" s="68"/>
      <c r="AQ254" s="71" t="str">
        <f t="shared" si="40"/>
        <v/>
      </c>
      <c r="AR254" s="71">
        <f t="shared" si="41"/>
        <v>0</v>
      </c>
      <c r="AS254" s="71" t="str">
        <f t="shared" si="42"/>
        <v/>
      </c>
      <c r="AT254" s="69" t="str">
        <f t="shared" si="43"/>
        <v>Belum Dapat Ditentukan</v>
      </c>
      <c r="AU254" s="66"/>
      <c r="AV254" s="66"/>
      <c r="AW254" s="66"/>
      <c r="AX254" s="66"/>
      <c r="AY254" s="66"/>
      <c r="AZ254" s="66"/>
      <c r="BA254" s="66"/>
      <c r="BB254" s="178"/>
      <c r="BC254" s="72"/>
      <c r="BD254" s="66"/>
      <c r="BE254" s="178"/>
      <c r="BF254" s="66"/>
    </row>
    <row r="255" spans="1:58">
      <c r="A255" s="66"/>
      <c r="B255" s="66"/>
      <c r="C255" s="66"/>
      <c r="D255" s="66"/>
      <c r="E255" s="66"/>
      <c r="F255" s="66"/>
      <c r="G255" s="66"/>
      <c r="H255" s="66"/>
      <c r="I255" s="66"/>
      <c r="J255" s="66"/>
      <c r="K255" s="66"/>
      <c r="L255" s="66"/>
      <c r="M255" s="66"/>
      <c r="N255" s="66"/>
      <c r="O255" s="66"/>
      <c r="P255" s="66"/>
      <c r="Q255" s="86"/>
      <c r="R255" s="86"/>
      <c r="S255" s="86"/>
      <c r="T255" s="86"/>
      <c r="U255" s="86"/>
      <c r="V255" s="86"/>
      <c r="W255" s="67"/>
      <c r="X255" s="84" t="str">
        <f t="shared" si="33"/>
        <v>Tidak ada faktor rentan</v>
      </c>
      <c r="Y255" s="84" t="str">
        <f t="shared" si="34"/>
        <v>Tidak Ada Faktor Rentan</v>
      </c>
      <c r="Z255" s="85" t="str">
        <f t="shared" si="35"/>
        <v/>
      </c>
      <c r="AA255" s="85">
        <f t="shared" si="36"/>
        <v>0</v>
      </c>
      <c r="AB255" s="85" t="str">
        <f t="shared" si="37"/>
        <v/>
      </c>
      <c r="AC255" s="68"/>
      <c r="AD255" s="68"/>
      <c r="AE255" s="68"/>
      <c r="AF255" s="68"/>
      <c r="AG255" s="68"/>
      <c r="AH255" s="68"/>
      <c r="AI255" s="68"/>
      <c r="AJ255" s="68"/>
      <c r="AK255" s="68"/>
      <c r="AL255" s="68"/>
      <c r="AM255" s="68"/>
      <c r="AN255" s="84" t="str">
        <f t="shared" si="38"/>
        <v>Tidak ada risiko khusus</v>
      </c>
      <c r="AO255" s="84" t="str">
        <f t="shared" si="39"/>
        <v>Tidak Ada Risiko Khusus</v>
      </c>
      <c r="AP255" s="68"/>
      <c r="AQ255" s="71" t="str">
        <f t="shared" si="40"/>
        <v/>
      </c>
      <c r="AR255" s="71">
        <f t="shared" si="41"/>
        <v>0</v>
      </c>
      <c r="AS255" s="71" t="str">
        <f t="shared" si="42"/>
        <v/>
      </c>
      <c r="AT255" s="69" t="str">
        <f t="shared" si="43"/>
        <v>Belum Dapat Ditentukan</v>
      </c>
      <c r="AU255" s="66"/>
      <c r="AV255" s="66"/>
      <c r="AW255" s="66"/>
      <c r="AX255" s="66"/>
      <c r="AY255" s="66"/>
      <c r="AZ255" s="66"/>
      <c r="BA255" s="66"/>
      <c r="BB255" s="178"/>
      <c r="BC255" s="72"/>
      <c r="BD255" s="66"/>
      <c r="BE255" s="178"/>
      <c r="BF255" s="66"/>
    </row>
    <row r="256" spans="1:58">
      <c r="A256" s="66"/>
      <c r="B256" s="66"/>
      <c r="C256" s="66"/>
      <c r="D256" s="66"/>
      <c r="E256" s="66"/>
      <c r="F256" s="66"/>
      <c r="G256" s="66"/>
      <c r="H256" s="66"/>
      <c r="I256" s="66"/>
      <c r="J256" s="66"/>
      <c r="K256" s="66"/>
      <c r="L256" s="66"/>
      <c r="M256" s="66"/>
      <c r="N256" s="66"/>
      <c r="O256" s="66"/>
      <c r="P256" s="66"/>
      <c r="Q256" s="86"/>
      <c r="R256" s="86"/>
      <c r="S256" s="86"/>
      <c r="T256" s="86"/>
      <c r="U256" s="86"/>
      <c r="V256" s="86"/>
      <c r="W256" s="67"/>
      <c r="X256" s="84" t="str">
        <f t="shared" si="33"/>
        <v>Tidak ada faktor rentan</v>
      </c>
      <c r="Y256" s="84" t="str">
        <f t="shared" si="34"/>
        <v>Tidak Ada Faktor Rentan</v>
      </c>
      <c r="Z256" s="85" t="str">
        <f t="shared" si="35"/>
        <v/>
      </c>
      <c r="AA256" s="85">
        <f t="shared" si="36"/>
        <v>0</v>
      </c>
      <c r="AB256" s="85" t="str">
        <f t="shared" si="37"/>
        <v/>
      </c>
      <c r="AC256" s="68"/>
      <c r="AD256" s="68"/>
      <c r="AE256" s="68"/>
      <c r="AF256" s="68"/>
      <c r="AG256" s="68"/>
      <c r="AH256" s="68"/>
      <c r="AI256" s="68"/>
      <c r="AJ256" s="68"/>
      <c r="AK256" s="68"/>
      <c r="AL256" s="68"/>
      <c r="AM256" s="68"/>
      <c r="AN256" s="84" t="str">
        <f t="shared" si="38"/>
        <v>Tidak ada risiko khusus</v>
      </c>
      <c r="AO256" s="84" t="str">
        <f t="shared" si="39"/>
        <v>Tidak Ada Risiko Khusus</v>
      </c>
      <c r="AP256" s="68"/>
      <c r="AQ256" s="71" t="str">
        <f t="shared" si="40"/>
        <v/>
      </c>
      <c r="AR256" s="71">
        <f t="shared" si="41"/>
        <v>0</v>
      </c>
      <c r="AS256" s="71" t="str">
        <f t="shared" si="42"/>
        <v/>
      </c>
      <c r="AT256" s="69" t="str">
        <f t="shared" si="43"/>
        <v>Belum Dapat Ditentukan</v>
      </c>
      <c r="AU256" s="66"/>
      <c r="AV256" s="66"/>
      <c r="AW256" s="66"/>
      <c r="AX256" s="66"/>
      <c r="AY256" s="66"/>
      <c r="AZ256" s="66"/>
      <c r="BA256" s="66"/>
      <c r="BB256" s="178"/>
      <c r="BC256" s="72"/>
      <c r="BD256" s="66"/>
      <c r="BE256" s="178"/>
      <c r="BF256" s="66"/>
    </row>
    <row r="257" spans="1:58">
      <c r="A257" s="66"/>
      <c r="B257" s="66"/>
      <c r="C257" s="66"/>
      <c r="D257" s="66"/>
      <c r="E257" s="66"/>
      <c r="F257" s="66"/>
      <c r="G257" s="66"/>
      <c r="H257" s="66"/>
      <c r="I257" s="66"/>
      <c r="J257" s="66"/>
      <c r="K257" s="66"/>
      <c r="L257" s="66"/>
      <c r="M257" s="66"/>
      <c r="N257" s="66"/>
      <c r="O257" s="66"/>
      <c r="P257" s="66"/>
      <c r="Q257" s="86"/>
      <c r="R257" s="86"/>
      <c r="S257" s="86"/>
      <c r="T257" s="86"/>
      <c r="U257" s="86"/>
      <c r="V257" s="86"/>
      <c r="W257" s="67"/>
      <c r="X257" s="84" t="str">
        <f t="shared" si="33"/>
        <v>Tidak ada faktor rentan</v>
      </c>
      <c r="Y257" s="84" t="str">
        <f t="shared" si="34"/>
        <v>Tidak Ada Faktor Rentan</v>
      </c>
      <c r="Z257" s="85" t="str">
        <f t="shared" si="35"/>
        <v/>
      </c>
      <c r="AA257" s="85">
        <f t="shared" si="36"/>
        <v>0</v>
      </c>
      <c r="AB257" s="85" t="str">
        <f t="shared" si="37"/>
        <v/>
      </c>
      <c r="AC257" s="68"/>
      <c r="AD257" s="68"/>
      <c r="AE257" s="68"/>
      <c r="AF257" s="68"/>
      <c r="AG257" s="68"/>
      <c r="AH257" s="68"/>
      <c r="AI257" s="68"/>
      <c r="AJ257" s="68"/>
      <c r="AK257" s="68"/>
      <c r="AL257" s="68"/>
      <c r="AM257" s="68"/>
      <c r="AN257" s="84" t="str">
        <f t="shared" si="38"/>
        <v>Tidak ada risiko khusus</v>
      </c>
      <c r="AO257" s="84" t="str">
        <f t="shared" si="39"/>
        <v>Tidak Ada Risiko Khusus</v>
      </c>
      <c r="AP257" s="68"/>
      <c r="AQ257" s="71" t="str">
        <f t="shared" si="40"/>
        <v/>
      </c>
      <c r="AR257" s="71">
        <f t="shared" si="41"/>
        <v>0</v>
      </c>
      <c r="AS257" s="71" t="str">
        <f t="shared" si="42"/>
        <v/>
      </c>
      <c r="AT257" s="69" t="str">
        <f t="shared" si="43"/>
        <v>Belum Dapat Ditentukan</v>
      </c>
      <c r="AU257" s="66"/>
      <c r="AV257" s="66"/>
      <c r="AW257" s="66"/>
      <c r="AX257" s="66"/>
      <c r="AY257" s="66"/>
      <c r="AZ257" s="66"/>
      <c r="BA257" s="66"/>
      <c r="BB257" s="178"/>
      <c r="BC257" s="72"/>
      <c r="BD257" s="66"/>
      <c r="BE257" s="178"/>
      <c r="BF257" s="66"/>
    </row>
    <row r="258" spans="1:58">
      <c r="A258" s="66"/>
      <c r="B258" s="66"/>
      <c r="C258" s="66"/>
      <c r="D258" s="66"/>
      <c r="E258" s="66"/>
      <c r="F258" s="66"/>
      <c r="G258" s="66"/>
      <c r="H258" s="66"/>
      <c r="I258" s="66"/>
      <c r="J258" s="66"/>
      <c r="K258" s="66"/>
      <c r="L258" s="66"/>
      <c r="M258" s="66"/>
      <c r="N258" s="66"/>
      <c r="O258" s="66"/>
      <c r="P258" s="66"/>
      <c r="Q258" s="86"/>
      <c r="R258" s="86"/>
      <c r="S258" s="86"/>
      <c r="T258" s="86"/>
      <c r="U258" s="86"/>
      <c r="V258" s="86"/>
      <c r="W258" s="67"/>
      <c r="X258" s="84" t="str">
        <f t="shared" si="33"/>
        <v>Tidak ada faktor rentan</v>
      </c>
      <c r="Y258" s="84" t="str">
        <f t="shared" si="34"/>
        <v>Tidak Ada Faktor Rentan</v>
      </c>
      <c r="Z258" s="85" t="str">
        <f t="shared" si="35"/>
        <v/>
      </c>
      <c r="AA258" s="85">
        <f t="shared" si="36"/>
        <v>0</v>
      </c>
      <c r="AB258" s="85" t="str">
        <f t="shared" si="37"/>
        <v/>
      </c>
      <c r="AC258" s="68"/>
      <c r="AD258" s="68"/>
      <c r="AE258" s="68"/>
      <c r="AF258" s="68"/>
      <c r="AG258" s="68"/>
      <c r="AH258" s="68"/>
      <c r="AI258" s="68"/>
      <c r="AJ258" s="68"/>
      <c r="AK258" s="68"/>
      <c r="AL258" s="68"/>
      <c r="AM258" s="68"/>
      <c r="AN258" s="84" t="str">
        <f t="shared" si="38"/>
        <v>Tidak ada risiko khusus</v>
      </c>
      <c r="AO258" s="84" t="str">
        <f t="shared" si="39"/>
        <v>Tidak Ada Risiko Khusus</v>
      </c>
      <c r="AP258" s="68"/>
      <c r="AQ258" s="71" t="str">
        <f t="shared" si="40"/>
        <v/>
      </c>
      <c r="AR258" s="71">
        <f t="shared" si="41"/>
        <v>0</v>
      </c>
      <c r="AS258" s="71" t="str">
        <f t="shared" si="42"/>
        <v/>
      </c>
      <c r="AT258" s="69" t="str">
        <f t="shared" si="43"/>
        <v>Belum Dapat Ditentukan</v>
      </c>
      <c r="AU258" s="66"/>
      <c r="AV258" s="66"/>
      <c r="AW258" s="66"/>
      <c r="AX258" s="66"/>
      <c r="AY258" s="66"/>
      <c r="AZ258" s="66"/>
      <c r="BA258" s="66"/>
      <c r="BB258" s="178"/>
      <c r="BC258" s="72"/>
      <c r="BD258" s="66"/>
      <c r="BE258" s="178"/>
      <c r="BF258" s="66"/>
    </row>
    <row r="259" spans="1:58">
      <c r="A259" s="66"/>
      <c r="B259" s="66"/>
      <c r="C259" s="66"/>
      <c r="D259" s="66"/>
      <c r="E259" s="66"/>
      <c r="F259" s="66"/>
      <c r="G259" s="66"/>
      <c r="H259" s="66"/>
      <c r="I259" s="66"/>
      <c r="J259" s="66"/>
      <c r="K259" s="66"/>
      <c r="L259" s="66"/>
      <c r="M259" s="66"/>
      <c r="N259" s="66"/>
      <c r="O259" s="66"/>
      <c r="P259" s="66"/>
      <c r="Q259" s="86"/>
      <c r="R259" s="86"/>
      <c r="S259" s="86"/>
      <c r="T259" s="86"/>
      <c r="U259" s="86"/>
      <c r="V259" s="86"/>
      <c r="W259" s="67"/>
      <c r="X259" s="84" t="str">
        <f t="shared" si="33"/>
        <v>Tidak ada faktor rentan</v>
      </c>
      <c r="Y259" s="84" t="str">
        <f t="shared" si="34"/>
        <v>Tidak Ada Faktor Rentan</v>
      </c>
      <c r="Z259" s="85" t="str">
        <f t="shared" si="35"/>
        <v/>
      </c>
      <c r="AA259" s="85">
        <f t="shared" si="36"/>
        <v>0</v>
      </c>
      <c r="AB259" s="85" t="str">
        <f t="shared" si="37"/>
        <v/>
      </c>
      <c r="AC259" s="68"/>
      <c r="AD259" s="68"/>
      <c r="AE259" s="68"/>
      <c r="AF259" s="68"/>
      <c r="AG259" s="68"/>
      <c r="AH259" s="68"/>
      <c r="AI259" s="68"/>
      <c r="AJ259" s="68"/>
      <c r="AK259" s="68"/>
      <c r="AL259" s="68"/>
      <c r="AM259" s="68"/>
      <c r="AN259" s="84" t="str">
        <f t="shared" si="38"/>
        <v>Tidak ada risiko khusus</v>
      </c>
      <c r="AO259" s="84" t="str">
        <f t="shared" si="39"/>
        <v>Tidak Ada Risiko Khusus</v>
      </c>
      <c r="AP259" s="68"/>
      <c r="AQ259" s="71" t="str">
        <f t="shared" si="40"/>
        <v/>
      </c>
      <c r="AR259" s="71">
        <f t="shared" si="41"/>
        <v>0</v>
      </c>
      <c r="AS259" s="71" t="str">
        <f t="shared" si="42"/>
        <v/>
      </c>
      <c r="AT259" s="69" t="str">
        <f t="shared" si="43"/>
        <v>Belum Dapat Ditentukan</v>
      </c>
      <c r="AU259" s="66"/>
      <c r="AV259" s="66"/>
      <c r="AW259" s="66"/>
      <c r="AX259" s="66"/>
      <c r="AY259" s="66"/>
      <c r="AZ259" s="66"/>
      <c r="BA259" s="66"/>
      <c r="BB259" s="178"/>
      <c r="BC259" s="72"/>
      <c r="BD259" s="66"/>
      <c r="BE259" s="178"/>
      <c r="BF259" s="66"/>
    </row>
    <row r="260" spans="1:58">
      <c r="A260" s="66"/>
      <c r="B260" s="66"/>
      <c r="C260" s="66"/>
      <c r="D260" s="66"/>
      <c r="E260" s="66"/>
      <c r="F260" s="66"/>
      <c r="G260" s="66"/>
      <c r="H260" s="66"/>
      <c r="I260" s="66"/>
      <c r="J260" s="66"/>
      <c r="K260" s="66"/>
      <c r="L260" s="66"/>
      <c r="M260" s="66"/>
      <c r="N260" s="66"/>
      <c r="O260" s="66"/>
      <c r="P260" s="66"/>
      <c r="Q260" s="86"/>
      <c r="R260" s="86"/>
      <c r="S260" s="86"/>
      <c r="T260" s="86"/>
      <c r="U260" s="86"/>
      <c r="V260" s="86"/>
      <c r="W260" s="67"/>
      <c r="X260" s="84" t="str">
        <f t="shared" si="33"/>
        <v>Tidak ada faktor rentan</v>
      </c>
      <c r="Y260" s="84" t="str">
        <f t="shared" si="34"/>
        <v>Tidak Ada Faktor Rentan</v>
      </c>
      <c r="Z260" s="85" t="str">
        <f t="shared" si="35"/>
        <v/>
      </c>
      <c r="AA260" s="85">
        <f t="shared" si="36"/>
        <v>0</v>
      </c>
      <c r="AB260" s="85" t="str">
        <f t="shared" si="37"/>
        <v/>
      </c>
      <c r="AC260" s="68"/>
      <c r="AD260" s="68"/>
      <c r="AE260" s="68"/>
      <c r="AF260" s="68"/>
      <c r="AG260" s="68"/>
      <c r="AH260" s="68"/>
      <c r="AI260" s="68"/>
      <c r="AJ260" s="68"/>
      <c r="AK260" s="68"/>
      <c r="AL260" s="68"/>
      <c r="AM260" s="68"/>
      <c r="AN260" s="84" t="str">
        <f t="shared" si="38"/>
        <v>Tidak ada risiko khusus</v>
      </c>
      <c r="AO260" s="84" t="str">
        <f t="shared" si="39"/>
        <v>Tidak Ada Risiko Khusus</v>
      </c>
      <c r="AP260" s="68"/>
      <c r="AQ260" s="71" t="str">
        <f t="shared" si="40"/>
        <v/>
      </c>
      <c r="AR260" s="71">
        <f t="shared" si="41"/>
        <v>0</v>
      </c>
      <c r="AS260" s="71" t="str">
        <f t="shared" si="42"/>
        <v/>
      </c>
      <c r="AT260" s="69" t="str">
        <f t="shared" si="43"/>
        <v>Belum Dapat Ditentukan</v>
      </c>
      <c r="AU260" s="66"/>
      <c r="AV260" s="66"/>
      <c r="AW260" s="66"/>
      <c r="AX260" s="66"/>
      <c r="AY260" s="66"/>
      <c r="AZ260" s="66"/>
      <c r="BA260" s="66"/>
      <c r="BB260" s="178"/>
      <c r="BC260" s="72"/>
      <c r="BD260" s="66"/>
      <c r="BE260" s="178"/>
      <c r="BF260" s="66"/>
    </row>
    <row r="261" spans="1:58">
      <c r="A261" s="66"/>
      <c r="B261" s="66"/>
      <c r="C261" s="66"/>
      <c r="D261" s="66"/>
      <c r="E261" s="66"/>
      <c r="F261" s="66"/>
      <c r="G261" s="66"/>
      <c r="H261" s="66"/>
      <c r="I261" s="66"/>
      <c r="J261" s="66"/>
      <c r="K261" s="66"/>
      <c r="L261" s="66"/>
      <c r="M261" s="66"/>
      <c r="N261" s="66"/>
      <c r="O261" s="66"/>
      <c r="P261" s="66"/>
      <c r="Q261" s="86"/>
      <c r="R261" s="86"/>
      <c r="S261" s="86"/>
      <c r="T261" s="86"/>
      <c r="U261" s="86"/>
      <c r="V261" s="86"/>
      <c r="W261" s="67"/>
      <c r="X261" s="84" t="str">
        <f t="shared" si="33"/>
        <v>Tidak ada faktor rentan</v>
      </c>
      <c r="Y261" s="84" t="str">
        <f t="shared" si="34"/>
        <v>Tidak Ada Faktor Rentan</v>
      </c>
      <c r="Z261" s="85" t="str">
        <f t="shared" si="35"/>
        <v/>
      </c>
      <c r="AA261" s="85">
        <f t="shared" si="36"/>
        <v>0</v>
      </c>
      <c r="AB261" s="85" t="str">
        <f t="shared" si="37"/>
        <v/>
      </c>
      <c r="AC261" s="68"/>
      <c r="AD261" s="68"/>
      <c r="AE261" s="68"/>
      <c r="AF261" s="68"/>
      <c r="AG261" s="68"/>
      <c r="AH261" s="68"/>
      <c r="AI261" s="68"/>
      <c r="AJ261" s="68"/>
      <c r="AK261" s="68"/>
      <c r="AL261" s="68"/>
      <c r="AM261" s="68"/>
      <c r="AN261" s="84" t="str">
        <f t="shared" si="38"/>
        <v>Tidak ada risiko khusus</v>
      </c>
      <c r="AO261" s="84" t="str">
        <f t="shared" si="39"/>
        <v>Tidak Ada Risiko Khusus</v>
      </c>
      <c r="AP261" s="68"/>
      <c r="AQ261" s="71" t="str">
        <f t="shared" si="40"/>
        <v/>
      </c>
      <c r="AR261" s="71">
        <f t="shared" si="41"/>
        <v>0</v>
      </c>
      <c r="AS261" s="71" t="str">
        <f t="shared" si="42"/>
        <v/>
      </c>
      <c r="AT261" s="69" t="str">
        <f t="shared" si="43"/>
        <v>Belum Dapat Ditentukan</v>
      </c>
      <c r="AU261" s="66"/>
      <c r="AV261" s="66"/>
      <c r="AW261" s="66"/>
      <c r="AX261" s="66"/>
      <c r="AY261" s="66"/>
      <c r="AZ261" s="66"/>
      <c r="BA261" s="66"/>
      <c r="BB261" s="178"/>
      <c r="BC261" s="72"/>
      <c r="BD261" s="66"/>
      <c r="BE261" s="178"/>
      <c r="BF261" s="66"/>
    </row>
    <row r="262" spans="1:58">
      <c r="A262" s="66"/>
      <c r="B262" s="66"/>
      <c r="C262" s="66"/>
      <c r="D262" s="66"/>
      <c r="E262" s="66"/>
      <c r="F262" s="66"/>
      <c r="G262" s="66"/>
      <c r="H262" s="66"/>
      <c r="I262" s="66"/>
      <c r="J262" s="66"/>
      <c r="K262" s="66"/>
      <c r="L262" s="66"/>
      <c r="M262" s="66"/>
      <c r="N262" s="66"/>
      <c r="O262" s="66"/>
      <c r="P262" s="66"/>
      <c r="Q262" s="86"/>
      <c r="R262" s="86"/>
      <c r="S262" s="86"/>
      <c r="T262" s="86"/>
      <c r="U262" s="86"/>
      <c r="V262" s="86"/>
      <c r="W262" s="67"/>
      <c r="X262" s="84" t="str">
        <f t="shared" ref="X262:X289" si="44">IF(COUNTIF(R262:V262,"Belum Dinilai")&gt;0,"Belum Dinilai",IF(COUNTIF(R262:V262,"Ya")=0,"Tidak ada faktor rentan",IF(R262="Ya","Lansia; ","")&amp;IF(S262="Ya","Penyandang disabilitas; ","")&amp;IF(T262="Ya","Kepala keluarga perempuan; ","")&amp;IF(U262="Ya","Balita; ","")&amp;IF(V262="Ya","Anggota keluarga dengan ketergantungan tinggi; ","")))</f>
        <v>Tidak ada faktor rentan</v>
      </c>
      <c r="Y262" s="84" t="str">
        <f t="shared" ref="Y262:Y289" si="45">IF(COUNTIF(R262:V262,"Belum Dinilai")&gt;0,"Belum Dinilai",IF(COUNTIF(R262:V262,"Ya")=0,"Tidak Ada Faktor Rentan",IF(COUNTIF(R262:V262,"Ya")=1,"1 Faktor Rentan","2 atau Lebih Faktor Rentan")))</f>
        <v>Tidak Ada Faktor Rentan</v>
      </c>
      <c r="Z262" s="85" t="str">
        <f t="shared" ref="Z262:Z289" si="46">IF(OR(Q262="",Q262="Belum Dinilai"),"",IF(Q262="Terverifikasi DTKS/P3KE/MBR",10,IF(Q262="Diusulkan, Belum Terverifikasi",5,0)))</f>
        <v/>
      </c>
      <c r="AA262" s="85">
        <f t="shared" ref="AA262:AA289" si="47">IF(COUNTIF(R262:V262,"Belum Dinilai")&gt;0,"",IF(COUNTIF(R262:V262,"Ya")=0,0,IF(COUNTIF(R262:V262,"Ya")=1,5,10)))</f>
        <v>0</v>
      </c>
      <c r="AB262" s="85" t="str">
        <f t="shared" ref="AB262:AB289" si="48">IF(OR(Z262="",AA262=""),"",Z262+AA262)</f>
        <v/>
      </c>
      <c r="AC262" s="68"/>
      <c r="AD262" s="68"/>
      <c r="AE262" s="68"/>
      <c r="AF262" s="68"/>
      <c r="AG262" s="68"/>
      <c r="AH262" s="68"/>
      <c r="AI262" s="68"/>
      <c r="AJ262" s="68"/>
      <c r="AK262" s="68"/>
      <c r="AL262" s="68"/>
      <c r="AM262" s="68"/>
      <c r="AN262" s="84" t="str">
        <f t="shared" ref="AN262:AN289" si="49">IF(AND(COUNTIF(AC262:AK262,"Ya")=0,AL262=""),IF(COUNTIF(AC262:AK262,"Belum Dinilai")&gt;0,"Belum Dinilai","Tidak ada risiko khusus"),IF(AC262="Ya","Bangunan berpotensi roboh; ","")&amp;IF(AD262="Ya","Bekas kebakaran dan tidak aman dihuni; ","")&amp;IF(AE262="Ya","Atap atau dinding utama hampir runtuh; ","")&amp;IF(AF262="Ya","Genangan yang membahayakan; ","")&amp;IF(AG262="Ya","Struktur rumah tidak stabil; ","")&amp;IF(AH262="Ya","Instalasi listrik berbahaya; ","")&amp;IF(AI262="Ya","Komponen bangunan lepas atau lapuk; ","")&amp;IF(AJ262="Ya","Akses keluar atau evakuasi terbatas; ","")&amp;IF(AK262="Ya","Lokasi rawan bencana; ","")&amp;IF(AL262&lt;&gt;"","Lainnya: "&amp;AL262,""))</f>
        <v>Tidak ada risiko khusus</v>
      </c>
      <c r="AO262" s="84" t="str">
        <f t="shared" ref="AO262:AO289" si="50">IF(AR262="","Belum Dinilai",IF(AR262=10,"Risiko Tinggi/Darurat",IF(AR262=5,"Risiko Sedang","Tidak Ada Risiko Khusus")))</f>
        <v>Tidak Ada Risiko Khusus</v>
      </c>
      <c r="AP262" s="68"/>
      <c r="AQ262" s="71" t="str">
        <f t="shared" ref="AQ262:AQ289" si="51">IF(OR(J262="",J262="Belum Dapat Ditentukan",L262="",L262="Belum Dinilai",N262="",N262="Belum Dinilai",P262="",P262="Belum Dinilai"),"",IF(J262="Permanen",0,IF(J262="Semipermanen",8,IF(J262="Nonpermanen",15,0)))+IF(L262="Baik",0,IF(L262="Rusak Ringan",5,IF(L262="Rusak Sedang",10,IF(L262="Rusak Berat",15,IF(L262="Tidak Ada/Terbuka",20,0)))))+IF(N262="Baik",0,IF(N262="Rusak Ringan",5,IF(N262="Rusak Sedang",10,IF(N262="Rusak Berat",15,IF(N262="Tidak Ada/Terbuka",20,0)))))+IF(P262="Baik",0,IF(P262="Rusak Ringan",4,IF(P262="Rusak Sedang",8,IF(P262="Rusak Berat",12,IF(P262="Tidak Layak",15,0))))))</f>
        <v/>
      </c>
      <c r="AR262" s="71">
        <f t="shared" ref="AR262:AR289" si="52">IF(
 OR(
  COUNTIF(AC262:AH262,"Ya")&gt;0,
  AND(AL262&lt;&gt;"",AM262="Risiko Tinggi/Darurat"),
  COUNTIF(AI262:AK262,"Ya")+IF(AND(AL262&lt;&gt;"",AM262="Risiko Sedang"),1,0)&gt;=2
 ),
 10,
 IF(
  OR(
   COUNTIF(AC262:AK262,"Belum Dinilai")&gt;0,
   AND(AL262&lt;&gt;"",OR(AM262="",AM262="Belum Dinilai")),
   AND(AL262="",OR(AM262="Risiko Sedang",AM262="Risiko Tinggi/Darurat"))
  ),
  "",
  IF(
   COUNTIF(AI262:AK262,"Ya")+IF(AND(AL262&lt;&gt;"",AM262="Risiko Sedang"),1,0)=1,
   5,
   0
  )
 )
)</f>
        <v>0</v>
      </c>
      <c r="AS262" s="71" t="str">
        <f t="shared" ref="AS262:AS289" si="53">IF(OR(AQ262="",AB262="",AR262=""),"",AQ262+AB262+AR262)</f>
        <v/>
      </c>
      <c r="AT262" s="69" t="str">
        <f t="shared" ref="AT262:AT289" si="54">IF(AS262="","Belum Dapat Ditentukan",IF(AS262&gt;=80,"Sangat Tinggi",IF(OR(AO262="Risiko Tinggi/Darurat",(IF(L262="Rusak Berat",1,0)+IF(L262="Tidak Ada/Terbuka",1,0)+IF(N262="Rusak Berat",1,0)+IF(N262="Tidak Ada/Terbuka",1,0)+IF(P262="Rusak Berat",1,0)+IF(P262="Tidak Layak",1,0))&gt;=2),"Tinggi",IF(AS262&gt;=65,"Tinggi",IF(AS262&gt;=50,"Sedang","Rendah")))))</f>
        <v>Belum Dapat Ditentukan</v>
      </c>
      <c r="AU262" s="66"/>
      <c r="AV262" s="66"/>
      <c r="AW262" s="66"/>
      <c r="AX262" s="66"/>
      <c r="AY262" s="66"/>
      <c r="AZ262" s="66"/>
      <c r="BA262" s="66"/>
      <c r="BB262" s="178"/>
      <c r="BC262" s="72"/>
      <c r="BD262" s="66"/>
      <c r="BE262" s="178"/>
      <c r="BF262" s="66"/>
    </row>
    <row r="263" spans="1:58">
      <c r="A263" s="66"/>
      <c r="B263" s="66"/>
      <c r="C263" s="66"/>
      <c r="D263" s="66"/>
      <c r="E263" s="66"/>
      <c r="F263" s="66"/>
      <c r="G263" s="66"/>
      <c r="H263" s="66"/>
      <c r="I263" s="66"/>
      <c r="J263" s="66"/>
      <c r="K263" s="66"/>
      <c r="L263" s="66"/>
      <c r="M263" s="66"/>
      <c r="N263" s="66"/>
      <c r="O263" s="66"/>
      <c r="P263" s="66"/>
      <c r="Q263" s="86"/>
      <c r="R263" s="86"/>
      <c r="S263" s="86"/>
      <c r="T263" s="86"/>
      <c r="U263" s="86"/>
      <c r="V263" s="86"/>
      <c r="W263" s="67"/>
      <c r="X263" s="84" t="str">
        <f t="shared" si="44"/>
        <v>Tidak ada faktor rentan</v>
      </c>
      <c r="Y263" s="84" t="str">
        <f t="shared" si="45"/>
        <v>Tidak Ada Faktor Rentan</v>
      </c>
      <c r="Z263" s="85" t="str">
        <f t="shared" si="46"/>
        <v/>
      </c>
      <c r="AA263" s="85">
        <f t="shared" si="47"/>
        <v>0</v>
      </c>
      <c r="AB263" s="85" t="str">
        <f t="shared" si="48"/>
        <v/>
      </c>
      <c r="AC263" s="68"/>
      <c r="AD263" s="68"/>
      <c r="AE263" s="68"/>
      <c r="AF263" s="68"/>
      <c r="AG263" s="68"/>
      <c r="AH263" s="68"/>
      <c r="AI263" s="68"/>
      <c r="AJ263" s="68"/>
      <c r="AK263" s="68"/>
      <c r="AL263" s="68"/>
      <c r="AM263" s="68"/>
      <c r="AN263" s="84" t="str">
        <f t="shared" si="49"/>
        <v>Tidak ada risiko khusus</v>
      </c>
      <c r="AO263" s="84" t="str">
        <f t="shared" si="50"/>
        <v>Tidak Ada Risiko Khusus</v>
      </c>
      <c r="AP263" s="68"/>
      <c r="AQ263" s="71" t="str">
        <f t="shared" si="51"/>
        <v/>
      </c>
      <c r="AR263" s="71">
        <f t="shared" si="52"/>
        <v>0</v>
      </c>
      <c r="AS263" s="71" t="str">
        <f t="shared" si="53"/>
        <v/>
      </c>
      <c r="AT263" s="69" t="str">
        <f t="shared" si="54"/>
        <v>Belum Dapat Ditentukan</v>
      </c>
      <c r="AU263" s="66"/>
      <c r="AV263" s="66"/>
      <c r="AW263" s="66"/>
      <c r="AX263" s="66"/>
      <c r="AY263" s="66"/>
      <c r="AZ263" s="66"/>
      <c r="BA263" s="66"/>
      <c r="BB263" s="178"/>
      <c r="BC263" s="72"/>
      <c r="BD263" s="66"/>
      <c r="BE263" s="178"/>
      <c r="BF263" s="66"/>
    </row>
    <row r="264" spans="1:58">
      <c r="A264" s="66"/>
      <c r="B264" s="66"/>
      <c r="C264" s="66"/>
      <c r="D264" s="66"/>
      <c r="E264" s="66"/>
      <c r="F264" s="66"/>
      <c r="G264" s="66"/>
      <c r="H264" s="66"/>
      <c r="I264" s="66"/>
      <c r="J264" s="66"/>
      <c r="K264" s="66"/>
      <c r="L264" s="66"/>
      <c r="M264" s="66"/>
      <c r="N264" s="66"/>
      <c r="O264" s="66"/>
      <c r="P264" s="66"/>
      <c r="Q264" s="86"/>
      <c r="R264" s="86"/>
      <c r="S264" s="86"/>
      <c r="T264" s="86"/>
      <c r="U264" s="86"/>
      <c r="V264" s="86"/>
      <c r="W264" s="67"/>
      <c r="X264" s="84" t="str">
        <f t="shared" si="44"/>
        <v>Tidak ada faktor rentan</v>
      </c>
      <c r="Y264" s="84" t="str">
        <f t="shared" si="45"/>
        <v>Tidak Ada Faktor Rentan</v>
      </c>
      <c r="Z264" s="85" t="str">
        <f t="shared" si="46"/>
        <v/>
      </c>
      <c r="AA264" s="85">
        <f t="shared" si="47"/>
        <v>0</v>
      </c>
      <c r="AB264" s="85" t="str">
        <f t="shared" si="48"/>
        <v/>
      </c>
      <c r="AC264" s="68"/>
      <c r="AD264" s="68"/>
      <c r="AE264" s="68"/>
      <c r="AF264" s="68"/>
      <c r="AG264" s="68"/>
      <c r="AH264" s="68"/>
      <c r="AI264" s="68"/>
      <c r="AJ264" s="68"/>
      <c r="AK264" s="68"/>
      <c r="AL264" s="68"/>
      <c r="AM264" s="68"/>
      <c r="AN264" s="84" t="str">
        <f t="shared" si="49"/>
        <v>Tidak ada risiko khusus</v>
      </c>
      <c r="AO264" s="84" t="str">
        <f t="shared" si="50"/>
        <v>Tidak Ada Risiko Khusus</v>
      </c>
      <c r="AP264" s="68"/>
      <c r="AQ264" s="71" t="str">
        <f t="shared" si="51"/>
        <v/>
      </c>
      <c r="AR264" s="71">
        <f t="shared" si="52"/>
        <v>0</v>
      </c>
      <c r="AS264" s="71" t="str">
        <f t="shared" si="53"/>
        <v/>
      </c>
      <c r="AT264" s="69" t="str">
        <f t="shared" si="54"/>
        <v>Belum Dapat Ditentukan</v>
      </c>
      <c r="AU264" s="66"/>
      <c r="AV264" s="66"/>
      <c r="AW264" s="66"/>
      <c r="AX264" s="66"/>
      <c r="AY264" s="66"/>
      <c r="AZ264" s="66"/>
      <c r="BA264" s="66"/>
      <c r="BB264" s="178"/>
      <c r="BC264" s="72"/>
      <c r="BD264" s="66"/>
      <c r="BE264" s="178"/>
      <c r="BF264" s="66"/>
    </row>
    <row r="265" spans="1:58">
      <c r="A265" s="66"/>
      <c r="B265" s="66"/>
      <c r="C265" s="66"/>
      <c r="D265" s="66"/>
      <c r="E265" s="66"/>
      <c r="F265" s="66"/>
      <c r="G265" s="66"/>
      <c r="H265" s="66"/>
      <c r="I265" s="66"/>
      <c r="J265" s="66"/>
      <c r="K265" s="66"/>
      <c r="L265" s="66"/>
      <c r="M265" s="66"/>
      <c r="N265" s="66"/>
      <c r="O265" s="66"/>
      <c r="P265" s="66"/>
      <c r="Q265" s="86"/>
      <c r="R265" s="86"/>
      <c r="S265" s="86"/>
      <c r="T265" s="86"/>
      <c r="U265" s="86"/>
      <c r="V265" s="86"/>
      <c r="W265" s="67"/>
      <c r="X265" s="84" t="str">
        <f t="shared" si="44"/>
        <v>Tidak ada faktor rentan</v>
      </c>
      <c r="Y265" s="84" t="str">
        <f t="shared" si="45"/>
        <v>Tidak Ada Faktor Rentan</v>
      </c>
      <c r="Z265" s="85" t="str">
        <f t="shared" si="46"/>
        <v/>
      </c>
      <c r="AA265" s="85">
        <f t="shared" si="47"/>
        <v>0</v>
      </c>
      <c r="AB265" s="85" t="str">
        <f t="shared" si="48"/>
        <v/>
      </c>
      <c r="AC265" s="68"/>
      <c r="AD265" s="68"/>
      <c r="AE265" s="68"/>
      <c r="AF265" s="68"/>
      <c r="AG265" s="68"/>
      <c r="AH265" s="68"/>
      <c r="AI265" s="68"/>
      <c r="AJ265" s="68"/>
      <c r="AK265" s="68"/>
      <c r="AL265" s="68"/>
      <c r="AM265" s="68"/>
      <c r="AN265" s="84" t="str">
        <f t="shared" si="49"/>
        <v>Tidak ada risiko khusus</v>
      </c>
      <c r="AO265" s="84" t="str">
        <f t="shared" si="50"/>
        <v>Tidak Ada Risiko Khusus</v>
      </c>
      <c r="AP265" s="68"/>
      <c r="AQ265" s="71" t="str">
        <f t="shared" si="51"/>
        <v/>
      </c>
      <c r="AR265" s="71">
        <f t="shared" si="52"/>
        <v>0</v>
      </c>
      <c r="AS265" s="71" t="str">
        <f t="shared" si="53"/>
        <v/>
      </c>
      <c r="AT265" s="69" t="str">
        <f t="shared" si="54"/>
        <v>Belum Dapat Ditentukan</v>
      </c>
      <c r="AU265" s="66"/>
      <c r="AV265" s="66"/>
      <c r="AW265" s="66"/>
      <c r="AX265" s="66"/>
      <c r="AY265" s="66"/>
      <c r="AZ265" s="66"/>
      <c r="BA265" s="66"/>
      <c r="BB265" s="178"/>
      <c r="BC265" s="72"/>
      <c r="BD265" s="66"/>
      <c r="BE265" s="178"/>
      <c r="BF265" s="66"/>
    </row>
    <row r="266" spans="1:58">
      <c r="A266" s="66"/>
      <c r="B266" s="66"/>
      <c r="C266" s="66"/>
      <c r="D266" s="66"/>
      <c r="E266" s="66"/>
      <c r="F266" s="66"/>
      <c r="G266" s="66"/>
      <c r="H266" s="66"/>
      <c r="I266" s="66"/>
      <c r="J266" s="66"/>
      <c r="K266" s="66"/>
      <c r="L266" s="66"/>
      <c r="M266" s="66"/>
      <c r="N266" s="66"/>
      <c r="O266" s="66"/>
      <c r="P266" s="66"/>
      <c r="Q266" s="86"/>
      <c r="R266" s="86"/>
      <c r="S266" s="86"/>
      <c r="T266" s="86"/>
      <c r="U266" s="86"/>
      <c r="V266" s="86"/>
      <c r="W266" s="67"/>
      <c r="X266" s="84" t="str">
        <f t="shared" si="44"/>
        <v>Tidak ada faktor rentan</v>
      </c>
      <c r="Y266" s="84" t="str">
        <f t="shared" si="45"/>
        <v>Tidak Ada Faktor Rentan</v>
      </c>
      <c r="Z266" s="85" t="str">
        <f t="shared" si="46"/>
        <v/>
      </c>
      <c r="AA266" s="85">
        <f t="shared" si="47"/>
        <v>0</v>
      </c>
      <c r="AB266" s="85" t="str">
        <f t="shared" si="48"/>
        <v/>
      </c>
      <c r="AC266" s="68"/>
      <c r="AD266" s="68"/>
      <c r="AE266" s="68"/>
      <c r="AF266" s="68"/>
      <c r="AG266" s="68"/>
      <c r="AH266" s="68"/>
      <c r="AI266" s="68"/>
      <c r="AJ266" s="68"/>
      <c r="AK266" s="68"/>
      <c r="AL266" s="68"/>
      <c r="AM266" s="68"/>
      <c r="AN266" s="84" t="str">
        <f t="shared" si="49"/>
        <v>Tidak ada risiko khusus</v>
      </c>
      <c r="AO266" s="84" t="str">
        <f t="shared" si="50"/>
        <v>Tidak Ada Risiko Khusus</v>
      </c>
      <c r="AP266" s="68"/>
      <c r="AQ266" s="71" t="str">
        <f t="shared" si="51"/>
        <v/>
      </c>
      <c r="AR266" s="71">
        <f t="shared" si="52"/>
        <v>0</v>
      </c>
      <c r="AS266" s="71" t="str">
        <f t="shared" si="53"/>
        <v/>
      </c>
      <c r="AT266" s="69" t="str">
        <f t="shared" si="54"/>
        <v>Belum Dapat Ditentukan</v>
      </c>
      <c r="AU266" s="66"/>
      <c r="AV266" s="66"/>
      <c r="AW266" s="66"/>
      <c r="AX266" s="66"/>
      <c r="AY266" s="66"/>
      <c r="AZ266" s="66"/>
      <c r="BA266" s="66"/>
      <c r="BB266" s="178"/>
      <c r="BC266" s="72"/>
      <c r="BD266" s="66"/>
      <c r="BE266" s="178"/>
      <c r="BF266" s="66"/>
    </row>
    <row r="267" spans="1:58">
      <c r="A267" s="66"/>
      <c r="B267" s="66"/>
      <c r="C267" s="66"/>
      <c r="D267" s="66"/>
      <c r="E267" s="66"/>
      <c r="F267" s="66"/>
      <c r="G267" s="66"/>
      <c r="H267" s="66"/>
      <c r="I267" s="66"/>
      <c r="J267" s="66"/>
      <c r="K267" s="66"/>
      <c r="L267" s="66"/>
      <c r="M267" s="66"/>
      <c r="N267" s="66"/>
      <c r="O267" s="66"/>
      <c r="P267" s="66"/>
      <c r="Q267" s="86"/>
      <c r="R267" s="86"/>
      <c r="S267" s="86"/>
      <c r="T267" s="86"/>
      <c r="U267" s="86"/>
      <c r="V267" s="86"/>
      <c r="W267" s="67"/>
      <c r="X267" s="84" t="str">
        <f t="shared" si="44"/>
        <v>Tidak ada faktor rentan</v>
      </c>
      <c r="Y267" s="84" t="str">
        <f t="shared" si="45"/>
        <v>Tidak Ada Faktor Rentan</v>
      </c>
      <c r="Z267" s="85" t="str">
        <f t="shared" si="46"/>
        <v/>
      </c>
      <c r="AA267" s="85">
        <f t="shared" si="47"/>
        <v>0</v>
      </c>
      <c r="AB267" s="85" t="str">
        <f t="shared" si="48"/>
        <v/>
      </c>
      <c r="AC267" s="68"/>
      <c r="AD267" s="68"/>
      <c r="AE267" s="68"/>
      <c r="AF267" s="68"/>
      <c r="AG267" s="68"/>
      <c r="AH267" s="68"/>
      <c r="AI267" s="68"/>
      <c r="AJ267" s="68"/>
      <c r="AK267" s="68"/>
      <c r="AL267" s="68"/>
      <c r="AM267" s="68"/>
      <c r="AN267" s="84" t="str">
        <f t="shared" si="49"/>
        <v>Tidak ada risiko khusus</v>
      </c>
      <c r="AO267" s="84" t="str">
        <f t="shared" si="50"/>
        <v>Tidak Ada Risiko Khusus</v>
      </c>
      <c r="AP267" s="68"/>
      <c r="AQ267" s="71" t="str">
        <f t="shared" si="51"/>
        <v/>
      </c>
      <c r="AR267" s="71">
        <f t="shared" si="52"/>
        <v>0</v>
      </c>
      <c r="AS267" s="71" t="str">
        <f t="shared" si="53"/>
        <v/>
      </c>
      <c r="AT267" s="69" t="str">
        <f t="shared" si="54"/>
        <v>Belum Dapat Ditentukan</v>
      </c>
      <c r="AU267" s="66"/>
      <c r="AV267" s="66"/>
      <c r="AW267" s="66"/>
      <c r="AX267" s="66"/>
      <c r="AY267" s="66"/>
      <c r="AZ267" s="66"/>
      <c r="BA267" s="66"/>
      <c r="BB267" s="178"/>
      <c r="BC267" s="72"/>
      <c r="BD267" s="66"/>
      <c r="BE267" s="178"/>
      <c r="BF267" s="66"/>
    </row>
    <row r="268" spans="1:58">
      <c r="A268" s="66"/>
      <c r="B268" s="66"/>
      <c r="C268" s="66"/>
      <c r="D268" s="66"/>
      <c r="E268" s="66"/>
      <c r="F268" s="66"/>
      <c r="G268" s="66"/>
      <c r="H268" s="66"/>
      <c r="I268" s="66"/>
      <c r="J268" s="66"/>
      <c r="K268" s="66"/>
      <c r="L268" s="66"/>
      <c r="M268" s="66"/>
      <c r="N268" s="66"/>
      <c r="O268" s="66"/>
      <c r="P268" s="66"/>
      <c r="Q268" s="86"/>
      <c r="R268" s="86"/>
      <c r="S268" s="86"/>
      <c r="T268" s="86"/>
      <c r="U268" s="86"/>
      <c r="V268" s="86"/>
      <c r="W268" s="67"/>
      <c r="X268" s="84" t="str">
        <f t="shared" si="44"/>
        <v>Tidak ada faktor rentan</v>
      </c>
      <c r="Y268" s="84" t="str">
        <f t="shared" si="45"/>
        <v>Tidak Ada Faktor Rentan</v>
      </c>
      <c r="Z268" s="85" t="str">
        <f t="shared" si="46"/>
        <v/>
      </c>
      <c r="AA268" s="85">
        <f t="shared" si="47"/>
        <v>0</v>
      </c>
      <c r="AB268" s="85" t="str">
        <f t="shared" si="48"/>
        <v/>
      </c>
      <c r="AC268" s="68"/>
      <c r="AD268" s="68"/>
      <c r="AE268" s="68"/>
      <c r="AF268" s="68"/>
      <c r="AG268" s="68"/>
      <c r="AH268" s="68"/>
      <c r="AI268" s="68"/>
      <c r="AJ268" s="68"/>
      <c r="AK268" s="68"/>
      <c r="AL268" s="68"/>
      <c r="AM268" s="68"/>
      <c r="AN268" s="84" t="str">
        <f t="shared" si="49"/>
        <v>Tidak ada risiko khusus</v>
      </c>
      <c r="AO268" s="84" t="str">
        <f t="shared" si="50"/>
        <v>Tidak Ada Risiko Khusus</v>
      </c>
      <c r="AP268" s="68"/>
      <c r="AQ268" s="71" t="str">
        <f t="shared" si="51"/>
        <v/>
      </c>
      <c r="AR268" s="71">
        <f t="shared" si="52"/>
        <v>0</v>
      </c>
      <c r="AS268" s="71" t="str">
        <f t="shared" si="53"/>
        <v/>
      </c>
      <c r="AT268" s="69" t="str">
        <f t="shared" si="54"/>
        <v>Belum Dapat Ditentukan</v>
      </c>
      <c r="AU268" s="66"/>
      <c r="AV268" s="66"/>
      <c r="AW268" s="66"/>
      <c r="AX268" s="66"/>
      <c r="AY268" s="66"/>
      <c r="AZ268" s="66"/>
      <c r="BA268" s="66"/>
      <c r="BB268" s="178"/>
      <c r="BC268" s="72"/>
      <c r="BD268" s="66"/>
      <c r="BE268" s="178"/>
      <c r="BF268" s="66"/>
    </row>
    <row r="269" spans="1:58">
      <c r="A269" s="66"/>
      <c r="B269" s="66"/>
      <c r="C269" s="66"/>
      <c r="D269" s="66"/>
      <c r="E269" s="66"/>
      <c r="F269" s="66"/>
      <c r="G269" s="66"/>
      <c r="H269" s="66"/>
      <c r="I269" s="66"/>
      <c r="J269" s="66"/>
      <c r="K269" s="66"/>
      <c r="L269" s="66"/>
      <c r="M269" s="66"/>
      <c r="N269" s="66"/>
      <c r="O269" s="66"/>
      <c r="P269" s="66"/>
      <c r="Q269" s="86"/>
      <c r="R269" s="86"/>
      <c r="S269" s="86"/>
      <c r="T269" s="86"/>
      <c r="U269" s="86"/>
      <c r="V269" s="86"/>
      <c r="W269" s="67"/>
      <c r="X269" s="84" t="str">
        <f t="shared" si="44"/>
        <v>Tidak ada faktor rentan</v>
      </c>
      <c r="Y269" s="84" t="str">
        <f t="shared" si="45"/>
        <v>Tidak Ada Faktor Rentan</v>
      </c>
      <c r="Z269" s="85" t="str">
        <f t="shared" si="46"/>
        <v/>
      </c>
      <c r="AA269" s="85">
        <f t="shared" si="47"/>
        <v>0</v>
      </c>
      <c r="AB269" s="85" t="str">
        <f t="shared" si="48"/>
        <v/>
      </c>
      <c r="AC269" s="68"/>
      <c r="AD269" s="68"/>
      <c r="AE269" s="68"/>
      <c r="AF269" s="68"/>
      <c r="AG269" s="68"/>
      <c r="AH269" s="68"/>
      <c r="AI269" s="68"/>
      <c r="AJ269" s="68"/>
      <c r="AK269" s="68"/>
      <c r="AL269" s="68"/>
      <c r="AM269" s="68"/>
      <c r="AN269" s="84" t="str">
        <f t="shared" si="49"/>
        <v>Tidak ada risiko khusus</v>
      </c>
      <c r="AO269" s="84" t="str">
        <f t="shared" si="50"/>
        <v>Tidak Ada Risiko Khusus</v>
      </c>
      <c r="AP269" s="68"/>
      <c r="AQ269" s="71" t="str">
        <f t="shared" si="51"/>
        <v/>
      </c>
      <c r="AR269" s="71">
        <f t="shared" si="52"/>
        <v>0</v>
      </c>
      <c r="AS269" s="71" t="str">
        <f t="shared" si="53"/>
        <v/>
      </c>
      <c r="AT269" s="69" t="str">
        <f t="shared" si="54"/>
        <v>Belum Dapat Ditentukan</v>
      </c>
      <c r="AU269" s="66"/>
      <c r="AV269" s="66"/>
      <c r="AW269" s="66"/>
      <c r="AX269" s="66"/>
      <c r="AY269" s="66"/>
      <c r="AZ269" s="66"/>
      <c r="BA269" s="66"/>
      <c r="BB269" s="178"/>
      <c r="BC269" s="72"/>
      <c r="BD269" s="66"/>
      <c r="BE269" s="178"/>
      <c r="BF269" s="66"/>
    </row>
    <row r="270" spans="1:58">
      <c r="A270" s="66"/>
      <c r="B270" s="66"/>
      <c r="C270" s="66"/>
      <c r="D270" s="66"/>
      <c r="E270" s="66"/>
      <c r="F270" s="66"/>
      <c r="G270" s="66"/>
      <c r="H270" s="66"/>
      <c r="I270" s="66"/>
      <c r="J270" s="66"/>
      <c r="K270" s="66"/>
      <c r="L270" s="66"/>
      <c r="M270" s="66"/>
      <c r="N270" s="66"/>
      <c r="O270" s="66"/>
      <c r="P270" s="66"/>
      <c r="Q270" s="86"/>
      <c r="R270" s="86"/>
      <c r="S270" s="86"/>
      <c r="T270" s="86"/>
      <c r="U270" s="86"/>
      <c r="V270" s="86"/>
      <c r="W270" s="67"/>
      <c r="X270" s="84" t="str">
        <f t="shared" si="44"/>
        <v>Tidak ada faktor rentan</v>
      </c>
      <c r="Y270" s="84" t="str">
        <f t="shared" si="45"/>
        <v>Tidak Ada Faktor Rentan</v>
      </c>
      <c r="Z270" s="85" t="str">
        <f t="shared" si="46"/>
        <v/>
      </c>
      <c r="AA270" s="85">
        <f t="shared" si="47"/>
        <v>0</v>
      </c>
      <c r="AB270" s="85" t="str">
        <f t="shared" si="48"/>
        <v/>
      </c>
      <c r="AC270" s="68"/>
      <c r="AD270" s="68"/>
      <c r="AE270" s="68"/>
      <c r="AF270" s="68"/>
      <c r="AG270" s="68"/>
      <c r="AH270" s="68"/>
      <c r="AI270" s="68"/>
      <c r="AJ270" s="68"/>
      <c r="AK270" s="68"/>
      <c r="AL270" s="68"/>
      <c r="AM270" s="68"/>
      <c r="AN270" s="84" t="str">
        <f t="shared" si="49"/>
        <v>Tidak ada risiko khusus</v>
      </c>
      <c r="AO270" s="84" t="str">
        <f t="shared" si="50"/>
        <v>Tidak Ada Risiko Khusus</v>
      </c>
      <c r="AP270" s="68"/>
      <c r="AQ270" s="71" t="str">
        <f t="shared" si="51"/>
        <v/>
      </c>
      <c r="AR270" s="71">
        <f t="shared" si="52"/>
        <v>0</v>
      </c>
      <c r="AS270" s="71" t="str">
        <f t="shared" si="53"/>
        <v/>
      </c>
      <c r="AT270" s="69" t="str">
        <f t="shared" si="54"/>
        <v>Belum Dapat Ditentukan</v>
      </c>
      <c r="AU270" s="66"/>
      <c r="AV270" s="66"/>
      <c r="AW270" s="66"/>
      <c r="AX270" s="66"/>
      <c r="AY270" s="66"/>
      <c r="AZ270" s="66"/>
      <c r="BA270" s="66"/>
      <c r="BB270" s="178"/>
      <c r="BC270" s="72"/>
      <c r="BD270" s="66"/>
      <c r="BE270" s="178"/>
      <c r="BF270" s="66"/>
    </row>
    <row r="271" spans="1:58">
      <c r="A271" s="66"/>
      <c r="B271" s="66"/>
      <c r="C271" s="66"/>
      <c r="D271" s="66"/>
      <c r="E271" s="66"/>
      <c r="F271" s="66"/>
      <c r="G271" s="66"/>
      <c r="H271" s="66"/>
      <c r="I271" s="66"/>
      <c r="J271" s="66"/>
      <c r="K271" s="66"/>
      <c r="L271" s="66"/>
      <c r="M271" s="66"/>
      <c r="N271" s="66"/>
      <c r="O271" s="66"/>
      <c r="P271" s="66"/>
      <c r="Q271" s="86"/>
      <c r="R271" s="86"/>
      <c r="S271" s="86"/>
      <c r="T271" s="86"/>
      <c r="U271" s="86"/>
      <c r="V271" s="86"/>
      <c r="W271" s="67"/>
      <c r="X271" s="84" t="str">
        <f t="shared" si="44"/>
        <v>Tidak ada faktor rentan</v>
      </c>
      <c r="Y271" s="84" t="str">
        <f t="shared" si="45"/>
        <v>Tidak Ada Faktor Rentan</v>
      </c>
      <c r="Z271" s="85" t="str">
        <f t="shared" si="46"/>
        <v/>
      </c>
      <c r="AA271" s="85">
        <f t="shared" si="47"/>
        <v>0</v>
      </c>
      <c r="AB271" s="85" t="str">
        <f t="shared" si="48"/>
        <v/>
      </c>
      <c r="AC271" s="68"/>
      <c r="AD271" s="68"/>
      <c r="AE271" s="68"/>
      <c r="AF271" s="68"/>
      <c r="AG271" s="68"/>
      <c r="AH271" s="68"/>
      <c r="AI271" s="68"/>
      <c r="AJ271" s="68"/>
      <c r="AK271" s="68"/>
      <c r="AL271" s="68"/>
      <c r="AM271" s="68"/>
      <c r="AN271" s="84" t="str">
        <f t="shared" si="49"/>
        <v>Tidak ada risiko khusus</v>
      </c>
      <c r="AO271" s="84" t="str">
        <f t="shared" si="50"/>
        <v>Tidak Ada Risiko Khusus</v>
      </c>
      <c r="AP271" s="68"/>
      <c r="AQ271" s="71" t="str">
        <f t="shared" si="51"/>
        <v/>
      </c>
      <c r="AR271" s="71">
        <f t="shared" si="52"/>
        <v>0</v>
      </c>
      <c r="AS271" s="71" t="str">
        <f t="shared" si="53"/>
        <v/>
      </c>
      <c r="AT271" s="69" t="str">
        <f t="shared" si="54"/>
        <v>Belum Dapat Ditentukan</v>
      </c>
      <c r="AU271" s="66"/>
      <c r="AV271" s="66"/>
      <c r="AW271" s="66"/>
      <c r="AX271" s="66"/>
      <c r="AY271" s="66"/>
      <c r="AZ271" s="66"/>
      <c r="BA271" s="66"/>
      <c r="BB271" s="178"/>
      <c r="BC271" s="72"/>
      <c r="BD271" s="66"/>
      <c r="BE271" s="178"/>
      <c r="BF271" s="66"/>
    </row>
    <row r="272" spans="1:58">
      <c r="A272" s="66"/>
      <c r="B272" s="66"/>
      <c r="C272" s="66"/>
      <c r="D272" s="66"/>
      <c r="E272" s="66"/>
      <c r="F272" s="66"/>
      <c r="G272" s="66"/>
      <c r="H272" s="66"/>
      <c r="I272" s="66"/>
      <c r="J272" s="66"/>
      <c r="K272" s="66"/>
      <c r="L272" s="66"/>
      <c r="M272" s="66"/>
      <c r="N272" s="66"/>
      <c r="O272" s="66"/>
      <c r="P272" s="66"/>
      <c r="Q272" s="86"/>
      <c r="R272" s="86"/>
      <c r="S272" s="86"/>
      <c r="T272" s="86"/>
      <c r="U272" s="86"/>
      <c r="V272" s="86"/>
      <c r="W272" s="67"/>
      <c r="X272" s="84" t="str">
        <f t="shared" si="44"/>
        <v>Tidak ada faktor rentan</v>
      </c>
      <c r="Y272" s="84" t="str">
        <f t="shared" si="45"/>
        <v>Tidak Ada Faktor Rentan</v>
      </c>
      <c r="Z272" s="85" t="str">
        <f t="shared" si="46"/>
        <v/>
      </c>
      <c r="AA272" s="85">
        <f t="shared" si="47"/>
        <v>0</v>
      </c>
      <c r="AB272" s="85" t="str">
        <f t="shared" si="48"/>
        <v/>
      </c>
      <c r="AC272" s="68"/>
      <c r="AD272" s="68"/>
      <c r="AE272" s="68"/>
      <c r="AF272" s="68"/>
      <c r="AG272" s="68"/>
      <c r="AH272" s="68"/>
      <c r="AI272" s="68"/>
      <c r="AJ272" s="68"/>
      <c r="AK272" s="68"/>
      <c r="AL272" s="68"/>
      <c r="AM272" s="68"/>
      <c r="AN272" s="84" t="str">
        <f t="shared" si="49"/>
        <v>Tidak ada risiko khusus</v>
      </c>
      <c r="AO272" s="84" t="str">
        <f t="shared" si="50"/>
        <v>Tidak Ada Risiko Khusus</v>
      </c>
      <c r="AP272" s="68"/>
      <c r="AQ272" s="71" t="str">
        <f t="shared" si="51"/>
        <v/>
      </c>
      <c r="AR272" s="71">
        <f t="shared" si="52"/>
        <v>0</v>
      </c>
      <c r="AS272" s="71" t="str">
        <f t="shared" si="53"/>
        <v/>
      </c>
      <c r="AT272" s="69" t="str">
        <f t="shared" si="54"/>
        <v>Belum Dapat Ditentukan</v>
      </c>
      <c r="AU272" s="66"/>
      <c r="AV272" s="66"/>
      <c r="AW272" s="66"/>
      <c r="AX272" s="66"/>
      <c r="AY272" s="66"/>
      <c r="AZ272" s="66"/>
      <c r="BA272" s="66"/>
      <c r="BB272" s="178"/>
      <c r="BC272" s="72"/>
      <c r="BD272" s="66"/>
      <c r="BE272" s="178"/>
      <c r="BF272" s="66"/>
    </row>
    <row r="273" spans="1:58">
      <c r="A273" s="66"/>
      <c r="B273" s="66"/>
      <c r="C273" s="66"/>
      <c r="D273" s="66"/>
      <c r="E273" s="66"/>
      <c r="F273" s="66"/>
      <c r="G273" s="66"/>
      <c r="H273" s="66"/>
      <c r="I273" s="66"/>
      <c r="J273" s="66"/>
      <c r="K273" s="66"/>
      <c r="L273" s="66"/>
      <c r="M273" s="66"/>
      <c r="N273" s="66"/>
      <c r="O273" s="66"/>
      <c r="P273" s="66"/>
      <c r="Q273" s="86"/>
      <c r="R273" s="86"/>
      <c r="S273" s="86"/>
      <c r="T273" s="86"/>
      <c r="U273" s="86"/>
      <c r="V273" s="86"/>
      <c r="W273" s="67"/>
      <c r="X273" s="84" t="str">
        <f t="shared" si="44"/>
        <v>Tidak ada faktor rentan</v>
      </c>
      <c r="Y273" s="84" t="str">
        <f t="shared" si="45"/>
        <v>Tidak Ada Faktor Rentan</v>
      </c>
      <c r="Z273" s="85" t="str">
        <f t="shared" si="46"/>
        <v/>
      </c>
      <c r="AA273" s="85">
        <f t="shared" si="47"/>
        <v>0</v>
      </c>
      <c r="AB273" s="85" t="str">
        <f t="shared" si="48"/>
        <v/>
      </c>
      <c r="AC273" s="68"/>
      <c r="AD273" s="68"/>
      <c r="AE273" s="68"/>
      <c r="AF273" s="68"/>
      <c r="AG273" s="68"/>
      <c r="AH273" s="68"/>
      <c r="AI273" s="68"/>
      <c r="AJ273" s="68"/>
      <c r="AK273" s="68"/>
      <c r="AL273" s="68"/>
      <c r="AM273" s="68"/>
      <c r="AN273" s="84" t="str">
        <f t="shared" si="49"/>
        <v>Tidak ada risiko khusus</v>
      </c>
      <c r="AO273" s="84" t="str">
        <f t="shared" si="50"/>
        <v>Tidak Ada Risiko Khusus</v>
      </c>
      <c r="AP273" s="68"/>
      <c r="AQ273" s="71" t="str">
        <f t="shared" si="51"/>
        <v/>
      </c>
      <c r="AR273" s="71">
        <f t="shared" si="52"/>
        <v>0</v>
      </c>
      <c r="AS273" s="71" t="str">
        <f t="shared" si="53"/>
        <v/>
      </c>
      <c r="AT273" s="69" t="str">
        <f t="shared" si="54"/>
        <v>Belum Dapat Ditentukan</v>
      </c>
      <c r="AU273" s="66"/>
      <c r="AV273" s="66"/>
      <c r="AW273" s="66"/>
      <c r="AX273" s="66"/>
      <c r="AY273" s="66"/>
      <c r="AZ273" s="66"/>
      <c r="BA273" s="66"/>
      <c r="BB273" s="178"/>
      <c r="BC273" s="72"/>
      <c r="BD273" s="66"/>
      <c r="BE273" s="178"/>
      <c r="BF273" s="66"/>
    </row>
    <row r="274" spans="1:58">
      <c r="A274" s="66"/>
      <c r="B274" s="66"/>
      <c r="C274" s="66"/>
      <c r="D274" s="66"/>
      <c r="E274" s="66"/>
      <c r="F274" s="66"/>
      <c r="G274" s="66"/>
      <c r="H274" s="66"/>
      <c r="I274" s="66"/>
      <c r="J274" s="66"/>
      <c r="K274" s="66"/>
      <c r="L274" s="66"/>
      <c r="M274" s="66"/>
      <c r="N274" s="66"/>
      <c r="O274" s="66"/>
      <c r="P274" s="66"/>
      <c r="Q274" s="86"/>
      <c r="R274" s="86"/>
      <c r="S274" s="86"/>
      <c r="T274" s="86"/>
      <c r="U274" s="86"/>
      <c r="V274" s="86"/>
      <c r="W274" s="67"/>
      <c r="X274" s="84" t="str">
        <f t="shared" si="44"/>
        <v>Tidak ada faktor rentan</v>
      </c>
      <c r="Y274" s="84" t="str">
        <f t="shared" si="45"/>
        <v>Tidak Ada Faktor Rentan</v>
      </c>
      <c r="Z274" s="85" t="str">
        <f t="shared" si="46"/>
        <v/>
      </c>
      <c r="AA274" s="85">
        <f t="shared" si="47"/>
        <v>0</v>
      </c>
      <c r="AB274" s="85" t="str">
        <f t="shared" si="48"/>
        <v/>
      </c>
      <c r="AC274" s="68"/>
      <c r="AD274" s="68"/>
      <c r="AE274" s="68"/>
      <c r="AF274" s="68"/>
      <c r="AG274" s="68"/>
      <c r="AH274" s="68"/>
      <c r="AI274" s="68"/>
      <c r="AJ274" s="68"/>
      <c r="AK274" s="68"/>
      <c r="AL274" s="68"/>
      <c r="AM274" s="68"/>
      <c r="AN274" s="84" t="str">
        <f t="shared" si="49"/>
        <v>Tidak ada risiko khusus</v>
      </c>
      <c r="AO274" s="84" t="str">
        <f t="shared" si="50"/>
        <v>Tidak Ada Risiko Khusus</v>
      </c>
      <c r="AP274" s="68"/>
      <c r="AQ274" s="71" t="str">
        <f t="shared" si="51"/>
        <v/>
      </c>
      <c r="AR274" s="71">
        <f t="shared" si="52"/>
        <v>0</v>
      </c>
      <c r="AS274" s="71" t="str">
        <f t="shared" si="53"/>
        <v/>
      </c>
      <c r="AT274" s="69" t="str">
        <f t="shared" si="54"/>
        <v>Belum Dapat Ditentukan</v>
      </c>
      <c r="AU274" s="66"/>
      <c r="AV274" s="66"/>
      <c r="AW274" s="66"/>
      <c r="AX274" s="66"/>
      <c r="AY274" s="66"/>
      <c r="AZ274" s="66"/>
      <c r="BA274" s="66"/>
      <c r="BB274" s="178"/>
      <c r="BC274" s="72"/>
      <c r="BD274" s="66"/>
      <c r="BE274" s="178"/>
      <c r="BF274" s="66"/>
    </row>
    <row r="275" spans="1:58">
      <c r="A275" s="66"/>
      <c r="B275" s="66"/>
      <c r="C275" s="66"/>
      <c r="D275" s="66"/>
      <c r="E275" s="66"/>
      <c r="F275" s="66"/>
      <c r="G275" s="66"/>
      <c r="H275" s="66"/>
      <c r="I275" s="66"/>
      <c r="J275" s="66"/>
      <c r="K275" s="66"/>
      <c r="L275" s="66"/>
      <c r="M275" s="66"/>
      <c r="N275" s="66"/>
      <c r="O275" s="66"/>
      <c r="P275" s="66"/>
      <c r="Q275" s="86"/>
      <c r="R275" s="86"/>
      <c r="S275" s="86"/>
      <c r="T275" s="86"/>
      <c r="U275" s="86"/>
      <c r="V275" s="86"/>
      <c r="W275" s="67"/>
      <c r="X275" s="84" t="str">
        <f t="shared" si="44"/>
        <v>Tidak ada faktor rentan</v>
      </c>
      <c r="Y275" s="84" t="str">
        <f t="shared" si="45"/>
        <v>Tidak Ada Faktor Rentan</v>
      </c>
      <c r="Z275" s="85" t="str">
        <f t="shared" si="46"/>
        <v/>
      </c>
      <c r="AA275" s="85">
        <f t="shared" si="47"/>
        <v>0</v>
      </c>
      <c r="AB275" s="85" t="str">
        <f t="shared" si="48"/>
        <v/>
      </c>
      <c r="AC275" s="68"/>
      <c r="AD275" s="68"/>
      <c r="AE275" s="68"/>
      <c r="AF275" s="68"/>
      <c r="AG275" s="68"/>
      <c r="AH275" s="68"/>
      <c r="AI275" s="68"/>
      <c r="AJ275" s="68"/>
      <c r="AK275" s="68"/>
      <c r="AL275" s="68"/>
      <c r="AM275" s="68"/>
      <c r="AN275" s="84" t="str">
        <f t="shared" si="49"/>
        <v>Tidak ada risiko khusus</v>
      </c>
      <c r="AO275" s="84" t="str">
        <f t="shared" si="50"/>
        <v>Tidak Ada Risiko Khusus</v>
      </c>
      <c r="AP275" s="68"/>
      <c r="AQ275" s="71" t="str">
        <f t="shared" si="51"/>
        <v/>
      </c>
      <c r="AR275" s="71">
        <f t="shared" si="52"/>
        <v>0</v>
      </c>
      <c r="AS275" s="71" t="str">
        <f t="shared" si="53"/>
        <v/>
      </c>
      <c r="AT275" s="69" t="str">
        <f t="shared" si="54"/>
        <v>Belum Dapat Ditentukan</v>
      </c>
      <c r="AU275" s="66"/>
      <c r="AV275" s="66"/>
      <c r="AW275" s="66"/>
      <c r="AX275" s="66"/>
      <c r="AY275" s="66"/>
      <c r="AZ275" s="66"/>
      <c r="BA275" s="66"/>
      <c r="BB275" s="178"/>
      <c r="BC275" s="72"/>
      <c r="BD275" s="66"/>
      <c r="BE275" s="178"/>
      <c r="BF275" s="66"/>
    </row>
    <row r="276" spans="1:58">
      <c r="A276" s="66"/>
      <c r="B276" s="66"/>
      <c r="C276" s="66"/>
      <c r="D276" s="66"/>
      <c r="E276" s="66"/>
      <c r="F276" s="66"/>
      <c r="G276" s="66"/>
      <c r="H276" s="66"/>
      <c r="I276" s="66"/>
      <c r="J276" s="66"/>
      <c r="K276" s="66"/>
      <c r="L276" s="66"/>
      <c r="M276" s="66"/>
      <c r="N276" s="66"/>
      <c r="O276" s="66"/>
      <c r="P276" s="66"/>
      <c r="Q276" s="86"/>
      <c r="R276" s="86"/>
      <c r="S276" s="86"/>
      <c r="T276" s="86"/>
      <c r="U276" s="86"/>
      <c r="V276" s="86"/>
      <c r="W276" s="67"/>
      <c r="X276" s="84" t="str">
        <f t="shared" si="44"/>
        <v>Tidak ada faktor rentan</v>
      </c>
      <c r="Y276" s="84" t="str">
        <f t="shared" si="45"/>
        <v>Tidak Ada Faktor Rentan</v>
      </c>
      <c r="Z276" s="85" t="str">
        <f t="shared" si="46"/>
        <v/>
      </c>
      <c r="AA276" s="85">
        <f t="shared" si="47"/>
        <v>0</v>
      </c>
      <c r="AB276" s="85" t="str">
        <f t="shared" si="48"/>
        <v/>
      </c>
      <c r="AC276" s="68"/>
      <c r="AD276" s="68"/>
      <c r="AE276" s="68"/>
      <c r="AF276" s="68"/>
      <c r="AG276" s="68"/>
      <c r="AH276" s="68"/>
      <c r="AI276" s="68"/>
      <c r="AJ276" s="68"/>
      <c r="AK276" s="68"/>
      <c r="AL276" s="68"/>
      <c r="AM276" s="68"/>
      <c r="AN276" s="84" t="str">
        <f t="shared" si="49"/>
        <v>Tidak ada risiko khusus</v>
      </c>
      <c r="AO276" s="84" t="str">
        <f t="shared" si="50"/>
        <v>Tidak Ada Risiko Khusus</v>
      </c>
      <c r="AP276" s="68"/>
      <c r="AQ276" s="71" t="str">
        <f t="shared" si="51"/>
        <v/>
      </c>
      <c r="AR276" s="71">
        <f t="shared" si="52"/>
        <v>0</v>
      </c>
      <c r="AS276" s="71" t="str">
        <f t="shared" si="53"/>
        <v/>
      </c>
      <c r="AT276" s="69" t="str">
        <f t="shared" si="54"/>
        <v>Belum Dapat Ditentukan</v>
      </c>
      <c r="AU276" s="66"/>
      <c r="AV276" s="66"/>
      <c r="AW276" s="66"/>
      <c r="AX276" s="66"/>
      <c r="AY276" s="66"/>
      <c r="AZ276" s="66"/>
      <c r="BA276" s="66"/>
      <c r="BB276" s="178"/>
      <c r="BC276" s="72"/>
      <c r="BD276" s="66"/>
      <c r="BE276" s="178"/>
      <c r="BF276" s="66"/>
    </row>
    <row r="277" spans="1:58">
      <c r="A277" s="66"/>
      <c r="B277" s="66"/>
      <c r="C277" s="66"/>
      <c r="D277" s="66"/>
      <c r="E277" s="66"/>
      <c r="F277" s="66"/>
      <c r="G277" s="66"/>
      <c r="H277" s="66"/>
      <c r="I277" s="66"/>
      <c r="J277" s="66"/>
      <c r="K277" s="66"/>
      <c r="L277" s="66"/>
      <c r="M277" s="66"/>
      <c r="N277" s="66"/>
      <c r="O277" s="66"/>
      <c r="P277" s="66"/>
      <c r="Q277" s="86"/>
      <c r="R277" s="86"/>
      <c r="S277" s="86"/>
      <c r="T277" s="86"/>
      <c r="U277" s="86"/>
      <c r="V277" s="86"/>
      <c r="W277" s="67"/>
      <c r="X277" s="84" t="str">
        <f t="shared" si="44"/>
        <v>Tidak ada faktor rentan</v>
      </c>
      <c r="Y277" s="84" t="str">
        <f t="shared" si="45"/>
        <v>Tidak Ada Faktor Rentan</v>
      </c>
      <c r="Z277" s="85" t="str">
        <f t="shared" si="46"/>
        <v/>
      </c>
      <c r="AA277" s="85">
        <f t="shared" si="47"/>
        <v>0</v>
      </c>
      <c r="AB277" s="85" t="str">
        <f t="shared" si="48"/>
        <v/>
      </c>
      <c r="AC277" s="68"/>
      <c r="AD277" s="68"/>
      <c r="AE277" s="68"/>
      <c r="AF277" s="68"/>
      <c r="AG277" s="68"/>
      <c r="AH277" s="68"/>
      <c r="AI277" s="68"/>
      <c r="AJ277" s="68"/>
      <c r="AK277" s="68"/>
      <c r="AL277" s="68"/>
      <c r="AM277" s="68"/>
      <c r="AN277" s="84" t="str">
        <f t="shared" si="49"/>
        <v>Tidak ada risiko khusus</v>
      </c>
      <c r="AO277" s="84" t="str">
        <f t="shared" si="50"/>
        <v>Tidak Ada Risiko Khusus</v>
      </c>
      <c r="AP277" s="68"/>
      <c r="AQ277" s="71" t="str">
        <f t="shared" si="51"/>
        <v/>
      </c>
      <c r="AR277" s="71">
        <f t="shared" si="52"/>
        <v>0</v>
      </c>
      <c r="AS277" s="71" t="str">
        <f t="shared" si="53"/>
        <v/>
      </c>
      <c r="AT277" s="69" t="str">
        <f t="shared" si="54"/>
        <v>Belum Dapat Ditentukan</v>
      </c>
      <c r="AU277" s="66"/>
      <c r="AV277" s="66"/>
      <c r="AW277" s="66"/>
      <c r="AX277" s="66"/>
      <c r="AY277" s="66"/>
      <c r="AZ277" s="66"/>
      <c r="BA277" s="66"/>
      <c r="BB277" s="178"/>
      <c r="BC277" s="72"/>
      <c r="BD277" s="66"/>
      <c r="BE277" s="178"/>
      <c r="BF277" s="66"/>
    </row>
    <row r="278" spans="1:58">
      <c r="A278" s="66"/>
      <c r="B278" s="66"/>
      <c r="C278" s="66"/>
      <c r="D278" s="66"/>
      <c r="E278" s="66"/>
      <c r="F278" s="66"/>
      <c r="G278" s="66"/>
      <c r="H278" s="66"/>
      <c r="I278" s="66"/>
      <c r="J278" s="66"/>
      <c r="K278" s="66"/>
      <c r="L278" s="66"/>
      <c r="M278" s="66"/>
      <c r="N278" s="66"/>
      <c r="O278" s="66"/>
      <c r="P278" s="66"/>
      <c r="Q278" s="86"/>
      <c r="R278" s="86"/>
      <c r="S278" s="86"/>
      <c r="T278" s="86"/>
      <c r="U278" s="86"/>
      <c r="V278" s="86"/>
      <c r="W278" s="67"/>
      <c r="X278" s="84" t="str">
        <f t="shared" si="44"/>
        <v>Tidak ada faktor rentan</v>
      </c>
      <c r="Y278" s="84" t="str">
        <f t="shared" si="45"/>
        <v>Tidak Ada Faktor Rentan</v>
      </c>
      <c r="Z278" s="85" t="str">
        <f t="shared" si="46"/>
        <v/>
      </c>
      <c r="AA278" s="85">
        <f t="shared" si="47"/>
        <v>0</v>
      </c>
      <c r="AB278" s="85" t="str">
        <f t="shared" si="48"/>
        <v/>
      </c>
      <c r="AC278" s="68"/>
      <c r="AD278" s="68"/>
      <c r="AE278" s="68"/>
      <c r="AF278" s="68"/>
      <c r="AG278" s="68"/>
      <c r="AH278" s="68"/>
      <c r="AI278" s="68"/>
      <c r="AJ278" s="68"/>
      <c r="AK278" s="68"/>
      <c r="AL278" s="68"/>
      <c r="AM278" s="68"/>
      <c r="AN278" s="84" t="str">
        <f t="shared" si="49"/>
        <v>Tidak ada risiko khusus</v>
      </c>
      <c r="AO278" s="84" t="str">
        <f t="shared" si="50"/>
        <v>Tidak Ada Risiko Khusus</v>
      </c>
      <c r="AP278" s="68"/>
      <c r="AQ278" s="71" t="str">
        <f t="shared" si="51"/>
        <v/>
      </c>
      <c r="AR278" s="71">
        <f t="shared" si="52"/>
        <v>0</v>
      </c>
      <c r="AS278" s="71" t="str">
        <f t="shared" si="53"/>
        <v/>
      </c>
      <c r="AT278" s="69" t="str">
        <f t="shared" si="54"/>
        <v>Belum Dapat Ditentukan</v>
      </c>
      <c r="AU278" s="66"/>
      <c r="AV278" s="66"/>
      <c r="AW278" s="66"/>
      <c r="AX278" s="66"/>
      <c r="AY278" s="66"/>
      <c r="AZ278" s="66"/>
      <c r="BA278" s="66"/>
      <c r="BB278" s="178"/>
      <c r="BC278" s="72"/>
      <c r="BD278" s="66"/>
      <c r="BE278" s="178"/>
      <c r="BF278" s="66"/>
    </row>
    <row r="279" spans="1:58">
      <c r="A279" s="66"/>
      <c r="B279" s="66"/>
      <c r="C279" s="66"/>
      <c r="D279" s="66"/>
      <c r="E279" s="66"/>
      <c r="F279" s="66"/>
      <c r="G279" s="66"/>
      <c r="H279" s="66"/>
      <c r="I279" s="66"/>
      <c r="J279" s="66"/>
      <c r="K279" s="66"/>
      <c r="L279" s="66"/>
      <c r="M279" s="66"/>
      <c r="N279" s="66"/>
      <c r="O279" s="66"/>
      <c r="P279" s="66"/>
      <c r="Q279" s="86"/>
      <c r="R279" s="86"/>
      <c r="S279" s="86"/>
      <c r="T279" s="86"/>
      <c r="U279" s="86"/>
      <c r="V279" s="86"/>
      <c r="W279" s="67"/>
      <c r="X279" s="84" t="str">
        <f t="shared" si="44"/>
        <v>Tidak ada faktor rentan</v>
      </c>
      <c r="Y279" s="84" t="str">
        <f t="shared" si="45"/>
        <v>Tidak Ada Faktor Rentan</v>
      </c>
      <c r="Z279" s="85" t="str">
        <f t="shared" si="46"/>
        <v/>
      </c>
      <c r="AA279" s="85">
        <f t="shared" si="47"/>
        <v>0</v>
      </c>
      <c r="AB279" s="85" t="str">
        <f t="shared" si="48"/>
        <v/>
      </c>
      <c r="AC279" s="68"/>
      <c r="AD279" s="68"/>
      <c r="AE279" s="68"/>
      <c r="AF279" s="68"/>
      <c r="AG279" s="68"/>
      <c r="AH279" s="68"/>
      <c r="AI279" s="68"/>
      <c r="AJ279" s="68"/>
      <c r="AK279" s="68"/>
      <c r="AL279" s="68"/>
      <c r="AM279" s="68"/>
      <c r="AN279" s="84" t="str">
        <f t="shared" si="49"/>
        <v>Tidak ada risiko khusus</v>
      </c>
      <c r="AO279" s="84" t="str">
        <f t="shared" si="50"/>
        <v>Tidak Ada Risiko Khusus</v>
      </c>
      <c r="AP279" s="68"/>
      <c r="AQ279" s="71" t="str">
        <f t="shared" si="51"/>
        <v/>
      </c>
      <c r="AR279" s="71">
        <f t="shared" si="52"/>
        <v>0</v>
      </c>
      <c r="AS279" s="71" t="str">
        <f t="shared" si="53"/>
        <v/>
      </c>
      <c r="AT279" s="69" t="str">
        <f t="shared" si="54"/>
        <v>Belum Dapat Ditentukan</v>
      </c>
      <c r="AU279" s="66"/>
      <c r="AV279" s="66"/>
      <c r="AW279" s="66"/>
      <c r="AX279" s="66"/>
      <c r="AY279" s="66"/>
      <c r="AZ279" s="66"/>
      <c r="BA279" s="66"/>
      <c r="BB279" s="178"/>
      <c r="BC279" s="72"/>
      <c r="BD279" s="66"/>
      <c r="BE279" s="178"/>
      <c r="BF279" s="66"/>
    </row>
    <row r="280" spans="1:58">
      <c r="A280" s="66"/>
      <c r="B280" s="66"/>
      <c r="C280" s="66"/>
      <c r="D280" s="66"/>
      <c r="E280" s="66"/>
      <c r="F280" s="66"/>
      <c r="G280" s="66"/>
      <c r="H280" s="66"/>
      <c r="I280" s="66"/>
      <c r="J280" s="66"/>
      <c r="K280" s="66"/>
      <c r="L280" s="66"/>
      <c r="M280" s="66"/>
      <c r="N280" s="66"/>
      <c r="O280" s="66"/>
      <c r="P280" s="66"/>
      <c r="Q280" s="86"/>
      <c r="R280" s="86"/>
      <c r="S280" s="86"/>
      <c r="T280" s="86"/>
      <c r="U280" s="86"/>
      <c r="V280" s="86"/>
      <c r="W280" s="67"/>
      <c r="X280" s="84" t="str">
        <f t="shared" si="44"/>
        <v>Tidak ada faktor rentan</v>
      </c>
      <c r="Y280" s="84" t="str">
        <f t="shared" si="45"/>
        <v>Tidak Ada Faktor Rentan</v>
      </c>
      <c r="Z280" s="85" t="str">
        <f t="shared" si="46"/>
        <v/>
      </c>
      <c r="AA280" s="85">
        <f t="shared" si="47"/>
        <v>0</v>
      </c>
      <c r="AB280" s="85" t="str">
        <f t="shared" si="48"/>
        <v/>
      </c>
      <c r="AC280" s="68"/>
      <c r="AD280" s="68"/>
      <c r="AE280" s="68"/>
      <c r="AF280" s="68"/>
      <c r="AG280" s="68"/>
      <c r="AH280" s="68"/>
      <c r="AI280" s="68"/>
      <c r="AJ280" s="68"/>
      <c r="AK280" s="68"/>
      <c r="AL280" s="68"/>
      <c r="AM280" s="68"/>
      <c r="AN280" s="84" t="str">
        <f t="shared" si="49"/>
        <v>Tidak ada risiko khusus</v>
      </c>
      <c r="AO280" s="84" t="str">
        <f t="shared" si="50"/>
        <v>Tidak Ada Risiko Khusus</v>
      </c>
      <c r="AP280" s="68"/>
      <c r="AQ280" s="71" t="str">
        <f t="shared" si="51"/>
        <v/>
      </c>
      <c r="AR280" s="71">
        <f t="shared" si="52"/>
        <v>0</v>
      </c>
      <c r="AS280" s="71" t="str">
        <f t="shared" si="53"/>
        <v/>
      </c>
      <c r="AT280" s="69" t="str">
        <f t="shared" si="54"/>
        <v>Belum Dapat Ditentukan</v>
      </c>
      <c r="AU280" s="66"/>
      <c r="AV280" s="66"/>
      <c r="AW280" s="66"/>
      <c r="AX280" s="66"/>
      <c r="AY280" s="66"/>
      <c r="AZ280" s="66"/>
      <c r="BA280" s="66"/>
      <c r="BB280" s="178"/>
      <c r="BC280" s="72"/>
      <c r="BD280" s="66"/>
      <c r="BE280" s="178"/>
      <c r="BF280" s="66"/>
    </row>
    <row r="281" spans="1:58">
      <c r="A281" s="66"/>
      <c r="B281" s="66"/>
      <c r="C281" s="66"/>
      <c r="D281" s="66"/>
      <c r="E281" s="66"/>
      <c r="F281" s="66"/>
      <c r="G281" s="66"/>
      <c r="H281" s="66"/>
      <c r="I281" s="66"/>
      <c r="J281" s="66"/>
      <c r="K281" s="66"/>
      <c r="L281" s="66"/>
      <c r="M281" s="66"/>
      <c r="N281" s="66"/>
      <c r="O281" s="66"/>
      <c r="P281" s="66"/>
      <c r="Q281" s="86"/>
      <c r="R281" s="86"/>
      <c r="S281" s="86"/>
      <c r="T281" s="86"/>
      <c r="U281" s="86"/>
      <c r="V281" s="86"/>
      <c r="W281" s="67"/>
      <c r="X281" s="84" t="str">
        <f t="shared" si="44"/>
        <v>Tidak ada faktor rentan</v>
      </c>
      <c r="Y281" s="84" t="str">
        <f t="shared" si="45"/>
        <v>Tidak Ada Faktor Rentan</v>
      </c>
      <c r="Z281" s="85" t="str">
        <f t="shared" si="46"/>
        <v/>
      </c>
      <c r="AA281" s="85">
        <f t="shared" si="47"/>
        <v>0</v>
      </c>
      <c r="AB281" s="85" t="str">
        <f t="shared" si="48"/>
        <v/>
      </c>
      <c r="AC281" s="68"/>
      <c r="AD281" s="68"/>
      <c r="AE281" s="68"/>
      <c r="AF281" s="68"/>
      <c r="AG281" s="68"/>
      <c r="AH281" s="68"/>
      <c r="AI281" s="68"/>
      <c r="AJ281" s="68"/>
      <c r="AK281" s="68"/>
      <c r="AL281" s="68"/>
      <c r="AM281" s="68"/>
      <c r="AN281" s="84" t="str">
        <f t="shared" si="49"/>
        <v>Tidak ada risiko khusus</v>
      </c>
      <c r="AO281" s="84" t="str">
        <f t="shared" si="50"/>
        <v>Tidak Ada Risiko Khusus</v>
      </c>
      <c r="AP281" s="68"/>
      <c r="AQ281" s="71" t="str">
        <f t="shared" si="51"/>
        <v/>
      </c>
      <c r="AR281" s="71">
        <f t="shared" si="52"/>
        <v>0</v>
      </c>
      <c r="AS281" s="71" t="str">
        <f t="shared" si="53"/>
        <v/>
      </c>
      <c r="AT281" s="69" t="str">
        <f t="shared" si="54"/>
        <v>Belum Dapat Ditentukan</v>
      </c>
      <c r="AU281" s="66"/>
      <c r="AV281" s="66"/>
      <c r="AW281" s="66"/>
      <c r="AX281" s="66"/>
      <c r="AY281" s="66"/>
      <c r="AZ281" s="66"/>
      <c r="BA281" s="66"/>
      <c r="BB281" s="178"/>
      <c r="BC281" s="72"/>
      <c r="BD281" s="66"/>
      <c r="BE281" s="178"/>
      <c r="BF281" s="66"/>
    </row>
    <row r="282" spans="1:58">
      <c r="A282" s="66"/>
      <c r="B282" s="66"/>
      <c r="C282" s="66"/>
      <c r="D282" s="66"/>
      <c r="E282" s="66"/>
      <c r="F282" s="66"/>
      <c r="G282" s="66"/>
      <c r="H282" s="66"/>
      <c r="I282" s="66"/>
      <c r="J282" s="66"/>
      <c r="K282" s="66"/>
      <c r="L282" s="66"/>
      <c r="M282" s="66"/>
      <c r="N282" s="66"/>
      <c r="O282" s="66"/>
      <c r="P282" s="66"/>
      <c r="Q282" s="86"/>
      <c r="R282" s="86"/>
      <c r="S282" s="86"/>
      <c r="T282" s="86"/>
      <c r="U282" s="86"/>
      <c r="V282" s="86"/>
      <c r="W282" s="67"/>
      <c r="X282" s="84" t="str">
        <f t="shared" si="44"/>
        <v>Tidak ada faktor rentan</v>
      </c>
      <c r="Y282" s="84" t="str">
        <f t="shared" si="45"/>
        <v>Tidak Ada Faktor Rentan</v>
      </c>
      <c r="Z282" s="85" t="str">
        <f t="shared" si="46"/>
        <v/>
      </c>
      <c r="AA282" s="85">
        <f t="shared" si="47"/>
        <v>0</v>
      </c>
      <c r="AB282" s="85" t="str">
        <f t="shared" si="48"/>
        <v/>
      </c>
      <c r="AC282" s="68"/>
      <c r="AD282" s="68"/>
      <c r="AE282" s="68"/>
      <c r="AF282" s="68"/>
      <c r="AG282" s="68"/>
      <c r="AH282" s="68"/>
      <c r="AI282" s="68"/>
      <c r="AJ282" s="68"/>
      <c r="AK282" s="68"/>
      <c r="AL282" s="68"/>
      <c r="AM282" s="68"/>
      <c r="AN282" s="84" t="str">
        <f t="shared" si="49"/>
        <v>Tidak ada risiko khusus</v>
      </c>
      <c r="AO282" s="84" t="str">
        <f t="shared" si="50"/>
        <v>Tidak Ada Risiko Khusus</v>
      </c>
      <c r="AP282" s="68"/>
      <c r="AQ282" s="71" t="str">
        <f t="shared" si="51"/>
        <v/>
      </c>
      <c r="AR282" s="71">
        <f t="shared" si="52"/>
        <v>0</v>
      </c>
      <c r="AS282" s="71" t="str">
        <f t="shared" si="53"/>
        <v/>
      </c>
      <c r="AT282" s="69" t="str">
        <f t="shared" si="54"/>
        <v>Belum Dapat Ditentukan</v>
      </c>
      <c r="AU282" s="66"/>
      <c r="AV282" s="66"/>
      <c r="AW282" s="66"/>
      <c r="AX282" s="66"/>
      <c r="AY282" s="66"/>
      <c r="AZ282" s="66"/>
      <c r="BA282" s="66"/>
      <c r="BB282" s="178"/>
      <c r="BC282" s="72"/>
      <c r="BD282" s="66"/>
      <c r="BE282" s="178"/>
      <c r="BF282" s="66"/>
    </row>
    <row r="283" spans="1:58">
      <c r="A283" s="66"/>
      <c r="B283" s="66"/>
      <c r="C283" s="66"/>
      <c r="D283" s="66"/>
      <c r="E283" s="66"/>
      <c r="F283" s="66"/>
      <c r="G283" s="66"/>
      <c r="H283" s="66"/>
      <c r="I283" s="66"/>
      <c r="J283" s="66"/>
      <c r="K283" s="66"/>
      <c r="L283" s="66"/>
      <c r="M283" s="66"/>
      <c r="N283" s="66"/>
      <c r="O283" s="66"/>
      <c r="P283" s="66"/>
      <c r="Q283" s="86"/>
      <c r="R283" s="86"/>
      <c r="S283" s="86"/>
      <c r="T283" s="86"/>
      <c r="U283" s="86"/>
      <c r="V283" s="86"/>
      <c r="W283" s="67"/>
      <c r="X283" s="84" t="str">
        <f t="shared" si="44"/>
        <v>Tidak ada faktor rentan</v>
      </c>
      <c r="Y283" s="84" t="str">
        <f t="shared" si="45"/>
        <v>Tidak Ada Faktor Rentan</v>
      </c>
      <c r="Z283" s="85" t="str">
        <f t="shared" si="46"/>
        <v/>
      </c>
      <c r="AA283" s="85">
        <f t="shared" si="47"/>
        <v>0</v>
      </c>
      <c r="AB283" s="85" t="str">
        <f t="shared" si="48"/>
        <v/>
      </c>
      <c r="AC283" s="68"/>
      <c r="AD283" s="68"/>
      <c r="AE283" s="68"/>
      <c r="AF283" s="68"/>
      <c r="AG283" s="68"/>
      <c r="AH283" s="68"/>
      <c r="AI283" s="68"/>
      <c r="AJ283" s="68"/>
      <c r="AK283" s="68"/>
      <c r="AL283" s="68"/>
      <c r="AM283" s="68"/>
      <c r="AN283" s="84" t="str">
        <f t="shared" si="49"/>
        <v>Tidak ada risiko khusus</v>
      </c>
      <c r="AO283" s="84" t="str">
        <f t="shared" si="50"/>
        <v>Tidak Ada Risiko Khusus</v>
      </c>
      <c r="AP283" s="68"/>
      <c r="AQ283" s="71" t="str">
        <f t="shared" si="51"/>
        <v/>
      </c>
      <c r="AR283" s="71">
        <f t="shared" si="52"/>
        <v>0</v>
      </c>
      <c r="AS283" s="71" t="str">
        <f t="shared" si="53"/>
        <v/>
      </c>
      <c r="AT283" s="69" t="str">
        <f t="shared" si="54"/>
        <v>Belum Dapat Ditentukan</v>
      </c>
      <c r="AU283" s="66"/>
      <c r="AV283" s="66"/>
      <c r="AW283" s="66"/>
      <c r="AX283" s="66"/>
      <c r="AY283" s="66"/>
      <c r="AZ283" s="66"/>
      <c r="BA283" s="66"/>
      <c r="BB283" s="178"/>
      <c r="BC283" s="72"/>
      <c r="BD283" s="66"/>
      <c r="BE283" s="178"/>
      <c r="BF283" s="66"/>
    </row>
    <row r="284" spans="1:58">
      <c r="A284" s="66"/>
      <c r="B284" s="66"/>
      <c r="C284" s="66"/>
      <c r="D284" s="66"/>
      <c r="E284" s="66"/>
      <c r="F284" s="66"/>
      <c r="G284" s="66"/>
      <c r="H284" s="66"/>
      <c r="I284" s="66"/>
      <c r="J284" s="66"/>
      <c r="K284" s="66"/>
      <c r="L284" s="66"/>
      <c r="M284" s="66"/>
      <c r="N284" s="66"/>
      <c r="O284" s="66"/>
      <c r="P284" s="66"/>
      <c r="Q284" s="86"/>
      <c r="R284" s="86"/>
      <c r="S284" s="86"/>
      <c r="T284" s="86"/>
      <c r="U284" s="86"/>
      <c r="V284" s="86"/>
      <c r="W284" s="67"/>
      <c r="X284" s="84" t="str">
        <f t="shared" si="44"/>
        <v>Tidak ada faktor rentan</v>
      </c>
      <c r="Y284" s="84" t="str">
        <f t="shared" si="45"/>
        <v>Tidak Ada Faktor Rentan</v>
      </c>
      <c r="Z284" s="85" t="str">
        <f t="shared" si="46"/>
        <v/>
      </c>
      <c r="AA284" s="85">
        <f t="shared" si="47"/>
        <v>0</v>
      </c>
      <c r="AB284" s="85" t="str">
        <f t="shared" si="48"/>
        <v/>
      </c>
      <c r="AC284" s="68"/>
      <c r="AD284" s="68"/>
      <c r="AE284" s="68"/>
      <c r="AF284" s="68"/>
      <c r="AG284" s="68"/>
      <c r="AH284" s="68"/>
      <c r="AI284" s="68"/>
      <c r="AJ284" s="68"/>
      <c r="AK284" s="68"/>
      <c r="AL284" s="68"/>
      <c r="AM284" s="68"/>
      <c r="AN284" s="84" t="str">
        <f t="shared" si="49"/>
        <v>Tidak ada risiko khusus</v>
      </c>
      <c r="AO284" s="84" t="str">
        <f t="shared" si="50"/>
        <v>Tidak Ada Risiko Khusus</v>
      </c>
      <c r="AP284" s="68"/>
      <c r="AQ284" s="71" t="str">
        <f t="shared" si="51"/>
        <v/>
      </c>
      <c r="AR284" s="71">
        <f t="shared" si="52"/>
        <v>0</v>
      </c>
      <c r="AS284" s="71" t="str">
        <f t="shared" si="53"/>
        <v/>
      </c>
      <c r="AT284" s="69" t="str">
        <f t="shared" si="54"/>
        <v>Belum Dapat Ditentukan</v>
      </c>
      <c r="AU284" s="66"/>
      <c r="AV284" s="66"/>
      <c r="AW284" s="66"/>
      <c r="AX284" s="66"/>
      <c r="AY284" s="66"/>
      <c r="AZ284" s="66"/>
      <c r="BA284" s="66"/>
      <c r="BB284" s="178"/>
      <c r="BC284" s="72"/>
      <c r="BD284" s="66"/>
      <c r="BE284" s="178"/>
      <c r="BF284" s="66"/>
    </row>
    <row r="285" spans="1:58">
      <c r="A285" s="66"/>
      <c r="B285" s="66"/>
      <c r="C285" s="66"/>
      <c r="D285" s="66"/>
      <c r="E285" s="66"/>
      <c r="F285" s="66"/>
      <c r="G285" s="66"/>
      <c r="H285" s="66"/>
      <c r="I285" s="66"/>
      <c r="J285" s="66"/>
      <c r="K285" s="66"/>
      <c r="L285" s="66"/>
      <c r="M285" s="66"/>
      <c r="N285" s="66"/>
      <c r="O285" s="66"/>
      <c r="P285" s="66"/>
      <c r="Q285" s="86"/>
      <c r="R285" s="86"/>
      <c r="S285" s="86"/>
      <c r="T285" s="86"/>
      <c r="U285" s="86"/>
      <c r="V285" s="86"/>
      <c r="W285" s="67"/>
      <c r="X285" s="84" t="str">
        <f t="shared" si="44"/>
        <v>Tidak ada faktor rentan</v>
      </c>
      <c r="Y285" s="84" t="str">
        <f t="shared" si="45"/>
        <v>Tidak Ada Faktor Rentan</v>
      </c>
      <c r="Z285" s="85" t="str">
        <f t="shared" si="46"/>
        <v/>
      </c>
      <c r="AA285" s="85">
        <f t="shared" si="47"/>
        <v>0</v>
      </c>
      <c r="AB285" s="85" t="str">
        <f t="shared" si="48"/>
        <v/>
      </c>
      <c r="AC285" s="68"/>
      <c r="AD285" s="68"/>
      <c r="AE285" s="68"/>
      <c r="AF285" s="68"/>
      <c r="AG285" s="68"/>
      <c r="AH285" s="68"/>
      <c r="AI285" s="68"/>
      <c r="AJ285" s="68"/>
      <c r="AK285" s="68"/>
      <c r="AL285" s="68"/>
      <c r="AM285" s="68"/>
      <c r="AN285" s="84" t="str">
        <f t="shared" si="49"/>
        <v>Tidak ada risiko khusus</v>
      </c>
      <c r="AO285" s="84" t="str">
        <f t="shared" si="50"/>
        <v>Tidak Ada Risiko Khusus</v>
      </c>
      <c r="AP285" s="68"/>
      <c r="AQ285" s="71" t="str">
        <f t="shared" si="51"/>
        <v/>
      </c>
      <c r="AR285" s="71">
        <f t="shared" si="52"/>
        <v>0</v>
      </c>
      <c r="AS285" s="71" t="str">
        <f t="shared" si="53"/>
        <v/>
      </c>
      <c r="AT285" s="69" t="str">
        <f t="shared" si="54"/>
        <v>Belum Dapat Ditentukan</v>
      </c>
      <c r="AU285" s="66"/>
      <c r="AV285" s="66"/>
      <c r="AW285" s="66"/>
      <c r="AX285" s="66"/>
      <c r="AY285" s="66"/>
      <c r="AZ285" s="66"/>
      <c r="BA285" s="66"/>
      <c r="BB285" s="178"/>
      <c r="BC285" s="72"/>
      <c r="BD285" s="66"/>
      <c r="BE285" s="178"/>
      <c r="BF285" s="66"/>
    </row>
    <row r="286" spans="1:58">
      <c r="A286" s="66"/>
      <c r="B286" s="66"/>
      <c r="C286" s="66"/>
      <c r="D286" s="66"/>
      <c r="E286" s="66"/>
      <c r="F286" s="66"/>
      <c r="G286" s="66"/>
      <c r="H286" s="66"/>
      <c r="I286" s="66"/>
      <c r="J286" s="66"/>
      <c r="K286" s="66"/>
      <c r="L286" s="66"/>
      <c r="M286" s="66"/>
      <c r="N286" s="66"/>
      <c r="O286" s="66"/>
      <c r="P286" s="66"/>
      <c r="Q286" s="86"/>
      <c r="R286" s="86"/>
      <c r="S286" s="86"/>
      <c r="T286" s="86"/>
      <c r="U286" s="86"/>
      <c r="V286" s="86"/>
      <c r="W286" s="67"/>
      <c r="X286" s="84" t="str">
        <f t="shared" si="44"/>
        <v>Tidak ada faktor rentan</v>
      </c>
      <c r="Y286" s="84" t="str">
        <f t="shared" si="45"/>
        <v>Tidak Ada Faktor Rentan</v>
      </c>
      <c r="Z286" s="85" t="str">
        <f t="shared" si="46"/>
        <v/>
      </c>
      <c r="AA286" s="85">
        <f t="shared" si="47"/>
        <v>0</v>
      </c>
      <c r="AB286" s="85" t="str">
        <f t="shared" si="48"/>
        <v/>
      </c>
      <c r="AC286" s="68"/>
      <c r="AD286" s="68"/>
      <c r="AE286" s="68"/>
      <c r="AF286" s="68"/>
      <c r="AG286" s="68"/>
      <c r="AH286" s="68"/>
      <c r="AI286" s="68"/>
      <c r="AJ286" s="68"/>
      <c r="AK286" s="68"/>
      <c r="AL286" s="68"/>
      <c r="AM286" s="68"/>
      <c r="AN286" s="84" t="str">
        <f t="shared" si="49"/>
        <v>Tidak ada risiko khusus</v>
      </c>
      <c r="AO286" s="84" t="str">
        <f t="shared" si="50"/>
        <v>Tidak Ada Risiko Khusus</v>
      </c>
      <c r="AP286" s="68"/>
      <c r="AQ286" s="71" t="str">
        <f t="shared" si="51"/>
        <v/>
      </c>
      <c r="AR286" s="71">
        <f t="shared" si="52"/>
        <v>0</v>
      </c>
      <c r="AS286" s="71" t="str">
        <f t="shared" si="53"/>
        <v/>
      </c>
      <c r="AT286" s="69" t="str">
        <f t="shared" si="54"/>
        <v>Belum Dapat Ditentukan</v>
      </c>
      <c r="AU286" s="66"/>
      <c r="AV286" s="66"/>
      <c r="AW286" s="66"/>
      <c r="AX286" s="66"/>
      <c r="AY286" s="66"/>
      <c r="AZ286" s="66"/>
      <c r="BA286" s="66"/>
      <c r="BB286" s="178"/>
      <c r="BC286" s="72"/>
      <c r="BD286" s="66"/>
      <c r="BE286" s="178"/>
      <c r="BF286" s="66"/>
    </row>
    <row r="287" spans="1:58">
      <c r="A287" s="66"/>
      <c r="B287" s="66"/>
      <c r="C287" s="66"/>
      <c r="D287" s="66"/>
      <c r="E287" s="66"/>
      <c r="F287" s="66"/>
      <c r="G287" s="66"/>
      <c r="H287" s="66"/>
      <c r="I287" s="66"/>
      <c r="J287" s="66"/>
      <c r="K287" s="66"/>
      <c r="L287" s="66"/>
      <c r="M287" s="66"/>
      <c r="N287" s="66"/>
      <c r="O287" s="66"/>
      <c r="P287" s="66"/>
      <c r="Q287" s="86"/>
      <c r="R287" s="86"/>
      <c r="S287" s="86"/>
      <c r="T287" s="86"/>
      <c r="U287" s="86"/>
      <c r="V287" s="86"/>
      <c r="W287" s="67"/>
      <c r="X287" s="84" t="str">
        <f t="shared" si="44"/>
        <v>Tidak ada faktor rentan</v>
      </c>
      <c r="Y287" s="84" t="str">
        <f t="shared" si="45"/>
        <v>Tidak Ada Faktor Rentan</v>
      </c>
      <c r="Z287" s="85" t="str">
        <f t="shared" si="46"/>
        <v/>
      </c>
      <c r="AA287" s="85">
        <f t="shared" si="47"/>
        <v>0</v>
      </c>
      <c r="AB287" s="85" t="str">
        <f t="shared" si="48"/>
        <v/>
      </c>
      <c r="AC287" s="68"/>
      <c r="AD287" s="68"/>
      <c r="AE287" s="68"/>
      <c r="AF287" s="68"/>
      <c r="AG287" s="68"/>
      <c r="AH287" s="68"/>
      <c r="AI287" s="68"/>
      <c r="AJ287" s="68"/>
      <c r="AK287" s="68"/>
      <c r="AL287" s="68"/>
      <c r="AM287" s="68"/>
      <c r="AN287" s="84" t="str">
        <f t="shared" si="49"/>
        <v>Tidak ada risiko khusus</v>
      </c>
      <c r="AO287" s="84" t="str">
        <f t="shared" si="50"/>
        <v>Tidak Ada Risiko Khusus</v>
      </c>
      <c r="AP287" s="68"/>
      <c r="AQ287" s="71" t="str">
        <f t="shared" si="51"/>
        <v/>
      </c>
      <c r="AR287" s="71">
        <f t="shared" si="52"/>
        <v>0</v>
      </c>
      <c r="AS287" s="71" t="str">
        <f t="shared" si="53"/>
        <v/>
      </c>
      <c r="AT287" s="69" t="str">
        <f t="shared" si="54"/>
        <v>Belum Dapat Ditentukan</v>
      </c>
      <c r="AU287" s="66"/>
      <c r="AV287" s="66"/>
      <c r="AW287" s="66"/>
      <c r="AX287" s="66"/>
      <c r="AY287" s="66"/>
      <c r="AZ287" s="66"/>
      <c r="BA287" s="66"/>
      <c r="BB287" s="178"/>
      <c r="BC287" s="72"/>
      <c r="BD287" s="66"/>
      <c r="BE287" s="178"/>
      <c r="BF287" s="66"/>
    </row>
    <row r="288" spans="1:58">
      <c r="A288" s="66"/>
      <c r="B288" s="66"/>
      <c r="C288" s="66"/>
      <c r="D288" s="66"/>
      <c r="E288" s="66"/>
      <c r="F288" s="66"/>
      <c r="G288" s="66"/>
      <c r="H288" s="66"/>
      <c r="I288" s="66"/>
      <c r="J288" s="66"/>
      <c r="K288" s="66"/>
      <c r="L288" s="66"/>
      <c r="M288" s="66"/>
      <c r="N288" s="66"/>
      <c r="O288" s="66"/>
      <c r="P288" s="66"/>
      <c r="Q288" s="86"/>
      <c r="R288" s="86"/>
      <c r="S288" s="86"/>
      <c r="T288" s="86"/>
      <c r="U288" s="86"/>
      <c r="V288" s="86"/>
      <c r="W288" s="67"/>
      <c r="X288" s="84" t="str">
        <f t="shared" si="44"/>
        <v>Tidak ada faktor rentan</v>
      </c>
      <c r="Y288" s="84" t="str">
        <f t="shared" si="45"/>
        <v>Tidak Ada Faktor Rentan</v>
      </c>
      <c r="Z288" s="85" t="str">
        <f t="shared" si="46"/>
        <v/>
      </c>
      <c r="AA288" s="85">
        <f t="shared" si="47"/>
        <v>0</v>
      </c>
      <c r="AB288" s="85" t="str">
        <f t="shared" si="48"/>
        <v/>
      </c>
      <c r="AC288" s="68"/>
      <c r="AD288" s="68"/>
      <c r="AE288" s="68"/>
      <c r="AF288" s="68"/>
      <c r="AG288" s="68"/>
      <c r="AH288" s="68"/>
      <c r="AI288" s="68"/>
      <c r="AJ288" s="68"/>
      <c r="AK288" s="68"/>
      <c r="AL288" s="68"/>
      <c r="AM288" s="68"/>
      <c r="AN288" s="84" t="str">
        <f t="shared" si="49"/>
        <v>Tidak ada risiko khusus</v>
      </c>
      <c r="AO288" s="84" t="str">
        <f t="shared" si="50"/>
        <v>Tidak Ada Risiko Khusus</v>
      </c>
      <c r="AP288" s="68"/>
      <c r="AQ288" s="71" t="str">
        <f t="shared" si="51"/>
        <v/>
      </c>
      <c r="AR288" s="71">
        <f t="shared" si="52"/>
        <v>0</v>
      </c>
      <c r="AS288" s="71" t="str">
        <f t="shared" si="53"/>
        <v/>
      </c>
      <c r="AT288" s="69" t="str">
        <f t="shared" si="54"/>
        <v>Belum Dapat Ditentukan</v>
      </c>
      <c r="AU288" s="66"/>
      <c r="AV288" s="66"/>
      <c r="AW288" s="66"/>
      <c r="AX288" s="66"/>
      <c r="AY288" s="66"/>
      <c r="AZ288" s="66"/>
      <c r="BA288" s="66"/>
      <c r="BB288" s="178"/>
      <c r="BC288" s="72"/>
      <c r="BD288" s="66"/>
      <c r="BE288" s="178"/>
      <c r="BF288" s="66"/>
    </row>
    <row r="289" spans="1:58">
      <c r="A289" s="66"/>
      <c r="B289" s="66"/>
      <c r="C289" s="66"/>
      <c r="D289" s="66"/>
      <c r="E289" s="66"/>
      <c r="F289" s="66"/>
      <c r="G289" s="66"/>
      <c r="H289" s="66"/>
      <c r="I289" s="66"/>
      <c r="J289" s="66"/>
      <c r="K289" s="66"/>
      <c r="L289" s="66"/>
      <c r="M289" s="66"/>
      <c r="N289" s="66"/>
      <c r="O289" s="66"/>
      <c r="P289" s="66"/>
      <c r="Q289" s="86"/>
      <c r="R289" s="86"/>
      <c r="S289" s="86"/>
      <c r="T289" s="86"/>
      <c r="U289" s="86"/>
      <c r="V289" s="86"/>
      <c r="W289" s="67"/>
      <c r="X289" s="84" t="str">
        <f t="shared" si="44"/>
        <v>Tidak ada faktor rentan</v>
      </c>
      <c r="Y289" s="84" t="str">
        <f t="shared" si="45"/>
        <v>Tidak Ada Faktor Rentan</v>
      </c>
      <c r="Z289" s="85" t="str">
        <f t="shared" si="46"/>
        <v/>
      </c>
      <c r="AA289" s="85">
        <f t="shared" si="47"/>
        <v>0</v>
      </c>
      <c r="AB289" s="85" t="str">
        <f t="shared" si="48"/>
        <v/>
      </c>
      <c r="AC289" s="68"/>
      <c r="AD289" s="68"/>
      <c r="AE289" s="68"/>
      <c r="AF289" s="68"/>
      <c r="AG289" s="68"/>
      <c r="AH289" s="68"/>
      <c r="AI289" s="68"/>
      <c r="AJ289" s="68"/>
      <c r="AK289" s="68"/>
      <c r="AL289" s="68"/>
      <c r="AM289" s="68"/>
      <c r="AN289" s="84" t="str">
        <f t="shared" si="49"/>
        <v>Tidak ada risiko khusus</v>
      </c>
      <c r="AO289" s="84" t="str">
        <f t="shared" si="50"/>
        <v>Tidak Ada Risiko Khusus</v>
      </c>
      <c r="AP289" s="68"/>
      <c r="AQ289" s="71" t="str">
        <f t="shared" si="51"/>
        <v/>
      </c>
      <c r="AR289" s="71">
        <f t="shared" si="52"/>
        <v>0</v>
      </c>
      <c r="AS289" s="71" t="str">
        <f t="shared" si="53"/>
        <v/>
      </c>
      <c r="AT289" s="69" t="str">
        <f t="shared" si="54"/>
        <v>Belum Dapat Ditentukan</v>
      </c>
      <c r="AU289" s="66"/>
      <c r="AV289" s="66"/>
      <c r="AW289" s="66"/>
      <c r="AX289" s="66"/>
      <c r="AY289" s="66"/>
      <c r="AZ289" s="66"/>
      <c r="BA289" s="66"/>
      <c r="BB289" s="178"/>
      <c r="BC289" s="72"/>
      <c r="BD289" s="66"/>
      <c r="BE289" s="178"/>
      <c r="BF289" s="66"/>
    </row>
  </sheetData>
  <mergeCells count="3">
    <mergeCell ref="A1:BF1"/>
    <mergeCell ref="A2:BF2"/>
    <mergeCell ref="A3:BF3"/>
  </mergeCells>
  <phoneticPr fontId="17" type="noConversion"/>
  <conditionalFormatting sqref="AS6:AS289">
    <cfRule type="dataBar" priority="1">
      <dataBar>
        <cfvo type="min"/>
        <cfvo type="max"/>
        <color rgb="FF175B72"/>
      </dataBar>
    </cfRule>
    <cfRule type="dataBar" priority="2">
      <dataBar>
        <cfvo type="min"/>
        <cfvo type="max"/>
        <color rgb="FF175B72"/>
      </dataBar>
      <extLst>
        <ext xmlns:x14="http://schemas.microsoft.com/office/spreadsheetml/2009/9/main" uri="{B025F937-C7B1-47D3-B67F-A62EFF666E3E}">
          <x14:id>{90C7FB45-05DF-470D-A9F0-6401B86881F3}</x14:id>
        </ext>
      </extLst>
    </cfRule>
  </conditionalFormatting>
  <dataValidations count="18">
    <dataValidation type="list" sqref="H6:H289" xr:uid="{D707122D-946A-4095-A7D8-E130B9798FF3}">
      <formula1>$BI$2:$BI$5</formula1>
    </dataValidation>
    <dataValidation type="list" sqref="J6:J289" xr:uid="{3B582DC2-E640-4C53-AC32-B341BB6407CB}">
      <formula1>$BJ$2:$BJ$5</formula1>
    </dataValidation>
    <dataValidation type="list" sqref="L6:L289" xr:uid="{7E2028AD-CB5F-4A0E-A65B-348CE0375683}">
      <formula1>$BL$2:$BL$7</formula1>
    </dataValidation>
    <dataValidation type="list" sqref="N6:N289" xr:uid="{B87190CD-B586-4CD2-8850-E47B2519BDB1}">
      <formula1>$BN$2:$BN$7</formula1>
    </dataValidation>
    <dataValidation type="list" sqref="P6:P289" xr:uid="{2948AF8D-F4F8-420B-AD30-607E6A58817A}">
      <formula1>$BP$2:$BP$7</formula1>
    </dataValidation>
    <dataValidation type="list" sqref="Q6:Q289" xr:uid="{05B0E8A4-6EF4-4571-9DD5-BA35B54CAD1F}">
      <formula1>$BQ$2:$BQ$5</formula1>
    </dataValidation>
    <dataValidation type="list" sqref="AC6:AK289 R6:V289" xr:uid="{1970F823-79CE-4738-974D-2877B2471F90}">
      <formula1>$BR$2:$BR$4</formula1>
    </dataValidation>
    <dataValidation type="list" sqref="AM6:AM289" xr:uid="{A1220974-CB7F-4D47-8ABB-8AE783450974}">
      <formula1>$BS$2:$BS$4</formula1>
    </dataValidation>
    <dataValidation type="list" sqref="AU6:AU289" xr:uid="{5988722A-40E3-42C8-A666-3B1A6060118C}">
      <formula1>$BT$2:$BT$3</formula1>
    </dataValidation>
    <dataValidation type="list" sqref="AV6:AV289" xr:uid="{7E4A5346-5813-48D1-B24E-9CE2C09CFF93}">
      <formula1>$BU$2:$BU$3</formula1>
    </dataValidation>
    <dataValidation type="list" sqref="AW6:AW289" xr:uid="{6C62E438-CFE5-4334-8718-018D0F751B2A}">
      <formula1>$BV$2:$BV$5</formula1>
    </dataValidation>
    <dataValidation type="list" sqref="AZ6:AZ289" xr:uid="{53CC2460-2783-4979-B7A5-C7EC7CD8F716}">
      <formula1>$BX$2:$BX$6</formula1>
    </dataValidation>
    <dataValidation type="list" sqref="BD6:BD289" xr:uid="{6EED0384-CC3E-49BB-AFC1-D85654941524}">
      <formula1>$BY$2:$BY$6</formula1>
    </dataValidation>
    <dataValidation type="list" sqref="AX6:AX289" xr:uid="{D715F30B-3509-4813-A654-1484C326168E}">
      <formula1>$BW$2:$BW$8</formula1>
    </dataValidation>
    <dataValidation type="list" sqref="O6:O289" xr:uid="{E8F7FC5E-EBA0-4419-B0DF-03D97828C5DC}">
      <formula1>$BO$2:$BO$8</formula1>
    </dataValidation>
    <dataValidation type="list" sqref="M6:M289" xr:uid="{49E628CF-5226-4C33-973E-542C0373091F}">
      <formula1>$BM$2:$BM$10</formula1>
    </dataValidation>
    <dataValidation type="list" sqref="K6:K289" xr:uid="{B1AFBB31-032B-4569-A875-630CF5EFF09D}">
      <formula1>$BK$2:$BK$9</formula1>
    </dataValidation>
    <dataValidation type="list" sqref="G6:G289" xr:uid="{8DF4AD55-F5C9-44BA-9035-380DCEBBA1CF}">
      <formula1>$BH$2:$BH$8</formula1>
    </dataValidation>
  </dataValidation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0C7FB45-05DF-470D-A9F0-6401B86881F3}">
            <x14:dataBar>
              <x14:cfvo type="min"/>
              <x14:cfvo type="max"/>
              <x14:negativeFillColor auto="1"/>
              <x14:axisColor auto="1"/>
            </x14:dataBar>
          </x14:cfRule>
          <xm:sqref>AS6:AS289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5"/>
  <sheetViews>
    <sheetView workbookViewId="0">
      <selection activeCell="F20" sqref="F20"/>
    </sheetView>
  </sheetViews>
  <sheetFormatPr defaultRowHeight="14"/>
  <cols>
    <col min="1" max="1" width="15" customWidth="1"/>
    <col min="2" max="2" width="28" customWidth="1"/>
    <col min="3" max="3" width="16" customWidth="1"/>
    <col min="4" max="4" width="12" customWidth="1"/>
    <col min="5" max="5" width="16" customWidth="1"/>
    <col min="6" max="6" width="15" customWidth="1"/>
    <col min="7" max="7" width="22" customWidth="1"/>
    <col min="8" max="8" width="20" customWidth="1"/>
    <col min="9" max="9" width="34" customWidth="1"/>
    <col min="10" max="10" width="13" customWidth="1"/>
    <col min="11" max="11" width="30" customWidth="1"/>
    <col min="12" max="12" width="20" customWidth="1"/>
    <col min="13" max="13" width="16" customWidth="1"/>
    <col min="14" max="14" width="20" customWidth="1"/>
  </cols>
  <sheetData>
    <row r="1" spans="1:14" ht="23">
      <c r="A1" s="191" t="s">
        <v>874</v>
      </c>
      <c r="B1" s="191"/>
      <c r="C1" s="191"/>
      <c r="D1" s="191"/>
      <c r="E1" s="191"/>
      <c r="F1" s="191"/>
      <c r="G1" s="191"/>
      <c r="H1" s="191"/>
      <c r="I1" s="191"/>
      <c r="J1" s="191"/>
      <c r="K1" s="191"/>
      <c r="L1" s="191"/>
      <c r="M1" s="191"/>
      <c r="N1" s="191"/>
    </row>
    <row r="2" spans="1:14">
      <c r="A2" s="193" t="s">
        <v>875</v>
      </c>
      <c r="B2" s="193"/>
      <c r="C2" s="193"/>
      <c r="D2" s="193"/>
      <c r="E2" s="193"/>
      <c r="F2" s="193"/>
      <c r="G2" s="193"/>
      <c r="H2" s="193"/>
      <c r="I2" s="193"/>
      <c r="J2" s="193"/>
      <c r="K2" s="193"/>
      <c r="L2" s="193"/>
      <c r="M2" s="193"/>
      <c r="N2" s="193"/>
    </row>
    <row r="3" spans="1:14">
      <c r="A3" s="194" t="s">
        <v>847</v>
      </c>
      <c r="B3" s="194"/>
      <c r="C3" s="194"/>
      <c r="D3" s="194"/>
      <c r="E3" s="194"/>
      <c r="F3" s="194"/>
      <c r="G3" s="194"/>
      <c r="H3" s="194"/>
      <c r="I3" s="194"/>
      <c r="J3" s="194"/>
      <c r="K3" s="194"/>
      <c r="L3" s="194"/>
      <c r="M3" s="194"/>
      <c r="N3" s="194"/>
    </row>
    <row r="5" spans="1:14" ht="26">
      <c r="A5" s="1" t="s">
        <v>876</v>
      </c>
      <c r="B5" s="2" t="s">
        <v>877</v>
      </c>
      <c r="C5" s="2" t="s">
        <v>878</v>
      </c>
      <c r="D5" s="2" t="s">
        <v>879</v>
      </c>
      <c r="E5" s="2" t="s">
        <v>880</v>
      </c>
      <c r="F5" s="2" t="s">
        <v>881</v>
      </c>
      <c r="G5" s="2" t="s">
        <v>882</v>
      </c>
      <c r="H5" s="2" t="s">
        <v>883</v>
      </c>
      <c r="I5" s="2" t="s">
        <v>853</v>
      </c>
      <c r="J5" s="2" t="s">
        <v>26</v>
      </c>
      <c r="K5" s="2" t="s">
        <v>27</v>
      </c>
      <c r="L5" s="2" t="s">
        <v>28</v>
      </c>
      <c r="M5" s="2" t="s">
        <v>29</v>
      </c>
      <c r="N5" s="3" t="s">
        <v>30</v>
      </c>
    </row>
    <row r="6" spans="1:14">
      <c r="A6" s="29" t="s">
        <v>956</v>
      </c>
      <c r="B6" s="57" t="s">
        <v>884</v>
      </c>
      <c r="C6" s="8" t="s">
        <v>885</v>
      </c>
      <c r="D6" s="17" t="s">
        <v>886</v>
      </c>
      <c r="E6" s="38" t="s">
        <v>854</v>
      </c>
      <c r="F6" s="4"/>
      <c r="G6" s="8" t="s">
        <v>887</v>
      </c>
      <c r="H6" s="8" t="s">
        <v>888</v>
      </c>
      <c r="I6" s="4"/>
      <c r="J6" s="17"/>
      <c r="K6" s="8"/>
      <c r="L6" s="8"/>
      <c r="M6" s="11"/>
      <c r="N6" s="32"/>
    </row>
    <row r="7" spans="1:14">
      <c r="A7" s="30" t="s">
        <v>957</v>
      </c>
      <c r="B7" s="57" t="s">
        <v>884</v>
      </c>
      <c r="C7" s="8" t="s">
        <v>885</v>
      </c>
      <c r="D7" s="18" t="s">
        <v>886</v>
      </c>
      <c r="E7" s="39" t="s">
        <v>858</v>
      </c>
      <c r="F7" s="5"/>
      <c r="G7" s="9" t="s">
        <v>887</v>
      </c>
      <c r="H7" s="9" t="s">
        <v>888</v>
      </c>
      <c r="I7" s="5"/>
      <c r="J7" s="18"/>
      <c r="K7" s="9"/>
      <c r="L7" s="9"/>
      <c r="M7" s="12"/>
      <c r="N7" s="33"/>
    </row>
    <row r="8" spans="1:14">
      <c r="A8" s="30" t="s">
        <v>958</v>
      </c>
      <c r="B8" s="57" t="s">
        <v>884</v>
      </c>
      <c r="C8" s="8" t="s">
        <v>885</v>
      </c>
      <c r="D8" s="18" t="s">
        <v>886</v>
      </c>
      <c r="E8" s="39" t="s">
        <v>859</v>
      </c>
      <c r="F8" s="5"/>
      <c r="G8" s="9" t="s">
        <v>887</v>
      </c>
      <c r="H8" s="9" t="s">
        <v>888</v>
      </c>
      <c r="I8" s="5"/>
      <c r="J8" s="18"/>
      <c r="K8" s="9"/>
      <c r="L8" s="9"/>
      <c r="M8" s="12"/>
      <c r="N8" s="33"/>
    </row>
    <row r="9" spans="1:14">
      <c r="A9" s="30" t="s">
        <v>959</v>
      </c>
      <c r="B9" s="57" t="s">
        <v>884</v>
      </c>
      <c r="C9" s="8" t="s">
        <v>885</v>
      </c>
      <c r="D9" s="18" t="s">
        <v>889</v>
      </c>
      <c r="E9" s="39" t="s">
        <v>854</v>
      </c>
      <c r="F9" s="5"/>
      <c r="G9" s="9" t="s">
        <v>890</v>
      </c>
      <c r="H9" s="9" t="s">
        <v>888</v>
      </c>
      <c r="I9" s="5"/>
      <c r="J9" s="18"/>
      <c r="K9" s="9"/>
      <c r="L9" s="9"/>
      <c r="M9" s="12"/>
      <c r="N9" s="33"/>
    </row>
    <row r="10" spans="1:14">
      <c r="A10" s="30" t="s">
        <v>960</v>
      </c>
      <c r="B10" s="57" t="s">
        <v>884</v>
      </c>
      <c r="C10" s="8" t="s">
        <v>885</v>
      </c>
      <c r="D10" s="18" t="s">
        <v>889</v>
      </c>
      <c r="E10" s="39" t="s">
        <v>858</v>
      </c>
      <c r="F10" s="5"/>
      <c r="G10" s="9" t="s">
        <v>890</v>
      </c>
      <c r="H10" s="9" t="s">
        <v>891</v>
      </c>
      <c r="I10" s="5"/>
      <c r="J10" s="18"/>
      <c r="K10" s="9"/>
      <c r="L10" s="9"/>
      <c r="M10" s="12"/>
      <c r="N10" s="33"/>
    </row>
    <row r="11" spans="1:14">
      <c r="A11" s="30" t="s">
        <v>961</v>
      </c>
      <c r="B11" s="57" t="s">
        <v>884</v>
      </c>
      <c r="C11" s="8" t="s">
        <v>885</v>
      </c>
      <c r="D11" s="18" t="s">
        <v>889</v>
      </c>
      <c r="E11" s="39" t="s">
        <v>859</v>
      </c>
      <c r="F11" s="5"/>
      <c r="G11" s="9" t="s">
        <v>890</v>
      </c>
      <c r="H11" s="9" t="s">
        <v>888</v>
      </c>
      <c r="I11" s="5"/>
      <c r="J11" s="18"/>
      <c r="K11" s="9"/>
      <c r="L11" s="9"/>
      <c r="M11" s="12"/>
      <c r="N11" s="33"/>
    </row>
    <row r="12" spans="1:14">
      <c r="A12" s="30" t="s">
        <v>962</v>
      </c>
      <c r="B12" s="57" t="s">
        <v>884</v>
      </c>
      <c r="C12" s="8" t="s">
        <v>885</v>
      </c>
      <c r="D12" s="18" t="s">
        <v>889</v>
      </c>
      <c r="E12" s="39" t="s">
        <v>861</v>
      </c>
      <c r="F12" s="5"/>
      <c r="G12" s="9" t="s">
        <v>890</v>
      </c>
      <c r="H12" s="9" t="s">
        <v>888</v>
      </c>
      <c r="I12" s="5"/>
      <c r="J12" s="18"/>
      <c r="K12" s="9"/>
      <c r="L12" s="9"/>
      <c r="M12" s="12"/>
      <c r="N12" s="33"/>
    </row>
    <row r="13" spans="1:14">
      <c r="A13" s="30" t="s">
        <v>963</v>
      </c>
      <c r="B13" s="57" t="s">
        <v>884</v>
      </c>
      <c r="C13" s="8" t="s">
        <v>885</v>
      </c>
      <c r="D13" s="18" t="s">
        <v>889</v>
      </c>
      <c r="E13" s="39" t="s">
        <v>862</v>
      </c>
      <c r="F13" s="5"/>
      <c r="G13" s="9" t="s">
        <v>887</v>
      </c>
      <c r="H13" s="9" t="s">
        <v>891</v>
      </c>
      <c r="I13" s="5"/>
      <c r="J13" s="18"/>
      <c r="K13" s="9"/>
      <c r="L13" s="9"/>
      <c r="M13" s="12"/>
      <c r="N13" s="33"/>
    </row>
    <row r="14" spans="1:14">
      <c r="A14" s="30" t="s">
        <v>964</v>
      </c>
      <c r="B14" s="57" t="s">
        <v>884</v>
      </c>
      <c r="C14" s="8" t="s">
        <v>885</v>
      </c>
      <c r="D14" s="18" t="s">
        <v>889</v>
      </c>
      <c r="E14" s="39" t="s">
        <v>863</v>
      </c>
      <c r="F14" s="5"/>
      <c r="G14" s="9" t="s">
        <v>890</v>
      </c>
      <c r="H14" s="9" t="s">
        <v>891</v>
      </c>
      <c r="I14" s="5"/>
      <c r="J14" s="18"/>
      <c r="K14" s="9"/>
      <c r="L14" s="9"/>
      <c r="M14" s="12"/>
      <c r="N14" s="33"/>
    </row>
    <row r="15" spans="1:14">
      <c r="A15" s="30" t="s">
        <v>965</v>
      </c>
      <c r="B15" s="57" t="s">
        <v>884</v>
      </c>
      <c r="C15" s="8" t="s">
        <v>885</v>
      </c>
      <c r="D15" s="18" t="s">
        <v>889</v>
      </c>
      <c r="E15" s="39" t="s">
        <v>864</v>
      </c>
      <c r="F15" s="5"/>
      <c r="G15" s="9" t="s">
        <v>890</v>
      </c>
      <c r="H15" s="9" t="s">
        <v>891</v>
      </c>
      <c r="I15" s="5"/>
      <c r="J15" s="18"/>
      <c r="K15" s="9"/>
      <c r="L15" s="9"/>
      <c r="M15" s="12"/>
      <c r="N15" s="33"/>
    </row>
    <row r="16" spans="1:14">
      <c r="A16" s="30" t="s">
        <v>966</v>
      </c>
      <c r="B16" s="57" t="s">
        <v>884</v>
      </c>
      <c r="C16" s="8" t="s">
        <v>885</v>
      </c>
      <c r="D16" s="18" t="s">
        <v>889</v>
      </c>
      <c r="E16" s="39" t="s">
        <v>865</v>
      </c>
      <c r="F16" s="5"/>
      <c r="G16" s="9" t="s">
        <v>890</v>
      </c>
      <c r="H16" s="9" t="s">
        <v>888</v>
      </c>
      <c r="I16" s="5"/>
      <c r="J16" s="18"/>
      <c r="K16" s="9"/>
      <c r="L16" s="9"/>
      <c r="M16" s="12"/>
      <c r="N16" s="33"/>
    </row>
    <row r="17" spans="1:14">
      <c r="A17" s="30" t="s">
        <v>967</v>
      </c>
      <c r="B17" s="57" t="s">
        <v>884</v>
      </c>
      <c r="C17" s="8" t="s">
        <v>885</v>
      </c>
      <c r="D17" s="18" t="s">
        <v>889</v>
      </c>
      <c r="E17" s="39" t="s">
        <v>892</v>
      </c>
      <c r="F17" s="5"/>
      <c r="G17" s="9" t="s">
        <v>887</v>
      </c>
      <c r="H17" s="9" t="s">
        <v>888</v>
      </c>
      <c r="I17" s="5"/>
      <c r="J17" s="18"/>
      <c r="K17" s="9"/>
      <c r="L17" s="9"/>
      <c r="M17" s="12"/>
      <c r="N17" s="33"/>
    </row>
    <row r="18" spans="1:14">
      <c r="A18" s="30" t="s">
        <v>968</v>
      </c>
      <c r="B18" s="57" t="s">
        <v>884</v>
      </c>
      <c r="C18" s="8" t="s">
        <v>885</v>
      </c>
      <c r="D18" s="18" t="s">
        <v>889</v>
      </c>
      <c r="E18" s="39" t="s">
        <v>893</v>
      </c>
      <c r="F18" s="5"/>
      <c r="G18" s="9" t="s">
        <v>894</v>
      </c>
      <c r="H18" s="9" t="s">
        <v>895</v>
      </c>
      <c r="I18" s="5"/>
      <c r="J18" s="18"/>
      <c r="K18" s="9"/>
      <c r="L18" s="9"/>
      <c r="M18" s="12"/>
      <c r="N18" s="33"/>
    </row>
    <row r="19" spans="1:14">
      <c r="A19" s="30" t="s">
        <v>969</v>
      </c>
      <c r="B19" s="57" t="s">
        <v>884</v>
      </c>
      <c r="C19" s="8" t="s">
        <v>885</v>
      </c>
      <c r="D19" s="18" t="s">
        <v>889</v>
      </c>
      <c r="E19" s="39" t="s">
        <v>896</v>
      </c>
      <c r="F19" s="5"/>
      <c r="G19" s="9" t="s">
        <v>894</v>
      </c>
      <c r="H19" s="9" t="s">
        <v>895</v>
      </c>
      <c r="I19" s="5"/>
      <c r="J19" s="18"/>
      <c r="K19" s="9"/>
      <c r="L19" s="9"/>
      <c r="M19" s="12"/>
      <c r="N19" s="33"/>
    </row>
    <row r="20" spans="1:14">
      <c r="A20" s="30" t="s">
        <v>970</v>
      </c>
      <c r="B20" s="57" t="s">
        <v>884</v>
      </c>
      <c r="C20" s="8" t="s">
        <v>885</v>
      </c>
      <c r="D20" s="18" t="s">
        <v>889</v>
      </c>
      <c r="E20" s="39" t="s">
        <v>897</v>
      </c>
      <c r="F20" s="5"/>
      <c r="G20" s="9" t="s">
        <v>894</v>
      </c>
      <c r="H20" s="9" t="s">
        <v>895</v>
      </c>
      <c r="I20" s="5"/>
      <c r="J20" s="18"/>
      <c r="K20" s="9"/>
      <c r="L20" s="9"/>
      <c r="M20" s="12"/>
      <c r="N20" s="33"/>
    </row>
    <row r="21" spans="1:14">
      <c r="A21" s="30" t="s">
        <v>971</v>
      </c>
      <c r="B21" s="57" t="s">
        <v>884</v>
      </c>
      <c r="C21" s="8" t="s">
        <v>885</v>
      </c>
      <c r="D21" s="18" t="s">
        <v>889</v>
      </c>
      <c r="E21" s="39" t="s">
        <v>898</v>
      </c>
      <c r="F21" s="5"/>
      <c r="G21" s="9" t="s">
        <v>887</v>
      </c>
      <c r="H21" s="9" t="s">
        <v>891</v>
      </c>
      <c r="I21" s="5"/>
      <c r="J21" s="18"/>
      <c r="K21" s="9"/>
      <c r="L21" s="9"/>
      <c r="M21" s="12"/>
      <c r="N21" s="33"/>
    </row>
    <row r="22" spans="1:14">
      <c r="A22" s="30" t="s">
        <v>972</v>
      </c>
      <c r="B22" s="57" t="s">
        <v>884</v>
      </c>
      <c r="C22" s="8" t="s">
        <v>885</v>
      </c>
      <c r="D22" s="18" t="s">
        <v>889</v>
      </c>
      <c r="E22" s="39" t="s">
        <v>899</v>
      </c>
      <c r="F22" s="5"/>
      <c r="G22" s="9" t="s">
        <v>887</v>
      </c>
      <c r="H22" s="9" t="s">
        <v>891</v>
      </c>
      <c r="I22" s="5"/>
      <c r="J22" s="18"/>
      <c r="K22" s="9"/>
      <c r="L22" s="9"/>
      <c r="M22" s="12"/>
      <c r="N22" s="33"/>
    </row>
    <row r="23" spans="1:14">
      <c r="A23" s="30" t="s">
        <v>973</v>
      </c>
      <c r="B23" s="57" t="s">
        <v>884</v>
      </c>
      <c r="C23" s="8" t="s">
        <v>885</v>
      </c>
      <c r="D23" s="18" t="s">
        <v>889</v>
      </c>
      <c r="E23" s="39" t="s">
        <v>900</v>
      </c>
      <c r="F23" s="5"/>
      <c r="G23" s="9" t="s">
        <v>887</v>
      </c>
      <c r="H23" s="9" t="s">
        <v>891</v>
      </c>
      <c r="I23" s="5"/>
      <c r="J23" s="18"/>
      <c r="K23" s="9"/>
      <c r="L23" s="9"/>
      <c r="M23" s="12"/>
      <c r="N23" s="33"/>
    </row>
    <row r="24" spans="1:14">
      <c r="A24" s="30" t="s">
        <v>974</v>
      </c>
      <c r="B24" s="57" t="s">
        <v>884</v>
      </c>
      <c r="C24" s="8" t="s">
        <v>885</v>
      </c>
      <c r="D24" s="18" t="s">
        <v>889</v>
      </c>
      <c r="E24" s="39" t="s">
        <v>901</v>
      </c>
      <c r="F24" s="5"/>
      <c r="G24" s="9" t="s">
        <v>890</v>
      </c>
      <c r="H24" s="9" t="s">
        <v>891</v>
      </c>
      <c r="I24" s="5"/>
      <c r="J24" s="18"/>
      <c r="K24" s="9"/>
      <c r="L24" s="9"/>
      <c r="M24" s="12"/>
      <c r="N24" s="33"/>
    </row>
    <row r="25" spans="1:14">
      <c r="A25" s="30" t="s">
        <v>975</v>
      </c>
      <c r="B25" s="57" t="s">
        <v>884</v>
      </c>
      <c r="C25" s="8" t="s">
        <v>885</v>
      </c>
      <c r="D25" s="18" t="s">
        <v>889</v>
      </c>
      <c r="E25" s="39" t="s">
        <v>902</v>
      </c>
      <c r="F25" s="5"/>
      <c r="G25" s="9" t="s">
        <v>890</v>
      </c>
      <c r="H25" s="9" t="s">
        <v>891</v>
      </c>
      <c r="I25" s="5"/>
      <c r="J25" s="18"/>
      <c r="K25" s="9"/>
      <c r="L25" s="9"/>
      <c r="M25" s="12"/>
      <c r="N25" s="33"/>
    </row>
    <row r="26" spans="1:14">
      <c r="A26" s="30" t="s">
        <v>976</v>
      </c>
      <c r="B26" s="57" t="s">
        <v>884</v>
      </c>
      <c r="C26" s="8" t="s">
        <v>885</v>
      </c>
      <c r="D26" s="18" t="s">
        <v>889</v>
      </c>
      <c r="E26" s="39" t="s">
        <v>903</v>
      </c>
      <c r="F26" s="5"/>
      <c r="G26" s="9" t="s">
        <v>890</v>
      </c>
      <c r="H26" s="9" t="s">
        <v>891</v>
      </c>
      <c r="I26" s="5"/>
      <c r="J26" s="18"/>
      <c r="K26" s="9"/>
      <c r="L26" s="9"/>
      <c r="M26" s="12"/>
      <c r="N26" s="33"/>
    </row>
    <row r="27" spans="1:14">
      <c r="A27" s="30" t="s">
        <v>977</v>
      </c>
      <c r="B27" s="57" t="s">
        <v>884</v>
      </c>
      <c r="C27" s="8" t="s">
        <v>885</v>
      </c>
      <c r="D27" s="18" t="s">
        <v>889</v>
      </c>
      <c r="E27" s="39" t="s">
        <v>904</v>
      </c>
      <c r="F27" s="5"/>
      <c r="G27" s="9" t="s">
        <v>887</v>
      </c>
      <c r="H27" s="9" t="s">
        <v>905</v>
      </c>
      <c r="I27" s="5"/>
      <c r="J27" s="18"/>
      <c r="K27" s="9"/>
      <c r="L27" s="9"/>
      <c r="M27" s="12"/>
      <c r="N27" s="33"/>
    </row>
    <row r="28" spans="1:14">
      <c r="A28" s="30" t="s">
        <v>978</v>
      </c>
      <c r="B28" s="57" t="s">
        <v>884</v>
      </c>
      <c r="C28" s="8" t="s">
        <v>885</v>
      </c>
      <c r="D28" s="18" t="s">
        <v>889</v>
      </c>
      <c r="E28" s="39" t="s">
        <v>906</v>
      </c>
      <c r="F28" s="5"/>
      <c r="G28" s="9" t="s">
        <v>890</v>
      </c>
      <c r="H28" s="9" t="s">
        <v>891</v>
      </c>
      <c r="I28" s="5"/>
      <c r="J28" s="18"/>
      <c r="K28" s="9"/>
      <c r="L28" s="9"/>
      <c r="M28" s="12"/>
      <c r="N28" s="33"/>
    </row>
    <row r="29" spans="1:14">
      <c r="A29" s="30" t="s">
        <v>979</v>
      </c>
      <c r="B29" s="57" t="s">
        <v>884</v>
      </c>
      <c r="C29" s="8" t="s">
        <v>885</v>
      </c>
      <c r="D29" s="18" t="s">
        <v>889</v>
      </c>
      <c r="E29" s="39" t="s">
        <v>907</v>
      </c>
      <c r="F29" s="5"/>
      <c r="G29" s="9" t="s">
        <v>890</v>
      </c>
      <c r="H29" s="9" t="s">
        <v>888</v>
      </c>
      <c r="I29" s="5"/>
      <c r="J29" s="18"/>
      <c r="K29" s="9"/>
      <c r="L29" s="9"/>
      <c r="M29" s="12"/>
      <c r="N29" s="33"/>
    </row>
    <row r="30" spans="1:14">
      <c r="A30" s="30" t="s">
        <v>980</v>
      </c>
      <c r="B30" s="57" t="s">
        <v>884</v>
      </c>
      <c r="C30" s="8" t="s">
        <v>885</v>
      </c>
      <c r="D30" s="18" t="s">
        <v>889</v>
      </c>
      <c r="E30" s="39" t="s">
        <v>908</v>
      </c>
      <c r="F30" s="5"/>
      <c r="G30" s="9" t="s">
        <v>890</v>
      </c>
      <c r="H30" s="9" t="s">
        <v>888</v>
      </c>
      <c r="I30" s="5"/>
      <c r="J30" s="18"/>
      <c r="K30" s="9"/>
      <c r="L30" s="9"/>
      <c r="M30" s="12"/>
      <c r="N30" s="33"/>
    </row>
    <row r="31" spans="1:14">
      <c r="A31" s="30" t="s">
        <v>981</v>
      </c>
      <c r="B31" s="57" t="s">
        <v>884</v>
      </c>
      <c r="C31" s="8" t="s">
        <v>885</v>
      </c>
      <c r="D31" s="18" t="s">
        <v>889</v>
      </c>
      <c r="E31" s="39" t="s">
        <v>909</v>
      </c>
      <c r="F31" s="5"/>
      <c r="G31" s="9" t="s">
        <v>887</v>
      </c>
      <c r="H31" s="9" t="s">
        <v>891</v>
      </c>
      <c r="I31" s="5"/>
      <c r="J31" s="18"/>
      <c r="K31" s="9"/>
      <c r="L31" s="9"/>
      <c r="M31" s="12"/>
      <c r="N31" s="33"/>
    </row>
    <row r="32" spans="1:14">
      <c r="A32" s="30" t="s">
        <v>982</v>
      </c>
      <c r="B32" s="57" t="s">
        <v>884</v>
      </c>
      <c r="C32" s="8" t="s">
        <v>885</v>
      </c>
      <c r="D32" s="18" t="s">
        <v>889</v>
      </c>
      <c r="E32" s="39" t="s">
        <v>910</v>
      </c>
      <c r="F32" s="5"/>
      <c r="G32" s="9" t="s">
        <v>887</v>
      </c>
      <c r="H32" s="9" t="s">
        <v>891</v>
      </c>
      <c r="I32" s="5"/>
      <c r="J32" s="18"/>
      <c r="K32" s="9"/>
      <c r="L32" s="9"/>
      <c r="M32" s="12"/>
      <c r="N32" s="33"/>
    </row>
    <row r="33" spans="1:14">
      <c r="A33" s="30" t="s">
        <v>983</v>
      </c>
      <c r="B33" s="57" t="s">
        <v>884</v>
      </c>
      <c r="C33" s="8" t="s">
        <v>885</v>
      </c>
      <c r="D33" s="18" t="s">
        <v>911</v>
      </c>
      <c r="E33" s="39" t="s">
        <v>854</v>
      </c>
      <c r="F33" s="5"/>
      <c r="G33" s="9" t="s">
        <v>890</v>
      </c>
      <c r="H33" s="9" t="s">
        <v>905</v>
      </c>
      <c r="I33" s="5"/>
      <c r="J33" s="18"/>
      <c r="K33" s="9"/>
      <c r="L33" s="9"/>
      <c r="M33" s="12"/>
      <c r="N33" s="33"/>
    </row>
    <row r="34" spans="1:14">
      <c r="A34" s="30" t="s">
        <v>984</v>
      </c>
      <c r="B34" s="57" t="s">
        <v>884</v>
      </c>
      <c r="C34" s="8" t="s">
        <v>885</v>
      </c>
      <c r="D34" s="18" t="s">
        <v>911</v>
      </c>
      <c r="E34" s="39" t="s">
        <v>858</v>
      </c>
      <c r="F34" s="5"/>
      <c r="G34" s="9" t="s">
        <v>890</v>
      </c>
      <c r="H34" s="9" t="s">
        <v>905</v>
      </c>
      <c r="I34" s="5"/>
      <c r="J34" s="18"/>
      <c r="K34" s="9"/>
      <c r="L34" s="9"/>
      <c r="M34" s="12"/>
      <c r="N34" s="33"/>
    </row>
    <row r="35" spans="1:14">
      <c r="A35" s="30" t="s">
        <v>985</v>
      </c>
      <c r="B35" s="57" t="s">
        <v>884</v>
      </c>
      <c r="C35" s="8" t="s">
        <v>885</v>
      </c>
      <c r="D35" s="18" t="s">
        <v>911</v>
      </c>
      <c r="E35" s="39" t="s">
        <v>859</v>
      </c>
      <c r="F35" s="5"/>
      <c r="G35" s="9" t="s">
        <v>890</v>
      </c>
      <c r="H35" s="9" t="s">
        <v>891</v>
      </c>
      <c r="I35" s="5"/>
      <c r="J35" s="18"/>
      <c r="K35" s="9"/>
      <c r="L35" s="9"/>
      <c r="M35" s="12"/>
      <c r="N35" s="33"/>
    </row>
    <row r="36" spans="1:14">
      <c r="A36" s="30" t="s">
        <v>986</v>
      </c>
      <c r="B36" s="57" t="s">
        <v>884</v>
      </c>
      <c r="C36" s="8" t="s">
        <v>885</v>
      </c>
      <c r="D36" s="18" t="s">
        <v>911</v>
      </c>
      <c r="E36" s="39" t="s">
        <v>861</v>
      </c>
      <c r="F36" s="5"/>
      <c r="G36" s="9" t="s">
        <v>890</v>
      </c>
      <c r="H36" s="9" t="s">
        <v>891</v>
      </c>
      <c r="I36" s="5"/>
      <c r="J36" s="18"/>
      <c r="K36" s="9"/>
      <c r="L36" s="9"/>
      <c r="M36" s="12"/>
      <c r="N36" s="33"/>
    </row>
    <row r="37" spans="1:14">
      <c r="A37" s="30" t="s">
        <v>987</v>
      </c>
      <c r="B37" s="57" t="s">
        <v>884</v>
      </c>
      <c r="C37" s="8" t="s">
        <v>885</v>
      </c>
      <c r="D37" s="18" t="s">
        <v>911</v>
      </c>
      <c r="E37" s="39" t="s">
        <v>862</v>
      </c>
      <c r="F37" s="5"/>
      <c r="G37" s="9" t="s">
        <v>894</v>
      </c>
      <c r="H37" s="9" t="s">
        <v>895</v>
      </c>
      <c r="I37" s="5"/>
      <c r="J37" s="18"/>
      <c r="K37" s="9"/>
      <c r="L37" s="9"/>
      <c r="M37" s="12"/>
      <c r="N37" s="33"/>
    </row>
    <row r="38" spans="1:14">
      <c r="A38" s="30" t="s">
        <v>988</v>
      </c>
      <c r="B38" s="57" t="s">
        <v>884</v>
      </c>
      <c r="C38" s="8" t="s">
        <v>885</v>
      </c>
      <c r="D38" s="18" t="s">
        <v>911</v>
      </c>
      <c r="E38" s="39" t="s">
        <v>863</v>
      </c>
      <c r="F38" s="5"/>
      <c r="G38" s="9" t="s">
        <v>894</v>
      </c>
      <c r="H38" s="9" t="s">
        <v>895</v>
      </c>
      <c r="I38" s="5"/>
      <c r="J38" s="18"/>
      <c r="K38" s="9"/>
      <c r="L38" s="9"/>
      <c r="M38" s="12"/>
      <c r="N38" s="33"/>
    </row>
    <row r="39" spans="1:14">
      <c r="A39" s="30" t="s">
        <v>989</v>
      </c>
      <c r="B39" s="57" t="s">
        <v>884</v>
      </c>
      <c r="C39" s="8" t="s">
        <v>885</v>
      </c>
      <c r="D39" s="18" t="s">
        <v>911</v>
      </c>
      <c r="E39" s="39" t="s">
        <v>864</v>
      </c>
      <c r="F39" s="5"/>
      <c r="G39" s="9" t="s">
        <v>887</v>
      </c>
      <c r="H39" s="9" t="s">
        <v>891</v>
      </c>
      <c r="I39" s="5"/>
      <c r="J39" s="18"/>
      <c r="K39" s="9"/>
      <c r="L39" s="9"/>
      <c r="M39" s="12"/>
      <c r="N39" s="33"/>
    </row>
    <row r="40" spans="1:14">
      <c r="A40" s="30" t="s">
        <v>990</v>
      </c>
      <c r="B40" s="57" t="s">
        <v>884</v>
      </c>
      <c r="C40" s="8" t="s">
        <v>885</v>
      </c>
      <c r="D40" s="18" t="s">
        <v>911</v>
      </c>
      <c r="E40" s="39" t="s">
        <v>865</v>
      </c>
      <c r="F40" s="5"/>
      <c r="G40" s="9" t="s">
        <v>890</v>
      </c>
      <c r="H40" s="9" t="s">
        <v>891</v>
      </c>
      <c r="I40" s="5"/>
      <c r="J40" s="18"/>
      <c r="K40" s="9"/>
      <c r="L40" s="9"/>
      <c r="M40" s="12"/>
      <c r="N40" s="33"/>
    </row>
    <row r="41" spans="1:14">
      <c r="A41" s="30" t="s">
        <v>991</v>
      </c>
      <c r="B41" s="57" t="s">
        <v>884</v>
      </c>
      <c r="C41" s="8" t="s">
        <v>885</v>
      </c>
      <c r="D41" s="18" t="s">
        <v>911</v>
      </c>
      <c r="E41" s="39" t="s">
        <v>892</v>
      </c>
      <c r="F41" s="5"/>
      <c r="G41" s="9" t="s">
        <v>887</v>
      </c>
      <c r="H41" s="9" t="s">
        <v>905</v>
      </c>
      <c r="I41" s="5"/>
      <c r="J41" s="18"/>
      <c r="K41" s="9"/>
      <c r="L41" s="9"/>
      <c r="M41" s="12"/>
      <c r="N41" s="33"/>
    </row>
    <row r="42" spans="1:14">
      <c r="A42" s="30" t="s">
        <v>992</v>
      </c>
      <c r="B42" s="57" t="s">
        <v>884</v>
      </c>
      <c r="C42" s="8" t="s">
        <v>885</v>
      </c>
      <c r="D42" s="18" t="s">
        <v>911</v>
      </c>
      <c r="E42" s="39" t="s">
        <v>893</v>
      </c>
      <c r="F42" s="5"/>
      <c r="G42" s="9" t="s">
        <v>887</v>
      </c>
      <c r="H42" s="9" t="s">
        <v>905</v>
      </c>
      <c r="I42" s="5"/>
      <c r="J42" s="18"/>
      <c r="K42" s="9"/>
      <c r="L42" s="9"/>
      <c r="M42" s="12"/>
      <c r="N42" s="33"/>
    </row>
    <row r="43" spans="1:14">
      <c r="A43" s="30" t="s">
        <v>993</v>
      </c>
      <c r="B43" s="57" t="s">
        <v>884</v>
      </c>
      <c r="C43" s="8" t="s">
        <v>885</v>
      </c>
      <c r="D43" s="18" t="s">
        <v>911</v>
      </c>
      <c r="E43" s="39" t="s">
        <v>896</v>
      </c>
      <c r="F43" s="5"/>
      <c r="G43" s="9" t="s">
        <v>887</v>
      </c>
      <c r="H43" s="9" t="s">
        <v>905</v>
      </c>
      <c r="I43" s="5"/>
      <c r="J43" s="18"/>
      <c r="K43" s="9"/>
      <c r="L43" s="9"/>
      <c r="M43" s="12"/>
      <c r="N43" s="33"/>
    </row>
    <row r="44" spans="1:14">
      <c r="A44" s="30" t="s">
        <v>994</v>
      </c>
      <c r="B44" s="57" t="s">
        <v>884</v>
      </c>
      <c r="C44" s="8" t="s">
        <v>885</v>
      </c>
      <c r="D44" s="18" t="s">
        <v>911</v>
      </c>
      <c r="E44" s="39" t="s">
        <v>897</v>
      </c>
      <c r="F44" s="5"/>
      <c r="G44" s="9" t="s">
        <v>890</v>
      </c>
      <c r="H44" s="9" t="s">
        <v>891</v>
      </c>
      <c r="I44" s="5"/>
      <c r="J44" s="18"/>
      <c r="K44" s="9"/>
      <c r="L44" s="9"/>
      <c r="M44" s="12"/>
      <c r="N44" s="33"/>
    </row>
    <row r="45" spans="1:14">
      <c r="A45" s="30" t="s">
        <v>995</v>
      </c>
      <c r="B45" s="57" t="s">
        <v>884</v>
      </c>
      <c r="C45" s="8" t="s">
        <v>885</v>
      </c>
      <c r="D45" s="18" t="s">
        <v>911</v>
      </c>
      <c r="E45" s="39" t="s">
        <v>898</v>
      </c>
      <c r="F45" s="5"/>
      <c r="G45" s="9" t="s">
        <v>887</v>
      </c>
      <c r="H45" s="9" t="s">
        <v>905</v>
      </c>
      <c r="I45" s="5"/>
      <c r="J45" s="18"/>
      <c r="K45" s="9"/>
      <c r="L45" s="9"/>
      <c r="M45" s="12"/>
      <c r="N45" s="33"/>
    </row>
    <row r="46" spans="1:14">
      <c r="A46" s="30" t="s">
        <v>996</v>
      </c>
      <c r="B46" s="57" t="s">
        <v>884</v>
      </c>
      <c r="C46" s="8" t="s">
        <v>885</v>
      </c>
      <c r="D46" s="18" t="s">
        <v>911</v>
      </c>
      <c r="E46" s="39" t="s">
        <v>899</v>
      </c>
      <c r="F46" s="5"/>
      <c r="G46" s="9" t="s">
        <v>890</v>
      </c>
      <c r="H46" s="9" t="s">
        <v>891</v>
      </c>
      <c r="I46" s="5"/>
      <c r="J46" s="18"/>
      <c r="K46" s="9"/>
      <c r="L46" s="9"/>
      <c r="M46" s="12"/>
      <c r="N46" s="33"/>
    </row>
    <row r="47" spans="1:14">
      <c r="A47" s="30" t="s">
        <v>997</v>
      </c>
      <c r="B47" s="57" t="s">
        <v>884</v>
      </c>
      <c r="C47" s="8" t="s">
        <v>885</v>
      </c>
      <c r="D47" s="18" t="s">
        <v>911</v>
      </c>
      <c r="E47" s="39" t="s">
        <v>900</v>
      </c>
      <c r="F47" s="5"/>
      <c r="G47" s="9" t="s">
        <v>890</v>
      </c>
      <c r="H47" s="9" t="s">
        <v>891</v>
      </c>
      <c r="I47" s="5"/>
      <c r="J47" s="18"/>
      <c r="K47" s="9"/>
      <c r="L47" s="9"/>
      <c r="M47" s="12"/>
      <c r="N47" s="33"/>
    </row>
    <row r="48" spans="1:14">
      <c r="A48" s="30" t="s">
        <v>998</v>
      </c>
      <c r="B48" s="57" t="s">
        <v>884</v>
      </c>
      <c r="C48" s="8" t="s">
        <v>885</v>
      </c>
      <c r="D48" s="18" t="s">
        <v>911</v>
      </c>
      <c r="E48" s="39" t="s">
        <v>901</v>
      </c>
      <c r="F48" s="5"/>
      <c r="G48" s="9" t="s">
        <v>890</v>
      </c>
      <c r="H48" s="9" t="s">
        <v>891</v>
      </c>
      <c r="I48" s="5"/>
      <c r="J48" s="18"/>
      <c r="K48" s="9"/>
      <c r="L48" s="9"/>
      <c r="M48" s="12"/>
      <c r="N48" s="33"/>
    </row>
    <row r="49" spans="1:14">
      <c r="A49" s="30" t="s">
        <v>999</v>
      </c>
      <c r="B49" s="57" t="s">
        <v>884</v>
      </c>
      <c r="C49" s="8" t="s">
        <v>885</v>
      </c>
      <c r="D49" s="18" t="s">
        <v>911</v>
      </c>
      <c r="E49" s="39" t="s">
        <v>902</v>
      </c>
      <c r="F49" s="5"/>
      <c r="G49" s="9" t="s">
        <v>890</v>
      </c>
      <c r="H49" s="9" t="s">
        <v>891</v>
      </c>
      <c r="I49" s="5"/>
      <c r="J49" s="18"/>
      <c r="K49" s="9"/>
      <c r="L49" s="9"/>
      <c r="M49" s="12"/>
      <c r="N49" s="33"/>
    </row>
    <row r="50" spans="1:14">
      <c r="A50" s="30" t="s">
        <v>1000</v>
      </c>
      <c r="B50" s="57" t="s">
        <v>884</v>
      </c>
      <c r="C50" s="8" t="s">
        <v>885</v>
      </c>
      <c r="D50" s="18" t="s">
        <v>911</v>
      </c>
      <c r="E50" s="39" t="s">
        <v>903</v>
      </c>
      <c r="F50" s="5"/>
      <c r="G50" s="9" t="s">
        <v>890</v>
      </c>
      <c r="H50" s="9" t="s">
        <v>891</v>
      </c>
      <c r="I50" s="5"/>
      <c r="J50" s="18"/>
      <c r="K50" s="9"/>
      <c r="L50" s="9"/>
      <c r="M50" s="12"/>
      <c r="N50" s="33"/>
    </row>
    <row r="51" spans="1:14">
      <c r="A51" s="30" t="s">
        <v>1001</v>
      </c>
      <c r="B51" s="57" t="s">
        <v>884</v>
      </c>
      <c r="C51" s="8" t="s">
        <v>885</v>
      </c>
      <c r="D51" s="18" t="s">
        <v>911</v>
      </c>
      <c r="E51" s="39" t="s">
        <v>904</v>
      </c>
      <c r="F51" s="5"/>
      <c r="G51" s="9" t="s">
        <v>890</v>
      </c>
      <c r="H51" s="9" t="s">
        <v>905</v>
      </c>
      <c r="I51" s="5"/>
      <c r="J51" s="18"/>
      <c r="K51" s="9"/>
      <c r="L51" s="9"/>
      <c r="M51" s="12"/>
      <c r="N51" s="33"/>
    </row>
    <row r="52" spans="1:14">
      <c r="A52" s="30" t="s">
        <v>1002</v>
      </c>
      <c r="B52" s="57" t="s">
        <v>884</v>
      </c>
      <c r="C52" s="8" t="s">
        <v>885</v>
      </c>
      <c r="D52" s="18" t="s">
        <v>911</v>
      </c>
      <c r="E52" s="39" t="s">
        <v>906</v>
      </c>
      <c r="F52" s="5"/>
      <c r="G52" s="9" t="s">
        <v>890</v>
      </c>
      <c r="H52" s="9" t="s">
        <v>905</v>
      </c>
      <c r="I52" s="5"/>
      <c r="J52" s="18"/>
      <c r="K52" s="9"/>
      <c r="L52" s="9"/>
      <c r="M52" s="12"/>
      <c r="N52" s="33"/>
    </row>
    <row r="53" spans="1:14">
      <c r="A53" s="30" t="s">
        <v>1003</v>
      </c>
      <c r="B53" s="57" t="s">
        <v>884</v>
      </c>
      <c r="C53" s="8" t="s">
        <v>885</v>
      </c>
      <c r="D53" s="18" t="s">
        <v>911</v>
      </c>
      <c r="E53" s="39" t="s">
        <v>907</v>
      </c>
      <c r="F53" s="5"/>
      <c r="G53" s="9" t="s">
        <v>890</v>
      </c>
      <c r="H53" s="9" t="s">
        <v>891</v>
      </c>
      <c r="I53" s="5"/>
      <c r="J53" s="18"/>
      <c r="K53" s="9"/>
      <c r="L53" s="9"/>
      <c r="M53" s="12"/>
      <c r="N53" s="33"/>
    </row>
    <row r="54" spans="1:14">
      <c r="A54" s="30" t="s">
        <v>1004</v>
      </c>
      <c r="B54" s="57" t="s">
        <v>884</v>
      </c>
      <c r="C54" s="8" t="s">
        <v>885</v>
      </c>
      <c r="D54" s="18" t="s">
        <v>911</v>
      </c>
      <c r="E54" s="39" t="s">
        <v>908</v>
      </c>
      <c r="F54" s="5"/>
      <c r="G54" s="9" t="s">
        <v>887</v>
      </c>
      <c r="H54" s="9" t="s">
        <v>905</v>
      </c>
      <c r="I54" s="5"/>
      <c r="J54" s="18"/>
      <c r="K54" s="9"/>
      <c r="L54" s="9"/>
      <c r="M54" s="12"/>
      <c r="N54" s="33"/>
    </row>
    <row r="55" spans="1:14">
      <c r="A55" s="30" t="s">
        <v>1005</v>
      </c>
      <c r="B55" s="57" t="s">
        <v>884</v>
      </c>
      <c r="C55" s="8" t="s">
        <v>885</v>
      </c>
      <c r="D55" s="18" t="s">
        <v>911</v>
      </c>
      <c r="E55" s="39" t="s">
        <v>909</v>
      </c>
      <c r="F55" s="5"/>
      <c r="G55" s="9" t="s">
        <v>894</v>
      </c>
      <c r="H55" s="9" t="s">
        <v>895</v>
      </c>
      <c r="I55" s="5"/>
      <c r="J55" s="18"/>
      <c r="K55" s="9"/>
      <c r="L55" s="9"/>
      <c r="M55" s="12"/>
      <c r="N55" s="33"/>
    </row>
    <row r="56" spans="1:14">
      <c r="A56" s="30" t="s">
        <v>1006</v>
      </c>
      <c r="B56" s="57" t="s">
        <v>884</v>
      </c>
      <c r="C56" s="8" t="s">
        <v>885</v>
      </c>
      <c r="D56" s="18" t="s">
        <v>911</v>
      </c>
      <c r="E56" s="39" t="s">
        <v>910</v>
      </c>
      <c r="F56" s="5"/>
      <c r="G56" s="9" t="s">
        <v>894</v>
      </c>
      <c r="H56" s="9" t="s">
        <v>895</v>
      </c>
      <c r="I56" s="5"/>
      <c r="J56" s="18"/>
      <c r="K56" s="9"/>
      <c r="L56" s="9"/>
      <c r="M56" s="12"/>
      <c r="N56" s="33"/>
    </row>
    <row r="57" spans="1:14">
      <c r="A57" s="30" t="s">
        <v>1007</v>
      </c>
      <c r="B57" s="57" t="s">
        <v>884</v>
      </c>
      <c r="C57" s="8" t="s">
        <v>885</v>
      </c>
      <c r="D57" s="18" t="s">
        <v>912</v>
      </c>
      <c r="E57" s="39" t="s">
        <v>854</v>
      </c>
      <c r="F57" s="5"/>
      <c r="G57" s="9" t="s">
        <v>890</v>
      </c>
      <c r="H57" s="9" t="s">
        <v>891</v>
      </c>
      <c r="I57" s="5"/>
      <c r="J57" s="18"/>
      <c r="K57" s="9"/>
      <c r="L57" s="9"/>
      <c r="M57" s="12"/>
      <c r="N57" s="33"/>
    </row>
    <row r="58" spans="1:14">
      <c r="A58" s="30" t="s">
        <v>1008</v>
      </c>
      <c r="B58" s="57" t="s">
        <v>884</v>
      </c>
      <c r="C58" s="8" t="s">
        <v>885</v>
      </c>
      <c r="D58" s="18" t="s">
        <v>912</v>
      </c>
      <c r="E58" s="39" t="s">
        <v>858</v>
      </c>
      <c r="F58" s="5"/>
      <c r="G58" s="9" t="s">
        <v>890</v>
      </c>
      <c r="H58" s="9" t="s">
        <v>891</v>
      </c>
      <c r="I58" s="5"/>
      <c r="J58" s="18"/>
      <c r="K58" s="9"/>
      <c r="L58" s="9"/>
      <c r="M58" s="12"/>
      <c r="N58" s="33"/>
    </row>
    <row r="59" spans="1:14">
      <c r="A59" s="30" t="s">
        <v>1009</v>
      </c>
      <c r="B59" s="57" t="s">
        <v>884</v>
      </c>
      <c r="C59" s="8" t="s">
        <v>885</v>
      </c>
      <c r="D59" s="18" t="s">
        <v>912</v>
      </c>
      <c r="E59" s="39" t="s">
        <v>859</v>
      </c>
      <c r="F59" s="5"/>
      <c r="G59" s="9" t="s">
        <v>890</v>
      </c>
      <c r="H59" s="9" t="s">
        <v>891</v>
      </c>
      <c r="I59" s="5"/>
      <c r="J59" s="18"/>
      <c r="K59" s="9"/>
      <c r="L59" s="9"/>
      <c r="M59" s="12"/>
      <c r="N59" s="33"/>
    </row>
    <row r="60" spans="1:14">
      <c r="A60" s="30" t="s">
        <v>1010</v>
      </c>
      <c r="B60" s="57" t="s">
        <v>884</v>
      </c>
      <c r="C60" s="8" t="s">
        <v>885</v>
      </c>
      <c r="D60" s="18" t="s">
        <v>912</v>
      </c>
      <c r="E60" s="39" t="s">
        <v>861</v>
      </c>
      <c r="F60" s="5"/>
      <c r="G60" s="9" t="s">
        <v>890</v>
      </c>
      <c r="H60" s="9" t="s">
        <v>905</v>
      </c>
      <c r="I60" s="5"/>
      <c r="J60" s="18"/>
      <c r="K60" s="9"/>
      <c r="L60" s="9"/>
      <c r="M60" s="12"/>
      <c r="N60" s="33"/>
    </row>
    <row r="61" spans="1:14">
      <c r="A61" s="30" t="s">
        <v>1011</v>
      </c>
      <c r="B61" s="57" t="s">
        <v>884</v>
      </c>
      <c r="C61" s="8" t="s">
        <v>885</v>
      </c>
      <c r="D61" s="18" t="s">
        <v>912</v>
      </c>
      <c r="E61" s="39" t="s">
        <v>862</v>
      </c>
      <c r="F61" s="5"/>
      <c r="G61" s="9" t="s">
        <v>890</v>
      </c>
      <c r="H61" s="9" t="s">
        <v>891</v>
      </c>
      <c r="I61" s="5"/>
      <c r="J61" s="18"/>
      <c r="K61" s="9"/>
      <c r="L61" s="9"/>
      <c r="M61" s="12"/>
      <c r="N61" s="33"/>
    </row>
    <row r="62" spans="1:14">
      <c r="A62" s="30" t="s">
        <v>1012</v>
      </c>
      <c r="B62" s="57" t="s">
        <v>884</v>
      </c>
      <c r="C62" s="8" t="s">
        <v>885</v>
      </c>
      <c r="D62" s="18" t="s">
        <v>912</v>
      </c>
      <c r="E62" s="39" t="s">
        <v>863</v>
      </c>
      <c r="F62" s="5"/>
      <c r="G62" s="9" t="s">
        <v>890</v>
      </c>
      <c r="H62" s="9" t="s">
        <v>888</v>
      </c>
      <c r="I62" s="5"/>
      <c r="J62" s="18"/>
      <c r="K62" s="9"/>
      <c r="L62" s="9"/>
      <c r="M62" s="12"/>
      <c r="N62" s="33"/>
    </row>
    <row r="63" spans="1:14">
      <c r="A63" s="30" t="s">
        <v>1013</v>
      </c>
      <c r="B63" s="57" t="s">
        <v>884</v>
      </c>
      <c r="C63" s="8" t="s">
        <v>885</v>
      </c>
      <c r="D63" s="18" t="s">
        <v>912</v>
      </c>
      <c r="E63" s="39" t="s">
        <v>864</v>
      </c>
      <c r="F63" s="5"/>
      <c r="G63" s="9" t="s">
        <v>890</v>
      </c>
      <c r="H63" s="9" t="s">
        <v>891</v>
      </c>
      <c r="I63" s="5"/>
      <c r="J63" s="18"/>
      <c r="K63" s="9"/>
      <c r="L63" s="9"/>
      <c r="M63" s="12"/>
      <c r="N63" s="33"/>
    </row>
    <row r="64" spans="1:14">
      <c r="A64" s="30" t="s">
        <v>1014</v>
      </c>
      <c r="B64" s="57" t="s">
        <v>884</v>
      </c>
      <c r="C64" s="8" t="s">
        <v>885</v>
      </c>
      <c r="D64" s="18" t="s">
        <v>912</v>
      </c>
      <c r="E64" s="39" t="s">
        <v>865</v>
      </c>
      <c r="F64" s="5"/>
      <c r="G64" s="9" t="s">
        <v>890</v>
      </c>
      <c r="H64" s="9" t="s">
        <v>891</v>
      </c>
      <c r="I64" s="5"/>
      <c r="J64" s="18"/>
      <c r="K64" s="9"/>
      <c r="L64" s="9"/>
      <c r="M64" s="12"/>
      <c r="N64" s="33"/>
    </row>
    <row r="65" spans="1:14">
      <c r="A65" s="30" t="s">
        <v>1015</v>
      </c>
      <c r="B65" s="57" t="s">
        <v>884</v>
      </c>
      <c r="C65" s="8" t="s">
        <v>885</v>
      </c>
      <c r="D65" s="18" t="s">
        <v>912</v>
      </c>
      <c r="E65" s="39" t="s">
        <v>892</v>
      </c>
      <c r="F65" s="5"/>
      <c r="G65" s="9" t="s">
        <v>890</v>
      </c>
      <c r="H65" s="9" t="s">
        <v>905</v>
      </c>
      <c r="I65" s="5"/>
      <c r="J65" s="18"/>
      <c r="K65" s="9"/>
      <c r="L65" s="9"/>
      <c r="M65" s="12"/>
      <c r="N65" s="33"/>
    </row>
    <row r="66" spans="1:14">
      <c r="A66" s="30" t="s">
        <v>1016</v>
      </c>
      <c r="B66" s="57" t="s">
        <v>884</v>
      </c>
      <c r="C66" s="8" t="s">
        <v>885</v>
      </c>
      <c r="D66" s="18" t="s">
        <v>912</v>
      </c>
      <c r="E66" s="39" t="s">
        <v>893</v>
      </c>
      <c r="F66" s="5"/>
      <c r="G66" s="9" t="s">
        <v>890</v>
      </c>
      <c r="H66" s="9" t="s">
        <v>888</v>
      </c>
      <c r="I66" s="5"/>
      <c r="J66" s="18"/>
      <c r="K66" s="9"/>
      <c r="L66" s="9"/>
      <c r="M66" s="12"/>
      <c r="N66" s="33"/>
    </row>
    <row r="67" spans="1:14">
      <c r="A67" s="30" t="s">
        <v>1017</v>
      </c>
      <c r="B67" s="57" t="s">
        <v>884</v>
      </c>
      <c r="C67" s="8" t="s">
        <v>885</v>
      </c>
      <c r="D67" s="18" t="s">
        <v>912</v>
      </c>
      <c r="E67" s="39" t="s">
        <v>896</v>
      </c>
      <c r="F67" s="5"/>
      <c r="G67" s="9" t="s">
        <v>890</v>
      </c>
      <c r="H67" s="9" t="s">
        <v>888</v>
      </c>
      <c r="I67" s="5"/>
      <c r="J67" s="18"/>
      <c r="K67" s="9"/>
      <c r="L67" s="9"/>
      <c r="M67" s="12"/>
      <c r="N67" s="33"/>
    </row>
    <row r="68" spans="1:14">
      <c r="A68" s="30" t="s">
        <v>1018</v>
      </c>
      <c r="B68" s="57" t="s">
        <v>884</v>
      </c>
      <c r="C68" s="8" t="s">
        <v>885</v>
      </c>
      <c r="D68" s="18" t="s">
        <v>912</v>
      </c>
      <c r="E68" s="39" t="s">
        <v>897</v>
      </c>
      <c r="F68" s="5"/>
      <c r="G68" s="9" t="s">
        <v>890</v>
      </c>
      <c r="H68" s="9" t="s">
        <v>888</v>
      </c>
      <c r="I68" s="5"/>
      <c r="J68" s="18"/>
      <c r="K68" s="9"/>
      <c r="L68" s="9"/>
      <c r="M68" s="12"/>
      <c r="N68" s="33"/>
    </row>
    <row r="69" spans="1:14">
      <c r="A69" s="30" t="s">
        <v>1019</v>
      </c>
      <c r="B69" s="57" t="s">
        <v>884</v>
      </c>
      <c r="C69" s="8" t="s">
        <v>885</v>
      </c>
      <c r="D69" s="18" t="s">
        <v>912</v>
      </c>
      <c r="E69" s="39" t="s">
        <v>898</v>
      </c>
      <c r="F69" s="5"/>
      <c r="G69" s="9" t="s">
        <v>890</v>
      </c>
      <c r="H69" s="9" t="s">
        <v>905</v>
      </c>
      <c r="I69" s="5"/>
      <c r="J69" s="18"/>
      <c r="K69" s="9"/>
      <c r="L69" s="9"/>
      <c r="M69" s="12"/>
      <c r="N69" s="33"/>
    </row>
    <row r="70" spans="1:14">
      <c r="A70" s="30" t="s">
        <v>1020</v>
      </c>
      <c r="B70" s="57" t="s">
        <v>884</v>
      </c>
      <c r="C70" s="8" t="s">
        <v>885</v>
      </c>
      <c r="D70" s="18" t="s">
        <v>912</v>
      </c>
      <c r="E70" s="39" t="s">
        <v>899</v>
      </c>
      <c r="F70" s="5"/>
      <c r="G70" s="9" t="s">
        <v>890</v>
      </c>
      <c r="H70" s="9" t="s">
        <v>891</v>
      </c>
      <c r="I70" s="5"/>
      <c r="J70" s="18"/>
      <c r="K70" s="9"/>
      <c r="L70" s="9"/>
      <c r="M70" s="12"/>
      <c r="N70" s="33"/>
    </row>
    <row r="71" spans="1:14">
      <c r="A71" s="30" t="s">
        <v>1021</v>
      </c>
      <c r="B71" s="57" t="s">
        <v>884</v>
      </c>
      <c r="C71" s="8" t="s">
        <v>885</v>
      </c>
      <c r="D71" s="18" t="s">
        <v>912</v>
      </c>
      <c r="E71" s="39" t="s">
        <v>900</v>
      </c>
      <c r="F71" s="5"/>
      <c r="G71" s="9" t="s">
        <v>890</v>
      </c>
      <c r="H71" s="9" t="s">
        <v>891</v>
      </c>
      <c r="I71" s="5"/>
      <c r="J71" s="18"/>
      <c r="K71" s="9"/>
      <c r="L71" s="9"/>
      <c r="M71" s="12"/>
      <c r="N71" s="33"/>
    </row>
    <row r="72" spans="1:14">
      <c r="A72" s="30" t="s">
        <v>1022</v>
      </c>
      <c r="B72" s="57" t="s">
        <v>884</v>
      </c>
      <c r="C72" s="8" t="s">
        <v>885</v>
      </c>
      <c r="D72" s="18" t="s">
        <v>912</v>
      </c>
      <c r="E72" s="39" t="s">
        <v>901</v>
      </c>
      <c r="F72" s="5"/>
      <c r="G72" s="9" t="s">
        <v>890</v>
      </c>
      <c r="H72" s="9" t="s">
        <v>891</v>
      </c>
      <c r="I72" s="5"/>
      <c r="J72" s="18"/>
      <c r="K72" s="9"/>
      <c r="L72" s="9"/>
      <c r="M72" s="12"/>
      <c r="N72" s="33"/>
    </row>
    <row r="73" spans="1:14">
      <c r="A73" s="30" t="s">
        <v>1023</v>
      </c>
      <c r="B73" s="57" t="s">
        <v>884</v>
      </c>
      <c r="C73" s="8" t="s">
        <v>885</v>
      </c>
      <c r="D73" s="18" t="s">
        <v>912</v>
      </c>
      <c r="E73" s="39" t="s">
        <v>902</v>
      </c>
      <c r="F73" s="5"/>
      <c r="G73" s="9" t="s">
        <v>887</v>
      </c>
      <c r="H73" s="9" t="s">
        <v>891</v>
      </c>
      <c r="I73" s="5"/>
      <c r="J73" s="18"/>
      <c r="K73" s="9"/>
      <c r="L73" s="9"/>
      <c r="M73" s="12"/>
      <c r="N73" s="33"/>
    </row>
    <row r="74" spans="1:14">
      <c r="A74" s="30" t="s">
        <v>1024</v>
      </c>
      <c r="B74" s="57" t="s">
        <v>884</v>
      </c>
      <c r="C74" s="8" t="s">
        <v>885</v>
      </c>
      <c r="D74" s="18" t="s">
        <v>912</v>
      </c>
      <c r="E74" s="39" t="s">
        <v>903</v>
      </c>
      <c r="F74" s="5"/>
      <c r="G74" s="9" t="s">
        <v>890</v>
      </c>
      <c r="H74" s="9" t="s">
        <v>891</v>
      </c>
      <c r="I74" s="5"/>
      <c r="J74" s="18"/>
      <c r="K74" s="9"/>
      <c r="L74" s="9"/>
      <c r="M74" s="12"/>
      <c r="N74" s="33"/>
    </row>
    <row r="75" spans="1:14">
      <c r="A75" s="30" t="s">
        <v>1025</v>
      </c>
      <c r="B75" s="57" t="s">
        <v>884</v>
      </c>
      <c r="C75" s="8" t="s">
        <v>885</v>
      </c>
      <c r="D75" s="18" t="s">
        <v>912</v>
      </c>
      <c r="E75" s="39" t="s">
        <v>904</v>
      </c>
      <c r="F75" s="5"/>
      <c r="G75" s="9" t="s">
        <v>890</v>
      </c>
      <c r="H75" s="9" t="s">
        <v>905</v>
      </c>
      <c r="I75" s="5"/>
      <c r="J75" s="18"/>
      <c r="K75" s="9"/>
      <c r="L75" s="9"/>
      <c r="M75" s="12"/>
      <c r="N75" s="33"/>
    </row>
    <row r="76" spans="1:14">
      <c r="A76" s="30" t="s">
        <v>1026</v>
      </c>
      <c r="B76" s="57" t="s">
        <v>884</v>
      </c>
      <c r="C76" s="8" t="s">
        <v>885</v>
      </c>
      <c r="D76" s="18" t="s">
        <v>912</v>
      </c>
      <c r="E76" s="39" t="s">
        <v>906</v>
      </c>
      <c r="F76" s="5"/>
      <c r="G76" s="9" t="s">
        <v>890</v>
      </c>
      <c r="H76" s="9" t="s">
        <v>891</v>
      </c>
      <c r="I76" s="5"/>
      <c r="J76" s="18"/>
      <c r="K76" s="9"/>
      <c r="L76" s="9"/>
      <c r="M76" s="12"/>
      <c r="N76" s="33"/>
    </row>
    <row r="77" spans="1:14">
      <c r="A77" s="30" t="s">
        <v>1027</v>
      </c>
      <c r="B77" s="57" t="s">
        <v>884</v>
      </c>
      <c r="C77" s="8" t="s">
        <v>885</v>
      </c>
      <c r="D77" s="18" t="s">
        <v>912</v>
      </c>
      <c r="E77" s="39" t="s">
        <v>907</v>
      </c>
      <c r="F77" s="5"/>
      <c r="G77" s="9" t="s">
        <v>890</v>
      </c>
      <c r="H77" s="9" t="s">
        <v>891</v>
      </c>
      <c r="I77" s="5"/>
      <c r="J77" s="18"/>
      <c r="K77" s="9"/>
      <c r="L77" s="9"/>
      <c r="M77" s="12"/>
      <c r="N77" s="33"/>
    </row>
    <row r="78" spans="1:14">
      <c r="A78" s="30" t="s">
        <v>1028</v>
      </c>
      <c r="B78" s="57" t="s">
        <v>884</v>
      </c>
      <c r="C78" s="8" t="s">
        <v>885</v>
      </c>
      <c r="D78" s="18" t="s">
        <v>912</v>
      </c>
      <c r="E78" s="39" t="s">
        <v>908</v>
      </c>
      <c r="F78" s="5"/>
      <c r="G78" s="9" t="s">
        <v>890</v>
      </c>
      <c r="H78" s="9" t="s">
        <v>891</v>
      </c>
      <c r="I78" s="5"/>
      <c r="J78" s="18"/>
      <c r="K78" s="9"/>
      <c r="L78" s="9"/>
      <c r="M78" s="12"/>
      <c r="N78" s="33"/>
    </row>
    <row r="79" spans="1:14">
      <c r="A79" s="30" t="s">
        <v>1029</v>
      </c>
      <c r="B79" s="57" t="s">
        <v>884</v>
      </c>
      <c r="C79" s="8" t="s">
        <v>885</v>
      </c>
      <c r="D79" s="18" t="s">
        <v>912</v>
      </c>
      <c r="E79" s="39" t="s">
        <v>909</v>
      </c>
      <c r="F79" s="5"/>
      <c r="G79" s="9" t="s">
        <v>887</v>
      </c>
      <c r="H79" s="9" t="s">
        <v>905</v>
      </c>
      <c r="I79" s="5"/>
      <c r="J79" s="18"/>
      <c r="K79" s="9"/>
      <c r="L79" s="9"/>
      <c r="M79" s="12"/>
      <c r="N79" s="33"/>
    </row>
    <row r="80" spans="1:14">
      <c r="A80" s="30" t="s">
        <v>1030</v>
      </c>
      <c r="B80" s="57" t="s">
        <v>884</v>
      </c>
      <c r="C80" s="8" t="s">
        <v>885</v>
      </c>
      <c r="D80" s="18" t="s">
        <v>912</v>
      </c>
      <c r="E80" s="39" t="s">
        <v>910</v>
      </c>
      <c r="F80" s="5"/>
      <c r="G80" s="9" t="s">
        <v>887</v>
      </c>
      <c r="H80" s="9" t="s">
        <v>905</v>
      </c>
      <c r="I80" s="5"/>
      <c r="J80" s="18"/>
      <c r="K80" s="9"/>
      <c r="L80" s="9"/>
      <c r="M80" s="12"/>
      <c r="N80" s="33"/>
    </row>
    <row r="81" spans="1:14">
      <c r="A81" s="30" t="s">
        <v>1031</v>
      </c>
      <c r="B81" s="57" t="s">
        <v>884</v>
      </c>
      <c r="C81" s="8" t="s">
        <v>885</v>
      </c>
      <c r="D81" s="18" t="s">
        <v>913</v>
      </c>
      <c r="E81" s="39" t="s">
        <v>854</v>
      </c>
      <c r="F81" s="5"/>
      <c r="G81" s="9" t="s">
        <v>890</v>
      </c>
      <c r="H81" s="9" t="s">
        <v>891</v>
      </c>
      <c r="I81" s="5"/>
      <c r="J81" s="18"/>
      <c r="K81" s="9"/>
      <c r="L81" s="9"/>
      <c r="M81" s="12"/>
      <c r="N81" s="33"/>
    </row>
    <row r="82" spans="1:14">
      <c r="A82" s="30" t="s">
        <v>1032</v>
      </c>
      <c r="B82" s="57" t="s">
        <v>884</v>
      </c>
      <c r="C82" s="8" t="s">
        <v>885</v>
      </c>
      <c r="D82" s="18" t="s">
        <v>913</v>
      </c>
      <c r="E82" s="39" t="s">
        <v>858</v>
      </c>
      <c r="F82" s="5"/>
      <c r="G82" s="9" t="s">
        <v>890</v>
      </c>
      <c r="H82" s="9" t="s">
        <v>888</v>
      </c>
      <c r="I82" s="5"/>
      <c r="J82" s="18"/>
      <c r="K82" s="9"/>
      <c r="L82" s="9"/>
      <c r="M82" s="12"/>
      <c r="N82" s="33"/>
    </row>
    <row r="83" spans="1:14">
      <c r="A83" s="30" t="s">
        <v>1033</v>
      </c>
      <c r="B83" s="57" t="s">
        <v>884</v>
      </c>
      <c r="C83" s="8" t="s">
        <v>885</v>
      </c>
      <c r="D83" s="18" t="s">
        <v>913</v>
      </c>
      <c r="E83" s="39" t="s">
        <v>859</v>
      </c>
      <c r="F83" s="5"/>
      <c r="G83" s="9" t="s">
        <v>887</v>
      </c>
      <c r="H83" s="9" t="s">
        <v>888</v>
      </c>
      <c r="I83" s="5"/>
      <c r="J83" s="18"/>
      <c r="K83" s="9"/>
      <c r="L83" s="9"/>
      <c r="M83" s="12"/>
      <c r="N83" s="33"/>
    </row>
    <row r="84" spans="1:14">
      <c r="A84" s="30" t="s">
        <v>1034</v>
      </c>
      <c r="B84" s="57" t="s">
        <v>884</v>
      </c>
      <c r="C84" s="8" t="s">
        <v>885</v>
      </c>
      <c r="D84" s="18" t="s">
        <v>913</v>
      </c>
      <c r="E84" s="39" t="s">
        <v>861</v>
      </c>
      <c r="F84" s="5"/>
      <c r="G84" s="9" t="s">
        <v>890</v>
      </c>
      <c r="H84" s="9" t="s">
        <v>888</v>
      </c>
      <c r="I84" s="5"/>
      <c r="J84" s="18"/>
      <c r="K84" s="9"/>
      <c r="L84" s="9"/>
      <c r="M84" s="12"/>
      <c r="N84" s="33"/>
    </row>
    <row r="85" spans="1:14">
      <c r="A85" s="30" t="s">
        <v>1035</v>
      </c>
      <c r="B85" s="57" t="s">
        <v>884</v>
      </c>
      <c r="C85" s="8" t="s">
        <v>885</v>
      </c>
      <c r="D85" s="18" t="s">
        <v>913</v>
      </c>
      <c r="E85" s="39" t="s">
        <v>862</v>
      </c>
      <c r="F85" s="5"/>
      <c r="G85" s="9" t="s">
        <v>890</v>
      </c>
      <c r="H85" s="9" t="s">
        <v>888</v>
      </c>
      <c r="I85" s="5"/>
      <c r="J85" s="18"/>
      <c r="K85" s="9"/>
      <c r="L85" s="9"/>
      <c r="M85" s="12"/>
      <c r="N85" s="33"/>
    </row>
    <row r="86" spans="1:14">
      <c r="A86" s="30" t="s">
        <v>1036</v>
      </c>
      <c r="B86" s="57" t="s">
        <v>884</v>
      </c>
      <c r="C86" s="8" t="s">
        <v>885</v>
      </c>
      <c r="D86" s="18" t="s">
        <v>913</v>
      </c>
      <c r="E86" s="39" t="s">
        <v>863</v>
      </c>
      <c r="F86" s="5"/>
      <c r="G86" s="9" t="s">
        <v>890</v>
      </c>
      <c r="H86" s="9" t="s">
        <v>888</v>
      </c>
      <c r="I86" s="5"/>
      <c r="J86" s="18"/>
      <c r="K86" s="9"/>
      <c r="L86" s="9"/>
      <c r="M86" s="12"/>
      <c r="N86" s="33"/>
    </row>
    <row r="87" spans="1:14">
      <c r="A87" s="30" t="s">
        <v>1037</v>
      </c>
      <c r="B87" s="57" t="s">
        <v>884</v>
      </c>
      <c r="C87" s="8" t="s">
        <v>885</v>
      </c>
      <c r="D87" s="18" t="s">
        <v>913</v>
      </c>
      <c r="E87" s="39" t="s">
        <v>864</v>
      </c>
      <c r="F87" s="5"/>
      <c r="G87" s="9" t="s">
        <v>890</v>
      </c>
      <c r="H87" s="9" t="s">
        <v>888</v>
      </c>
      <c r="I87" s="5"/>
      <c r="J87" s="18"/>
      <c r="K87" s="9"/>
      <c r="L87" s="9"/>
      <c r="M87" s="12"/>
      <c r="N87" s="33"/>
    </row>
    <row r="88" spans="1:14">
      <c r="A88" s="30" t="s">
        <v>1038</v>
      </c>
      <c r="B88" s="57" t="s">
        <v>884</v>
      </c>
      <c r="C88" s="8" t="s">
        <v>885</v>
      </c>
      <c r="D88" s="18" t="s">
        <v>913</v>
      </c>
      <c r="E88" s="39" t="s">
        <v>865</v>
      </c>
      <c r="F88" s="5"/>
      <c r="G88" s="9" t="s">
        <v>890</v>
      </c>
      <c r="H88" s="9" t="s">
        <v>888</v>
      </c>
      <c r="I88" s="5"/>
      <c r="J88" s="18"/>
      <c r="K88" s="9"/>
      <c r="L88" s="9"/>
      <c r="M88" s="12"/>
      <c r="N88" s="33"/>
    </row>
    <row r="89" spans="1:14">
      <c r="A89" s="30" t="s">
        <v>1039</v>
      </c>
      <c r="B89" s="57" t="s">
        <v>884</v>
      </c>
      <c r="C89" s="8" t="s">
        <v>885</v>
      </c>
      <c r="D89" s="18" t="s">
        <v>913</v>
      </c>
      <c r="E89" s="39" t="s">
        <v>892</v>
      </c>
      <c r="F89" s="5"/>
      <c r="G89" s="9" t="s">
        <v>890</v>
      </c>
      <c r="H89" s="9" t="s">
        <v>888</v>
      </c>
      <c r="I89" s="5"/>
      <c r="J89" s="18"/>
      <c r="K89" s="9"/>
      <c r="L89" s="9"/>
      <c r="M89" s="12"/>
      <c r="N89" s="33"/>
    </row>
    <row r="90" spans="1:14">
      <c r="A90" s="30" t="s">
        <v>1040</v>
      </c>
      <c r="B90" s="57" t="s">
        <v>884</v>
      </c>
      <c r="C90" s="8" t="s">
        <v>885</v>
      </c>
      <c r="D90" s="18" t="s">
        <v>913</v>
      </c>
      <c r="E90" s="39" t="s">
        <v>893</v>
      </c>
      <c r="F90" s="5"/>
      <c r="G90" s="9" t="s">
        <v>887</v>
      </c>
      <c r="H90" s="9" t="s">
        <v>891</v>
      </c>
      <c r="I90" s="5"/>
      <c r="J90" s="18"/>
      <c r="K90" s="9"/>
      <c r="L90" s="9"/>
      <c r="M90" s="12"/>
      <c r="N90" s="33"/>
    </row>
    <row r="91" spans="1:14">
      <c r="A91" s="30" t="s">
        <v>1041</v>
      </c>
      <c r="B91" s="57" t="s">
        <v>884</v>
      </c>
      <c r="C91" s="8" t="s">
        <v>885</v>
      </c>
      <c r="D91" s="18" t="s">
        <v>913</v>
      </c>
      <c r="E91" s="39" t="s">
        <v>896</v>
      </c>
      <c r="F91" s="5"/>
      <c r="G91" s="9" t="s">
        <v>887</v>
      </c>
      <c r="H91" s="9" t="s">
        <v>891</v>
      </c>
      <c r="I91" s="5"/>
      <c r="J91" s="18"/>
      <c r="K91" s="9"/>
      <c r="L91" s="9"/>
      <c r="M91" s="12"/>
      <c r="N91" s="33"/>
    </row>
    <row r="92" spans="1:14">
      <c r="A92" s="30" t="s">
        <v>1042</v>
      </c>
      <c r="B92" s="57" t="s">
        <v>884</v>
      </c>
      <c r="C92" s="8" t="s">
        <v>885</v>
      </c>
      <c r="D92" s="18" t="s">
        <v>913</v>
      </c>
      <c r="E92" s="39" t="s">
        <v>897</v>
      </c>
      <c r="F92" s="5"/>
      <c r="G92" s="9" t="s">
        <v>887</v>
      </c>
      <c r="H92" s="9" t="s">
        <v>891</v>
      </c>
      <c r="I92" s="5"/>
      <c r="J92" s="18"/>
      <c r="K92" s="9"/>
      <c r="L92" s="9"/>
      <c r="M92" s="12"/>
      <c r="N92" s="33"/>
    </row>
    <row r="93" spans="1:14">
      <c r="A93" s="30" t="s">
        <v>1043</v>
      </c>
      <c r="B93" s="57" t="s">
        <v>884</v>
      </c>
      <c r="C93" s="8" t="s">
        <v>885</v>
      </c>
      <c r="D93" s="18" t="s">
        <v>913</v>
      </c>
      <c r="E93" s="39" t="s">
        <v>898</v>
      </c>
      <c r="F93" s="5"/>
      <c r="G93" s="9" t="s">
        <v>890</v>
      </c>
      <c r="H93" s="9" t="s">
        <v>888</v>
      </c>
      <c r="I93" s="5"/>
      <c r="J93" s="18"/>
      <c r="K93" s="9"/>
      <c r="L93" s="9"/>
      <c r="M93" s="12"/>
      <c r="N93" s="33"/>
    </row>
    <row r="94" spans="1:14">
      <c r="A94" s="30" t="s">
        <v>1044</v>
      </c>
      <c r="B94" s="57" t="s">
        <v>884</v>
      </c>
      <c r="C94" s="8" t="s">
        <v>885</v>
      </c>
      <c r="D94" s="18" t="s">
        <v>913</v>
      </c>
      <c r="E94" s="39" t="s">
        <v>899</v>
      </c>
      <c r="F94" s="5"/>
      <c r="G94" s="9" t="s">
        <v>890</v>
      </c>
      <c r="H94" s="9" t="s">
        <v>888</v>
      </c>
      <c r="I94" s="5"/>
      <c r="J94" s="18"/>
      <c r="K94" s="9"/>
      <c r="L94" s="9"/>
      <c r="M94" s="12"/>
      <c r="N94" s="33"/>
    </row>
    <row r="95" spans="1:14">
      <c r="A95" s="30" t="s">
        <v>1045</v>
      </c>
      <c r="B95" s="57" t="s">
        <v>884</v>
      </c>
      <c r="C95" s="8" t="s">
        <v>885</v>
      </c>
      <c r="D95" s="18" t="s">
        <v>913</v>
      </c>
      <c r="E95" s="39" t="s">
        <v>900</v>
      </c>
      <c r="F95" s="5"/>
      <c r="G95" s="9" t="s">
        <v>890</v>
      </c>
      <c r="H95" s="9" t="s">
        <v>888</v>
      </c>
      <c r="I95" s="5"/>
      <c r="J95" s="18"/>
      <c r="K95" s="9"/>
      <c r="L95" s="9"/>
      <c r="M95" s="12"/>
      <c r="N95" s="33"/>
    </row>
    <row r="96" spans="1:14">
      <c r="A96" s="30" t="s">
        <v>1046</v>
      </c>
      <c r="B96" s="57" t="s">
        <v>884</v>
      </c>
      <c r="C96" s="8" t="s">
        <v>885</v>
      </c>
      <c r="D96" s="18" t="s">
        <v>913</v>
      </c>
      <c r="E96" s="39" t="s">
        <v>901</v>
      </c>
      <c r="F96" s="5"/>
      <c r="G96" s="9" t="s">
        <v>890</v>
      </c>
      <c r="H96" s="9" t="s">
        <v>891</v>
      </c>
      <c r="I96" s="5"/>
      <c r="J96" s="18"/>
      <c r="K96" s="9"/>
      <c r="L96" s="9"/>
      <c r="M96" s="12"/>
      <c r="N96" s="33"/>
    </row>
    <row r="97" spans="1:14">
      <c r="A97" s="30" t="s">
        <v>1047</v>
      </c>
      <c r="B97" s="57" t="s">
        <v>884</v>
      </c>
      <c r="C97" s="8" t="s">
        <v>885</v>
      </c>
      <c r="D97" s="18" t="s">
        <v>913</v>
      </c>
      <c r="E97" s="39" t="s">
        <v>902</v>
      </c>
      <c r="F97" s="5"/>
      <c r="G97" s="9" t="s">
        <v>890</v>
      </c>
      <c r="H97" s="9" t="s">
        <v>888</v>
      </c>
      <c r="I97" s="5"/>
      <c r="J97" s="18"/>
      <c r="K97" s="9"/>
      <c r="L97" s="9"/>
      <c r="M97" s="12"/>
      <c r="N97" s="33"/>
    </row>
    <row r="98" spans="1:14">
      <c r="A98" s="30" t="s">
        <v>1048</v>
      </c>
      <c r="B98" s="57" t="s">
        <v>884</v>
      </c>
      <c r="C98" s="8" t="s">
        <v>885</v>
      </c>
      <c r="D98" s="18" t="s">
        <v>913</v>
      </c>
      <c r="E98" s="39" t="s">
        <v>903</v>
      </c>
      <c r="F98" s="5"/>
      <c r="G98" s="9" t="s">
        <v>890</v>
      </c>
      <c r="H98" s="9" t="s">
        <v>888</v>
      </c>
      <c r="I98" s="5"/>
      <c r="J98" s="18"/>
      <c r="K98" s="9"/>
      <c r="L98" s="9"/>
      <c r="M98" s="12"/>
      <c r="N98" s="33"/>
    </row>
    <row r="99" spans="1:14">
      <c r="A99" s="30" t="s">
        <v>1049</v>
      </c>
      <c r="B99" s="57" t="s">
        <v>884</v>
      </c>
      <c r="C99" s="8" t="s">
        <v>885</v>
      </c>
      <c r="D99" s="18" t="s">
        <v>913</v>
      </c>
      <c r="E99" s="39" t="s">
        <v>904</v>
      </c>
      <c r="F99" s="5"/>
      <c r="G99" s="9" t="s">
        <v>890</v>
      </c>
      <c r="H99" s="9" t="s">
        <v>888</v>
      </c>
      <c r="I99" s="5"/>
      <c r="J99" s="18"/>
      <c r="K99" s="9"/>
      <c r="L99" s="9"/>
      <c r="M99" s="12"/>
      <c r="N99" s="33"/>
    </row>
    <row r="100" spans="1:14">
      <c r="A100" s="30" t="s">
        <v>1050</v>
      </c>
      <c r="B100" s="57" t="s">
        <v>884</v>
      </c>
      <c r="C100" s="8" t="s">
        <v>885</v>
      </c>
      <c r="D100" s="18" t="s">
        <v>913</v>
      </c>
      <c r="E100" s="39" t="s">
        <v>906</v>
      </c>
      <c r="F100" s="5"/>
      <c r="G100" s="9" t="s">
        <v>887</v>
      </c>
      <c r="H100" s="9" t="s">
        <v>888</v>
      </c>
      <c r="I100" s="5"/>
      <c r="J100" s="18"/>
      <c r="K100" s="9"/>
      <c r="L100" s="9"/>
      <c r="M100" s="12"/>
      <c r="N100" s="33"/>
    </row>
    <row r="101" spans="1:14">
      <c r="A101" s="30" t="s">
        <v>1051</v>
      </c>
      <c r="B101" s="57" t="s">
        <v>884</v>
      </c>
      <c r="C101" s="8" t="s">
        <v>885</v>
      </c>
      <c r="D101" s="18" t="s">
        <v>913</v>
      </c>
      <c r="E101" s="39" t="s">
        <v>907</v>
      </c>
      <c r="F101" s="5"/>
      <c r="G101" s="9" t="s">
        <v>887</v>
      </c>
      <c r="H101" s="9" t="s">
        <v>891</v>
      </c>
      <c r="I101" s="5"/>
      <c r="J101" s="18"/>
      <c r="K101" s="9"/>
      <c r="L101" s="9"/>
      <c r="M101" s="12"/>
      <c r="N101" s="33"/>
    </row>
    <row r="102" spans="1:14">
      <c r="A102" s="30" t="s">
        <v>1052</v>
      </c>
      <c r="B102" s="57" t="s">
        <v>884</v>
      </c>
      <c r="C102" s="8" t="s">
        <v>885</v>
      </c>
      <c r="D102" s="18" t="s">
        <v>913</v>
      </c>
      <c r="E102" s="39" t="s">
        <v>908</v>
      </c>
      <c r="F102" s="5"/>
      <c r="G102" s="9" t="s">
        <v>890</v>
      </c>
      <c r="H102" s="9" t="s">
        <v>888</v>
      </c>
      <c r="I102" s="5"/>
      <c r="J102" s="18"/>
      <c r="K102" s="9"/>
      <c r="L102" s="9"/>
      <c r="M102" s="12"/>
      <c r="N102" s="33"/>
    </row>
    <row r="103" spans="1:14">
      <c r="A103" s="30" t="s">
        <v>1053</v>
      </c>
      <c r="B103" s="57" t="s">
        <v>884</v>
      </c>
      <c r="C103" s="8" t="s">
        <v>885</v>
      </c>
      <c r="D103" s="18" t="s">
        <v>913</v>
      </c>
      <c r="E103" s="39" t="s">
        <v>909</v>
      </c>
      <c r="F103" s="5"/>
      <c r="G103" s="9" t="s">
        <v>887</v>
      </c>
      <c r="H103" s="9" t="s">
        <v>891</v>
      </c>
      <c r="I103" s="5"/>
      <c r="J103" s="18"/>
      <c r="K103" s="9"/>
      <c r="L103" s="9"/>
      <c r="M103" s="12"/>
      <c r="N103" s="33"/>
    </row>
    <row r="104" spans="1:14">
      <c r="A104" s="30" t="s">
        <v>1054</v>
      </c>
      <c r="B104" s="57" t="s">
        <v>884</v>
      </c>
      <c r="C104" s="8" t="s">
        <v>885</v>
      </c>
      <c r="D104" s="18" t="s">
        <v>913</v>
      </c>
      <c r="E104" s="39" t="s">
        <v>910</v>
      </c>
      <c r="F104" s="5"/>
      <c r="G104" s="9" t="s">
        <v>890</v>
      </c>
      <c r="H104" s="9" t="s">
        <v>888</v>
      </c>
      <c r="I104" s="5"/>
      <c r="J104" s="18"/>
      <c r="K104" s="9"/>
      <c r="L104" s="9"/>
      <c r="M104" s="12"/>
      <c r="N104" s="33"/>
    </row>
    <row r="105" spans="1:14">
      <c r="A105" s="30" t="s">
        <v>1055</v>
      </c>
      <c r="B105" s="57" t="s">
        <v>884</v>
      </c>
      <c r="C105" s="8" t="s">
        <v>914</v>
      </c>
      <c r="D105" s="18" t="s">
        <v>886</v>
      </c>
      <c r="E105" s="39" t="s">
        <v>854</v>
      </c>
      <c r="F105" s="5"/>
      <c r="G105" s="9" t="s">
        <v>894</v>
      </c>
      <c r="H105" s="9" t="s">
        <v>895</v>
      </c>
      <c r="I105" s="5"/>
      <c r="J105" s="18"/>
      <c r="K105" s="9"/>
      <c r="L105" s="9"/>
      <c r="M105" s="12"/>
      <c r="N105" s="33"/>
    </row>
    <row r="106" spans="1:14">
      <c r="A106" s="30" t="s">
        <v>1056</v>
      </c>
      <c r="B106" s="57" t="s">
        <v>884</v>
      </c>
      <c r="C106" s="8" t="s">
        <v>914</v>
      </c>
      <c r="D106" s="18" t="s">
        <v>886</v>
      </c>
      <c r="E106" s="39" t="s">
        <v>858</v>
      </c>
      <c r="F106" s="5"/>
      <c r="G106" s="9" t="s">
        <v>890</v>
      </c>
      <c r="H106" s="9" t="s">
        <v>891</v>
      </c>
      <c r="I106" s="5"/>
      <c r="J106" s="18"/>
      <c r="K106" s="9"/>
      <c r="L106" s="9"/>
      <c r="M106" s="12"/>
      <c r="N106" s="33"/>
    </row>
    <row r="107" spans="1:14">
      <c r="A107" s="30" t="s">
        <v>1057</v>
      </c>
      <c r="B107" s="57" t="s">
        <v>884</v>
      </c>
      <c r="C107" s="8" t="s">
        <v>914</v>
      </c>
      <c r="D107" s="18" t="s">
        <v>886</v>
      </c>
      <c r="E107" s="39" t="s">
        <v>859</v>
      </c>
      <c r="F107" s="5"/>
      <c r="G107" s="9" t="s">
        <v>890</v>
      </c>
      <c r="H107" s="9" t="s">
        <v>891</v>
      </c>
      <c r="I107" s="5"/>
      <c r="J107" s="18"/>
      <c r="K107" s="9"/>
      <c r="L107" s="9"/>
      <c r="M107" s="12"/>
      <c r="N107" s="33"/>
    </row>
    <row r="108" spans="1:14">
      <c r="A108" s="30" t="s">
        <v>1058</v>
      </c>
      <c r="B108" s="57" t="s">
        <v>884</v>
      </c>
      <c r="C108" s="8" t="s">
        <v>914</v>
      </c>
      <c r="D108" s="18" t="s">
        <v>889</v>
      </c>
      <c r="E108" s="39" t="s">
        <v>854</v>
      </c>
      <c r="F108" s="5"/>
      <c r="G108" s="9" t="s">
        <v>894</v>
      </c>
      <c r="H108" s="9" t="s">
        <v>895</v>
      </c>
      <c r="I108" s="5"/>
      <c r="J108" s="18"/>
      <c r="K108" s="9"/>
      <c r="L108" s="9"/>
      <c r="M108" s="12"/>
      <c r="N108" s="33"/>
    </row>
    <row r="109" spans="1:14">
      <c r="A109" s="30" t="s">
        <v>1059</v>
      </c>
      <c r="B109" s="57" t="s">
        <v>884</v>
      </c>
      <c r="C109" s="8" t="s">
        <v>914</v>
      </c>
      <c r="D109" s="18" t="s">
        <v>889</v>
      </c>
      <c r="E109" s="39" t="s">
        <v>858</v>
      </c>
      <c r="F109" s="5"/>
      <c r="G109" s="9" t="s">
        <v>890</v>
      </c>
      <c r="H109" s="9" t="s">
        <v>888</v>
      </c>
      <c r="I109" s="5"/>
      <c r="J109" s="18"/>
      <c r="K109" s="9"/>
      <c r="L109" s="9"/>
      <c r="M109" s="12"/>
      <c r="N109" s="33"/>
    </row>
    <row r="110" spans="1:14">
      <c r="A110" s="30" t="s">
        <v>1060</v>
      </c>
      <c r="B110" s="57" t="s">
        <v>884</v>
      </c>
      <c r="C110" s="8" t="s">
        <v>914</v>
      </c>
      <c r="D110" s="18" t="s">
        <v>889</v>
      </c>
      <c r="E110" s="39" t="s">
        <v>859</v>
      </c>
      <c r="F110" s="5"/>
      <c r="G110" s="9" t="s">
        <v>890</v>
      </c>
      <c r="H110" s="9" t="s">
        <v>888</v>
      </c>
      <c r="I110" s="5"/>
      <c r="J110" s="18"/>
      <c r="K110" s="9"/>
      <c r="L110" s="9"/>
      <c r="M110" s="12"/>
      <c r="N110" s="33"/>
    </row>
    <row r="111" spans="1:14">
      <c r="A111" s="30" t="s">
        <v>1061</v>
      </c>
      <c r="B111" s="57" t="s">
        <v>884</v>
      </c>
      <c r="C111" s="8" t="s">
        <v>914</v>
      </c>
      <c r="D111" s="18" t="s">
        <v>889</v>
      </c>
      <c r="E111" s="39" t="s">
        <v>861</v>
      </c>
      <c r="F111" s="5"/>
      <c r="G111" s="9" t="s">
        <v>890</v>
      </c>
      <c r="H111" s="9" t="s">
        <v>891</v>
      </c>
      <c r="I111" s="5"/>
      <c r="J111" s="18"/>
      <c r="K111" s="9"/>
      <c r="L111" s="9"/>
      <c r="M111" s="12"/>
      <c r="N111" s="33"/>
    </row>
    <row r="112" spans="1:14">
      <c r="A112" s="30" t="s">
        <v>1062</v>
      </c>
      <c r="B112" s="57" t="s">
        <v>884</v>
      </c>
      <c r="C112" s="8" t="s">
        <v>914</v>
      </c>
      <c r="D112" s="18" t="s">
        <v>889</v>
      </c>
      <c r="E112" s="39" t="s">
        <v>862</v>
      </c>
      <c r="F112" s="5"/>
      <c r="G112" s="9" t="s">
        <v>890</v>
      </c>
      <c r="H112" s="9" t="s">
        <v>891</v>
      </c>
      <c r="I112" s="5"/>
      <c r="J112" s="18"/>
      <c r="K112" s="9"/>
      <c r="L112" s="9"/>
      <c r="M112" s="12"/>
      <c r="N112" s="33"/>
    </row>
    <row r="113" spans="1:14">
      <c r="A113" s="30" t="s">
        <v>1063</v>
      </c>
      <c r="B113" s="57" t="s">
        <v>884</v>
      </c>
      <c r="C113" s="8" t="s">
        <v>914</v>
      </c>
      <c r="D113" s="18" t="s">
        <v>889</v>
      </c>
      <c r="E113" s="39" t="s">
        <v>863</v>
      </c>
      <c r="F113" s="5"/>
      <c r="G113" s="9" t="s">
        <v>887</v>
      </c>
      <c r="H113" s="9" t="s">
        <v>891</v>
      </c>
      <c r="I113" s="5"/>
      <c r="J113" s="18"/>
      <c r="K113" s="9"/>
      <c r="L113" s="9"/>
      <c r="M113" s="12"/>
      <c r="N113" s="33"/>
    </row>
    <row r="114" spans="1:14">
      <c r="A114" s="30" t="s">
        <v>1064</v>
      </c>
      <c r="B114" s="57" t="s">
        <v>884</v>
      </c>
      <c r="C114" s="8" t="s">
        <v>914</v>
      </c>
      <c r="D114" s="18" t="s">
        <v>889</v>
      </c>
      <c r="E114" s="39" t="s">
        <v>864</v>
      </c>
      <c r="F114" s="5"/>
      <c r="G114" s="9" t="s">
        <v>890</v>
      </c>
      <c r="H114" s="9" t="s">
        <v>891</v>
      </c>
      <c r="I114" s="5"/>
      <c r="J114" s="18"/>
      <c r="K114" s="9"/>
      <c r="L114" s="9"/>
      <c r="M114" s="12"/>
      <c r="N114" s="33"/>
    </row>
    <row r="115" spans="1:14">
      <c r="A115" s="30" t="s">
        <v>1065</v>
      </c>
      <c r="B115" s="57" t="s">
        <v>884</v>
      </c>
      <c r="C115" s="8" t="s">
        <v>914</v>
      </c>
      <c r="D115" s="18" t="s">
        <v>889</v>
      </c>
      <c r="E115" s="39" t="s">
        <v>865</v>
      </c>
      <c r="F115" s="5"/>
      <c r="G115" s="9" t="s">
        <v>890</v>
      </c>
      <c r="H115" s="9" t="s">
        <v>891</v>
      </c>
      <c r="I115" s="5"/>
      <c r="J115" s="18"/>
      <c r="K115" s="9"/>
      <c r="L115" s="9"/>
      <c r="M115" s="12"/>
      <c r="N115" s="33"/>
    </row>
    <row r="116" spans="1:14">
      <c r="A116" s="30" t="s">
        <v>1066</v>
      </c>
      <c r="B116" s="57" t="s">
        <v>884</v>
      </c>
      <c r="C116" s="8" t="s">
        <v>914</v>
      </c>
      <c r="D116" s="18" t="s">
        <v>889</v>
      </c>
      <c r="E116" s="39" t="s">
        <v>892</v>
      </c>
      <c r="F116" s="5"/>
      <c r="G116" s="9" t="s">
        <v>890</v>
      </c>
      <c r="H116" s="9" t="s">
        <v>888</v>
      </c>
      <c r="I116" s="5"/>
      <c r="J116" s="18"/>
      <c r="K116" s="9"/>
      <c r="L116" s="9"/>
      <c r="M116" s="12"/>
      <c r="N116" s="33"/>
    </row>
    <row r="117" spans="1:14">
      <c r="A117" s="30" t="s">
        <v>1067</v>
      </c>
      <c r="B117" s="57" t="s">
        <v>884</v>
      </c>
      <c r="C117" s="8" t="s">
        <v>914</v>
      </c>
      <c r="D117" s="18" t="s">
        <v>889</v>
      </c>
      <c r="E117" s="39" t="s">
        <v>893</v>
      </c>
      <c r="F117" s="5"/>
      <c r="G117" s="9" t="s">
        <v>894</v>
      </c>
      <c r="H117" s="9" t="s">
        <v>895</v>
      </c>
      <c r="I117" s="5"/>
      <c r="J117" s="18"/>
      <c r="K117" s="9"/>
      <c r="L117" s="9"/>
      <c r="M117" s="12"/>
      <c r="N117" s="33"/>
    </row>
    <row r="118" spans="1:14">
      <c r="A118" s="30" t="s">
        <v>1068</v>
      </c>
      <c r="B118" s="57" t="s">
        <v>884</v>
      </c>
      <c r="C118" s="8" t="s">
        <v>914</v>
      </c>
      <c r="D118" s="18" t="s">
        <v>889</v>
      </c>
      <c r="E118" s="39" t="s">
        <v>896</v>
      </c>
      <c r="F118" s="5"/>
      <c r="G118" s="9" t="s">
        <v>890</v>
      </c>
      <c r="H118" s="9" t="s">
        <v>891</v>
      </c>
      <c r="I118" s="5"/>
      <c r="J118" s="18"/>
      <c r="K118" s="9"/>
      <c r="L118" s="9"/>
      <c r="M118" s="12"/>
      <c r="N118" s="33"/>
    </row>
    <row r="119" spans="1:14">
      <c r="A119" s="30" t="s">
        <v>1069</v>
      </c>
      <c r="B119" s="57" t="s">
        <v>884</v>
      </c>
      <c r="C119" s="8" t="s">
        <v>914</v>
      </c>
      <c r="D119" s="18" t="s">
        <v>889</v>
      </c>
      <c r="E119" s="39" t="s">
        <v>897</v>
      </c>
      <c r="F119" s="5"/>
      <c r="G119" s="9" t="s">
        <v>890</v>
      </c>
      <c r="H119" s="9" t="s">
        <v>888</v>
      </c>
      <c r="I119" s="5"/>
      <c r="J119" s="18"/>
      <c r="K119" s="9"/>
      <c r="L119" s="9"/>
      <c r="M119" s="12"/>
      <c r="N119" s="33"/>
    </row>
    <row r="120" spans="1:14">
      <c r="A120" s="30" t="s">
        <v>1070</v>
      </c>
      <c r="B120" s="57" t="s">
        <v>884</v>
      </c>
      <c r="C120" s="8" t="s">
        <v>914</v>
      </c>
      <c r="D120" s="18" t="s">
        <v>889</v>
      </c>
      <c r="E120" s="39" t="s">
        <v>898</v>
      </c>
      <c r="F120" s="5"/>
      <c r="G120" s="9" t="s">
        <v>887</v>
      </c>
      <c r="H120" s="9" t="s">
        <v>891</v>
      </c>
      <c r="I120" s="5"/>
      <c r="J120" s="18"/>
      <c r="K120" s="9"/>
      <c r="L120" s="9"/>
      <c r="M120" s="12"/>
      <c r="N120" s="33"/>
    </row>
    <row r="121" spans="1:14">
      <c r="A121" s="30" t="s">
        <v>1071</v>
      </c>
      <c r="B121" s="57" t="s">
        <v>884</v>
      </c>
      <c r="C121" s="8" t="s">
        <v>914</v>
      </c>
      <c r="D121" s="18" t="s">
        <v>889</v>
      </c>
      <c r="E121" s="39" t="s">
        <v>899</v>
      </c>
      <c r="F121" s="5"/>
      <c r="G121" s="9" t="s">
        <v>894</v>
      </c>
      <c r="H121" s="9" t="s">
        <v>895</v>
      </c>
      <c r="I121" s="5"/>
      <c r="J121" s="18"/>
      <c r="K121" s="9"/>
      <c r="L121" s="9"/>
      <c r="M121" s="12"/>
      <c r="N121" s="33"/>
    </row>
    <row r="122" spans="1:14">
      <c r="A122" s="30" t="s">
        <v>1072</v>
      </c>
      <c r="B122" s="57" t="s">
        <v>884</v>
      </c>
      <c r="C122" s="8" t="s">
        <v>914</v>
      </c>
      <c r="D122" s="18" t="s">
        <v>889</v>
      </c>
      <c r="E122" s="39" t="s">
        <v>900</v>
      </c>
      <c r="F122" s="5"/>
      <c r="G122" s="9" t="s">
        <v>894</v>
      </c>
      <c r="H122" s="9" t="s">
        <v>895</v>
      </c>
      <c r="I122" s="5"/>
      <c r="J122" s="18"/>
      <c r="K122" s="9"/>
      <c r="L122" s="9"/>
      <c r="M122" s="12"/>
      <c r="N122" s="33"/>
    </row>
    <row r="123" spans="1:14">
      <c r="A123" s="30" t="s">
        <v>1073</v>
      </c>
      <c r="B123" s="57" t="s">
        <v>884</v>
      </c>
      <c r="C123" s="8" t="s">
        <v>914</v>
      </c>
      <c r="D123" s="18" t="s">
        <v>889</v>
      </c>
      <c r="E123" s="39" t="s">
        <v>901</v>
      </c>
      <c r="F123" s="5"/>
      <c r="G123" s="9" t="s">
        <v>890</v>
      </c>
      <c r="H123" s="9" t="s">
        <v>891</v>
      </c>
      <c r="I123" s="5"/>
      <c r="J123" s="18"/>
      <c r="K123" s="9"/>
      <c r="L123" s="9"/>
      <c r="M123" s="12"/>
      <c r="N123" s="33"/>
    </row>
    <row r="124" spans="1:14">
      <c r="A124" s="30" t="s">
        <v>1074</v>
      </c>
      <c r="B124" s="57" t="s">
        <v>884</v>
      </c>
      <c r="C124" s="8" t="s">
        <v>914</v>
      </c>
      <c r="D124" s="18" t="s">
        <v>889</v>
      </c>
      <c r="E124" s="39" t="s">
        <v>902</v>
      </c>
      <c r="F124" s="5"/>
      <c r="G124" s="9" t="s">
        <v>887</v>
      </c>
      <c r="H124" s="9" t="s">
        <v>905</v>
      </c>
      <c r="I124" s="5"/>
      <c r="J124" s="18"/>
      <c r="K124" s="9"/>
      <c r="L124" s="9"/>
      <c r="M124" s="12"/>
      <c r="N124" s="33"/>
    </row>
    <row r="125" spans="1:14">
      <c r="A125" s="30" t="s">
        <v>1075</v>
      </c>
      <c r="B125" s="57" t="s">
        <v>884</v>
      </c>
      <c r="C125" s="8" t="s">
        <v>914</v>
      </c>
      <c r="D125" s="18" t="s">
        <v>889</v>
      </c>
      <c r="E125" s="39" t="s">
        <v>903</v>
      </c>
      <c r="F125" s="5"/>
      <c r="G125" s="9" t="s">
        <v>890</v>
      </c>
      <c r="H125" s="9" t="s">
        <v>888</v>
      </c>
      <c r="I125" s="5"/>
      <c r="J125" s="18"/>
      <c r="K125" s="9"/>
      <c r="L125" s="9"/>
      <c r="M125" s="12"/>
      <c r="N125" s="33"/>
    </row>
    <row r="126" spans="1:14">
      <c r="A126" s="30" t="s">
        <v>1076</v>
      </c>
      <c r="B126" s="57" t="s">
        <v>884</v>
      </c>
      <c r="C126" s="8" t="s">
        <v>914</v>
      </c>
      <c r="D126" s="18" t="s">
        <v>889</v>
      </c>
      <c r="E126" s="39" t="s">
        <v>904</v>
      </c>
      <c r="F126" s="5"/>
      <c r="G126" s="9" t="s">
        <v>890</v>
      </c>
      <c r="H126" s="9" t="s">
        <v>891</v>
      </c>
      <c r="I126" s="5"/>
      <c r="J126" s="18"/>
      <c r="K126" s="9"/>
      <c r="L126" s="9"/>
      <c r="M126" s="12"/>
      <c r="N126" s="33"/>
    </row>
    <row r="127" spans="1:14">
      <c r="A127" s="30" t="s">
        <v>1077</v>
      </c>
      <c r="B127" s="57" t="s">
        <v>884</v>
      </c>
      <c r="C127" s="8" t="s">
        <v>914</v>
      </c>
      <c r="D127" s="18" t="s">
        <v>889</v>
      </c>
      <c r="E127" s="39" t="s">
        <v>906</v>
      </c>
      <c r="F127" s="5"/>
      <c r="G127" s="9" t="s">
        <v>890</v>
      </c>
      <c r="H127" s="9" t="s">
        <v>891</v>
      </c>
      <c r="I127" s="5"/>
      <c r="J127" s="18"/>
      <c r="K127" s="9"/>
      <c r="L127" s="9"/>
      <c r="M127" s="12"/>
      <c r="N127" s="33"/>
    </row>
    <row r="128" spans="1:14">
      <c r="A128" s="30" t="s">
        <v>1078</v>
      </c>
      <c r="B128" s="57" t="s">
        <v>884</v>
      </c>
      <c r="C128" s="8" t="s">
        <v>914</v>
      </c>
      <c r="D128" s="18" t="s">
        <v>889</v>
      </c>
      <c r="E128" s="39" t="s">
        <v>907</v>
      </c>
      <c r="F128" s="5"/>
      <c r="G128" s="9" t="s">
        <v>894</v>
      </c>
      <c r="H128" s="9" t="s">
        <v>895</v>
      </c>
      <c r="I128" s="5"/>
      <c r="J128" s="18"/>
      <c r="K128" s="9"/>
      <c r="L128" s="9"/>
      <c r="M128" s="12"/>
      <c r="N128" s="33"/>
    </row>
    <row r="129" spans="1:14">
      <c r="A129" s="30" t="s">
        <v>1079</v>
      </c>
      <c r="B129" s="57" t="s">
        <v>884</v>
      </c>
      <c r="C129" s="8" t="s">
        <v>914</v>
      </c>
      <c r="D129" s="18" t="s">
        <v>889</v>
      </c>
      <c r="E129" s="39" t="s">
        <v>908</v>
      </c>
      <c r="F129" s="5"/>
      <c r="G129" s="9" t="s">
        <v>890</v>
      </c>
      <c r="H129" s="9" t="s">
        <v>891</v>
      </c>
      <c r="I129" s="5"/>
      <c r="J129" s="18"/>
      <c r="K129" s="9"/>
      <c r="L129" s="9"/>
      <c r="M129" s="12"/>
      <c r="N129" s="33"/>
    </row>
    <row r="130" spans="1:14">
      <c r="A130" s="30" t="s">
        <v>1080</v>
      </c>
      <c r="B130" s="57" t="s">
        <v>884</v>
      </c>
      <c r="C130" s="8" t="s">
        <v>914</v>
      </c>
      <c r="D130" s="18" t="s">
        <v>889</v>
      </c>
      <c r="E130" s="39" t="s">
        <v>909</v>
      </c>
      <c r="F130" s="5"/>
      <c r="G130" s="9" t="s">
        <v>890</v>
      </c>
      <c r="H130" s="9" t="s">
        <v>891</v>
      </c>
      <c r="I130" s="5"/>
      <c r="J130" s="18"/>
      <c r="K130" s="9"/>
      <c r="L130" s="9"/>
      <c r="M130" s="12"/>
      <c r="N130" s="33"/>
    </row>
    <row r="131" spans="1:14">
      <c r="A131" s="30" t="s">
        <v>1081</v>
      </c>
      <c r="B131" s="57" t="s">
        <v>884</v>
      </c>
      <c r="C131" s="8" t="s">
        <v>914</v>
      </c>
      <c r="D131" s="18" t="s">
        <v>889</v>
      </c>
      <c r="E131" s="39" t="s">
        <v>910</v>
      </c>
      <c r="F131" s="5"/>
      <c r="G131" s="9" t="s">
        <v>890</v>
      </c>
      <c r="H131" s="9" t="s">
        <v>895</v>
      </c>
      <c r="I131" s="5"/>
      <c r="J131" s="18"/>
      <c r="K131" s="9"/>
      <c r="L131" s="9"/>
      <c r="M131" s="12"/>
      <c r="N131" s="33"/>
    </row>
    <row r="132" spans="1:14">
      <c r="A132" s="30" t="s">
        <v>1082</v>
      </c>
      <c r="B132" s="57" t="s">
        <v>884</v>
      </c>
      <c r="C132" s="8" t="s">
        <v>914</v>
      </c>
      <c r="D132" s="18" t="s">
        <v>911</v>
      </c>
      <c r="E132" s="39" t="s">
        <v>854</v>
      </c>
      <c r="F132" s="5"/>
      <c r="G132" s="9" t="s">
        <v>890</v>
      </c>
      <c r="H132" s="9" t="s">
        <v>888</v>
      </c>
      <c r="I132" s="5"/>
      <c r="J132" s="18"/>
      <c r="K132" s="9"/>
      <c r="L132" s="9"/>
      <c r="M132" s="12"/>
      <c r="N132" s="33"/>
    </row>
    <row r="133" spans="1:14">
      <c r="A133" s="30" t="s">
        <v>1083</v>
      </c>
      <c r="B133" s="57" t="s">
        <v>884</v>
      </c>
      <c r="C133" s="8" t="s">
        <v>914</v>
      </c>
      <c r="D133" s="18" t="s">
        <v>911</v>
      </c>
      <c r="E133" s="39" t="s">
        <v>858</v>
      </c>
      <c r="F133" s="5"/>
      <c r="G133" s="9" t="s">
        <v>890</v>
      </c>
      <c r="H133" s="9" t="s">
        <v>891</v>
      </c>
      <c r="I133" s="5"/>
      <c r="J133" s="18"/>
      <c r="K133" s="9"/>
      <c r="L133" s="9"/>
      <c r="M133" s="12"/>
      <c r="N133" s="33"/>
    </row>
    <row r="134" spans="1:14">
      <c r="A134" s="30" t="s">
        <v>1084</v>
      </c>
      <c r="B134" s="57" t="s">
        <v>884</v>
      </c>
      <c r="C134" s="8" t="s">
        <v>914</v>
      </c>
      <c r="D134" s="18" t="s">
        <v>911</v>
      </c>
      <c r="E134" s="39" t="s">
        <v>859</v>
      </c>
      <c r="F134" s="5"/>
      <c r="G134" s="9" t="s">
        <v>890</v>
      </c>
      <c r="H134" s="9" t="s">
        <v>891</v>
      </c>
      <c r="I134" s="5"/>
      <c r="J134" s="18"/>
      <c r="K134" s="9"/>
      <c r="L134" s="9"/>
      <c r="M134" s="12"/>
      <c r="N134" s="33"/>
    </row>
    <row r="135" spans="1:14">
      <c r="A135" s="30" t="s">
        <v>1085</v>
      </c>
      <c r="B135" s="57" t="s">
        <v>884</v>
      </c>
      <c r="C135" s="8" t="s">
        <v>914</v>
      </c>
      <c r="D135" s="18" t="s">
        <v>911</v>
      </c>
      <c r="E135" s="39" t="s">
        <v>861</v>
      </c>
      <c r="F135" s="5"/>
      <c r="G135" s="9" t="s">
        <v>890</v>
      </c>
      <c r="H135" s="9" t="s">
        <v>891</v>
      </c>
      <c r="I135" s="5"/>
      <c r="J135" s="18"/>
      <c r="K135" s="9"/>
      <c r="L135" s="9"/>
      <c r="M135" s="12"/>
      <c r="N135" s="33"/>
    </row>
    <row r="136" spans="1:14">
      <c r="A136" s="30" t="s">
        <v>1086</v>
      </c>
      <c r="B136" s="57" t="s">
        <v>884</v>
      </c>
      <c r="C136" s="8" t="s">
        <v>914</v>
      </c>
      <c r="D136" s="18" t="s">
        <v>911</v>
      </c>
      <c r="E136" s="39" t="s">
        <v>862</v>
      </c>
      <c r="F136" s="5"/>
      <c r="G136" s="9" t="s">
        <v>890</v>
      </c>
      <c r="H136" s="9" t="s">
        <v>891</v>
      </c>
      <c r="I136" s="5"/>
      <c r="J136" s="18"/>
      <c r="K136" s="9"/>
      <c r="L136" s="9"/>
      <c r="M136" s="12"/>
      <c r="N136" s="33"/>
    </row>
    <row r="137" spans="1:14">
      <c r="A137" s="30" t="s">
        <v>1087</v>
      </c>
      <c r="B137" s="57" t="s">
        <v>884</v>
      </c>
      <c r="C137" s="8" t="s">
        <v>914</v>
      </c>
      <c r="D137" s="18" t="s">
        <v>911</v>
      </c>
      <c r="E137" s="39" t="s">
        <v>863</v>
      </c>
      <c r="F137" s="5"/>
      <c r="G137" s="9" t="s">
        <v>890</v>
      </c>
      <c r="H137" s="9" t="s">
        <v>895</v>
      </c>
      <c r="I137" s="5"/>
      <c r="J137" s="18"/>
      <c r="K137" s="9"/>
      <c r="L137" s="9"/>
      <c r="M137" s="12"/>
      <c r="N137" s="33"/>
    </row>
    <row r="138" spans="1:14">
      <c r="A138" s="30" t="s">
        <v>1088</v>
      </c>
      <c r="B138" s="57" t="s">
        <v>884</v>
      </c>
      <c r="C138" s="8" t="s">
        <v>914</v>
      </c>
      <c r="D138" s="18" t="s">
        <v>911</v>
      </c>
      <c r="E138" s="39" t="s">
        <v>864</v>
      </c>
      <c r="F138" s="5"/>
      <c r="G138" s="9" t="s">
        <v>890</v>
      </c>
      <c r="H138" s="9" t="s">
        <v>891</v>
      </c>
      <c r="I138" s="5"/>
      <c r="J138" s="18"/>
      <c r="K138" s="9"/>
      <c r="L138" s="9"/>
      <c r="M138" s="12"/>
      <c r="N138" s="33"/>
    </row>
    <row r="139" spans="1:14">
      <c r="A139" s="30" t="s">
        <v>1089</v>
      </c>
      <c r="B139" s="57" t="s">
        <v>884</v>
      </c>
      <c r="C139" s="8" t="s">
        <v>914</v>
      </c>
      <c r="D139" s="18" t="s">
        <v>911</v>
      </c>
      <c r="E139" s="39" t="s">
        <v>865</v>
      </c>
      <c r="F139" s="5"/>
      <c r="G139" s="9" t="s">
        <v>890</v>
      </c>
      <c r="H139" s="9" t="s">
        <v>888</v>
      </c>
      <c r="I139" s="5"/>
      <c r="J139" s="18"/>
      <c r="K139" s="9"/>
      <c r="L139" s="9"/>
      <c r="M139" s="12"/>
      <c r="N139" s="33"/>
    </row>
    <row r="140" spans="1:14">
      <c r="A140" s="30" t="s">
        <v>1090</v>
      </c>
      <c r="B140" s="57" t="s">
        <v>884</v>
      </c>
      <c r="C140" s="8" t="s">
        <v>914</v>
      </c>
      <c r="D140" s="18" t="s">
        <v>911</v>
      </c>
      <c r="E140" s="39" t="s">
        <v>892</v>
      </c>
      <c r="F140" s="5"/>
      <c r="G140" s="9" t="s">
        <v>890</v>
      </c>
      <c r="H140" s="9" t="s">
        <v>891</v>
      </c>
      <c r="I140" s="5"/>
      <c r="J140" s="18"/>
      <c r="K140" s="9"/>
      <c r="L140" s="9"/>
      <c r="M140" s="12"/>
      <c r="N140" s="33"/>
    </row>
    <row r="141" spans="1:14">
      <c r="A141" s="30" t="s">
        <v>1091</v>
      </c>
      <c r="B141" s="57" t="s">
        <v>884</v>
      </c>
      <c r="C141" s="8" t="s">
        <v>914</v>
      </c>
      <c r="D141" s="18" t="s">
        <v>911</v>
      </c>
      <c r="E141" s="39" t="s">
        <v>893</v>
      </c>
      <c r="F141" s="5"/>
      <c r="G141" s="9" t="s">
        <v>890</v>
      </c>
      <c r="H141" s="9" t="s">
        <v>891</v>
      </c>
      <c r="I141" s="5"/>
      <c r="J141" s="18"/>
      <c r="K141" s="9"/>
      <c r="L141" s="9"/>
      <c r="M141" s="12"/>
      <c r="N141" s="33"/>
    </row>
    <row r="142" spans="1:14">
      <c r="A142" s="30" t="s">
        <v>1092</v>
      </c>
      <c r="B142" s="57" t="s">
        <v>884</v>
      </c>
      <c r="C142" s="8" t="s">
        <v>914</v>
      </c>
      <c r="D142" s="18" t="s">
        <v>911</v>
      </c>
      <c r="E142" s="39" t="s">
        <v>896</v>
      </c>
      <c r="F142" s="5"/>
      <c r="G142" s="9" t="s">
        <v>890</v>
      </c>
      <c r="H142" s="9" t="s">
        <v>888</v>
      </c>
      <c r="I142" s="5"/>
      <c r="J142" s="18"/>
      <c r="K142" s="9"/>
      <c r="L142" s="9"/>
      <c r="M142" s="12"/>
      <c r="N142" s="33"/>
    </row>
    <row r="143" spans="1:14">
      <c r="A143" s="30" t="s">
        <v>1093</v>
      </c>
      <c r="B143" s="57" t="s">
        <v>884</v>
      </c>
      <c r="C143" s="8" t="s">
        <v>914</v>
      </c>
      <c r="D143" s="18" t="s">
        <v>911</v>
      </c>
      <c r="E143" s="39" t="s">
        <v>897</v>
      </c>
      <c r="F143" s="5"/>
      <c r="G143" s="9" t="s">
        <v>890</v>
      </c>
      <c r="H143" s="9" t="s">
        <v>891</v>
      </c>
      <c r="I143" s="5"/>
      <c r="J143" s="18"/>
      <c r="K143" s="9"/>
      <c r="L143" s="9"/>
      <c r="M143" s="12"/>
      <c r="N143" s="33"/>
    </row>
    <row r="144" spans="1:14">
      <c r="A144" s="30" t="s">
        <v>1094</v>
      </c>
      <c r="B144" s="57" t="s">
        <v>884</v>
      </c>
      <c r="C144" s="8" t="s">
        <v>914</v>
      </c>
      <c r="D144" s="18" t="s">
        <v>911</v>
      </c>
      <c r="E144" s="39" t="s">
        <v>898</v>
      </c>
      <c r="F144" s="5"/>
      <c r="G144" s="9" t="s">
        <v>890</v>
      </c>
      <c r="H144" s="9" t="s">
        <v>891</v>
      </c>
      <c r="I144" s="5"/>
      <c r="J144" s="18"/>
      <c r="K144" s="9"/>
      <c r="L144" s="9"/>
      <c r="M144" s="12"/>
      <c r="N144" s="33"/>
    </row>
    <row r="145" spans="1:14">
      <c r="A145" s="30" t="s">
        <v>1095</v>
      </c>
      <c r="B145" s="57" t="s">
        <v>884</v>
      </c>
      <c r="C145" s="8" t="s">
        <v>914</v>
      </c>
      <c r="D145" s="18" t="s">
        <v>911</v>
      </c>
      <c r="E145" s="39" t="s">
        <v>899</v>
      </c>
      <c r="F145" s="5"/>
      <c r="G145" s="9" t="s">
        <v>890</v>
      </c>
      <c r="H145" s="9" t="s">
        <v>891</v>
      </c>
      <c r="I145" s="5"/>
      <c r="J145" s="18"/>
      <c r="K145" s="9"/>
      <c r="L145" s="9"/>
      <c r="M145" s="12"/>
      <c r="N145" s="33"/>
    </row>
    <row r="146" spans="1:14">
      <c r="A146" s="30" t="s">
        <v>1096</v>
      </c>
      <c r="B146" s="57" t="s">
        <v>884</v>
      </c>
      <c r="C146" s="8" t="s">
        <v>914</v>
      </c>
      <c r="D146" s="18" t="s">
        <v>911</v>
      </c>
      <c r="E146" s="39" t="s">
        <v>900</v>
      </c>
      <c r="F146" s="5"/>
      <c r="G146" s="9" t="s">
        <v>887</v>
      </c>
      <c r="H146" s="9" t="s">
        <v>891</v>
      </c>
      <c r="I146" s="5"/>
      <c r="J146" s="18"/>
      <c r="K146" s="9"/>
      <c r="L146" s="9"/>
      <c r="M146" s="12"/>
      <c r="N146" s="33"/>
    </row>
    <row r="147" spans="1:14">
      <c r="A147" s="30" t="s">
        <v>1097</v>
      </c>
      <c r="B147" s="57" t="s">
        <v>884</v>
      </c>
      <c r="C147" s="8" t="s">
        <v>914</v>
      </c>
      <c r="D147" s="18" t="s">
        <v>911</v>
      </c>
      <c r="E147" s="39" t="s">
        <v>901</v>
      </c>
      <c r="F147" s="5"/>
      <c r="G147" s="9" t="s">
        <v>887</v>
      </c>
      <c r="H147" s="9" t="s">
        <v>888</v>
      </c>
      <c r="I147" s="5"/>
      <c r="J147" s="18"/>
      <c r="K147" s="9"/>
      <c r="L147" s="9"/>
      <c r="M147" s="12"/>
      <c r="N147" s="33"/>
    </row>
    <row r="148" spans="1:14">
      <c r="A148" s="30" t="s">
        <v>1098</v>
      </c>
      <c r="B148" s="57" t="s">
        <v>884</v>
      </c>
      <c r="C148" s="8" t="s">
        <v>914</v>
      </c>
      <c r="D148" s="18" t="s">
        <v>911</v>
      </c>
      <c r="E148" s="39" t="s">
        <v>902</v>
      </c>
      <c r="F148" s="5"/>
      <c r="G148" s="9" t="s">
        <v>894</v>
      </c>
      <c r="H148" s="9" t="s">
        <v>895</v>
      </c>
      <c r="I148" s="5"/>
      <c r="J148" s="18"/>
      <c r="K148" s="9"/>
      <c r="L148" s="9"/>
      <c r="M148" s="12"/>
      <c r="N148" s="33"/>
    </row>
    <row r="149" spans="1:14">
      <c r="A149" s="30" t="s">
        <v>1099</v>
      </c>
      <c r="B149" s="57" t="s">
        <v>884</v>
      </c>
      <c r="C149" s="8" t="s">
        <v>914</v>
      </c>
      <c r="D149" s="18" t="s">
        <v>911</v>
      </c>
      <c r="E149" s="39" t="s">
        <v>903</v>
      </c>
      <c r="F149" s="5"/>
      <c r="G149" s="9" t="s">
        <v>890</v>
      </c>
      <c r="H149" s="9" t="s">
        <v>891</v>
      </c>
      <c r="I149" s="5"/>
      <c r="J149" s="18"/>
      <c r="K149" s="9"/>
      <c r="L149" s="9"/>
      <c r="M149" s="12"/>
      <c r="N149" s="33"/>
    </row>
    <row r="150" spans="1:14">
      <c r="A150" s="30" t="s">
        <v>1100</v>
      </c>
      <c r="B150" s="57" t="s">
        <v>884</v>
      </c>
      <c r="C150" s="8" t="s">
        <v>914</v>
      </c>
      <c r="D150" s="18" t="s">
        <v>911</v>
      </c>
      <c r="E150" s="39" t="s">
        <v>904</v>
      </c>
      <c r="F150" s="5"/>
      <c r="G150" s="9" t="s">
        <v>890</v>
      </c>
      <c r="H150" s="9" t="s">
        <v>888</v>
      </c>
      <c r="I150" s="5"/>
      <c r="J150" s="18"/>
      <c r="K150" s="9"/>
      <c r="L150" s="9"/>
      <c r="M150" s="12"/>
      <c r="N150" s="33"/>
    </row>
    <row r="151" spans="1:14">
      <c r="A151" s="30" t="s">
        <v>1101</v>
      </c>
      <c r="B151" s="57" t="s">
        <v>884</v>
      </c>
      <c r="C151" s="8" t="s">
        <v>914</v>
      </c>
      <c r="D151" s="18" t="s">
        <v>911</v>
      </c>
      <c r="E151" s="39" t="s">
        <v>906</v>
      </c>
      <c r="F151" s="5"/>
      <c r="G151" s="9" t="s">
        <v>890</v>
      </c>
      <c r="H151" s="9" t="s">
        <v>905</v>
      </c>
      <c r="I151" s="5"/>
      <c r="J151" s="18"/>
      <c r="K151" s="9"/>
      <c r="L151" s="9"/>
      <c r="M151" s="12"/>
      <c r="N151" s="33"/>
    </row>
    <row r="152" spans="1:14">
      <c r="A152" s="30" t="s">
        <v>1102</v>
      </c>
      <c r="B152" s="57" t="s">
        <v>884</v>
      </c>
      <c r="C152" s="8" t="s">
        <v>914</v>
      </c>
      <c r="D152" s="18" t="s">
        <v>911</v>
      </c>
      <c r="E152" s="39" t="s">
        <v>907</v>
      </c>
      <c r="F152" s="5"/>
      <c r="G152" s="9" t="s">
        <v>890</v>
      </c>
      <c r="H152" s="9" t="s">
        <v>891</v>
      </c>
      <c r="I152" s="5"/>
      <c r="J152" s="18"/>
      <c r="K152" s="9"/>
      <c r="L152" s="9"/>
      <c r="M152" s="12"/>
      <c r="N152" s="33"/>
    </row>
    <row r="153" spans="1:14">
      <c r="A153" s="30" t="s">
        <v>1103</v>
      </c>
      <c r="B153" s="57" t="s">
        <v>884</v>
      </c>
      <c r="C153" s="8" t="s">
        <v>914</v>
      </c>
      <c r="D153" s="18" t="s">
        <v>911</v>
      </c>
      <c r="E153" s="39" t="s">
        <v>908</v>
      </c>
      <c r="F153" s="5"/>
      <c r="G153" s="9" t="s">
        <v>890</v>
      </c>
      <c r="H153" s="9" t="s">
        <v>888</v>
      </c>
      <c r="I153" s="5"/>
      <c r="J153" s="18"/>
      <c r="K153" s="9"/>
      <c r="L153" s="9"/>
      <c r="M153" s="12"/>
      <c r="N153" s="33"/>
    </row>
    <row r="154" spans="1:14">
      <c r="A154" s="30" t="s">
        <v>1104</v>
      </c>
      <c r="B154" s="57" t="s">
        <v>884</v>
      </c>
      <c r="C154" s="8" t="s">
        <v>914</v>
      </c>
      <c r="D154" s="18" t="s">
        <v>911</v>
      </c>
      <c r="E154" s="39" t="s">
        <v>909</v>
      </c>
      <c r="F154" s="5"/>
      <c r="G154" s="9" t="s">
        <v>890</v>
      </c>
      <c r="H154" s="9" t="s">
        <v>891</v>
      </c>
      <c r="I154" s="5"/>
      <c r="J154" s="18"/>
      <c r="K154" s="9"/>
      <c r="L154" s="9"/>
      <c r="M154" s="12"/>
      <c r="N154" s="33"/>
    </row>
    <row r="155" spans="1:14">
      <c r="A155" s="30" t="s">
        <v>1105</v>
      </c>
      <c r="B155" s="57" t="s">
        <v>884</v>
      </c>
      <c r="C155" s="8" t="s">
        <v>914</v>
      </c>
      <c r="D155" s="18" t="s">
        <v>911</v>
      </c>
      <c r="E155" s="39" t="s">
        <v>910</v>
      </c>
      <c r="F155" s="5"/>
      <c r="G155" s="9" t="s">
        <v>890</v>
      </c>
      <c r="H155" s="9" t="s">
        <v>888</v>
      </c>
      <c r="I155" s="5"/>
      <c r="J155" s="18"/>
      <c r="K155" s="9"/>
      <c r="L155" s="9"/>
      <c r="M155" s="12"/>
      <c r="N155" s="33"/>
    </row>
    <row r="156" spans="1:14">
      <c r="A156" s="30" t="s">
        <v>1106</v>
      </c>
      <c r="B156" s="57" t="s">
        <v>884</v>
      </c>
      <c r="C156" s="8" t="s">
        <v>914</v>
      </c>
      <c r="D156" s="18" t="s">
        <v>912</v>
      </c>
      <c r="E156" s="39" t="s">
        <v>854</v>
      </c>
      <c r="F156" s="5"/>
      <c r="G156" s="9" t="s">
        <v>890</v>
      </c>
      <c r="H156" s="9" t="s">
        <v>888</v>
      </c>
      <c r="I156" s="5"/>
      <c r="J156" s="18"/>
      <c r="K156" s="9"/>
      <c r="L156" s="9"/>
      <c r="M156" s="12"/>
      <c r="N156" s="33"/>
    </row>
    <row r="157" spans="1:14">
      <c r="A157" s="30" t="s">
        <v>1107</v>
      </c>
      <c r="B157" s="57" t="s">
        <v>884</v>
      </c>
      <c r="C157" s="8" t="s">
        <v>914</v>
      </c>
      <c r="D157" s="18" t="s">
        <v>912</v>
      </c>
      <c r="E157" s="39" t="s">
        <v>858</v>
      </c>
      <c r="F157" s="5"/>
      <c r="G157" s="9" t="s">
        <v>890</v>
      </c>
      <c r="H157" s="9" t="s">
        <v>888</v>
      </c>
      <c r="I157" s="5"/>
      <c r="J157" s="18"/>
      <c r="K157" s="9"/>
      <c r="L157" s="9"/>
      <c r="M157" s="12"/>
      <c r="N157" s="33"/>
    </row>
    <row r="158" spans="1:14">
      <c r="A158" s="30" t="s">
        <v>1108</v>
      </c>
      <c r="B158" s="57" t="s">
        <v>884</v>
      </c>
      <c r="C158" s="8" t="s">
        <v>914</v>
      </c>
      <c r="D158" s="18" t="s">
        <v>912</v>
      </c>
      <c r="E158" s="39" t="s">
        <v>859</v>
      </c>
      <c r="F158" s="5"/>
      <c r="G158" s="9" t="s">
        <v>890</v>
      </c>
      <c r="H158" s="9" t="s">
        <v>888</v>
      </c>
      <c r="I158" s="5"/>
      <c r="J158" s="18"/>
      <c r="K158" s="9"/>
      <c r="L158" s="9"/>
      <c r="M158" s="12"/>
      <c r="N158" s="33"/>
    </row>
    <row r="159" spans="1:14">
      <c r="A159" s="30" t="s">
        <v>1109</v>
      </c>
      <c r="B159" s="57" t="s">
        <v>884</v>
      </c>
      <c r="C159" s="8" t="s">
        <v>914</v>
      </c>
      <c r="D159" s="18" t="s">
        <v>912</v>
      </c>
      <c r="E159" s="39" t="s">
        <v>861</v>
      </c>
      <c r="F159" s="5"/>
      <c r="G159" s="9" t="s">
        <v>887</v>
      </c>
      <c r="H159" s="9" t="s">
        <v>905</v>
      </c>
      <c r="I159" s="5"/>
      <c r="J159" s="18"/>
      <c r="K159" s="9"/>
      <c r="L159" s="9"/>
      <c r="M159" s="12"/>
      <c r="N159" s="33"/>
    </row>
    <row r="160" spans="1:14">
      <c r="A160" s="30" t="s">
        <v>1110</v>
      </c>
      <c r="B160" s="57" t="s">
        <v>884</v>
      </c>
      <c r="C160" s="8" t="s">
        <v>914</v>
      </c>
      <c r="D160" s="18" t="s">
        <v>912</v>
      </c>
      <c r="E160" s="39" t="s">
        <v>862</v>
      </c>
      <c r="F160" s="5"/>
      <c r="G160" s="9" t="s">
        <v>890</v>
      </c>
      <c r="H160" s="9" t="s">
        <v>891</v>
      </c>
      <c r="I160" s="5"/>
      <c r="J160" s="18"/>
      <c r="K160" s="9"/>
      <c r="L160" s="9"/>
      <c r="M160" s="12"/>
      <c r="N160" s="33"/>
    </row>
    <row r="161" spans="1:14">
      <c r="A161" s="30" t="s">
        <v>1111</v>
      </c>
      <c r="B161" s="57" t="s">
        <v>884</v>
      </c>
      <c r="C161" s="8" t="s">
        <v>914</v>
      </c>
      <c r="D161" s="18" t="s">
        <v>912</v>
      </c>
      <c r="E161" s="39" t="s">
        <v>863</v>
      </c>
      <c r="F161" s="5"/>
      <c r="G161" s="9" t="s">
        <v>890</v>
      </c>
      <c r="H161" s="9" t="s">
        <v>895</v>
      </c>
      <c r="I161" s="5"/>
      <c r="J161" s="18"/>
      <c r="K161" s="9"/>
      <c r="L161" s="9"/>
      <c r="M161" s="12"/>
      <c r="N161" s="33"/>
    </row>
    <row r="162" spans="1:14">
      <c r="A162" s="30" t="s">
        <v>1112</v>
      </c>
      <c r="B162" s="57" t="s">
        <v>884</v>
      </c>
      <c r="C162" s="8" t="s">
        <v>914</v>
      </c>
      <c r="D162" s="18" t="s">
        <v>912</v>
      </c>
      <c r="E162" s="39" t="s">
        <v>864</v>
      </c>
      <c r="F162" s="5"/>
      <c r="G162" s="9" t="s">
        <v>890</v>
      </c>
      <c r="H162" s="9" t="s">
        <v>891</v>
      </c>
      <c r="I162" s="5"/>
      <c r="J162" s="18"/>
      <c r="K162" s="9"/>
      <c r="L162" s="9"/>
      <c r="M162" s="12"/>
      <c r="N162" s="33"/>
    </row>
    <row r="163" spans="1:14">
      <c r="A163" s="30" t="s">
        <v>1113</v>
      </c>
      <c r="B163" s="57" t="s">
        <v>884</v>
      </c>
      <c r="C163" s="8" t="s">
        <v>914</v>
      </c>
      <c r="D163" s="18" t="s">
        <v>912</v>
      </c>
      <c r="E163" s="39" t="s">
        <v>865</v>
      </c>
      <c r="F163" s="5"/>
      <c r="G163" s="9" t="s">
        <v>890</v>
      </c>
      <c r="H163" s="9" t="s">
        <v>888</v>
      </c>
      <c r="I163" s="5"/>
      <c r="J163" s="18"/>
      <c r="K163" s="9"/>
      <c r="L163" s="9"/>
      <c r="M163" s="12"/>
      <c r="N163" s="33"/>
    </row>
    <row r="164" spans="1:14">
      <c r="A164" s="30" t="s">
        <v>1114</v>
      </c>
      <c r="B164" s="57" t="s">
        <v>884</v>
      </c>
      <c r="C164" s="8" t="s">
        <v>914</v>
      </c>
      <c r="D164" s="18" t="s">
        <v>912</v>
      </c>
      <c r="E164" s="39" t="s">
        <v>892</v>
      </c>
      <c r="F164" s="5"/>
      <c r="G164" s="9" t="s">
        <v>890</v>
      </c>
      <c r="H164" s="9" t="s">
        <v>888</v>
      </c>
      <c r="I164" s="5"/>
      <c r="J164" s="18"/>
      <c r="K164" s="9"/>
      <c r="L164" s="9"/>
      <c r="M164" s="12"/>
      <c r="N164" s="33"/>
    </row>
    <row r="165" spans="1:14">
      <c r="A165" s="30" t="s">
        <v>1115</v>
      </c>
      <c r="B165" s="57" t="s">
        <v>884</v>
      </c>
      <c r="C165" s="8" t="s">
        <v>914</v>
      </c>
      <c r="D165" s="18" t="s">
        <v>912</v>
      </c>
      <c r="E165" s="39" t="s">
        <v>893</v>
      </c>
      <c r="F165" s="5"/>
      <c r="G165" s="9" t="s">
        <v>890</v>
      </c>
      <c r="H165" s="9" t="s">
        <v>888</v>
      </c>
      <c r="I165" s="5"/>
      <c r="J165" s="18"/>
      <c r="K165" s="9"/>
      <c r="L165" s="9"/>
      <c r="M165" s="12"/>
      <c r="N165" s="33"/>
    </row>
    <row r="166" spans="1:14">
      <c r="A166" s="30" t="s">
        <v>1116</v>
      </c>
      <c r="B166" s="57" t="s">
        <v>884</v>
      </c>
      <c r="C166" s="8" t="s">
        <v>914</v>
      </c>
      <c r="D166" s="18" t="s">
        <v>912</v>
      </c>
      <c r="E166" s="39" t="s">
        <v>896</v>
      </c>
      <c r="F166" s="5"/>
      <c r="G166" s="9" t="s">
        <v>890</v>
      </c>
      <c r="H166" s="9" t="s">
        <v>888</v>
      </c>
      <c r="I166" s="5"/>
      <c r="J166" s="18"/>
      <c r="K166" s="9"/>
      <c r="L166" s="9"/>
      <c r="M166" s="12"/>
      <c r="N166" s="33"/>
    </row>
    <row r="167" spans="1:14">
      <c r="A167" s="30" t="s">
        <v>1117</v>
      </c>
      <c r="B167" s="57" t="s">
        <v>884</v>
      </c>
      <c r="C167" s="8" t="s">
        <v>914</v>
      </c>
      <c r="D167" s="18" t="s">
        <v>912</v>
      </c>
      <c r="E167" s="39" t="s">
        <v>897</v>
      </c>
      <c r="F167" s="5"/>
      <c r="G167" s="9" t="s">
        <v>890</v>
      </c>
      <c r="H167" s="9" t="s">
        <v>888</v>
      </c>
      <c r="I167" s="5"/>
      <c r="J167" s="18"/>
      <c r="K167" s="9"/>
      <c r="L167" s="9"/>
      <c r="M167" s="12"/>
      <c r="N167" s="33"/>
    </row>
    <row r="168" spans="1:14">
      <c r="A168" s="30" t="s">
        <v>1118</v>
      </c>
      <c r="B168" s="57" t="s">
        <v>884</v>
      </c>
      <c r="C168" s="8" t="s">
        <v>914</v>
      </c>
      <c r="D168" s="18" t="s">
        <v>912</v>
      </c>
      <c r="E168" s="39" t="s">
        <v>898</v>
      </c>
      <c r="F168" s="5"/>
      <c r="G168" s="9" t="s">
        <v>887</v>
      </c>
      <c r="H168" s="9" t="s">
        <v>891</v>
      </c>
      <c r="I168" s="5"/>
      <c r="J168" s="18"/>
      <c r="K168" s="9"/>
      <c r="L168" s="9"/>
      <c r="M168" s="12"/>
      <c r="N168" s="33"/>
    </row>
    <row r="169" spans="1:14">
      <c r="A169" s="30" t="s">
        <v>1119</v>
      </c>
      <c r="B169" s="57" t="s">
        <v>884</v>
      </c>
      <c r="C169" s="8" t="s">
        <v>914</v>
      </c>
      <c r="D169" s="18" t="s">
        <v>912</v>
      </c>
      <c r="E169" s="39" t="s">
        <v>899</v>
      </c>
      <c r="F169" s="5"/>
      <c r="G169" s="9" t="s">
        <v>890</v>
      </c>
      <c r="H169" s="9" t="s">
        <v>888</v>
      </c>
      <c r="I169" s="5"/>
      <c r="J169" s="18"/>
      <c r="K169" s="9"/>
      <c r="L169" s="9"/>
      <c r="M169" s="12"/>
      <c r="N169" s="33"/>
    </row>
    <row r="170" spans="1:14">
      <c r="A170" s="30" t="s">
        <v>1120</v>
      </c>
      <c r="B170" s="57" t="s">
        <v>884</v>
      </c>
      <c r="C170" s="8" t="s">
        <v>914</v>
      </c>
      <c r="D170" s="18" t="s">
        <v>912</v>
      </c>
      <c r="E170" s="39" t="s">
        <v>900</v>
      </c>
      <c r="F170" s="5"/>
      <c r="G170" s="9" t="s">
        <v>890</v>
      </c>
      <c r="H170" s="9" t="s">
        <v>888</v>
      </c>
      <c r="I170" s="5"/>
      <c r="J170" s="18"/>
      <c r="K170" s="9"/>
      <c r="L170" s="9"/>
      <c r="M170" s="12"/>
      <c r="N170" s="33"/>
    </row>
    <row r="171" spans="1:14">
      <c r="A171" s="30" t="s">
        <v>1121</v>
      </c>
      <c r="B171" s="57" t="s">
        <v>884</v>
      </c>
      <c r="C171" s="8" t="s">
        <v>914</v>
      </c>
      <c r="D171" s="18" t="s">
        <v>912</v>
      </c>
      <c r="E171" s="39" t="s">
        <v>901</v>
      </c>
      <c r="F171" s="5"/>
      <c r="G171" s="9" t="s">
        <v>890</v>
      </c>
      <c r="H171" s="9" t="s">
        <v>888</v>
      </c>
      <c r="I171" s="5"/>
      <c r="J171" s="18"/>
      <c r="K171" s="9"/>
      <c r="L171" s="9"/>
      <c r="M171" s="12"/>
      <c r="N171" s="33"/>
    </row>
    <row r="172" spans="1:14">
      <c r="A172" s="30" t="s">
        <v>1122</v>
      </c>
      <c r="B172" s="57" t="s">
        <v>884</v>
      </c>
      <c r="C172" s="8" t="s">
        <v>914</v>
      </c>
      <c r="D172" s="18" t="s">
        <v>912</v>
      </c>
      <c r="E172" s="39" t="s">
        <v>902</v>
      </c>
      <c r="F172" s="5"/>
      <c r="G172" s="9" t="s">
        <v>890</v>
      </c>
      <c r="H172" s="9" t="s">
        <v>888</v>
      </c>
      <c r="I172" s="5"/>
      <c r="J172" s="18"/>
      <c r="K172" s="9"/>
      <c r="L172" s="9"/>
      <c r="M172" s="12"/>
      <c r="N172" s="33"/>
    </row>
    <row r="173" spans="1:14">
      <c r="A173" s="30" t="s">
        <v>1123</v>
      </c>
      <c r="B173" s="57" t="s">
        <v>884</v>
      </c>
      <c r="C173" s="8" t="s">
        <v>914</v>
      </c>
      <c r="D173" s="18" t="s">
        <v>912</v>
      </c>
      <c r="E173" s="39" t="s">
        <v>903</v>
      </c>
      <c r="F173" s="5"/>
      <c r="G173" s="9" t="s">
        <v>890</v>
      </c>
      <c r="H173" s="9" t="s">
        <v>888</v>
      </c>
      <c r="I173" s="5"/>
      <c r="J173" s="18"/>
      <c r="K173" s="9"/>
      <c r="L173" s="9"/>
      <c r="M173" s="12"/>
      <c r="N173" s="33"/>
    </row>
    <row r="174" spans="1:14">
      <c r="A174" s="30" t="s">
        <v>1124</v>
      </c>
      <c r="B174" s="57" t="s">
        <v>884</v>
      </c>
      <c r="C174" s="8" t="s">
        <v>914</v>
      </c>
      <c r="D174" s="18" t="s">
        <v>912</v>
      </c>
      <c r="E174" s="39" t="s">
        <v>904</v>
      </c>
      <c r="F174" s="5"/>
      <c r="G174" s="9" t="s">
        <v>890</v>
      </c>
      <c r="H174" s="9" t="s">
        <v>891</v>
      </c>
      <c r="I174" s="5"/>
      <c r="J174" s="18"/>
      <c r="K174" s="9"/>
      <c r="L174" s="9"/>
      <c r="M174" s="12"/>
      <c r="N174" s="33"/>
    </row>
    <row r="175" spans="1:14">
      <c r="A175" s="30" t="s">
        <v>1125</v>
      </c>
      <c r="B175" s="57" t="s">
        <v>884</v>
      </c>
      <c r="C175" s="8" t="s">
        <v>914</v>
      </c>
      <c r="D175" s="18" t="s">
        <v>912</v>
      </c>
      <c r="E175" s="39" t="s">
        <v>906</v>
      </c>
      <c r="F175" s="5"/>
      <c r="G175" s="9" t="s">
        <v>890</v>
      </c>
      <c r="H175" s="9" t="s">
        <v>888</v>
      </c>
      <c r="I175" s="5"/>
      <c r="J175" s="18"/>
      <c r="K175" s="9"/>
      <c r="L175" s="9"/>
      <c r="M175" s="12"/>
      <c r="N175" s="33"/>
    </row>
    <row r="176" spans="1:14">
      <c r="A176" s="30" t="s">
        <v>1126</v>
      </c>
      <c r="B176" s="57" t="s">
        <v>884</v>
      </c>
      <c r="C176" s="8" t="s">
        <v>914</v>
      </c>
      <c r="D176" s="18" t="s">
        <v>912</v>
      </c>
      <c r="E176" s="39" t="s">
        <v>907</v>
      </c>
      <c r="F176" s="5"/>
      <c r="G176" s="9" t="s">
        <v>890</v>
      </c>
      <c r="H176" s="9" t="s">
        <v>888</v>
      </c>
      <c r="I176" s="5"/>
      <c r="J176" s="18"/>
      <c r="K176" s="9"/>
      <c r="L176" s="9"/>
      <c r="M176" s="12"/>
      <c r="N176" s="33"/>
    </row>
    <row r="177" spans="1:14">
      <c r="A177" s="30" t="s">
        <v>1127</v>
      </c>
      <c r="B177" s="57" t="s">
        <v>884</v>
      </c>
      <c r="C177" s="8" t="s">
        <v>914</v>
      </c>
      <c r="D177" s="18" t="s">
        <v>912</v>
      </c>
      <c r="E177" s="39" t="s">
        <v>908</v>
      </c>
      <c r="F177" s="5"/>
      <c r="G177" s="9" t="s">
        <v>887</v>
      </c>
      <c r="H177" s="9" t="s">
        <v>891</v>
      </c>
      <c r="I177" s="5"/>
      <c r="J177" s="18"/>
      <c r="K177" s="9"/>
      <c r="L177" s="9"/>
      <c r="M177" s="12"/>
      <c r="N177" s="33"/>
    </row>
    <row r="178" spans="1:14">
      <c r="A178" s="30" t="s">
        <v>1128</v>
      </c>
      <c r="B178" s="57" t="s">
        <v>884</v>
      </c>
      <c r="C178" s="8" t="s">
        <v>914</v>
      </c>
      <c r="D178" s="18" t="s">
        <v>912</v>
      </c>
      <c r="E178" s="39" t="s">
        <v>909</v>
      </c>
      <c r="F178" s="5"/>
      <c r="G178" s="9" t="s">
        <v>890</v>
      </c>
      <c r="H178" s="9" t="s">
        <v>888</v>
      </c>
      <c r="I178" s="5"/>
      <c r="J178" s="18"/>
      <c r="K178" s="9"/>
      <c r="L178" s="9"/>
      <c r="M178" s="12"/>
      <c r="N178" s="33"/>
    </row>
    <row r="179" spans="1:14">
      <c r="A179" s="30" t="s">
        <v>1129</v>
      </c>
      <c r="B179" s="57" t="s">
        <v>884</v>
      </c>
      <c r="C179" s="8" t="s">
        <v>914</v>
      </c>
      <c r="D179" s="18" t="s">
        <v>912</v>
      </c>
      <c r="E179" s="39" t="s">
        <v>910</v>
      </c>
      <c r="F179" s="5"/>
      <c r="G179" s="9" t="s">
        <v>890</v>
      </c>
      <c r="H179" s="9" t="s">
        <v>888</v>
      </c>
      <c r="I179" s="5"/>
      <c r="J179" s="18"/>
      <c r="K179" s="9"/>
      <c r="L179" s="9"/>
      <c r="M179" s="12"/>
      <c r="N179" s="33"/>
    </row>
    <row r="180" spans="1:14">
      <c r="A180" s="30" t="s">
        <v>1130</v>
      </c>
      <c r="B180" s="57" t="s">
        <v>884</v>
      </c>
      <c r="C180" s="8" t="s">
        <v>914</v>
      </c>
      <c r="D180" s="18" t="s">
        <v>913</v>
      </c>
      <c r="E180" s="39" t="s">
        <v>854</v>
      </c>
      <c r="F180" s="5"/>
      <c r="G180" s="9" t="s">
        <v>887</v>
      </c>
      <c r="H180" s="9" t="s">
        <v>888</v>
      </c>
      <c r="I180" s="5"/>
      <c r="J180" s="18"/>
      <c r="K180" s="9"/>
      <c r="L180" s="9"/>
      <c r="M180" s="12"/>
      <c r="N180" s="33"/>
    </row>
    <row r="181" spans="1:14">
      <c r="A181" s="30" t="s">
        <v>1131</v>
      </c>
      <c r="B181" s="57" t="s">
        <v>884</v>
      </c>
      <c r="C181" s="8" t="s">
        <v>914</v>
      </c>
      <c r="D181" s="18" t="s">
        <v>913</v>
      </c>
      <c r="E181" s="39" t="s">
        <v>858</v>
      </c>
      <c r="F181" s="5"/>
      <c r="G181" s="9" t="s">
        <v>894</v>
      </c>
      <c r="H181" s="9" t="s">
        <v>895</v>
      </c>
      <c r="I181" s="5"/>
      <c r="J181" s="18"/>
      <c r="K181" s="9"/>
      <c r="L181" s="9"/>
      <c r="M181" s="12"/>
      <c r="N181" s="33"/>
    </row>
    <row r="182" spans="1:14">
      <c r="A182" s="30" t="s">
        <v>1132</v>
      </c>
      <c r="B182" s="57" t="s">
        <v>884</v>
      </c>
      <c r="C182" s="8" t="s">
        <v>914</v>
      </c>
      <c r="D182" s="18" t="s">
        <v>913</v>
      </c>
      <c r="E182" s="39" t="s">
        <v>859</v>
      </c>
      <c r="F182" s="5"/>
      <c r="G182" s="9" t="s">
        <v>887</v>
      </c>
      <c r="H182" s="9" t="s">
        <v>891</v>
      </c>
      <c r="I182" s="5"/>
      <c r="J182" s="18"/>
      <c r="K182" s="9"/>
      <c r="L182" s="9"/>
      <c r="M182" s="12"/>
      <c r="N182" s="33"/>
    </row>
    <row r="183" spans="1:14">
      <c r="A183" s="30" t="s">
        <v>1133</v>
      </c>
      <c r="B183" s="57" t="s">
        <v>884</v>
      </c>
      <c r="C183" s="8" t="s">
        <v>914</v>
      </c>
      <c r="D183" s="18" t="s">
        <v>913</v>
      </c>
      <c r="E183" s="39" t="s">
        <v>861</v>
      </c>
      <c r="F183" s="5"/>
      <c r="G183" s="9" t="s">
        <v>890</v>
      </c>
      <c r="H183" s="9" t="s">
        <v>888</v>
      </c>
      <c r="I183" s="5"/>
      <c r="J183" s="18"/>
      <c r="K183" s="9"/>
      <c r="L183" s="9"/>
      <c r="M183" s="12"/>
      <c r="N183" s="33"/>
    </row>
    <row r="184" spans="1:14">
      <c r="A184" s="30" t="s">
        <v>1134</v>
      </c>
      <c r="B184" s="57" t="s">
        <v>884</v>
      </c>
      <c r="C184" s="8" t="s">
        <v>914</v>
      </c>
      <c r="D184" s="18" t="s">
        <v>913</v>
      </c>
      <c r="E184" s="39" t="s">
        <v>862</v>
      </c>
      <c r="F184" s="5"/>
      <c r="G184" s="9" t="s">
        <v>890</v>
      </c>
      <c r="H184" s="9" t="s">
        <v>888</v>
      </c>
      <c r="I184" s="5"/>
      <c r="J184" s="18"/>
      <c r="K184" s="9"/>
      <c r="L184" s="9"/>
      <c r="M184" s="12"/>
      <c r="N184" s="33"/>
    </row>
    <row r="185" spans="1:14">
      <c r="A185" s="30" t="s">
        <v>1135</v>
      </c>
      <c r="B185" s="57" t="s">
        <v>884</v>
      </c>
      <c r="C185" s="8" t="s">
        <v>914</v>
      </c>
      <c r="D185" s="18" t="s">
        <v>913</v>
      </c>
      <c r="E185" s="39" t="s">
        <v>863</v>
      </c>
      <c r="F185" s="5"/>
      <c r="G185" s="9" t="s">
        <v>890</v>
      </c>
      <c r="H185" s="9" t="s">
        <v>888</v>
      </c>
      <c r="I185" s="5"/>
      <c r="J185" s="18"/>
      <c r="K185" s="9"/>
      <c r="L185" s="9"/>
      <c r="M185" s="12"/>
      <c r="N185" s="33"/>
    </row>
    <row r="186" spans="1:14">
      <c r="A186" s="30" t="s">
        <v>1136</v>
      </c>
      <c r="B186" s="57" t="s">
        <v>884</v>
      </c>
      <c r="C186" s="8" t="s">
        <v>914</v>
      </c>
      <c r="D186" s="18" t="s">
        <v>913</v>
      </c>
      <c r="E186" s="39" t="s">
        <v>864</v>
      </c>
      <c r="F186" s="5"/>
      <c r="G186" s="9" t="s">
        <v>890</v>
      </c>
      <c r="H186" s="9" t="s">
        <v>888</v>
      </c>
      <c r="I186" s="5"/>
      <c r="J186" s="18"/>
      <c r="K186" s="9"/>
      <c r="L186" s="9"/>
      <c r="M186" s="12"/>
      <c r="N186" s="33"/>
    </row>
    <row r="187" spans="1:14">
      <c r="A187" s="30" t="s">
        <v>1137</v>
      </c>
      <c r="B187" s="57" t="s">
        <v>884</v>
      </c>
      <c r="C187" s="8" t="s">
        <v>914</v>
      </c>
      <c r="D187" s="18" t="s">
        <v>913</v>
      </c>
      <c r="E187" s="39" t="s">
        <v>865</v>
      </c>
      <c r="F187" s="5"/>
      <c r="G187" s="9" t="s">
        <v>894</v>
      </c>
      <c r="H187" s="9" t="s">
        <v>895</v>
      </c>
      <c r="I187" s="5"/>
      <c r="J187" s="18"/>
      <c r="K187" s="9"/>
      <c r="L187" s="9"/>
      <c r="M187" s="12"/>
      <c r="N187" s="33"/>
    </row>
    <row r="188" spans="1:14">
      <c r="A188" s="30" t="s">
        <v>1138</v>
      </c>
      <c r="B188" s="57" t="s">
        <v>884</v>
      </c>
      <c r="C188" s="8" t="s">
        <v>914</v>
      </c>
      <c r="D188" s="18" t="s">
        <v>913</v>
      </c>
      <c r="E188" s="39" t="s">
        <v>892</v>
      </c>
      <c r="F188" s="5"/>
      <c r="G188" s="9" t="s">
        <v>894</v>
      </c>
      <c r="H188" s="9" t="s">
        <v>895</v>
      </c>
      <c r="I188" s="5"/>
      <c r="J188" s="18"/>
      <c r="K188" s="9"/>
      <c r="L188" s="9"/>
      <c r="M188" s="12"/>
      <c r="N188" s="33"/>
    </row>
    <row r="189" spans="1:14">
      <c r="A189" s="30" t="s">
        <v>1139</v>
      </c>
      <c r="B189" s="57" t="s">
        <v>884</v>
      </c>
      <c r="C189" s="8" t="s">
        <v>914</v>
      </c>
      <c r="D189" s="18" t="s">
        <v>913</v>
      </c>
      <c r="E189" s="39" t="s">
        <v>893</v>
      </c>
      <c r="F189" s="5"/>
      <c r="G189" s="9" t="s">
        <v>894</v>
      </c>
      <c r="H189" s="9" t="s">
        <v>895</v>
      </c>
      <c r="I189" s="5"/>
      <c r="J189" s="18"/>
      <c r="K189" s="9"/>
      <c r="L189" s="9"/>
      <c r="M189" s="12"/>
      <c r="N189" s="33"/>
    </row>
    <row r="190" spans="1:14">
      <c r="A190" s="30" t="s">
        <v>1140</v>
      </c>
      <c r="B190" s="57" t="s">
        <v>884</v>
      </c>
      <c r="C190" s="8" t="s">
        <v>914</v>
      </c>
      <c r="D190" s="18" t="s">
        <v>913</v>
      </c>
      <c r="E190" s="39" t="s">
        <v>896</v>
      </c>
      <c r="F190" s="5"/>
      <c r="G190" s="9" t="s">
        <v>887</v>
      </c>
      <c r="H190" s="9" t="s">
        <v>891</v>
      </c>
      <c r="I190" s="5"/>
      <c r="J190" s="18"/>
      <c r="K190" s="9"/>
      <c r="L190" s="9"/>
      <c r="M190" s="12"/>
      <c r="N190" s="33"/>
    </row>
    <row r="191" spans="1:14">
      <c r="A191" s="30" t="s">
        <v>1141</v>
      </c>
      <c r="B191" s="57" t="s">
        <v>884</v>
      </c>
      <c r="C191" s="8" t="s">
        <v>914</v>
      </c>
      <c r="D191" s="18" t="s">
        <v>913</v>
      </c>
      <c r="E191" s="39" t="s">
        <v>897</v>
      </c>
      <c r="F191" s="5"/>
      <c r="G191" s="9" t="s">
        <v>887</v>
      </c>
      <c r="H191" s="9" t="s">
        <v>891</v>
      </c>
      <c r="I191" s="5"/>
      <c r="J191" s="18"/>
      <c r="K191" s="9"/>
      <c r="L191" s="9"/>
      <c r="M191" s="12"/>
      <c r="N191" s="33"/>
    </row>
    <row r="192" spans="1:14">
      <c r="A192" s="30" t="s">
        <v>1142</v>
      </c>
      <c r="B192" s="57" t="s">
        <v>884</v>
      </c>
      <c r="C192" s="8" t="s">
        <v>914</v>
      </c>
      <c r="D192" s="18" t="s">
        <v>913</v>
      </c>
      <c r="E192" s="39" t="s">
        <v>898</v>
      </c>
      <c r="F192" s="5"/>
      <c r="G192" s="9" t="s">
        <v>894</v>
      </c>
      <c r="H192" s="9" t="s">
        <v>895</v>
      </c>
      <c r="I192" s="5"/>
      <c r="J192" s="18"/>
      <c r="K192" s="9"/>
      <c r="L192" s="9"/>
      <c r="M192" s="12"/>
      <c r="N192" s="33"/>
    </row>
    <row r="193" spans="1:14">
      <c r="A193" s="30" t="s">
        <v>1143</v>
      </c>
      <c r="B193" s="57" t="s">
        <v>884</v>
      </c>
      <c r="C193" s="8" t="s">
        <v>914</v>
      </c>
      <c r="D193" s="18" t="s">
        <v>913</v>
      </c>
      <c r="E193" s="39" t="s">
        <v>899</v>
      </c>
      <c r="F193" s="5"/>
      <c r="G193" s="9" t="s">
        <v>894</v>
      </c>
      <c r="H193" s="9" t="s">
        <v>895</v>
      </c>
      <c r="I193" s="5"/>
      <c r="J193" s="18"/>
      <c r="K193" s="9"/>
      <c r="L193" s="9"/>
      <c r="M193" s="12"/>
      <c r="N193" s="33"/>
    </row>
    <row r="194" spans="1:14">
      <c r="A194" s="30" t="s">
        <v>1144</v>
      </c>
      <c r="B194" s="57" t="s">
        <v>884</v>
      </c>
      <c r="C194" s="8" t="s">
        <v>914</v>
      </c>
      <c r="D194" s="18" t="s">
        <v>913</v>
      </c>
      <c r="E194" s="39" t="s">
        <v>900</v>
      </c>
      <c r="F194" s="5"/>
      <c r="G194" s="9" t="s">
        <v>894</v>
      </c>
      <c r="H194" s="9" t="s">
        <v>895</v>
      </c>
      <c r="I194" s="5"/>
      <c r="J194" s="18"/>
      <c r="K194" s="9"/>
      <c r="L194" s="9"/>
      <c r="M194" s="12"/>
      <c r="N194" s="33"/>
    </row>
    <row r="195" spans="1:14">
      <c r="A195" s="30" t="s">
        <v>1145</v>
      </c>
      <c r="B195" s="57" t="s">
        <v>884</v>
      </c>
      <c r="C195" s="8" t="s">
        <v>914</v>
      </c>
      <c r="D195" s="18" t="s">
        <v>913</v>
      </c>
      <c r="E195" s="39" t="s">
        <v>901</v>
      </c>
      <c r="F195" s="5"/>
      <c r="G195" s="9" t="s">
        <v>894</v>
      </c>
      <c r="H195" s="9" t="s">
        <v>895</v>
      </c>
      <c r="I195" s="5"/>
      <c r="J195" s="18"/>
      <c r="K195" s="9"/>
      <c r="L195" s="9"/>
      <c r="M195" s="12"/>
      <c r="N195" s="33"/>
    </row>
    <row r="196" spans="1:14">
      <c r="A196" s="30" t="s">
        <v>1146</v>
      </c>
      <c r="B196" s="57" t="s">
        <v>884</v>
      </c>
      <c r="C196" s="8" t="s">
        <v>914</v>
      </c>
      <c r="D196" s="18" t="s">
        <v>913</v>
      </c>
      <c r="E196" s="39" t="s">
        <v>902</v>
      </c>
      <c r="F196" s="5"/>
      <c r="G196" s="9" t="s">
        <v>887</v>
      </c>
      <c r="H196" s="9" t="s">
        <v>891</v>
      </c>
      <c r="I196" s="5"/>
      <c r="J196" s="18"/>
      <c r="K196" s="9"/>
      <c r="L196" s="9"/>
      <c r="M196" s="12"/>
      <c r="N196" s="33"/>
    </row>
    <row r="197" spans="1:14">
      <c r="A197" s="30" t="s">
        <v>1147</v>
      </c>
      <c r="B197" s="57" t="s">
        <v>884</v>
      </c>
      <c r="C197" s="8" t="s">
        <v>914</v>
      </c>
      <c r="D197" s="18" t="s">
        <v>913</v>
      </c>
      <c r="E197" s="39" t="s">
        <v>903</v>
      </c>
      <c r="F197" s="5"/>
      <c r="G197" s="9" t="s">
        <v>890</v>
      </c>
      <c r="H197" s="9" t="s">
        <v>888</v>
      </c>
      <c r="I197" s="5"/>
      <c r="J197" s="18"/>
      <c r="K197" s="9"/>
      <c r="L197" s="9"/>
      <c r="M197" s="12"/>
      <c r="N197" s="33"/>
    </row>
    <row r="198" spans="1:14">
      <c r="A198" s="30" t="s">
        <v>1148</v>
      </c>
      <c r="B198" s="57" t="s">
        <v>884</v>
      </c>
      <c r="C198" s="8" t="s">
        <v>914</v>
      </c>
      <c r="D198" s="18" t="s">
        <v>913</v>
      </c>
      <c r="E198" s="39" t="s">
        <v>904</v>
      </c>
      <c r="F198" s="5"/>
      <c r="G198" s="9" t="s">
        <v>890</v>
      </c>
      <c r="H198" s="9" t="s">
        <v>888</v>
      </c>
      <c r="I198" s="5"/>
      <c r="J198" s="18"/>
      <c r="K198" s="9"/>
      <c r="L198" s="9"/>
      <c r="M198" s="12"/>
      <c r="N198" s="33"/>
    </row>
    <row r="199" spans="1:14">
      <c r="A199" s="30" t="s">
        <v>1149</v>
      </c>
      <c r="B199" s="57" t="s">
        <v>884</v>
      </c>
      <c r="C199" s="8" t="s">
        <v>914</v>
      </c>
      <c r="D199" s="18" t="s">
        <v>913</v>
      </c>
      <c r="E199" s="39" t="s">
        <v>906</v>
      </c>
      <c r="F199" s="5"/>
      <c r="G199" s="9" t="s">
        <v>890</v>
      </c>
      <c r="H199" s="9" t="s">
        <v>888</v>
      </c>
      <c r="I199" s="5"/>
      <c r="J199" s="18"/>
      <c r="K199" s="9"/>
      <c r="L199" s="9"/>
      <c r="M199" s="12"/>
      <c r="N199" s="33"/>
    </row>
    <row r="200" spans="1:14">
      <c r="A200" s="30" t="s">
        <v>1150</v>
      </c>
      <c r="B200" s="57" t="s">
        <v>884</v>
      </c>
      <c r="C200" s="8" t="s">
        <v>914</v>
      </c>
      <c r="D200" s="18" t="s">
        <v>913</v>
      </c>
      <c r="E200" s="39" t="s">
        <v>907</v>
      </c>
      <c r="F200" s="5"/>
      <c r="G200" s="9" t="s">
        <v>890</v>
      </c>
      <c r="H200" s="9" t="s">
        <v>888</v>
      </c>
      <c r="I200" s="5"/>
      <c r="J200" s="18"/>
      <c r="K200" s="9"/>
      <c r="L200" s="9"/>
      <c r="M200" s="12"/>
      <c r="N200" s="33"/>
    </row>
    <row r="201" spans="1:14">
      <c r="A201" s="30" t="s">
        <v>1151</v>
      </c>
      <c r="B201" s="57" t="s">
        <v>884</v>
      </c>
      <c r="C201" s="8" t="s">
        <v>914</v>
      </c>
      <c r="D201" s="18" t="s">
        <v>913</v>
      </c>
      <c r="E201" s="39" t="s">
        <v>908</v>
      </c>
      <c r="F201" s="5"/>
      <c r="G201" s="9" t="s">
        <v>890</v>
      </c>
      <c r="H201" s="9" t="s">
        <v>888</v>
      </c>
      <c r="I201" s="5"/>
      <c r="J201" s="18"/>
      <c r="K201" s="9"/>
      <c r="L201" s="9"/>
      <c r="M201" s="12"/>
      <c r="N201" s="33"/>
    </row>
    <row r="202" spans="1:14">
      <c r="A202" s="30" t="s">
        <v>1152</v>
      </c>
      <c r="B202" s="57" t="s">
        <v>884</v>
      </c>
      <c r="C202" s="8" t="s">
        <v>914</v>
      </c>
      <c r="D202" s="18" t="s">
        <v>913</v>
      </c>
      <c r="E202" s="39" t="s">
        <v>909</v>
      </c>
      <c r="F202" s="5"/>
      <c r="G202" s="9" t="s">
        <v>890</v>
      </c>
      <c r="H202" s="9" t="s">
        <v>888</v>
      </c>
      <c r="I202" s="5"/>
      <c r="J202" s="18"/>
      <c r="K202" s="9"/>
      <c r="L202" s="9"/>
      <c r="M202" s="12"/>
      <c r="N202" s="33"/>
    </row>
    <row r="203" spans="1:14">
      <c r="A203" s="30" t="s">
        <v>1153</v>
      </c>
      <c r="B203" s="57" t="s">
        <v>884</v>
      </c>
      <c r="C203" s="8" t="s">
        <v>914</v>
      </c>
      <c r="D203" s="18" t="s">
        <v>913</v>
      </c>
      <c r="E203" s="39" t="s">
        <v>910</v>
      </c>
      <c r="F203" s="5"/>
      <c r="G203" s="9" t="s">
        <v>894</v>
      </c>
      <c r="H203" s="9" t="s">
        <v>895</v>
      </c>
      <c r="I203" s="5"/>
      <c r="J203" s="18"/>
      <c r="K203" s="9"/>
      <c r="L203" s="9"/>
      <c r="M203" s="12"/>
      <c r="N203" s="33"/>
    </row>
    <row r="204" spans="1:14">
      <c r="A204" s="30"/>
      <c r="B204" s="9"/>
      <c r="C204" s="9"/>
      <c r="D204" s="18"/>
      <c r="E204" s="39"/>
      <c r="F204" s="5"/>
      <c r="G204" s="9"/>
      <c r="H204" s="9"/>
      <c r="I204" s="5"/>
      <c r="J204" s="18"/>
      <c r="K204" s="9"/>
      <c r="L204" s="9"/>
      <c r="M204" s="12"/>
      <c r="N204" s="33"/>
    </row>
    <row r="205" spans="1:14">
      <c r="A205" s="31"/>
      <c r="B205" s="10"/>
      <c r="C205" s="10"/>
      <c r="D205" s="19"/>
      <c r="E205" s="40"/>
      <c r="F205" s="6"/>
      <c r="G205" s="10"/>
      <c r="H205" s="10"/>
      <c r="I205" s="6"/>
      <c r="J205" s="19"/>
      <c r="K205" s="10"/>
      <c r="L205" s="10"/>
      <c r="M205" s="13"/>
      <c r="N205" s="34"/>
    </row>
  </sheetData>
  <mergeCells count="3">
    <mergeCell ref="A1:N1"/>
    <mergeCell ref="A2:N2"/>
    <mergeCell ref="A3:N3"/>
  </mergeCells>
  <dataValidations count="3">
    <dataValidation type="list" sqref="G6:G205" xr:uid="{00000000-0002-0000-0300-000000000000}">
      <formula1>"Terisi,Kosong,Dalam Perbaikan,Tidak Dapat Digunakan"</formula1>
    </dataValidation>
    <dataValidation type="list" sqref="H6:H205" xr:uid="{00000000-0002-0000-0300-000001000000}">
      <formula1>"Baik,Rusak Ringan,Rusak Sedang,Rusak Berat"</formula1>
    </dataValidation>
    <dataValidation type="list" sqref="L6:L205" xr:uid="{00000000-0002-0000-0300-000002000000}">
      <formula1>"Draft,Dalam Verifikasi,Terverifikasi,Perlu Perbaikan"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5"/>
  <sheetViews>
    <sheetView workbookViewId="0">
      <selection activeCell="E23" sqref="E23"/>
    </sheetView>
  </sheetViews>
  <sheetFormatPr defaultRowHeight="14"/>
  <cols>
    <col min="1" max="1" width="18" customWidth="1"/>
    <col min="2" max="2" width="30" customWidth="1"/>
    <col min="3" max="3" width="10" customWidth="1"/>
    <col min="4" max="4" width="14" customWidth="1"/>
    <col min="5" max="5" width="19" customWidth="1"/>
    <col min="6" max="6" width="18" customWidth="1"/>
    <col min="7" max="7" width="22" customWidth="1"/>
    <col min="8" max="8" width="18" customWidth="1"/>
    <col min="9" max="9" width="22" customWidth="1"/>
    <col min="10" max="10" width="26" customWidth="1"/>
    <col min="11" max="11" width="17" customWidth="1"/>
    <col min="12" max="12" width="18" customWidth="1"/>
    <col min="13" max="13" width="42" customWidth="1"/>
  </cols>
  <sheetData>
    <row r="1" spans="1:13" ht="20">
      <c r="A1" s="185" t="s">
        <v>915</v>
      </c>
      <c r="B1" s="185"/>
      <c r="C1" s="185"/>
      <c r="D1" s="185"/>
      <c r="E1" s="185"/>
      <c r="F1" s="185"/>
      <c r="G1" s="185"/>
      <c r="H1" s="185"/>
      <c r="I1" s="185"/>
      <c r="J1" s="185"/>
      <c r="K1" s="185"/>
      <c r="L1" s="185"/>
      <c r="M1" s="186"/>
    </row>
    <row r="2" spans="1:13" ht="14.5">
      <c r="A2" s="187" t="s">
        <v>916</v>
      </c>
      <c r="B2" s="187"/>
      <c r="C2" s="187"/>
      <c r="D2" s="187"/>
      <c r="E2" s="187"/>
      <c r="F2" s="187"/>
      <c r="G2" s="187"/>
      <c r="H2" s="187"/>
      <c r="I2" s="187"/>
      <c r="J2" s="187"/>
      <c r="K2" s="187"/>
      <c r="L2" s="187"/>
      <c r="M2" s="188"/>
    </row>
    <row r="3" spans="1:13">
      <c r="A3" s="189" t="s">
        <v>917</v>
      </c>
      <c r="B3" s="189"/>
      <c r="C3" s="189"/>
      <c r="D3" s="189"/>
      <c r="E3" s="189"/>
      <c r="F3" s="189"/>
      <c r="G3" s="189"/>
      <c r="H3" s="189"/>
      <c r="I3" s="189"/>
      <c r="J3" s="189"/>
      <c r="K3" s="189"/>
      <c r="L3" s="189"/>
      <c r="M3" s="190"/>
    </row>
    <row r="5" spans="1:13" ht="26">
      <c r="A5" s="55" t="s">
        <v>918</v>
      </c>
      <c r="B5" s="55" t="s">
        <v>877</v>
      </c>
      <c r="C5" s="55" t="s">
        <v>919</v>
      </c>
      <c r="D5" s="55" t="s">
        <v>920</v>
      </c>
      <c r="E5" s="55" t="s">
        <v>921</v>
      </c>
      <c r="F5" s="55" t="s">
        <v>922</v>
      </c>
      <c r="G5" s="55" t="s">
        <v>923</v>
      </c>
      <c r="H5" s="55" t="s">
        <v>924</v>
      </c>
      <c r="I5" s="55" t="s">
        <v>28</v>
      </c>
      <c r="J5" s="55" t="s">
        <v>27</v>
      </c>
      <c r="K5" s="55" t="s">
        <v>29</v>
      </c>
      <c r="L5" s="55" t="s">
        <v>30</v>
      </c>
      <c r="M5" s="55" t="s">
        <v>23</v>
      </c>
    </row>
    <row r="6" spans="1:13">
      <c r="A6" s="56" t="s">
        <v>925</v>
      </c>
      <c r="B6" s="57" t="s">
        <v>884</v>
      </c>
      <c r="C6" s="58">
        <v>2026</v>
      </c>
      <c r="D6" s="56" t="s">
        <v>926</v>
      </c>
      <c r="E6" s="59">
        <v>350000000</v>
      </c>
      <c r="F6" s="59">
        <v>15850000</v>
      </c>
      <c r="G6" s="60">
        <f t="shared" ref="G6:G69" si="0">IF(A6="","",SUMIFS($F$6:F6,$B$6:B6,B6,$C$6:C6,C6))</f>
        <v>15850000</v>
      </c>
      <c r="H6" s="61">
        <f t="shared" ref="H6:H69" si="1">IF(A6="","",IFERROR(G6/E6,0))</f>
        <v>4.5285714285714283E-2</v>
      </c>
      <c r="I6" s="56" t="s">
        <v>1204</v>
      </c>
      <c r="J6" s="62"/>
      <c r="K6" s="62"/>
      <c r="L6" s="56"/>
      <c r="M6" s="57"/>
    </row>
    <row r="7" spans="1:13">
      <c r="A7" s="56" t="s">
        <v>928</v>
      </c>
      <c r="B7" s="57" t="s">
        <v>884</v>
      </c>
      <c r="C7" s="58">
        <v>2026</v>
      </c>
      <c r="D7" s="56" t="s">
        <v>929</v>
      </c>
      <c r="E7" s="59">
        <v>350000000</v>
      </c>
      <c r="F7" s="59">
        <v>23675000</v>
      </c>
      <c r="G7" s="60">
        <f t="shared" si="0"/>
        <v>39525000</v>
      </c>
      <c r="H7" s="61">
        <f t="shared" si="1"/>
        <v>0.11292857142857143</v>
      </c>
      <c r="I7" s="56" t="s">
        <v>1204</v>
      </c>
      <c r="J7" s="62"/>
      <c r="K7" s="62"/>
      <c r="L7" s="56"/>
      <c r="M7" s="57"/>
    </row>
    <row r="8" spans="1:13">
      <c r="A8" s="56" t="s">
        <v>930</v>
      </c>
      <c r="B8" s="57" t="s">
        <v>884</v>
      </c>
      <c r="C8" s="58">
        <v>2026</v>
      </c>
      <c r="D8" s="56" t="s">
        <v>931</v>
      </c>
      <c r="E8" s="59">
        <v>350000000</v>
      </c>
      <c r="F8" s="59">
        <v>24950000</v>
      </c>
      <c r="G8" s="60">
        <f t="shared" si="0"/>
        <v>64475000</v>
      </c>
      <c r="H8" s="61">
        <f t="shared" si="1"/>
        <v>0.18421428571428572</v>
      </c>
      <c r="I8" s="56" t="s">
        <v>1204</v>
      </c>
      <c r="J8" s="62"/>
      <c r="K8" s="62"/>
      <c r="L8" s="56"/>
      <c r="M8" s="57"/>
    </row>
    <row r="9" spans="1:13">
      <c r="A9" s="56" t="s">
        <v>932</v>
      </c>
      <c r="B9" s="57" t="s">
        <v>884</v>
      </c>
      <c r="C9" s="58">
        <v>2026</v>
      </c>
      <c r="D9" s="56" t="s">
        <v>933</v>
      </c>
      <c r="E9" s="59">
        <v>350000000</v>
      </c>
      <c r="F9" s="59">
        <v>32950000</v>
      </c>
      <c r="G9" s="60">
        <f t="shared" si="0"/>
        <v>97425000</v>
      </c>
      <c r="H9" s="61">
        <f t="shared" si="1"/>
        <v>0.27835714285714286</v>
      </c>
      <c r="I9" s="56" t="s">
        <v>1204</v>
      </c>
      <c r="J9" s="62"/>
      <c r="K9" s="62"/>
      <c r="L9" s="56"/>
      <c r="M9" s="57"/>
    </row>
    <row r="10" spans="1:13">
      <c r="A10" s="56" t="s">
        <v>934</v>
      </c>
      <c r="B10" s="57" t="s">
        <v>884</v>
      </c>
      <c r="C10" s="58">
        <v>2026</v>
      </c>
      <c r="D10" s="56" t="s">
        <v>935</v>
      </c>
      <c r="E10" s="59">
        <v>350000000</v>
      </c>
      <c r="F10" s="59">
        <v>23000000</v>
      </c>
      <c r="G10" s="60">
        <f t="shared" si="0"/>
        <v>120425000</v>
      </c>
      <c r="H10" s="61">
        <f t="shared" si="1"/>
        <v>0.34407142857142858</v>
      </c>
      <c r="I10" s="56" t="s">
        <v>1204</v>
      </c>
      <c r="J10" s="62"/>
      <c r="K10" s="62"/>
      <c r="L10" s="56"/>
      <c r="M10" s="57"/>
    </row>
    <row r="11" spans="1:13">
      <c r="A11" s="56" t="s">
        <v>2278</v>
      </c>
      <c r="B11" s="57" t="s">
        <v>884</v>
      </c>
      <c r="C11" s="58">
        <v>2026</v>
      </c>
      <c r="D11" s="56" t="s">
        <v>2277</v>
      </c>
      <c r="E11" s="59">
        <v>350000000</v>
      </c>
      <c r="F11" s="59">
        <v>34775000</v>
      </c>
      <c r="G11" s="60">
        <f t="shared" si="0"/>
        <v>155200000</v>
      </c>
      <c r="H11" s="61">
        <f t="shared" si="1"/>
        <v>0.44342857142857145</v>
      </c>
      <c r="I11" s="56"/>
      <c r="J11" s="62"/>
      <c r="K11" s="62"/>
      <c r="L11" s="56"/>
      <c r="M11" s="57"/>
    </row>
    <row r="12" spans="1:13">
      <c r="A12" s="56"/>
      <c r="B12" s="57"/>
      <c r="C12" s="58"/>
      <c r="D12" s="56"/>
      <c r="E12" s="59"/>
      <c r="F12" s="59"/>
      <c r="G12" s="60" t="str">
        <f t="shared" si="0"/>
        <v/>
      </c>
      <c r="H12" s="61" t="str">
        <f t="shared" si="1"/>
        <v/>
      </c>
      <c r="I12" s="56"/>
      <c r="J12" s="62"/>
      <c r="K12" s="62"/>
      <c r="L12" s="56"/>
      <c r="M12" s="57"/>
    </row>
    <row r="13" spans="1:13">
      <c r="A13" s="56"/>
      <c r="B13" s="57"/>
      <c r="C13" s="58"/>
      <c r="D13" s="56"/>
      <c r="E13" s="59"/>
      <c r="F13" s="59"/>
      <c r="G13" s="60" t="str">
        <f t="shared" si="0"/>
        <v/>
      </c>
      <c r="H13" s="61" t="str">
        <f t="shared" si="1"/>
        <v/>
      </c>
      <c r="I13" s="56"/>
      <c r="J13" s="62"/>
      <c r="K13" s="62"/>
      <c r="L13" s="56"/>
      <c r="M13" s="57"/>
    </row>
    <row r="14" spans="1:13">
      <c r="A14" s="56"/>
      <c r="B14" s="57"/>
      <c r="C14" s="58"/>
      <c r="D14" s="56"/>
      <c r="E14" s="59"/>
      <c r="F14" s="59"/>
      <c r="G14" s="60" t="str">
        <f t="shared" si="0"/>
        <v/>
      </c>
      <c r="H14" s="61" t="str">
        <f t="shared" si="1"/>
        <v/>
      </c>
      <c r="I14" s="56"/>
      <c r="J14" s="62"/>
      <c r="K14" s="62"/>
      <c r="L14" s="56"/>
      <c r="M14" s="57"/>
    </row>
    <row r="15" spans="1:13">
      <c r="A15" s="56"/>
      <c r="B15" s="57"/>
      <c r="C15" s="58"/>
      <c r="D15" s="56"/>
      <c r="E15" s="59"/>
      <c r="F15" s="59"/>
      <c r="G15" s="60" t="str">
        <f t="shared" si="0"/>
        <v/>
      </c>
      <c r="H15" s="61" t="str">
        <f t="shared" si="1"/>
        <v/>
      </c>
      <c r="I15" s="56"/>
      <c r="J15" s="62"/>
      <c r="K15" s="62"/>
      <c r="L15" s="56"/>
      <c r="M15" s="57"/>
    </row>
    <row r="16" spans="1:13">
      <c r="A16" s="56"/>
      <c r="B16" s="57"/>
      <c r="C16" s="58"/>
      <c r="D16" s="56"/>
      <c r="E16" s="59"/>
      <c r="F16" s="59"/>
      <c r="G16" s="60" t="str">
        <f t="shared" si="0"/>
        <v/>
      </c>
      <c r="H16" s="61" t="str">
        <f t="shared" si="1"/>
        <v/>
      </c>
      <c r="I16" s="56"/>
      <c r="J16" s="62"/>
      <c r="K16" s="62"/>
      <c r="L16" s="56"/>
      <c r="M16" s="57"/>
    </row>
    <row r="17" spans="1:13">
      <c r="A17" s="56"/>
      <c r="B17" s="57"/>
      <c r="C17" s="58"/>
      <c r="D17" s="56"/>
      <c r="E17" s="59"/>
      <c r="F17" s="59"/>
      <c r="G17" s="60" t="str">
        <f t="shared" si="0"/>
        <v/>
      </c>
      <c r="H17" s="61" t="str">
        <f t="shared" si="1"/>
        <v/>
      </c>
      <c r="I17" s="56"/>
      <c r="J17" s="62"/>
      <c r="K17" s="62"/>
      <c r="L17" s="56"/>
      <c r="M17" s="57"/>
    </row>
    <row r="18" spans="1:13">
      <c r="A18" s="56"/>
      <c r="B18" s="57"/>
      <c r="C18" s="58"/>
      <c r="D18" s="56"/>
      <c r="E18" s="59"/>
      <c r="F18" s="59"/>
      <c r="G18" s="60" t="str">
        <f t="shared" si="0"/>
        <v/>
      </c>
      <c r="H18" s="61" t="str">
        <f t="shared" si="1"/>
        <v/>
      </c>
      <c r="I18" s="56"/>
      <c r="J18" s="62"/>
      <c r="K18" s="62"/>
      <c r="L18" s="56"/>
      <c r="M18" s="57"/>
    </row>
    <row r="19" spans="1:13">
      <c r="A19" s="56"/>
      <c r="B19" s="57"/>
      <c r="C19" s="58"/>
      <c r="D19" s="56"/>
      <c r="E19" s="59"/>
      <c r="F19" s="59"/>
      <c r="G19" s="60" t="str">
        <f t="shared" si="0"/>
        <v/>
      </c>
      <c r="H19" s="61" t="str">
        <f t="shared" si="1"/>
        <v/>
      </c>
      <c r="I19" s="56"/>
      <c r="J19" s="62"/>
      <c r="K19" s="62"/>
      <c r="L19" s="56"/>
      <c r="M19" s="57"/>
    </row>
    <row r="20" spans="1:13">
      <c r="A20" s="56"/>
      <c r="B20" s="57"/>
      <c r="C20" s="58"/>
      <c r="D20" s="56"/>
      <c r="E20" s="59"/>
      <c r="F20" s="59"/>
      <c r="G20" s="60" t="str">
        <f t="shared" si="0"/>
        <v/>
      </c>
      <c r="H20" s="61" t="str">
        <f t="shared" si="1"/>
        <v/>
      </c>
      <c r="I20" s="56"/>
      <c r="J20" s="62"/>
      <c r="K20" s="62"/>
      <c r="L20" s="56"/>
      <c r="M20" s="57"/>
    </row>
    <row r="21" spans="1:13">
      <c r="A21" s="56"/>
      <c r="B21" s="57"/>
      <c r="C21" s="58"/>
      <c r="D21" s="56"/>
      <c r="E21" s="59"/>
      <c r="F21" s="59"/>
      <c r="G21" s="60" t="str">
        <f t="shared" si="0"/>
        <v/>
      </c>
      <c r="H21" s="61" t="str">
        <f t="shared" si="1"/>
        <v/>
      </c>
      <c r="I21" s="56"/>
      <c r="J21" s="62"/>
      <c r="K21" s="62"/>
      <c r="L21" s="56"/>
      <c r="M21" s="57"/>
    </row>
    <row r="22" spans="1:13">
      <c r="A22" s="56"/>
      <c r="B22" s="57"/>
      <c r="C22" s="58"/>
      <c r="D22" s="56"/>
      <c r="E22" s="59"/>
      <c r="F22" s="59"/>
      <c r="G22" s="60" t="str">
        <f t="shared" si="0"/>
        <v/>
      </c>
      <c r="H22" s="61" t="str">
        <f t="shared" si="1"/>
        <v/>
      </c>
      <c r="I22" s="56"/>
      <c r="J22" s="62"/>
      <c r="K22" s="62"/>
      <c r="L22" s="56"/>
      <c r="M22" s="57"/>
    </row>
    <row r="23" spans="1:13">
      <c r="A23" s="56"/>
      <c r="B23" s="57"/>
      <c r="C23" s="58"/>
      <c r="D23" s="56"/>
      <c r="E23" s="59"/>
      <c r="F23" s="59"/>
      <c r="G23" s="60" t="str">
        <f t="shared" si="0"/>
        <v/>
      </c>
      <c r="H23" s="61" t="str">
        <f t="shared" si="1"/>
        <v/>
      </c>
      <c r="I23" s="56"/>
      <c r="J23" s="62"/>
      <c r="K23" s="62"/>
      <c r="L23" s="56"/>
      <c r="M23" s="57"/>
    </row>
    <row r="24" spans="1:13">
      <c r="A24" s="56"/>
      <c r="B24" s="57"/>
      <c r="C24" s="58"/>
      <c r="D24" s="56"/>
      <c r="E24" s="59"/>
      <c r="F24" s="59"/>
      <c r="G24" s="60" t="str">
        <f t="shared" si="0"/>
        <v/>
      </c>
      <c r="H24" s="61" t="str">
        <f t="shared" si="1"/>
        <v/>
      </c>
      <c r="I24" s="56"/>
      <c r="J24" s="62"/>
      <c r="K24" s="62"/>
      <c r="L24" s="56"/>
      <c r="M24" s="57"/>
    </row>
    <row r="25" spans="1:13">
      <c r="A25" s="56"/>
      <c r="B25" s="57"/>
      <c r="C25" s="58"/>
      <c r="D25" s="56"/>
      <c r="E25" s="59"/>
      <c r="F25" s="59"/>
      <c r="G25" s="60" t="str">
        <f t="shared" si="0"/>
        <v/>
      </c>
      <c r="H25" s="61" t="str">
        <f t="shared" si="1"/>
        <v/>
      </c>
      <c r="I25" s="56"/>
      <c r="J25" s="62"/>
      <c r="K25" s="62"/>
      <c r="L25" s="56"/>
      <c r="M25" s="57"/>
    </row>
    <row r="26" spans="1:13">
      <c r="A26" s="56"/>
      <c r="B26" s="57"/>
      <c r="C26" s="58"/>
      <c r="D26" s="56"/>
      <c r="E26" s="59"/>
      <c r="F26" s="59"/>
      <c r="G26" s="60" t="str">
        <f t="shared" si="0"/>
        <v/>
      </c>
      <c r="H26" s="61" t="str">
        <f t="shared" si="1"/>
        <v/>
      </c>
      <c r="I26" s="56"/>
      <c r="J26" s="62"/>
      <c r="K26" s="62"/>
      <c r="L26" s="56"/>
      <c r="M26" s="57"/>
    </row>
    <row r="27" spans="1:13">
      <c r="A27" s="56"/>
      <c r="B27" s="57"/>
      <c r="C27" s="58"/>
      <c r="D27" s="56"/>
      <c r="E27" s="59"/>
      <c r="F27" s="59"/>
      <c r="G27" s="60" t="str">
        <f t="shared" si="0"/>
        <v/>
      </c>
      <c r="H27" s="61" t="str">
        <f t="shared" si="1"/>
        <v/>
      </c>
      <c r="I27" s="56"/>
      <c r="J27" s="62"/>
      <c r="K27" s="62"/>
      <c r="L27" s="56"/>
      <c r="M27" s="57"/>
    </row>
    <row r="28" spans="1:13">
      <c r="A28" s="56"/>
      <c r="B28" s="57"/>
      <c r="C28" s="58"/>
      <c r="D28" s="56"/>
      <c r="E28" s="59"/>
      <c r="F28" s="59"/>
      <c r="G28" s="60" t="str">
        <f t="shared" si="0"/>
        <v/>
      </c>
      <c r="H28" s="61" t="str">
        <f t="shared" si="1"/>
        <v/>
      </c>
      <c r="I28" s="56"/>
      <c r="J28" s="62"/>
      <c r="K28" s="62"/>
      <c r="L28" s="56"/>
      <c r="M28" s="57"/>
    </row>
    <row r="29" spans="1:13">
      <c r="A29" s="56"/>
      <c r="B29" s="57"/>
      <c r="C29" s="58"/>
      <c r="D29" s="56"/>
      <c r="E29" s="59"/>
      <c r="F29" s="59"/>
      <c r="G29" s="60" t="str">
        <f t="shared" si="0"/>
        <v/>
      </c>
      <c r="H29" s="61" t="str">
        <f t="shared" si="1"/>
        <v/>
      </c>
      <c r="I29" s="56"/>
      <c r="J29" s="62"/>
      <c r="K29" s="62"/>
      <c r="L29" s="56"/>
      <c r="M29" s="57"/>
    </row>
    <row r="30" spans="1:13">
      <c r="A30" s="56"/>
      <c r="B30" s="57"/>
      <c r="C30" s="58"/>
      <c r="D30" s="56"/>
      <c r="E30" s="59"/>
      <c r="F30" s="59"/>
      <c r="G30" s="60" t="str">
        <f t="shared" si="0"/>
        <v/>
      </c>
      <c r="H30" s="61" t="str">
        <f t="shared" si="1"/>
        <v/>
      </c>
      <c r="I30" s="56"/>
      <c r="J30" s="62"/>
      <c r="K30" s="62"/>
      <c r="L30" s="56"/>
      <c r="M30" s="57"/>
    </row>
    <row r="31" spans="1:13">
      <c r="A31" s="56"/>
      <c r="B31" s="57"/>
      <c r="C31" s="58"/>
      <c r="D31" s="56"/>
      <c r="E31" s="59"/>
      <c r="F31" s="59"/>
      <c r="G31" s="60" t="str">
        <f t="shared" si="0"/>
        <v/>
      </c>
      <c r="H31" s="61" t="str">
        <f t="shared" si="1"/>
        <v/>
      </c>
      <c r="I31" s="56"/>
      <c r="J31" s="62"/>
      <c r="K31" s="62"/>
      <c r="L31" s="56"/>
      <c r="M31" s="57"/>
    </row>
    <row r="32" spans="1:13">
      <c r="A32" s="56"/>
      <c r="B32" s="57"/>
      <c r="C32" s="58"/>
      <c r="D32" s="56"/>
      <c r="E32" s="59"/>
      <c r="F32" s="59"/>
      <c r="G32" s="60" t="str">
        <f t="shared" si="0"/>
        <v/>
      </c>
      <c r="H32" s="61" t="str">
        <f t="shared" si="1"/>
        <v/>
      </c>
      <c r="I32" s="56"/>
      <c r="J32" s="62"/>
      <c r="K32" s="62"/>
      <c r="L32" s="56"/>
      <c r="M32" s="57"/>
    </row>
    <row r="33" spans="1:13">
      <c r="A33" s="56"/>
      <c r="B33" s="57"/>
      <c r="C33" s="58"/>
      <c r="D33" s="56"/>
      <c r="E33" s="59"/>
      <c r="F33" s="59"/>
      <c r="G33" s="60" t="str">
        <f t="shared" si="0"/>
        <v/>
      </c>
      <c r="H33" s="61" t="str">
        <f t="shared" si="1"/>
        <v/>
      </c>
      <c r="I33" s="56"/>
      <c r="J33" s="62"/>
      <c r="K33" s="62"/>
      <c r="L33" s="56"/>
      <c r="M33" s="57"/>
    </row>
    <row r="34" spans="1:13">
      <c r="A34" s="56"/>
      <c r="B34" s="57"/>
      <c r="C34" s="58"/>
      <c r="D34" s="56"/>
      <c r="E34" s="59"/>
      <c r="F34" s="59"/>
      <c r="G34" s="60" t="str">
        <f t="shared" si="0"/>
        <v/>
      </c>
      <c r="H34" s="61" t="str">
        <f t="shared" si="1"/>
        <v/>
      </c>
      <c r="I34" s="56"/>
      <c r="J34" s="62"/>
      <c r="K34" s="62"/>
      <c r="L34" s="56"/>
      <c r="M34" s="57"/>
    </row>
    <row r="35" spans="1:13">
      <c r="A35" s="56"/>
      <c r="B35" s="57"/>
      <c r="C35" s="58"/>
      <c r="D35" s="56"/>
      <c r="E35" s="59"/>
      <c r="F35" s="59"/>
      <c r="G35" s="60" t="str">
        <f t="shared" si="0"/>
        <v/>
      </c>
      <c r="H35" s="61" t="str">
        <f t="shared" si="1"/>
        <v/>
      </c>
      <c r="I35" s="56"/>
      <c r="J35" s="62"/>
      <c r="K35" s="62"/>
      <c r="L35" s="56"/>
      <c r="M35" s="57"/>
    </row>
    <row r="36" spans="1:13">
      <c r="A36" s="56"/>
      <c r="B36" s="57"/>
      <c r="C36" s="58"/>
      <c r="D36" s="56"/>
      <c r="E36" s="59"/>
      <c r="F36" s="59"/>
      <c r="G36" s="60" t="str">
        <f t="shared" si="0"/>
        <v/>
      </c>
      <c r="H36" s="61" t="str">
        <f t="shared" si="1"/>
        <v/>
      </c>
      <c r="I36" s="56"/>
      <c r="J36" s="62"/>
      <c r="K36" s="62"/>
      <c r="L36" s="56"/>
      <c r="M36" s="57"/>
    </row>
    <row r="37" spans="1:13">
      <c r="A37" s="56"/>
      <c r="B37" s="57"/>
      <c r="C37" s="58"/>
      <c r="D37" s="56"/>
      <c r="E37" s="59"/>
      <c r="F37" s="59"/>
      <c r="G37" s="60" t="str">
        <f t="shared" si="0"/>
        <v/>
      </c>
      <c r="H37" s="61" t="str">
        <f t="shared" si="1"/>
        <v/>
      </c>
      <c r="I37" s="56"/>
      <c r="J37" s="62"/>
      <c r="K37" s="62"/>
      <c r="L37" s="56"/>
      <c r="M37" s="57"/>
    </row>
    <row r="38" spans="1:13">
      <c r="A38" s="56"/>
      <c r="B38" s="57"/>
      <c r="C38" s="58"/>
      <c r="D38" s="56"/>
      <c r="E38" s="59"/>
      <c r="F38" s="59"/>
      <c r="G38" s="60" t="str">
        <f t="shared" si="0"/>
        <v/>
      </c>
      <c r="H38" s="61" t="str">
        <f t="shared" si="1"/>
        <v/>
      </c>
      <c r="I38" s="56"/>
      <c r="J38" s="62"/>
      <c r="K38" s="62"/>
      <c r="L38" s="56"/>
      <c r="M38" s="57"/>
    </row>
    <row r="39" spans="1:13">
      <c r="A39" s="56"/>
      <c r="B39" s="57"/>
      <c r="C39" s="58"/>
      <c r="D39" s="56"/>
      <c r="E39" s="59"/>
      <c r="F39" s="59"/>
      <c r="G39" s="60" t="str">
        <f t="shared" si="0"/>
        <v/>
      </c>
      <c r="H39" s="61" t="str">
        <f t="shared" si="1"/>
        <v/>
      </c>
      <c r="I39" s="56"/>
      <c r="J39" s="62"/>
      <c r="K39" s="62"/>
      <c r="L39" s="56"/>
      <c r="M39" s="57"/>
    </row>
    <row r="40" spans="1:13">
      <c r="A40" s="56"/>
      <c r="B40" s="57"/>
      <c r="C40" s="58"/>
      <c r="D40" s="56"/>
      <c r="E40" s="59"/>
      <c r="F40" s="59"/>
      <c r="G40" s="60" t="str">
        <f t="shared" si="0"/>
        <v/>
      </c>
      <c r="H40" s="61" t="str">
        <f t="shared" si="1"/>
        <v/>
      </c>
      <c r="I40" s="56"/>
      <c r="J40" s="62"/>
      <c r="K40" s="62"/>
      <c r="L40" s="56"/>
      <c r="M40" s="57"/>
    </row>
    <row r="41" spans="1:13">
      <c r="A41" s="56"/>
      <c r="B41" s="57"/>
      <c r="C41" s="58"/>
      <c r="D41" s="56"/>
      <c r="E41" s="59"/>
      <c r="F41" s="59"/>
      <c r="G41" s="60" t="str">
        <f t="shared" si="0"/>
        <v/>
      </c>
      <c r="H41" s="61" t="str">
        <f t="shared" si="1"/>
        <v/>
      </c>
      <c r="I41" s="56"/>
      <c r="J41" s="62"/>
      <c r="K41" s="62"/>
      <c r="L41" s="56"/>
      <c r="M41" s="57"/>
    </row>
    <row r="42" spans="1:13">
      <c r="A42" s="56"/>
      <c r="B42" s="57"/>
      <c r="C42" s="58"/>
      <c r="D42" s="56"/>
      <c r="E42" s="59"/>
      <c r="F42" s="59"/>
      <c r="G42" s="60" t="str">
        <f t="shared" si="0"/>
        <v/>
      </c>
      <c r="H42" s="61" t="str">
        <f t="shared" si="1"/>
        <v/>
      </c>
      <c r="I42" s="56"/>
      <c r="J42" s="62"/>
      <c r="K42" s="62"/>
      <c r="L42" s="56"/>
      <c r="M42" s="57"/>
    </row>
    <row r="43" spans="1:13">
      <c r="A43" s="56"/>
      <c r="B43" s="57"/>
      <c r="C43" s="58"/>
      <c r="D43" s="56"/>
      <c r="E43" s="59"/>
      <c r="F43" s="59"/>
      <c r="G43" s="60" t="str">
        <f t="shared" si="0"/>
        <v/>
      </c>
      <c r="H43" s="61" t="str">
        <f t="shared" si="1"/>
        <v/>
      </c>
      <c r="I43" s="56"/>
      <c r="J43" s="62"/>
      <c r="K43" s="62"/>
      <c r="L43" s="56"/>
      <c r="M43" s="57"/>
    </row>
    <row r="44" spans="1:13">
      <c r="A44" s="56"/>
      <c r="B44" s="57"/>
      <c r="C44" s="58"/>
      <c r="D44" s="56"/>
      <c r="E44" s="59"/>
      <c r="F44" s="59"/>
      <c r="G44" s="60" t="str">
        <f t="shared" si="0"/>
        <v/>
      </c>
      <c r="H44" s="61" t="str">
        <f t="shared" si="1"/>
        <v/>
      </c>
      <c r="I44" s="56"/>
      <c r="J44" s="62"/>
      <c r="K44" s="62"/>
      <c r="L44" s="56"/>
      <c r="M44" s="57"/>
    </row>
    <row r="45" spans="1:13">
      <c r="A45" s="56"/>
      <c r="B45" s="57"/>
      <c r="C45" s="58"/>
      <c r="D45" s="56"/>
      <c r="E45" s="59"/>
      <c r="F45" s="59"/>
      <c r="G45" s="60" t="str">
        <f t="shared" si="0"/>
        <v/>
      </c>
      <c r="H45" s="61" t="str">
        <f t="shared" si="1"/>
        <v/>
      </c>
      <c r="I45" s="56"/>
      <c r="J45" s="62"/>
      <c r="K45" s="62"/>
      <c r="L45" s="56"/>
      <c r="M45" s="57"/>
    </row>
    <row r="46" spans="1:13">
      <c r="A46" s="56"/>
      <c r="B46" s="57"/>
      <c r="C46" s="58"/>
      <c r="D46" s="56"/>
      <c r="E46" s="59"/>
      <c r="F46" s="59"/>
      <c r="G46" s="60" t="str">
        <f t="shared" si="0"/>
        <v/>
      </c>
      <c r="H46" s="61" t="str">
        <f t="shared" si="1"/>
        <v/>
      </c>
      <c r="I46" s="56"/>
      <c r="J46" s="62"/>
      <c r="K46" s="62"/>
      <c r="L46" s="56"/>
      <c r="M46" s="57"/>
    </row>
    <row r="47" spans="1:13">
      <c r="A47" s="56"/>
      <c r="B47" s="57"/>
      <c r="C47" s="58"/>
      <c r="D47" s="56"/>
      <c r="E47" s="59"/>
      <c r="F47" s="59"/>
      <c r="G47" s="60" t="str">
        <f t="shared" si="0"/>
        <v/>
      </c>
      <c r="H47" s="61" t="str">
        <f t="shared" si="1"/>
        <v/>
      </c>
      <c r="I47" s="56"/>
      <c r="J47" s="62"/>
      <c r="K47" s="62"/>
      <c r="L47" s="56"/>
      <c r="M47" s="57"/>
    </row>
    <row r="48" spans="1:13">
      <c r="A48" s="56"/>
      <c r="B48" s="57"/>
      <c r="C48" s="58"/>
      <c r="D48" s="56"/>
      <c r="E48" s="59"/>
      <c r="F48" s="59"/>
      <c r="G48" s="60" t="str">
        <f t="shared" si="0"/>
        <v/>
      </c>
      <c r="H48" s="61" t="str">
        <f t="shared" si="1"/>
        <v/>
      </c>
      <c r="I48" s="56"/>
      <c r="J48" s="62"/>
      <c r="K48" s="62"/>
      <c r="L48" s="56"/>
      <c r="M48" s="57"/>
    </row>
    <row r="49" spans="1:13">
      <c r="A49" s="56"/>
      <c r="B49" s="57"/>
      <c r="C49" s="58"/>
      <c r="D49" s="56"/>
      <c r="E49" s="59"/>
      <c r="F49" s="59"/>
      <c r="G49" s="60" t="str">
        <f t="shared" si="0"/>
        <v/>
      </c>
      <c r="H49" s="61" t="str">
        <f t="shared" si="1"/>
        <v/>
      </c>
      <c r="I49" s="56"/>
      <c r="J49" s="62"/>
      <c r="K49" s="62"/>
      <c r="L49" s="56"/>
      <c r="M49" s="57"/>
    </row>
    <row r="50" spans="1:13">
      <c r="A50" s="56"/>
      <c r="B50" s="57"/>
      <c r="C50" s="58"/>
      <c r="D50" s="56"/>
      <c r="E50" s="59"/>
      <c r="F50" s="59"/>
      <c r="G50" s="60" t="str">
        <f t="shared" si="0"/>
        <v/>
      </c>
      <c r="H50" s="61" t="str">
        <f t="shared" si="1"/>
        <v/>
      </c>
      <c r="I50" s="56"/>
      <c r="J50" s="62"/>
      <c r="K50" s="62"/>
      <c r="L50" s="56"/>
      <c r="M50" s="57"/>
    </row>
    <row r="51" spans="1:13">
      <c r="A51" s="56"/>
      <c r="B51" s="57"/>
      <c r="C51" s="58"/>
      <c r="D51" s="56"/>
      <c r="E51" s="59"/>
      <c r="F51" s="59"/>
      <c r="G51" s="60" t="str">
        <f t="shared" si="0"/>
        <v/>
      </c>
      <c r="H51" s="61" t="str">
        <f t="shared" si="1"/>
        <v/>
      </c>
      <c r="I51" s="56"/>
      <c r="J51" s="62"/>
      <c r="K51" s="62"/>
      <c r="L51" s="56"/>
      <c r="M51" s="57"/>
    </row>
    <row r="52" spans="1:13">
      <c r="A52" s="56"/>
      <c r="B52" s="57"/>
      <c r="C52" s="58"/>
      <c r="D52" s="56"/>
      <c r="E52" s="59"/>
      <c r="F52" s="59"/>
      <c r="G52" s="60" t="str">
        <f t="shared" si="0"/>
        <v/>
      </c>
      <c r="H52" s="61" t="str">
        <f t="shared" si="1"/>
        <v/>
      </c>
      <c r="I52" s="56"/>
      <c r="J52" s="62"/>
      <c r="K52" s="62"/>
      <c r="L52" s="56"/>
      <c r="M52" s="57"/>
    </row>
    <row r="53" spans="1:13">
      <c r="A53" s="56"/>
      <c r="B53" s="57"/>
      <c r="C53" s="58"/>
      <c r="D53" s="56"/>
      <c r="E53" s="59"/>
      <c r="F53" s="59"/>
      <c r="G53" s="60" t="str">
        <f t="shared" si="0"/>
        <v/>
      </c>
      <c r="H53" s="61" t="str">
        <f t="shared" si="1"/>
        <v/>
      </c>
      <c r="I53" s="56"/>
      <c r="J53" s="62"/>
      <c r="K53" s="62"/>
      <c r="L53" s="56"/>
      <c r="M53" s="57"/>
    </row>
    <row r="54" spans="1:13">
      <c r="A54" s="56"/>
      <c r="B54" s="57"/>
      <c r="C54" s="58"/>
      <c r="D54" s="56"/>
      <c r="E54" s="59"/>
      <c r="F54" s="59"/>
      <c r="G54" s="60" t="str">
        <f t="shared" si="0"/>
        <v/>
      </c>
      <c r="H54" s="61" t="str">
        <f t="shared" si="1"/>
        <v/>
      </c>
      <c r="I54" s="56"/>
      <c r="J54" s="62"/>
      <c r="K54" s="62"/>
      <c r="L54" s="56"/>
      <c r="M54" s="57"/>
    </row>
    <row r="55" spans="1:13">
      <c r="A55" s="56"/>
      <c r="B55" s="57"/>
      <c r="C55" s="58"/>
      <c r="D55" s="56"/>
      <c r="E55" s="59"/>
      <c r="F55" s="59"/>
      <c r="G55" s="60" t="str">
        <f t="shared" si="0"/>
        <v/>
      </c>
      <c r="H55" s="61" t="str">
        <f t="shared" si="1"/>
        <v/>
      </c>
      <c r="I55" s="56"/>
      <c r="J55" s="62"/>
      <c r="K55" s="62"/>
      <c r="L55" s="56"/>
      <c r="M55" s="57"/>
    </row>
    <row r="56" spans="1:13">
      <c r="A56" s="56"/>
      <c r="B56" s="57"/>
      <c r="C56" s="58"/>
      <c r="D56" s="56"/>
      <c r="E56" s="59"/>
      <c r="F56" s="59"/>
      <c r="G56" s="60" t="str">
        <f t="shared" si="0"/>
        <v/>
      </c>
      <c r="H56" s="61" t="str">
        <f t="shared" si="1"/>
        <v/>
      </c>
      <c r="I56" s="56"/>
      <c r="J56" s="62"/>
      <c r="K56" s="62"/>
      <c r="L56" s="56"/>
      <c r="M56" s="57"/>
    </row>
    <row r="57" spans="1:13">
      <c r="A57" s="56"/>
      <c r="B57" s="57"/>
      <c r="C57" s="58"/>
      <c r="D57" s="56"/>
      <c r="E57" s="59"/>
      <c r="F57" s="59"/>
      <c r="G57" s="60" t="str">
        <f t="shared" si="0"/>
        <v/>
      </c>
      <c r="H57" s="61" t="str">
        <f t="shared" si="1"/>
        <v/>
      </c>
      <c r="I57" s="56"/>
      <c r="J57" s="62"/>
      <c r="K57" s="62"/>
      <c r="L57" s="56"/>
      <c r="M57" s="57"/>
    </row>
    <row r="58" spans="1:13">
      <c r="A58" s="56"/>
      <c r="B58" s="57"/>
      <c r="C58" s="58"/>
      <c r="D58" s="56"/>
      <c r="E58" s="59"/>
      <c r="F58" s="59"/>
      <c r="G58" s="60" t="str">
        <f t="shared" si="0"/>
        <v/>
      </c>
      <c r="H58" s="61" t="str">
        <f t="shared" si="1"/>
        <v/>
      </c>
      <c r="I58" s="56"/>
      <c r="J58" s="62"/>
      <c r="K58" s="62"/>
      <c r="L58" s="56"/>
      <c r="M58" s="57"/>
    </row>
    <row r="59" spans="1:13">
      <c r="A59" s="56"/>
      <c r="B59" s="57"/>
      <c r="C59" s="58"/>
      <c r="D59" s="56"/>
      <c r="E59" s="59"/>
      <c r="F59" s="59"/>
      <c r="G59" s="60" t="str">
        <f t="shared" si="0"/>
        <v/>
      </c>
      <c r="H59" s="61" t="str">
        <f t="shared" si="1"/>
        <v/>
      </c>
      <c r="I59" s="56"/>
      <c r="J59" s="62"/>
      <c r="K59" s="62"/>
      <c r="L59" s="56"/>
      <c r="M59" s="57"/>
    </row>
    <row r="60" spans="1:13">
      <c r="A60" s="56"/>
      <c r="B60" s="57"/>
      <c r="C60" s="58"/>
      <c r="D60" s="56"/>
      <c r="E60" s="59"/>
      <c r="F60" s="59"/>
      <c r="G60" s="60" t="str">
        <f t="shared" si="0"/>
        <v/>
      </c>
      <c r="H60" s="61" t="str">
        <f t="shared" si="1"/>
        <v/>
      </c>
      <c r="I60" s="56"/>
      <c r="J60" s="62"/>
      <c r="K60" s="62"/>
      <c r="L60" s="56"/>
      <c r="M60" s="57"/>
    </row>
    <row r="61" spans="1:13">
      <c r="A61" s="56"/>
      <c r="B61" s="57"/>
      <c r="C61" s="58"/>
      <c r="D61" s="56"/>
      <c r="E61" s="59"/>
      <c r="F61" s="59"/>
      <c r="G61" s="60" t="str">
        <f t="shared" si="0"/>
        <v/>
      </c>
      <c r="H61" s="61" t="str">
        <f t="shared" si="1"/>
        <v/>
      </c>
      <c r="I61" s="56"/>
      <c r="J61" s="62"/>
      <c r="K61" s="62"/>
      <c r="L61" s="56"/>
      <c r="M61" s="57"/>
    </row>
    <row r="62" spans="1:13">
      <c r="A62" s="56"/>
      <c r="B62" s="57"/>
      <c r="C62" s="58"/>
      <c r="D62" s="56"/>
      <c r="E62" s="59"/>
      <c r="F62" s="59"/>
      <c r="G62" s="60" t="str">
        <f t="shared" si="0"/>
        <v/>
      </c>
      <c r="H62" s="61" t="str">
        <f t="shared" si="1"/>
        <v/>
      </c>
      <c r="I62" s="56"/>
      <c r="J62" s="62"/>
      <c r="K62" s="62"/>
      <c r="L62" s="56"/>
      <c r="M62" s="57"/>
    </row>
    <row r="63" spans="1:13">
      <c r="A63" s="56"/>
      <c r="B63" s="57"/>
      <c r="C63" s="58"/>
      <c r="D63" s="56"/>
      <c r="E63" s="59"/>
      <c r="F63" s="59"/>
      <c r="G63" s="60" t="str">
        <f t="shared" si="0"/>
        <v/>
      </c>
      <c r="H63" s="61" t="str">
        <f t="shared" si="1"/>
        <v/>
      </c>
      <c r="I63" s="56"/>
      <c r="J63" s="62"/>
      <c r="K63" s="62"/>
      <c r="L63" s="56"/>
      <c r="M63" s="57"/>
    </row>
    <row r="64" spans="1:13">
      <c r="A64" s="56"/>
      <c r="B64" s="57"/>
      <c r="C64" s="58"/>
      <c r="D64" s="56"/>
      <c r="E64" s="59"/>
      <c r="F64" s="59"/>
      <c r="G64" s="60" t="str">
        <f t="shared" si="0"/>
        <v/>
      </c>
      <c r="H64" s="61" t="str">
        <f t="shared" si="1"/>
        <v/>
      </c>
      <c r="I64" s="56"/>
      <c r="J64" s="62"/>
      <c r="K64" s="62"/>
      <c r="L64" s="56"/>
      <c r="M64" s="57"/>
    </row>
    <row r="65" spans="1:13">
      <c r="A65" s="56"/>
      <c r="B65" s="57"/>
      <c r="C65" s="58"/>
      <c r="D65" s="56"/>
      <c r="E65" s="59"/>
      <c r="F65" s="59"/>
      <c r="G65" s="60" t="str">
        <f t="shared" si="0"/>
        <v/>
      </c>
      <c r="H65" s="61" t="str">
        <f t="shared" si="1"/>
        <v/>
      </c>
      <c r="I65" s="56"/>
      <c r="J65" s="62"/>
      <c r="K65" s="62"/>
      <c r="L65" s="56"/>
      <c r="M65" s="57"/>
    </row>
    <row r="66" spans="1:13">
      <c r="A66" s="56"/>
      <c r="B66" s="57"/>
      <c r="C66" s="58"/>
      <c r="D66" s="56"/>
      <c r="E66" s="59"/>
      <c r="F66" s="59"/>
      <c r="G66" s="60" t="str">
        <f t="shared" si="0"/>
        <v/>
      </c>
      <c r="H66" s="61" t="str">
        <f t="shared" si="1"/>
        <v/>
      </c>
      <c r="I66" s="56"/>
      <c r="J66" s="62"/>
      <c r="K66" s="62"/>
      <c r="L66" s="56"/>
      <c r="M66" s="57"/>
    </row>
    <row r="67" spans="1:13">
      <c r="A67" s="56"/>
      <c r="B67" s="57"/>
      <c r="C67" s="58"/>
      <c r="D67" s="56"/>
      <c r="E67" s="59"/>
      <c r="F67" s="59"/>
      <c r="G67" s="60" t="str">
        <f t="shared" si="0"/>
        <v/>
      </c>
      <c r="H67" s="61" t="str">
        <f t="shared" si="1"/>
        <v/>
      </c>
      <c r="I67" s="56"/>
      <c r="J67" s="62"/>
      <c r="K67" s="62"/>
      <c r="L67" s="56"/>
      <c r="M67" s="57"/>
    </row>
    <row r="68" spans="1:13">
      <c r="A68" s="56"/>
      <c r="B68" s="57"/>
      <c r="C68" s="58"/>
      <c r="D68" s="56"/>
      <c r="E68" s="59"/>
      <c r="F68" s="59"/>
      <c r="G68" s="60" t="str">
        <f t="shared" si="0"/>
        <v/>
      </c>
      <c r="H68" s="61" t="str">
        <f t="shared" si="1"/>
        <v/>
      </c>
      <c r="I68" s="56"/>
      <c r="J68" s="62"/>
      <c r="K68" s="62"/>
      <c r="L68" s="56"/>
      <c r="M68" s="57"/>
    </row>
    <row r="69" spans="1:13">
      <c r="A69" s="56"/>
      <c r="B69" s="57"/>
      <c r="C69" s="58"/>
      <c r="D69" s="56"/>
      <c r="E69" s="59"/>
      <c r="F69" s="59"/>
      <c r="G69" s="60" t="str">
        <f t="shared" si="0"/>
        <v/>
      </c>
      <c r="H69" s="61" t="str">
        <f t="shared" si="1"/>
        <v/>
      </c>
      <c r="I69" s="56"/>
      <c r="J69" s="62"/>
      <c r="K69" s="62"/>
      <c r="L69" s="56"/>
      <c r="M69" s="57"/>
    </row>
    <row r="70" spans="1:13">
      <c r="A70" s="56"/>
      <c r="B70" s="57"/>
      <c r="C70" s="58"/>
      <c r="D70" s="56"/>
      <c r="E70" s="59"/>
      <c r="F70" s="59"/>
      <c r="G70" s="60" t="str">
        <f t="shared" ref="G70:G105" si="2">IF(A70="","",SUMIFS($F$6:F70,$B$6:B70,B70,$C$6:C70,C70))</f>
        <v/>
      </c>
      <c r="H70" s="61" t="str">
        <f t="shared" ref="H70:H105" si="3">IF(A70="","",IFERROR(G70/E70,0))</f>
        <v/>
      </c>
      <c r="I70" s="56"/>
      <c r="J70" s="62"/>
      <c r="K70" s="62"/>
      <c r="L70" s="56"/>
      <c r="M70" s="57"/>
    </row>
    <row r="71" spans="1:13">
      <c r="A71" s="56"/>
      <c r="B71" s="57"/>
      <c r="C71" s="58"/>
      <c r="D71" s="56"/>
      <c r="E71" s="59"/>
      <c r="F71" s="59"/>
      <c r="G71" s="60" t="str">
        <f t="shared" si="2"/>
        <v/>
      </c>
      <c r="H71" s="61" t="str">
        <f t="shared" si="3"/>
        <v/>
      </c>
      <c r="I71" s="56"/>
      <c r="J71" s="62"/>
      <c r="K71" s="62"/>
      <c r="L71" s="56"/>
      <c r="M71" s="57"/>
    </row>
    <row r="72" spans="1:13">
      <c r="A72" s="56"/>
      <c r="B72" s="57"/>
      <c r="C72" s="58"/>
      <c r="D72" s="56"/>
      <c r="E72" s="59"/>
      <c r="F72" s="59"/>
      <c r="G72" s="60" t="str">
        <f t="shared" si="2"/>
        <v/>
      </c>
      <c r="H72" s="61" t="str">
        <f t="shared" si="3"/>
        <v/>
      </c>
      <c r="I72" s="56"/>
      <c r="J72" s="62"/>
      <c r="K72" s="62"/>
      <c r="L72" s="56"/>
      <c r="M72" s="57"/>
    </row>
    <row r="73" spans="1:13">
      <c r="A73" s="56"/>
      <c r="B73" s="57"/>
      <c r="C73" s="58"/>
      <c r="D73" s="56"/>
      <c r="E73" s="59"/>
      <c r="F73" s="59"/>
      <c r="G73" s="60" t="str">
        <f t="shared" si="2"/>
        <v/>
      </c>
      <c r="H73" s="61" t="str">
        <f t="shared" si="3"/>
        <v/>
      </c>
      <c r="I73" s="56"/>
      <c r="J73" s="62"/>
      <c r="K73" s="62"/>
      <c r="L73" s="56"/>
      <c r="M73" s="57"/>
    </row>
    <row r="74" spans="1:13">
      <c r="A74" s="56"/>
      <c r="B74" s="57"/>
      <c r="C74" s="58"/>
      <c r="D74" s="56"/>
      <c r="E74" s="59"/>
      <c r="F74" s="59"/>
      <c r="G74" s="60" t="str">
        <f t="shared" si="2"/>
        <v/>
      </c>
      <c r="H74" s="61" t="str">
        <f t="shared" si="3"/>
        <v/>
      </c>
      <c r="I74" s="56"/>
      <c r="J74" s="62"/>
      <c r="K74" s="62"/>
      <c r="L74" s="56"/>
      <c r="M74" s="57"/>
    </row>
    <row r="75" spans="1:13">
      <c r="A75" s="56"/>
      <c r="B75" s="57"/>
      <c r="C75" s="58"/>
      <c r="D75" s="56"/>
      <c r="E75" s="59"/>
      <c r="F75" s="59"/>
      <c r="G75" s="60" t="str">
        <f t="shared" si="2"/>
        <v/>
      </c>
      <c r="H75" s="61" t="str">
        <f t="shared" si="3"/>
        <v/>
      </c>
      <c r="I75" s="56"/>
      <c r="J75" s="62"/>
      <c r="K75" s="62"/>
      <c r="L75" s="56"/>
      <c r="M75" s="57"/>
    </row>
    <row r="76" spans="1:13">
      <c r="A76" s="56"/>
      <c r="B76" s="57"/>
      <c r="C76" s="58"/>
      <c r="D76" s="56"/>
      <c r="E76" s="59"/>
      <c r="F76" s="59"/>
      <c r="G76" s="60" t="str">
        <f t="shared" si="2"/>
        <v/>
      </c>
      <c r="H76" s="61" t="str">
        <f t="shared" si="3"/>
        <v/>
      </c>
      <c r="I76" s="56"/>
      <c r="J76" s="62"/>
      <c r="K76" s="62"/>
      <c r="L76" s="56"/>
      <c r="M76" s="57"/>
    </row>
    <row r="77" spans="1:13">
      <c r="A77" s="56"/>
      <c r="B77" s="57"/>
      <c r="C77" s="58"/>
      <c r="D77" s="56"/>
      <c r="E77" s="59"/>
      <c r="F77" s="59"/>
      <c r="G77" s="60" t="str">
        <f t="shared" si="2"/>
        <v/>
      </c>
      <c r="H77" s="61" t="str">
        <f t="shared" si="3"/>
        <v/>
      </c>
      <c r="I77" s="56"/>
      <c r="J77" s="62"/>
      <c r="K77" s="62"/>
      <c r="L77" s="56"/>
      <c r="M77" s="57"/>
    </row>
    <row r="78" spans="1:13">
      <c r="A78" s="56"/>
      <c r="B78" s="57"/>
      <c r="C78" s="58"/>
      <c r="D78" s="56"/>
      <c r="E78" s="59"/>
      <c r="F78" s="59"/>
      <c r="G78" s="60" t="str">
        <f t="shared" si="2"/>
        <v/>
      </c>
      <c r="H78" s="61" t="str">
        <f t="shared" si="3"/>
        <v/>
      </c>
      <c r="I78" s="56"/>
      <c r="J78" s="62"/>
      <c r="K78" s="62"/>
      <c r="L78" s="56"/>
      <c r="M78" s="57"/>
    </row>
    <row r="79" spans="1:13">
      <c r="A79" s="56"/>
      <c r="B79" s="57"/>
      <c r="C79" s="58"/>
      <c r="D79" s="56"/>
      <c r="E79" s="59"/>
      <c r="F79" s="59"/>
      <c r="G79" s="60" t="str">
        <f t="shared" si="2"/>
        <v/>
      </c>
      <c r="H79" s="61" t="str">
        <f t="shared" si="3"/>
        <v/>
      </c>
      <c r="I79" s="56"/>
      <c r="J79" s="62"/>
      <c r="K79" s="62"/>
      <c r="L79" s="56"/>
      <c r="M79" s="57"/>
    </row>
    <row r="80" spans="1:13">
      <c r="A80" s="56"/>
      <c r="B80" s="57"/>
      <c r="C80" s="58"/>
      <c r="D80" s="56"/>
      <c r="E80" s="59"/>
      <c r="F80" s="59"/>
      <c r="G80" s="60" t="str">
        <f t="shared" si="2"/>
        <v/>
      </c>
      <c r="H80" s="61" t="str">
        <f t="shared" si="3"/>
        <v/>
      </c>
      <c r="I80" s="56"/>
      <c r="J80" s="62"/>
      <c r="K80" s="62"/>
      <c r="L80" s="56"/>
      <c r="M80" s="57"/>
    </row>
    <row r="81" spans="1:13">
      <c r="A81" s="56"/>
      <c r="B81" s="57"/>
      <c r="C81" s="58"/>
      <c r="D81" s="56"/>
      <c r="E81" s="59"/>
      <c r="F81" s="59"/>
      <c r="G81" s="60" t="str">
        <f t="shared" si="2"/>
        <v/>
      </c>
      <c r="H81" s="61" t="str">
        <f t="shared" si="3"/>
        <v/>
      </c>
      <c r="I81" s="56"/>
      <c r="J81" s="62"/>
      <c r="K81" s="62"/>
      <c r="L81" s="56"/>
      <c r="M81" s="57"/>
    </row>
    <row r="82" spans="1:13">
      <c r="A82" s="56"/>
      <c r="B82" s="57"/>
      <c r="C82" s="58"/>
      <c r="D82" s="56"/>
      <c r="E82" s="59"/>
      <c r="F82" s="59"/>
      <c r="G82" s="60" t="str">
        <f t="shared" si="2"/>
        <v/>
      </c>
      <c r="H82" s="61" t="str">
        <f t="shared" si="3"/>
        <v/>
      </c>
      <c r="I82" s="56"/>
      <c r="J82" s="62"/>
      <c r="K82" s="62"/>
      <c r="L82" s="56"/>
      <c r="M82" s="57"/>
    </row>
    <row r="83" spans="1:13">
      <c r="A83" s="56"/>
      <c r="B83" s="57"/>
      <c r="C83" s="58"/>
      <c r="D83" s="56"/>
      <c r="E83" s="59"/>
      <c r="F83" s="59"/>
      <c r="G83" s="60" t="str">
        <f t="shared" si="2"/>
        <v/>
      </c>
      <c r="H83" s="61" t="str">
        <f t="shared" si="3"/>
        <v/>
      </c>
      <c r="I83" s="56"/>
      <c r="J83" s="62"/>
      <c r="K83" s="62"/>
      <c r="L83" s="56"/>
      <c r="M83" s="57"/>
    </row>
    <row r="84" spans="1:13">
      <c r="A84" s="56"/>
      <c r="B84" s="57"/>
      <c r="C84" s="58"/>
      <c r="D84" s="56"/>
      <c r="E84" s="59"/>
      <c r="F84" s="59"/>
      <c r="G84" s="60" t="str">
        <f t="shared" si="2"/>
        <v/>
      </c>
      <c r="H84" s="61" t="str">
        <f t="shared" si="3"/>
        <v/>
      </c>
      <c r="I84" s="56"/>
      <c r="J84" s="62"/>
      <c r="K84" s="62"/>
      <c r="L84" s="56"/>
      <c r="M84" s="57"/>
    </row>
    <row r="85" spans="1:13">
      <c r="A85" s="56"/>
      <c r="B85" s="57"/>
      <c r="C85" s="58"/>
      <c r="D85" s="56"/>
      <c r="E85" s="59"/>
      <c r="F85" s="59"/>
      <c r="G85" s="60" t="str">
        <f t="shared" si="2"/>
        <v/>
      </c>
      <c r="H85" s="61" t="str">
        <f t="shared" si="3"/>
        <v/>
      </c>
      <c r="I85" s="56"/>
      <c r="J85" s="62"/>
      <c r="K85" s="62"/>
      <c r="L85" s="56"/>
      <c r="M85" s="57"/>
    </row>
    <row r="86" spans="1:13">
      <c r="A86" s="56"/>
      <c r="B86" s="57"/>
      <c r="C86" s="58"/>
      <c r="D86" s="56"/>
      <c r="E86" s="59"/>
      <c r="F86" s="59"/>
      <c r="G86" s="60" t="str">
        <f t="shared" si="2"/>
        <v/>
      </c>
      <c r="H86" s="61" t="str">
        <f t="shared" si="3"/>
        <v/>
      </c>
      <c r="I86" s="56"/>
      <c r="J86" s="62"/>
      <c r="K86" s="62"/>
      <c r="L86" s="56"/>
      <c r="M86" s="57"/>
    </row>
    <row r="87" spans="1:13">
      <c r="A87" s="56"/>
      <c r="B87" s="57"/>
      <c r="C87" s="58"/>
      <c r="D87" s="56"/>
      <c r="E87" s="59"/>
      <c r="F87" s="59"/>
      <c r="G87" s="60" t="str">
        <f t="shared" si="2"/>
        <v/>
      </c>
      <c r="H87" s="61" t="str">
        <f t="shared" si="3"/>
        <v/>
      </c>
      <c r="I87" s="56"/>
      <c r="J87" s="62"/>
      <c r="K87" s="62"/>
      <c r="L87" s="56"/>
      <c r="M87" s="57"/>
    </row>
    <row r="88" spans="1:13">
      <c r="A88" s="56"/>
      <c r="B88" s="57"/>
      <c r="C88" s="58"/>
      <c r="D88" s="56"/>
      <c r="E88" s="59"/>
      <c r="F88" s="59"/>
      <c r="G88" s="60" t="str">
        <f t="shared" si="2"/>
        <v/>
      </c>
      <c r="H88" s="61" t="str">
        <f t="shared" si="3"/>
        <v/>
      </c>
      <c r="I88" s="56"/>
      <c r="J88" s="62"/>
      <c r="K88" s="62"/>
      <c r="L88" s="56"/>
      <c r="M88" s="57"/>
    </row>
    <row r="89" spans="1:13">
      <c r="A89" s="56"/>
      <c r="B89" s="57"/>
      <c r="C89" s="58"/>
      <c r="D89" s="56"/>
      <c r="E89" s="59"/>
      <c r="F89" s="59"/>
      <c r="G89" s="60" t="str">
        <f t="shared" si="2"/>
        <v/>
      </c>
      <c r="H89" s="61" t="str">
        <f t="shared" si="3"/>
        <v/>
      </c>
      <c r="I89" s="56"/>
      <c r="J89" s="62"/>
      <c r="K89" s="62"/>
      <c r="L89" s="56"/>
      <c r="M89" s="57"/>
    </row>
    <row r="90" spans="1:13">
      <c r="A90" s="56"/>
      <c r="B90" s="57"/>
      <c r="C90" s="58"/>
      <c r="D90" s="56"/>
      <c r="E90" s="59"/>
      <c r="F90" s="59"/>
      <c r="G90" s="60" t="str">
        <f t="shared" si="2"/>
        <v/>
      </c>
      <c r="H90" s="61" t="str">
        <f t="shared" si="3"/>
        <v/>
      </c>
      <c r="I90" s="56"/>
      <c r="J90" s="62"/>
      <c r="K90" s="62"/>
      <c r="L90" s="56"/>
      <c r="M90" s="57"/>
    </row>
    <row r="91" spans="1:13">
      <c r="A91" s="56"/>
      <c r="B91" s="57"/>
      <c r="C91" s="58"/>
      <c r="D91" s="56"/>
      <c r="E91" s="59"/>
      <c r="F91" s="59"/>
      <c r="G91" s="60" t="str">
        <f t="shared" si="2"/>
        <v/>
      </c>
      <c r="H91" s="61" t="str">
        <f t="shared" si="3"/>
        <v/>
      </c>
      <c r="I91" s="56"/>
      <c r="J91" s="62"/>
      <c r="K91" s="62"/>
      <c r="L91" s="56"/>
      <c r="M91" s="57"/>
    </row>
    <row r="92" spans="1:13">
      <c r="A92" s="56"/>
      <c r="B92" s="57"/>
      <c r="C92" s="58"/>
      <c r="D92" s="56"/>
      <c r="E92" s="59"/>
      <c r="F92" s="59"/>
      <c r="G92" s="60" t="str">
        <f t="shared" si="2"/>
        <v/>
      </c>
      <c r="H92" s="61" t="str">
        <f t="shared" si="3"/>
        <v/>
      </c>
      <c r="I92" s="56"/>
      <c r="J92" s="62"/>
      <c r="K92" s="62"/>
      <c r="L92" s="56"/>
      <c r="M92" s="57"/>
    </row>
    <row r="93" spans="1:13">
      <c r="A93" s="56"/>
      <c r="B93" s="57"/>
      <c r="C93" s="58"/>
      <c r="D93" s="56"/>
      <c r="E93" s="59"/>
      <c r="F93" s="59"/>
      <c r="G93" s="60" t="str">
        <f t="shared" si="2"/>
        <v/>
      </c>
      <c r="H93" s="61" t="str">
        <f t="shared" si="3"/>
        <v/>
      </c>
      <c r="I93" s="56"/>
      <c r="J93" s="62"/>
      <c r="K93" s="62"/>
      <c r="L93" s="56"/>
      <c r="M93" s="57"/>
    </row>
    <row r="94" spans="1:13">
      <c r="A94" s="56"/>
      <c r="B94" s="57"/>
      <c r="C94" s="58"/>
      <c r="D94" s="56"/>
      <c r="E94" s="59"/>
      <c r="F94" s="59"/>
      <c r="G94" s="60" t="str">
        <f t="shared" si="2"/>
        <v/>
      </c>
      <c r="H94" s="61" t="str">
        <f t="shared" si="3"/>
        <v/>
      </c>
      <c r="I94" s="56"/>
      <c r="J94" s="62"/>
      <c r="K94" s="62"/>
      <c r="L94" s="56"/>
      <c r="M94" s="57"/>
    </row>
    <row r="95" spans="1:13">
      <c r="A95" s="56"/>
      <c r="B95" s="57"/>
      <c r="C95" s="58"/>
      <c r="D95" s="56"/>
      <c r="E95" s="59"/>
      <c r="F95" s="59"/>
      <c r="G95" s="60" t="str">
        <f t="shared" si="2"/>
        <v/>
      </c>
      <c r="H95" s="61" t="str">
        <f t="shared" si="3"/>
        <v/>
      </c>
      <c r="I95" s="56"/>
      <c r="J95" s="62"/>
      <c r="K95" s="62"/>
      <c r="L95" s="56"/>
      <c r="M95" s="57"/>
    </row>
    <row r="96" spans="1:13">
      <c r="A96" s="56"/>
      <c r="B96" s="57"/>
      <c r="C96" s="58"/>
      <c r="D96" s="56"/>
      <c r="E96" s="59"/>
      <c r="F96" s="59"/>
      <c r="G96" s="60" t="str">
        <f t="shared" si="2"/>
        <v/>
      </c>
      <c r="H96" s="61" t="str">
        <f t="shared" si="3"/>
        <v/>
      </c>
      <c r="I96" s="56"/>
      <c r="J96" s="62"/>
      <c r="K96" s="62"/>
      <c r="L96" s="56"/>
      <c r="M96" s="57"/>
    </row>
    <row r="97" spans="1:13">
      <c r="A97" s="56"/>
      <c r="B97" s="57"/>
      <c r="C97" s="58"/>
      <c r="D97" s="56"/>
      <c r="E97" s="59"/>
      <c r="F97" s="59"/>
      <c r="G97" s="60" t="str">
        <f t="shared" si="2"/>
        <v/>
      </c>
      <c r="H97" s="61" t="str">
        <f t="shared" si="3"/>
        <v/>
      </c>
      <c r="I97" s="56"/>
      <c r="J97" s="62"/>
      <c r="K97" s="62"/>
      <c r="L97" s="56"/>
      <c r="M97" s="57"/>
    </row>
    <row r="98" spans="1:13">
      <c r="A98" s="56"/>
      <c r="B98" s="57"/>
      <c r="C98" s="58"/>
      <c r="D98" s="56"/>
      <c r="E98" s="59"/>
      <c r="F98" s="59"/>
      <c r="G98" s="60" t="str">
        <f t="shared" si="2"/>
        <v/>
      </c>
      <c r="H98" s="61" t="str">
        <f t="shared" si="3"/>
        <v/>
      </c>
      <c r="I98" s="56"/>
      <c r="J98" s="62"/>
      <c r="K98" s="62"/>
      <c r="L98" s="56"/>
      <c r="M98" s="57"/>
    </row>
    <row r="99" spans="1:13">
      <c r="A99" s="56"/>
      <c r="B99" s="57"/>
      <c r="C99" s="58"/>
      <c r="D99" s="56"/>
      <c r="E99" s="59"/>
      <c r="F99" s="59"/>
      <c r="G99" s="60" t="str">
        <f t="shared" si="2"/>
        <v/>
      </c>
      <c r="H99" s="61" t="str">
        <f t="shared" si="3"/>
        <v/>
      </c>
      <c r="I99" s="56"/>
      <c r="J99" s="62"/>
      <c r="K99" s="62"/>
      <c r="L99" s="56"/>
      <c r="M99" s="57"/>
    </row>
    <row r="100" spans="1:13">
      <c r="A100" s="56"/>
      <c r="B100" s="57"/>
      <c r="C100" s="58"/>
      <c r="D100" s="56"/>
      <c r="E100" s="59"/>
      <c r="F100" s="59"/>
      <c r="G100" s="60" t="str">
        <f t="shared" si="2"/>
        <v/>
      </c>
      <c r="H100" s="61" t="str">
        <f t="shared" si="3"/>
        <v/>
      </c>
      <c r="I100" s="56"/>
      <c r="J100" s="62"/>
      <c r="K100" s="62"/>
      <c r="L100" s="56"/>
      <c r="M100" s="57"/>
    </row>
    <row r="101" spans="1:13">
      <c r="A101" s="56"/>
      <c r="B101" s="57"/>
      <c r="C101" s="58"/>
      <c r="D101" s="56"/>
      <c r="E101" s="59"/>
      <c r="F101" s="59"/>
      <c r="G101" s="60" t="str">
        <f t="shared" si="2"/>
        <v/>
      </c>
      <c r="H101" s="61" t="str">
        <f t="shared" si="3"/>
        <v/>
      </c>
      <c r="I101" s="56"/>
      <c r="J101" s="62"/>
      <c r="K101" s="62"/>
      <c r="L101" s="56"/>
      <c r="M101" s="57"/>
    </row>
    <row r="102" spans="1:13">
      <c r="A102" s="56"/>
      <c r="B102" s="57"/>
      <c r="C102" s="58"/>
      <c r="D102" s="56"/>
      <c r="E102" s="59"/>
      <c r="F102" s="59"/>
      <c r="G102" s="60" t="str">
        <f t="shared" si="2"/>
        <v/>
      </c>
      <c r="H102" s="61" t="str">
        <f t="shared" si="3"/>
        <v/>
      </c>
      <c r="I102" s="56"/>
      <c r="J102" s="62"/>
      <c r="K102" s="62"/>
      <c r="L102" s="56"/>
      <c r="M102" s="57"/>
    </row>
    <row r="103" spans="1:13">
      <c r="A103" s="56"/>
      <c r="B103" s="57"/>
      <c r="C103" s="58"/>
      <c r="D103" s="56"/>
      <c r="E103" s="59"/>
      <c r="F103" s="59"/>
      <c r="G103" s="60" t="str">
        <f t="shared" si="2"/>
        <v/>
      </c>
      <c r="H103" s="61" t="str">
        <f t="shared" si="3"/>
        <v/>
      </c>
      <c r="I103" s="56"/>
      <c r="J103" s="62"/>
      <c r="K103" s="62"/>
      <c r="L103" s="56"/>
      <c r="M103" s="57"/>
    </row>
    <row r="104" spans="1:13">
      <c r="A104" s="56"/>
      <c r="B104" s="57"/>
      <c r="C104" s="58"/>
      <c r="D104" s="56"/>
      <c r="E104" s="59"/>
      <c r="F104" s="59"/>
      <c r="G104" s="60" t="str">
        <f t="shared" si="2"/>
        <v/>
      </c>
      <c r="H104" s="61" t="str">
        <f t="shared" si="3"/>
        <v/>
      </c>
      <c r="I104" s="56"/>
      <c r="J104" s="62"/>
      <c r="K104" s="62"/>
      <c r="L104" s="56"/>
      <c r="M104" s="57"/>
    </row>
    <row r="105" spans="1:13">
      <c r="A105" s="56"/>
      <c r="B105" s="57"/>
      <c r="C105" s="58"/>
      <c r="D105" s="56"/>
      <c r="E105" s="59"/>
      <c r="F105" s="59"/>
      <c r="G105" s="60" t="str">
        <f t="shared" si="2"/>
        <v/>
      </c>
      <c r="H105" s="61" t="str">
        <f t="shared" si="3"/>
        <v/>
      </c>
      <c r="I105" s="56"/>
      <c r="J105" s="62"/>
      <c r="K105" s="62"/>
      <c r="L105" s="56"/>
      <c r="M105" s="57"/>
    </row>
  </sheetData>
  <mergeCells count="3">
    <mergeCell ref="A1:M1"/>
    <mergeCell ref="A2:M2"/>
    <mergeCell ref="A3:M3"/>
  </mergeCells>
  <phoneticPr fontId="17" type="noConversion"/>
  <conditionalFormatting sqref="G6:G105">
    <cfRule type="dataBar" priority="1">
      <dataBar>
        <cfvo type="min"/>
        <cfvo type="max"/>
        <color rgb="FFE8F4F4"/>
      </dataBar>
    </cfRule>
    <cfRule type="dataBar" priority="2">
      <dataBar>
        <cfvo type="min"/>
        <cfvo type="max"/>
        <color rgb="FFE8F4F4"/>
      </dataBar>
    </cfRule>
    <cfRule type="dataBar" priority="4">
      <dataBar>
        <cfvo type="min"/>
        <cfvo type="max"/>
        <color rgb="FFE8F4F4"/>
      </dataBar>
    </cfRule>
    <cfRule type="dataBar" priority="6">
      <dataBar>
        <cfvo type="min"/>
        <cfvo type="max"/>
        <color rgb="FFE8F4F4"/>
      </dataBar>
    </cfRule>
    <cfRule type="dataBar" priority="8">
      <dataBar>
        <cfvo type="min"/>
        <cfvo type="max"/>
        <color rgb="FFE8F4F4"/>
      </dataBar>
    </cfRule>
    <cfRule type="dataBar" priority="10">
      <dataBar>
        <cfvo type="min"/>
        <cfvo type="max"/>
        <color rgb="FFE8F4F4"/>
      </dataBar>
      <extLst>
        <ext xmlns:x14="http://schemas.microsoft.com/office/spreadsheetml/2009/9/main" uri="{B025F937-C7B1-47D3-B67F-A62EFF666E3E}">
          <x14:id>{1BDB8642-C99B-45A4-A39A-F48C122B76D7}</x14:id>
        </ext>
      </extLst>
    </cfRule>
  </conditionalFormatting>
  <conditionalFormatting sqref="H6:H105">
    <cfRule type="dataBar" priority="3">
      <dataBar>
        <cfvo type="min"/>
        <cfvo type="max"/>
        <color rgb="FF175B72"/>
      </dataBar>
    </cfRule>
    <cfRule type="dataBar" priority="5">
      <dataBar>
        <cfvo type="min"/>
        <cfvo type="max"/>
        <color rgb="FF175B72"/>
      </dataBar>
    </cfRule>
    <cfRule type="dataBar" priority="7">
      <dataBar>
        <cfvo type="min"/>
        <cfvo type="max"/>
        <color rgb="FF175B72"/>
      </dataBar>
    </cfRule>
    <cfRule type="dataBar" priority="9">
      <dataBar>
        <cfvo type="min"/>
        <cfvo type="max"/>
        <color rgb="FF175B72"/>
      </dataBar>
    </cfRule>
    <cfRule type="dataBar" priority="11">
      <dataBar>
        <cfvo type="min"/>
        <cfvo type="max"/>
        <color rgb="FF175B72"/>
      </dataBar>
      <extLst>
        <ext xmlns:x14="http://schemas.microsoft.com/office/spreadsheetml/2009/9/main" uri="{B025F937-C7B1-47D3-B67F-A62EFF666E3E}">
          <x14:id>{CB30F313-E5F9-4971-AD65-553A1399BD80}</x14:id>
        </ext>
      </extLst>
    </cfRule>
  </conditionalFormatting>
  <dataValidations count="3">
    <dataValidation type="list" sqref="D6:D105" xr:uid="{00000000-0002-0000-0400-000000000000}">
      <formula1>"Januari,Februari,Maret,April,Mei,Juni,Juli,Agustus,September,Oktober,November,Desember"</formula1>
    </dataValidation>
    <dataValidation type="list" sqref="I6:I105" xr:uid="{00000000-0002-0000-0400-000001000000}">
      <formula1>"Belum Diverifikasi,Sudah Diverifikasi"</formula1>
    </dataValidation>
    <dataValidation type="list" sqref="G6:H105" xr:uid="{00000000-0002-0000-0400-000002000000}">
      <formula1>"Belum Diverifikasi,Terverifikasi,Perlu Perbaikan"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BDB8642-C99B-45A4-A39A-F48C122B76D7}">
            <x14:dataBar>
              <x14:cfvo type="min"/>
              <x14:cfvo type="max"/>
              <x14:negativeFillColor auto="1"/>
              <x14:axisColor auto="1"/>
            </x14:dataBar>
          </x14:cfRule>
          <xm:sqref>G6:G105</xm:sqref>
        </x14:conditionalFormatting>
        <x14:conditionalFormatting xmlns:xm="http://schemas.microsoft.com/office/excel/2006/main">
          <x14:cfRule type="dataBar" id="{CB30F313-E5F9-4971-AD65-553A1399BD80}">
            <x14:dataBar>
              <x14:cfvo type="min"/>
              <x14:cfvo type="max"/>
              <x14:negativeFillColor auto="1"/>
              <x14:axisColor auto="1"/>
            </x14:dataBar>
          </x14:cfRule>
          <xm:sqref>H6:H105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5"/>
  <sheetViews>
    <sheetView workbookViewId="0">
      <selection activeCell="D17" sqref="D17"/>
    </sheetView>
  </sheetViews>
  <sheetFormatPr defaultRowHeight="14"/>
  <cols>
    <col min="1" max="1" width="16" customWidth="1"/>
    <col min="2" max="3" width="28" customWidth="1"/>
    <col min="4" max="4" width="24" customWidth="1"/>
    <col min="5" max="5" width="22" customWidth="1"/>
    <col min="6" max="6" width="14" style="63" customWidth="1"/>
    <col min="7" max="7" width="36" customWidth="1"/>
    <col min="8" max="8" width="24" customWidth="1"/>
    <col min="9" max="9" width="20" customWidth="1"/>
    <col min="10" max="10" width="13" customWidth="1"/>
    <col min="11" max="11" width="30" customWidth="1"/>
    <col min="12" max="12" width="20" customWidth="1"/>
    <col min="13" max="13" width="16" customWidth="1"/>
    <col min="14" max="14" width="20" customWidth="1"/>
  </cols>
  <sheetData>
    <row r="1" spans="1:14" ht="23">
      <c r="A1" s="191" t="s">
        <v>936</v>
      </c>
      <c r="B1" s="191"/>
      <c r="C1" s="191"/>
      <c r="D1" s="191"/>
      <c r="E1" s="191"/>
      <c r="F1" s="191"/>
      <c r="G1" s="191"/>
      <c r="H1" s="191"/>
      <c r="I1" s="191"/>
      <c r="J1" s="191"/>
      <c r="K1" s="191"/>
      <c r="L1" s="191"/>
      <c r="M1" s="191"/>
      <c r="N1" s="191"/>
    </row>
    <row r="2" spans="1:14">
      <c r="A2" s="193" t="s">
        <v>937</v>
      </c>
      <c r="B2" s="193"/>
      <c r="C2" s="193"/>
      <c r="D2" s="193"/>
      <c r="E2" s="193"/>
      <c r="F2" s="193"/>
      <c r="G2" s="193"/>
      <c r="H2" s="193"/>
      <c r="I2" s="193"/>
      <c r="J2" s="193"/>
      <c r="K2" s="193"/>
      <c r="L2" s="193"/>
      <c r="M2" s="193"/>
      <c r="N2" s="193"/>
    </row>
    <row r="3" spans="1:14">
      <c r="A3" s="194" t="s">
        <v>847</v>
      </c>
      <c r="B3" s="194"/>
      <c r="C3" s="194"/>
      <c r="D3" s="194"/>
      <c r="E3" s="194"/>
      <c r="F3" s="194"/>
      <c r="G3" s="194"/>
      <c r="H3" s="194"/>
      <c r="I3" s="194"/>
      <c r="J3" s="194"/>
      <c r="K3" s="194"/>
      <c r="L3" s="194"/>
      <c r="M3" s="194"/>
      <c r="N3" s="194"/>
    </row>
    <row r="5" spans="1:14" ht="26">
      <c r="A5" s="1" t="s">
        <v>938</v>
      </c>
      <c r="B5" s="2" t="s">
        <v>877</v>
      </c>
      <c r="C5" s="2" t="s">
        <v>939</v>
      </c>
      <c r="D5" s="2" t="s">
        <v>940</v>
      </c>
      <c r="E5" s="2" t="s">
        <v>941</v>
      </c>
      <c r="F5" s="64" t="s">
        <v>942</v>
      </c>
      <c r="G5" s="2" t="s">
        <v>943</v>
      </c>
      <c r="H5" s="2" t="s">
        <v>944</v>
      </c>
      <c r="I5" s="2" t="s">
        <v>945</v>
      </c>
      <c r="J5" s="2" t="s">
        <v>26</v>
      </c>
      <c r="K5" s="2" t="s">
        <v>27</v>
      </c>
      <c r="L5" s="2" t="s">
        <v>28</v>
      </c>
      <c r="M5" s="2" t="s">
        <v>29</v>
      </c>
      <c r="N5" s="3" t="s">
        <v>30</v>
      </c>
    </row>
    <row r="6" spans="1:14">
      <c r="A6" s="29" t="s">
        <v>1154</v>
      </c>
      <c r="B6" s="8" t="s">
        <v>884</v>
      </c>
      <c r="C6" s="8" t="s">
        <v>946</v>
      </c>
      <c r="D6" s="4"/>
      <c r="E6" s="8" t="s">
        <v>947</v>
      </c>
      <c r="F6" s="8" t="s">
        <v>948</v>
      </c>
      <c r="G6" s="8"/>
      <c r="H6" s="8"/>
      <c r="I6" s="11"/>
      <c r="J6" s="17"/>
      <c r="K6" s="8"/>
      <c r="L6" s="8"/>
      <c r="M6" s="11"/>
      <c r="N6" s="32"/>
    </row>
    <row r="7" spans="1:14">
      <c r="A7" s="30" t="s">
        <v>1155</v>
      </c>
      <c r="B7" s="9" t="s">
        <v>884</v>
      </c>
      <c r="C7" s="9" t="s">
        <v>949</v>
      </c>
      <c r="D7" s="5"/>
      <c r="E7" s="9" t="s">
        <v>888</v>
      </c>
      <c r="F7" s="9" t="s">
        <v>948</v>
      </c>
      <c r="G7" s="9"/>
      <c r="H7" s="9"/>
      <c r="I7" s="12"/>
      <c r="J7" s="18"/>
      <c r="K7" s="9"/>
      <c r="L7" s="9"/>
      <c r="M7" s="12"/>
      <c r="N7" s="33"/>
    </row>
    <row r="8" spans="1:14">
      <c r="A8" s="30" t="s">
        <v>1156</v>
      </c>
      <c r="B8" s="9" t="s">
        <v>884</v>
      </c>
      <c r="C8" s="9" t="s">
        <v>950</v>
      </c>
      <c r="D8" s="5"/>
      <c r="E8" s="9" t="s">
        <v>905</v>
      </c>
      <c r="F8" s="9" t="s">
        <v>951</v>
      </c>
      <c r="G8" s="9"/>
      <c r="H8" s="9"/>
      <c r="I8" s="12"/>
      <c r="J8" s="18"/>
      <c r="K8" s="9"/>
      <c r="L8" s="9"/>
      <c r="M8" s="12"/>
      <c r="N8" s="33"/>
    </row>
    <row r="9" spans="1:14">
      <c r="A9" s="30" t="s">
        <v>1157</v>
      </c>
      <c r="B9" s="9" t="s">
        <v>884</v>
      </c>
      <c r="C9" s="9" t="s">
        <v>952</v>
      </c>
      <c r="D9" s="5"/>
      <c r="E9" s="9" t="s">
        <v>947</v>
      </c>
      <c r="F9" s="9" t="s">
        <v>948</v>
      </c>
      <c r="G9" s="9"/>
      <c r="H9" s="9"/>
      <c r="I9" s="12"/>
      <c r="J9" s="18"/>
      <c r="K9" s="9"/>
      <c r="L9" s="9"/>
      <c r="M9" s="12"/>
      <c r="N9" s="33"/>
    </row>
    <row r="10" spans="1:14">
      <c r="A10" s="30" t="s">
        <v>1158</v>
      </c>
      <c r="B10" s="9" t="s">
        <v>884</v>
      </c>
      <c r="C10" s="9" t="s">
        <v>953</v>
      </c>
      <c r="D10" s="5"/>
      <c r="E10" s="9" t="s">
        <v>891</v>
      </c>
      <c r="F10" s="9" t="s">
        <v>948</v>
      </c>
      <c r="G10" s="9"/>
      <c r="H10" s="9"/>
      <c r="I10" s="12"/>
      <c r="J10" s="18"/>
      <c r="K10" s="9"/>
      <c r="L10" s="9"/>
      <c r="M10" s="12"/>
      <c r="N10" s="33"/>
    </row>
    <row r="11" spans="1:14">
      <c r="A11" s="30" t="s">
        <v>1159</v>
      </c>
      <c r="B11" s="9" t="s">
        <v>884</v>
      </c>
      <c r="C11" s="9" t="s">
        <v>954</v>
      </c>
      <c r="D11" s="5"/>
      <c r="E11" s="9" t="s">
        <v>891</v>
      </c>
      <c r="F11" s="9" t="s">
        <v>948</v>
      </c>
      <c r="G11" s="9"/>
      <c r="H11" s="9"/>
      <c r="I11" s="12"/>
      <c r="J11" s="18"/>
      <c r="K11" s="9"/>
      <c r="L11" s="9"/>
      <c r="M11" s="12"/>
      <c r="N11" s="33"/>
    </row>
    <row r="12" spans="1:14">
      <c r="A12" s="30" t="s">
        <v>1160</v>
      </c>
      <c r="B12" s="9" t="s">
        <v>884</v>
      </c>
      <c r="C12" s="9" t="s">
        <v>955</v>
      </c>
      <c r="D12" s="5"/>
      <c r="E12" s="9" t="s">
        <v>947</v>
      </c>
      <c r="F12" s="9" t="s">
        <v>948</v>
      </c>
      <c r="G12" s="9"/>
      <c r="H12" s="9"/>
      <c r="I12" s="12"/>
      <c r="J12" s="18"/>
      <c r="K12" s="9"/>
      <c r="L12" s="9"/>
      <c r="M12" s="12"/>
      <c r="N12" s="33"/>
    </row>
    <row r="13" spans="1:14">
      <c r="A13" s="30"/>
      <c r="B13" s="9"/>
      <c r="C13" s="9"/>
      <c r="D13" s="5"/>
      <c r="E13" s="9"/>
      <c r="F13" s="9"/>
      <c r="G13" s="9"/>
      <c r="H13" s="9"/>
      <c r="I13" s="12"/>
      <c r="J13" s="18"/>
      <c r="K13" s="9"/>
      <c r="L13" s="9"/>
      <c r="M13" s="12"/>
      <c r="N13" s="33"/>
    </row>
    <row r="14" spans="1:14">
      <c r="A14" s="30"/>
      <c r="B14" s="9"/>
      <c r="C14" s="9"/>
      <c r="D14" s="5"/>
      <c r="E14" s="9"/>
      <c r="F14" s="9"/>
      <c r="G14" s="9"/>
      <c r="H14" s="9"/>
      <c r="I14" s="12"/>
      <c r="J14" s="18"/>
      <c r="K14" s="9"/>
      <c r="L14" s="9"/>
      <c r="M14" s="12"/>
      <c r="N14" s="33"/>
    </row>
    <row r="15" spans="1:14">
      <c r="A15" s="30"/>
      <c r="B15" s="9"/>
      <c r="C15" s="9"/>
      <c r="D15" s="5"/>
      <c r="E15" s="9"/>
      <c r="F15" s="9"/>
      <c r="G15" s="9"/>
      <c r="H15" s="9"/>
      <c r="I15" s="12"/>
      <c r="J15" s="18"/>
      <c r="K15" s="9"/>
      <c r="L15" s="9"/>
      <c r="M15" s="12"/>
      <c r="N15" s="33"/>
    </row>
    <row r="16" spans="1:14">
      <c r="A16" s="30"/>
      <c r="B16" s="9"/>
      <c r="C16" s="9"/>
      <c r="D16" s="5"/>
      <c r="E16" s="9"/>
      <c r="F16" s="9"/>
      <c r="G16" s="9"/>
      <c r="H16" s="9"/>
      <c r="I16" s="12"/>
      <c r="J16" s="18"/>
      <c r="K16" s="9"/>
      <c r="L16" s="9"/>
      <c r="M16" s="12"/>
      <c r="N16" s="33"/>
    </row>
    <row r="17" spans="1:14">
      <c r="A17" s="30"/>
      <c r="B17" s="9"/>
      <c r="C17" s="9"/>
      <c r="D17" s="5"/>
      <c r="E17" s="9"/>
      <c r="F17" s="9"/>
      <c r="G17" s="9"/>
      <c r="H17" s="9"/>
      <c r="I17" s="12"/>
      <c r="J17" s="18"/>
      <c r="K17" s="9"/>
      <c r="L17" s="9"/>
      <c r="M17" s="12"/>
      <c r="N17" s="33"/>
    </row>
    <row r="18" spans="1:14">
      <c r="A18" s="30"/>
      <c r="B18" s="9"/>
      <c r="C18" s="9"/>
      <c r="D18" s="5"/>
      <c r="E18" s="9"/>
      <c r="F18" s="9"/>
      <c r="G18" s="9"/>
      <c r="H18" s="9"/>
      <c r="I18" s="12"/>
      <c r="J18" s="18"/>
      <c r="K18" s="9"/>
      <c r="L18" s="9"/>
      <c r="M18" s="12"/>
      <c r="N18" s="33"/>
    </row>
    <row r="19" spans="1:14">
      <c r="A19" s="30"/>
      <c r="B19" s="9"/>
      <c r="C19" s="9"/>
      <c r="D19" s="5"/>
      <c r="E19" s="9"/>
      <c r="F19" s="9"/>
      <c r="G19" s="9"/>
      <c r="H19" s="9"/>
      <c r="I19" s="12"/>
      <c r="J19" s="18"/>
      <c r="K19" s="9"/>
      <c r="L19" s="9"/>
      <c r="M19" s="12"/>
      <c r="N19" s="33"/>
    </row>
    <row r="20" spans="1:14">
      <c r="A20" s="30"/>
      <c r="B20" s="9"/>
      <c r="C20" s="9"/>
      <c r="D20" s="5"/>
      <c r="E20" s="9"/>
      <c r="F20" s="9"/>
      <c r="G20" s="9"/>
      <c r="H20" s="9"/>
      <c r="I20" s="12"/>
      <c r="J20" s="18"/>
      <c r="K20" s="9"/>
      <c r="L20" s="9"/>
      <c r="M20" s="12"/>
      <c r="N20" s="33"/>
    </row>
    <row r="21" spans="1:14">
      <c r="A21" s="30"/>
      <c r="B21" s="9"/>
      <c r="C21" s="9"/>
      <c r="D21" s="5"/>
      <c r="E21" s="9"/>
      <c r="F21" s="9"/>
      <c r="G21" s="9"/>
      <c r="H21" s="9"/>
      <c r="I21" s="12"/>
      <c r="J21" s="18"/>
      <c r="K21" s="9"/>
      <c r="L21" s="9"/>
      <c r="M21" s="12"/>
      <c r="N21" s="33"/>
    </row>
    <row r="22" spans="1:14">
      <c r="A22" s="30"/>
      <c r="B22" s="9"/>
      <c r="C22" s="9"/>
      <c r="D22" s="5"/>
      <c r="E22" s="9"/>
      <c r="F22" s="9"/>
      <c r="G22" s="9"/>
      <c r="H22" s="9"/>
      <c r="I22" s="12"/>
      <c r="J22" s="18"/>
      <c r="K22" s="9"/>
      <c r="L22" s="9"/>
      <c r="M22" s="12"/>
      <c r="N22" s="33"/>
    </row>
    <row r="23" spans="1:14">
      <c r="A23" s="30"/>
      <c r="B23" s="9"/>
      <c r="C23" s="9"/>
      <c r="D23" s="5"/>
      <c r="E23" s="9"/>
      <c r="F23" s="9"/>
      <c r="G23" s="9"/>
      <c r="H23" s="9"/>
      <c r="I23" s="12"/>
      <c r="J23" s="18"/>
      <c r="K23" s="9"/>
      <c r="L23" s="9"/>
      <c r="M23" s="12"/>
      <c r="N23" s="33"/>
    </row>
    <row r="24" spans="1:14">
      <c r="A24" s="30"/>
      <c r="B24" s="9"/>
      <c r="C24" s="9"/>
      <c r="D24" s="5"/>
      <c r="E24" s="9"/>
      <c r="F24" s="9"/>
      <c r="G24" s="9"/>
      <c r="H24" s="9"/>
      <c r="I24" s="12"/>
      <c r="J24" s="18"/>
      <c r="K24" s="9"/>
      <c r="L24" s="9"/>
      <c r="M24" s="12"/>
      <c r="N24" s="33"/>
    </row>
    <row r="25" spans="1:14">
      <c r="A25" s="30"/>
      <c r="B25" s="9"/>
      <c r="C25" s="9"/>
      <c r="D25" s="5"/>
      <c r="E25" s="9"/>
      <c r="F25" s="9"/>
      <c r="G25" s="9"/>
      <c r="H25" s="9"/>
      <c r="I25" s="12"/>
      <c r="J25" s="18"/>
      <c r="K25" s="9"/>
      <c r="L25" s="9"/>
      <c r="M25" s="12"/>
      <c r="N25" s="33"/>
    </row>
    <row r="26" spans="1:14">
      <c r="A26" s="30"/>
      <c r="B26" s="9"/>
      <c r="C26" s="9"/>
      <c r="D26" s="5"/>
      <c r="E26" s="9"/>
      <c r="F26" s="9"/>
      <c r="G26" s="9"/>
      <c r="H26" s="9"/>
      <c r="I26" s="12"/>
      <c r="J26" s="18"/>
      <c r="K26" s="9"/>
      <c r="L26" s="9"/>
      <c r="M26" s="12"/>
      <c r="N26" s="33"/>
    </row>
    <row r="27" spans="1:14">
      <c r="A27" s="30"/>
      <c r="B27" s="9"/>
      <c r="C27" s="9"/>
      <c r="D27" s="5"/>
      <c r="E27" s="9"/>
      <c r="F27" s="9"/>
      <c r="G27" s="9"/>
      <c r="H27" s="9"/>
      <c r="I27" s="12"/>
      <c r="J27" s="18"/>
      <c r="K27" s="9"/>
      <c r="L27" s="9"/>
      <c r="M27" s="12"/>
      <c r="N27" s="33"/>
    </row>
    <row r="28" spans="1:14">
      <c r="A28" s="30"/>
      <c r="B28" s="9"/>
      <c r="C28" s="9"/>
      <c r="D28" s="5"/>
      <c r="E28" s="9"/>
      <c r="F28" s="9"/>
      <c r="G28" s="9"/>
      <c r="H28" s="9"/>
      <c r="I28" s="12"/>
      <c r="J28" s="18"/>
      <c r="K28" s="9"/>
      <c r="L28" s="9"/>
      <c r="M28" s="12"/>
      <c r="N28" s="33"/>
    </row>
    <row r="29" spans="1:14">
      <c r="A29" s="30"/>
      <c r="B29" s="9"/>
      <c r="C29" s="9"/>
      <c r="D29" s="5"/>
      <c r="E29" s="9"/>
      <c r="F29" s="9"/>
      <c r="G29" s="9"/>
      <c r="H29" s="9"/>
      <c r="I29" s="12"/>
      <c r="J29" s="18"/>
      <c r="K29" s="9"/>
      <c r="L29" s="9"/>
      <c r="M29" s="12"/>
      <c r="N29" s="33"/>
    </row>
    <row r="30" spans="1:14">
      <c r="A30" s="30"/>
      <c r="B30" s="9"/>
      <c r="C30" s="9"/>
      <c r="D30" s="5"/>
      <c r="E30" s="9"/>
      <c r="F30" s="9"/>
      <c r="G30" s="9"/>
      <c r="H30" s="9"/>
      <c r="I30" s="12"/>
      <c r="J30" s="18"/>
      <c r="K30" s="9"/>
      <c r="L30" s="9"/>
      <c r="M30" s="12"/>
      <c r="N30" s="33"/>
    </row>
    <row r="31" spans="1:14">
      <c r="A31" s="30"/>
      <c r="B31" s="9"/>
      <c r="C31" s="9"/>
      <c r="D31" s="5"/>
      <c r="E31" s="9"/>
      <c r="F31" s="9"/>
      <c r="G31" s="9"/>
      <c r="H31" s="9"/>
      <c r="I31" s="12"/>
      <c r="J31" s="18"/>
      <c r="K31" s="9"/>
      <c r="L31" s="9"/>
      <c r="M31" s="12"/>
      <c r="N31" s="33"/>
    </row>
    <row r="32" spans="1:14">
      <c r="A32" s="30"/>
      <c r="B32" s="9"/>
      <c r="C32" s="9"/>
      <c r="D32" s="5"/>
      <c r="E32" s="9"/>
      <c r="F32" s="9"/>
      <c r="G32" s="9"/>
      <c r="H32" s="9"/>
      <c r="I32" s="12"/>
      <c r="J32" s="18"/>
      <c r="K32" s="9"/>
      <c r="L32" s="9"/>
      <c r="M32" s="12"/>
      <c r="N32" s="33"/>
    </row>
    <row r="33" spans="1:14">
      <c r="A33" s="30"/>
      <c r="B33" s="9"/>
      <c r="C33" s="9"/>
      <c r="D33" s="5"/>
      <c r="E33" s="9"/>
      <c r="F33" s="9"/>
      <c r="G33" s="9"/>
      <c r="H33" s="9"/>
      <c r="I33" s="12"/>
      <c r="J33" s="18"/>
      <c r="K33" s="9"/>
      <c r="L33" s="9"/>
      <c r="M33" s="12"/>
      <c r="N33" s="33"/>
    </row>
    <row r="34" spans="1:14">
      <c r="A34" s="30"/>
      <c r="B34" s="9"/>
      <c r="C34" s="9"/>
      <c r="D34" s="5"/>
      <c r="E34" s="9"/>
      <c r="F34" s="9"/>
      <c r="G34" s="9"/>
      <c r="H34" s="9"/>
      <c r="I34" s="12"/>
      <c r="J34" s="18"/>
      <c r="K34" s="9"/>
      <c r="L34" s="9"/>
      <c r="M34" s="12"/>
      <c r="N34" s="33"/>
    </row>
    <row r="35" spans="1:14">
      <c r="A35" s="30"/>
      <c r="B35" s="9"/>
      <c r="C35" s="9"/>
      <c r="D35" s="5"/>
      <c r="E35" s="9"/>
      <c r="F35" s="9"/>
      <c r="G35" s="9"/>
      <c r="H35" s="9"/>
      <c r="I35" s="12"/>
      <c r="J35" s="18"/>
      <c r="K35" s="9"/>
      <c r="L35" s="9"/>
      <c r="M35" s="12"/>
      <c r="N35" s="33"/>
    </row>
    <row r="36" spans="1:14">
      <c r="A36" s="30"/>
      <c r="B36" s="9"/>
      <c r="C36" s="9"/>
      <c r="D36" s="5"/>
      <c r="E36" s="9"/>
      <c r="F36" s="9"/>
      <c r="G36" s="9"/>
      <c r="H36" s="9"/>
      <c r="I36" s="12"/>
      <c r="J36" s="18"/>
      <c r="K36" s="9"/>
      <c r="L36" s="9"/>
      <c r="M36" s="12"/>
      <c r="N36" s="33"/>
    </row>
    <row r="37" spans="1:14">
      <c r="A37" s="30"/>
      <c r="B37" s="9"/>
      <c r="C37" s="9"/>
      <c r="D37" s="5"/>
      <c r="E37" s="9"/>
      <c r="F37" s="9"/>
      <c r="G37" s="9"/>
      <c r="H37" s="9"/>
      <c r="I37" s="12"/>
      <c r="J37" s="18"/>
      <c r="K37" s="9"/>
      <c r="L37" s="9"/>
      <c r="M37" s="12"/>
      <c r="N37" s="33"/>
    </row>
    <row r="38" spans="1:14">
      <c r="A38" s="30"/>
      <c r="B38" s="9"/>
      <c r="C38" s="9"/>
      <c r="D38" s="5"/>
      <c r="E38" s="9"/>
      <c r="F38" s="9"/>
      <c r="G38" s="9"/>
      <c r="H38" s="9"/>
      <c r="I38" s="12"/>
      <c r="J38" s="18"/>
      <c r="K38" s="9"/>
      <c r="L38" s="9"/>
      <c r="M38" s="12"/>
      <c r="N38" s="33"/>
    </row>
    <row r="39" spans="1:14">
      <c r="A39" s="30"/>
      <c r="B39" s="9"/>
      <c r="C39" s="9"/>
      <c r="D39" s="5"/>
      <c r="E39" s="9"/>
      <c r="F39" s="9"/>
      <c r="G39" s="9"/>
      <c r="H39" s="9"/>
      <c r="I39" s="12"/>
      <c r="J39" s="18"/>
      <c r="K39" s="9"/>
      <c r="L39" s="9"/>
      <c r="M39" s="12"/>
      <c r="N39" s="33"/>
    </row>
    <row r="40" spans="1:14">
      <c r="A40" s="30"/>
      <c r="B40" s="9"/>
      <c r="C40" s="9"/>
      <c r="D40" s="5"/>
      <c r="E40" s="9"/>
      <c r="F40" s="9"/>
      <c r="G40" s="9"/>
      <c r="H40" s="9"/>
      <c r="I40" s="12"/>
      <c r="J40" s="18"/>
      <c r="K40" s="9"/>
      <c r="L40" s="9"/>
      <c r="M40" s="12"/>
      <c r="N40" s="33"/>
    </row>
    <row r="41" spans="1:14">
      <c r="A41" s="30"/>
      <c r="B41" s="9"/>
      <c r="C41" s="9"/>
      <c r="D41" s="5"/>
      <c r="E41" s="9"/>
      <c r="F41" s="9"/>
      <c r="G41" s="9"/>
      <c r="H41" s="9"/>
      <c r="I41" s="12"/>
      <c r="J41" s="18"/>
      <c r="K41" s="9"/>
      <c r="L41" s="9"/>
      <c r="M41" s="12"/>
      <c r="N41" s="33"/>
    </row>
    <row r="42" spans="1:14">
      <c r="A42" s="30"/>
      <c r="B42" s="9"/>
      <c r="C42" s="9"/>
      <c r="D42" s="5"/>
      <c r="E42" s="9"/>
      <c r="F42" s="9"/>
      <c r="G42" s="9"/>
      <c r="H42" s="9"/>
      <c r="I42" s="12"/>
      <c r="J42" s="18"/>
      <c r="K42" s="9"/>
      <c r="L42" s="9"/>
      <c r="M42" s="12"/>
      <c r="N42" s="33"/>
    </row>
    <row r="43" spans="1:14">
      <c r="A43" s="30"/>
      <c r="B43" s="9"/>
      <c r="C43" s="9"/>
      <c r="D43" s="5"/>
      <c r="E43" s="9"/>
      <c r="F43" s="9"/>
      <c r="G43" s="9"/>
      <c r="H43" s="9"/>
      <c r="I43" s="12"/>
      <c r="J43" s="18"/>
      <c r="K43" s="9"/>
      <c r="L43" s="9"/>
      <c r="M43" s="12"/>
      <c r="N43" s="33"/>
    </row>
    <row r="44" spans="1:14">
      <c r="A44" s="30"/>
      <c r="B44" s="9"/>
      <c r="C44" s="9"/>
      <c r="D44" s="5"/>
      <c r="E44" s="9"/>
      <c r="F44" s="9"/>
      <c r="G44" s="9"/>
      <c r="H44" s="9"/>
      <c r="I44" s="12"/>
      <c r="J44" s="18"/>
      <c r="K44" s="9"/>
      <c r="L44" s="9"/>
      <c r="M44" s="12"/>
      <c r="N44" s="33"/>
    </row>
    <row r="45" spans="1:14">
      <c r="A45" s="30"/>
      <c r="B45" s="9"/>
      <c r="C45" s="9"/>
      <c r="D45" s="5"/>
      <c r="E45" s="9"/>
      <c r="F45" s="9"/>
      <c r="G45" s="9"/>
      <c r="H45" s="9"/>
      <c r="I45" s="12"/>
      <c r="J45" s="18"/>
      <c r="K45" s="9"/>
      <c r="L45" s="9"/>
      <c r="M45" s="12"/>
      <c r="N45" s="33"/>
    </row>
    <row r="46" spans="1:14">
      <c r="A46" s="30"/>
      <c r="B46" s="9"/>
      <c r="C46" s="9"/>
      <c r="D46" s="5"/>
      <c r="E46" s="9"/>
      <c r="F46" s="9"/>
      <c r="G46" s="9"/>
      <c r="H46" s="9"/>
      <c r="I46" s="12"/>
      <c r="J46" s="18"/>
      <c r="K46" s="9"/>
      <c r="L46" s="9"/>
      <c r="M46" s="12"/>
      <c r="N46" s="33"/>
    </row>
    <row r="47" spans="1:14">
      <c r="A47" s="30"/>
      <c r="B47" s="9"/>
      <c r="C47" s="9"/>
      <c r="D47" s="5"/>
      <c r="E47" s="9"/>
      <c r="F47" s="9"/>
      <c r="G47" s="9"/>
      <c r="H47" s="9"/>
      <c r="I47" s="12"/>
      <c r="J47" s="18"/>
      <c r="K47" s="9"/>
      <c r="L47" s="9"/>
      <c r="M47" s="12"/>
      <c r="N47" s="33"/>
    </row>
    <row r="48" spans="1:14">
      <c r="A48" s="30"/>
      <c r="B48" s="9"/>
      <c r="C48" s="9"/>
      <c r="D48" s="5"/>
      <c r="E48" s="9"/>
      <c r="F48" s="9"/>
      <c r="G48" s="9"/>
      <c r="H48" s="9"/>
      <c r="I48" s="12"/>
      <c r="J48" s="18"/>
      <c r="K48" s="9"/>
      <c r="L48" s="9"/>
      <c r="M48" s="12"/>
      <c r="N48" s="33"/>
    </row>
    <row r="49" spans="1:14">
      <c r="A49" s="30"/>
      <c r="B49" s="9"/>
      <c r="C49" s="9"/>
      <c r="D49" s="5"/>
      <c r="E49" s="9"/>
      <c r="F49" s="9"/>
      <c r="G49" s="9"/>
      <c r="H49" s="9"/>
      <c r="I49" s="12"/>
      <c r="J49" s="18"/>
      <c r="K49" s="9"/>
      <c r="L49" s="9"/>
      <c r="M49" s="12"/>
      <c r="N49" s="33"/>
    </row>
    <row r="50" spans="1:14">
      <c r="A50" s="30"/>
      <c r="B50" s="9"/>
      <c r="C50" s="9"/>
      <c r="D50" s="5"/>
      <c r="E50" s="9"/>
      <c r="F50" s="9"/>
      <c r="G50" s="9"/>
      <c r="H50" s="9"/>
      <c r="I50" s="12"/>
      <c r="J50" s="18"/>
      <c r="K50" s="9"/>
      <c r="L50" s="9"/>
      <c r="M50" s="12"/>
      <c r="N50" s="33"/>
    </row>
    <row r="51" spans="1:14">
      <c r="A51" s="30"/>
      <c r="B51" s="9"/>
      <c r="C51" s="9"/>
      <c r="D51" s="5"/>
      <c r="E51" s="9"/>
      <c r="F51" s="9"/>
      <c r="G51" s="9"/>
      <c r="H51" s="9"/>
      <c r="I51" s="12"/>
      <c r="J51" s="18"/>
      <c r="K51" s="9"/>
      <c r="L51" s="9"/>
      <c r="M51" s="12"/>
      <c r="N51" s="33"/>
    </row>
    <row r="52" spans="1:14">
      <c r="A52" s="30"/>
      <c r="B52" s="9"/>
      <c r="C52" s="9"/>
      <c r="D52" s="5"/>
      <c r="E52" s="9"/>
      <c r="F52" s="9"/>
      <c r="G52" s="9"/>
      <c r="H52" s="9"/>
      <c r="I52" s="12"/>
      <c r="J52" s="18"/>
      <c r="K52" s="9"/>
      <c r="L52" s="9"/>
      <c r="M52" s="12"/>
      <c r="N52" s="33"/>
    </row>
    <row r="53" spans="1:14">
      <c r="A53" s="30"/>
      <c r="B53" s="9"/>
      <c r="C53" s="9"/>
      <c r="D53" s="5"/>
      <c r="E53" s="9"/>
      <c r="F53" s="9"/>
      <c r="G53" s="9"/>
      <c r="H53" s="9"/>
      <c r="I53" s="12"/>
      <c r="J53" s="18"/>
      <c r="K53" s="9"/>
      <c r="L53" s="9"/>
      <c r="M53" s="12"/>
      <c r="N53" s="33"/>
    </row>
    <row r="54" spans="1:14">
      <c r="A54" s="30"/>
      <c r="B54" s="9"/>
      <c r="C54" s="9"/>
      <c r="D54" s="5"/>
      <c r="E54" s="9"/>
      <c r="F54" s="9"/>
      <c r="G54" s="9"/>
      <c r="H54" s="9"/>
      <c r="I54" s="12"/>
      <c r="J54" s="18"/>
      <c r="K54" s="9"/>
      <c r="L54" s="9"/>
      <c r="M54" s="12"/>
      <c r="N54" s="33"/>
    </row>
    <row r="55" spans="1:14">
      <c r="A55" s="30"/>
      <c r="B55" s="9"/>
      <c r="C55" s="9"/>
      <c r="D55" s="5"/>
      <c r="E55" s="9"/>
      <c r="F55" s="9"/>
      <c r="G55" s="9"/>
      <c r="H55" s="9"/>
      <c r="I55" s="12"/>
      <c r="J55" s="18"/>
      <c r="K55" s="9"/>
      <c r="L55" s="9"/>
      <c r="M55" s="12"/>
      <c r="N55" s="33"/>
    </row>
    <row r="56" spans="1:14">
      <c r="A56" s="30"/>
      <c r="B56" s="9"/>
      <c r="C56" s="9"/>
      <c r="D56" s="5"/>
      <c r="E56" s="9"/>
      <c r="F56" s="9"/>
      <c r="G56" s="9"/>
      <c r="H56" s="9"/>
      <c r="I56" s="12"/>
      <c r="J56" s="18"/>
      <c r="K56" s="9"/>
      <c r="L56" s="9"/>
      <c r="M56" s="12"/>
      <c r="N56" s="33"/>
    </row>
    <row r="57" spans="1:14">
      <c r="A57" s="30"/>
      <c r="B57" s="9"/>
      <c r="C57" s="9"/>
      <c r="D57" s="5"/>
      <c r="E57" s="9"/>
      <c r="F57" s="9"/>
      <c r="G57" s="9"/>
      <c r="H57" s="9"/>
      <c r="I57" s="12"/>
      <c r="J57" s="18"/>
      <c r="K57" s="9"/>
      <c r="L57" s="9"/>
      <c r="M57" s="12"/>
      <c r="N57" s="33"/>
    </row>
    <row r="58" spans="1:14">
      <c r="A58" s="30"/>
      <c r="B58" s="9"/>
      <c r="C58" s="9"/>
      <c r="D58" s="5"/>
      <c r="E58" s="9"/>
      <c r="F58" s="9"/>
      <c r="G58" s="9"/>
      <c r="H58" s="9"/>
      <c r="I58" s="12"/>
      <c r="J58" s="18"/>
      <c r="K58" s="9"/>
      <c r="L58" s="9"/>
      <c r="M58" s="12"/>
      <c r="N58" s="33"/>
    </row>
    <row r="59" spans="1:14">
      <c r="A59" s="30"/>
      <c r="B59" s="9"/>
      <c r="C59" s="9"/>
      <c r="D59" s="5"/>
      <c r="E59" s="9"/>
      <c r="F59" s="9"/>
      <c r="G59" s="9"/>
      <c r="H59" s="9"/>
      <c r="I59" s="12"/>
      <c r="J59" s="18"/>
      <c r="K59" s="9"/>
      <c r="L59" s="9"/>
      <c r="M59" s="12"/>
      <c r="N59" s="33"/>
    </row>
    <row r="60" spans="1:14">
      <c r="A60" s="30"/>
      <c r="B60" s="9"/>
      <c r="C60" s="9"/>
      <c r="D60" s="5"/>
      <c r="E60" s="9"/>
      <c r="F60" s="9"/>
      <c r="G60" s="9"/>
      <c r="H60" s="9"/>
      <c r="I60" s="12"/>
      <c r="J60" s="18"/>
      <c r="K60" s="9"/>
      <c r="L60" s="9"/>
      <c r="M60" s="12"/>
      <c r="N60" s="33"/>
    </row>
    <row r="61" spans="1:14">
      <c r="A61" s="30"/>
      <c r="B61" s="9"/>
      <c r="C61" s="9"/>
      <c r="D61" s="5"/>
      <c r="E61" s="9"/>
      <c r="F61" s="9"/>
      <c r="G61" s="9"/>
      <c r="H61" s="9"/>
      <c r="I61" s="12"/>
      <c r="J61" s="18"/>
      <c r="K61" s="9"/>
      <c r="L61" s="9"/>
      <c r="M61" s="12"/>
      <c r="N61" s="33"/>
    </row>
    <row r="62" spans="1:14">
      <c r="A62" s="30"/>
      <c r="B62" s="9"/>
      <c r="C62" s="9"/>
      <c r="D62" s="5"/>
      <c r="E62" s="9"/>
      <c r="F62" s="9"/>
      <c r="G62" s="9"/>
      <c r="H62" s="9"/>
      <c r="I62" s="12"/>
      <c r="J62" s="18"/>
      <c r="K62" s="9"/>
      <c r="L62" s="9"/>
      <c r="M62" s="12"/>
      <c r="N62" s="33"/>
    </row>
    <row r="63" spans="1:14">
      <c r="A63" s="30"/>
      <c r="B63" s="9"/>
      <c r="C63" s="9"/>
      <c r="D63" s="5"/>
      <c r="E63" s="9"/>
      <c r="F63" s="9"/>
      <c r="G63" s="9"/>
      <c r="H63" s="9"/>
      <c r="I63" s="12"/>
      <c r="J63" s="18"/>
      <c r="K63" s="9"/>
      <c r="L63" s="9"/>
      <c r="M63" s="12"/>
      <c r="N63" s="33"/>
    </row>
    <row r="64" spans="1:14">
      <c r="A64" s="30"/>
      <c r="B64" s="9"/>
      <c r="C64" s="9"/>
      <c r="D64" s="5"/>
      <c r="E64" s="9"/>
      <c r="F64" s="9"/>
      <c r="G64" s="9"/>
      <c r="H64" s="9"/>
      <c r="I64" s="12"/>
      <c r="J64" s="18"/>
      <c r="K64" s="9"/>
      <c r="L64" s="9"/>
      <c r="M64" s="12"/>
      <c r="N64" s="33"/>
    </row>
    <row r="65" spans="1:14">
      <c r="A65" s="30"/>
      <c r="B65" s="9"/>
      <c r="C65" s="9"/>
      <c r="D65" s="5"/>
      <c r="E65" s="9"/>
      <c r="F65" s="9"/>
      <c r="G65" s="9"/>
      <c r="H65" s="9"/>
      <c r="I65" s="12"/>
      <c r="J65" s="18"/>
      <c r="K65" s="9"/>
      <c r="L65" s="9"/>
      <c r="M65" s="12"/>
      <c r="N65" s="33"/>
    </row>
    <row r="66" spans="1:14">
      <c r="A66" s="30"/>
      <c r="B66" s="9"/>
      <c r="C66" s="9"/>
      <c r="D66" s="5"/>
      <c r="E66" s="9"/>
      <c r="F66" s="9"/>
      <c r="G66" s="9"/>
      <c r="H66" s="9"/>
      <c r="I66" s="12"/>
      <c r="J66" s="18"/>
      <c r="K66" s="9"/>
      <c r="L66" s="9"/>
      <c r="M66" s="12"/>
      <c r="N66" s="33"/>
    </row>
    <row r="67" spans="1:14">
      <c r="A67" s="30"/>
      <c r="B67" s="9"/>
      <c r="C67" s="9"/>
      <c r="D67" s="5"/>
      <c r="E67" s="9"/>
      <c r="F67" s="9"/>
      <c r="G67" s="9"/>
      <c r="H67" s="9"/>
      <c r="I67" s="12"/>
      <c r="J67" s="18"/>
      <c r="K67" s="9"/>
      <c r="L67" s="9"/>
      <c r="M67" s="12"/>
      <c r="N67" s="33"/>
    </row>
    <row r="68" spans="1:14">
      <c r="A68" s="30"/>
      <c r="B68" s="9"/>
      <c r="C68" s="9"/>
      <c r="D68" s="5"/>
      <c r="E68" s="9"/>
      <c r="F68" s="9"/>
      <c r="G68" s="9"/>
      <c r="H68" s="9"/>
      <c r="I68" s="12"/>
      <c r="J68" s="18"/>
      <c r="K68" s="9"/>
      <c r="L68" s="9"/>
      <c r="M68" s="12"/>
      <c r="N68" s="33"/>
    </row>
    <row r="69" spans="1:14">
      <c r="A69" s="30"/>
      <c r="B69" s="9"/>
      <c r="C69" s="9"/>
      <c r="D69" s="5"/>
      <c r="E69" s="9"/>
      <c r="F69" s="9"/>
      <c r="G69" s="9"/>
      <c r="H69" s="9"/>
      <c r="I69" s="12"/>
      <c r="J69" s="18"/>
      <c r="K69" s="9"/>
      <c r="L69" s="9"/>
      <c r="M69" s="12"/>
      <c r="N69" s="33"/>
    </row>
    <row r="70" spans="1:14">
      <c r="A70" s="30"/>
      <c r="B70" s="9"/>
      <c r="C70" s="9"/>
      <c r="D70" s="5"/>
      <c r="E70" s="9"/>
      <c r="F70" s="9"/>
      <c r="G70" s="9"/>
      <c r="H70" s="9"/>
      <c r="I70" s="12"/>
      <c r="J70" s="18"/>
      <c r="K70" s="9"/>
      <c r="L70" s="9"/>
      <c r="M70" s="12"/>
      <c r="N70" s="33"/>
    </row>
    <row r="71" spans="1:14">
      <c r="A71" s="30"/>
      <c r="B71" s="9"/>
      <c r="C71" s="9"/>
      <c r="D71" s="5"/>
      <c r="E71" s="9"/>
      <c r="F71" s="9"/>
      <c r="G71" s="9"/>
      <c r="H71" s="9"/>
      <c r="I71" s="12"/>
      <c r="J71" s="18"/>
      <c r="K71" s="9"/>
      <c r="L71" s="9"/>
      <c r="M71" s="12"/>
      <c r="N71" s="33"/>
    </row>
    <row r="72" spans="1:14">
      <c r="A72" s="30"/>
      <c r="B72" s="9"/>
      <c r="C72" s="9"/>
      <c r="D72" s="5"/>
      <c r="E72" s="9"/>
      <c r="F72" s="9"/>
      <c r="G72" s="9"/>
      <c r="H72" s="9"/>
      <c r="I72" s="12"/>
      <c r="J72" s="18"/>
      <c r="K72" s="9"/>
      <c r="L72" s="9"/>
      <c r="M72" s="12"/>
      <c r="N72" s="33"/>
    </row>
    <row r="73" spans="1:14">
      <c r="A73" s="30"/>
      <c r="B73" s="9"/>
      <c r="C73" s="9"/>
      <c r="D73" s="5"/>
      <c r="E73" s="9"/>
      <c r="F73" s="9"/>
      <c r="G73" s="9"/>
      <c r="H73" s="9"/>
      <c r="I73" s="12"/>
      <c r="J73" s="18"/>
      <c r="K73" s="9"/>
      <c r="L73" s="9"/>
      <c r="M73" s="12"/>
      <c r="N73" s="33"/>
    </row>
    <row r="74" spans="1:14">
      <c r="A74" s="30"/>
      <c r="B74" s="9"/>
      <c r="C74" s="9"/>
      <c r="D74" s="5"/>
      <c r="E74" s="9"/>
      <c r="F74" s="9"/>
      <c r="G74" s="9"/>
      <c r="H74" s="9"/>
      <c r="I74" s="12"/>
      <c r="J74" s="18"/>
      <c r="K74" s="9"/>
      <c r="L74" s="9"/>
      <c r="M74" s="12"/>
      <c r="N74" s="33"/>
    </row>
    <row r="75" spans="1:14">
      <c r="A75" s="30"/>
      <c r="B75" s="9"/>
      <c r="C75" s="9"/>
      <c r="D75" s="5"/>
      <c r="E75" s="9"/>
      <c r="F75" s="9"/>
      <c r="G75" s="9"/>
      <c r="H75" s="9"/>
      <c r="I75" s="12"/>
      <c r="J75" s="18"/>
      <c r="K75" s="9"/>
      <c r="L75" s="9"/>
      <c r="M75" s="12"/>
      <c r="N75" s="33"/>
    </row>
    <row r="76" spans="1:14">
      <c r="A76" s="30"/>
      <c r="B76" s="9"/>
      <c r="C76" s="9"/>
      <c r="D76" s="5"/>
      <c r="E76" s="9"/>
      <c r="F76" s="9"/>
      <c r="G76" s="9"/>
      <c r="H76" s="9"/>
      <c r="I76" s="12"/>
      <c r="J76" s="18"/>
      <c r="K76" s="9"/>
      <c r="L76" s="9"/>
      <c r="M76" s="12"/>
      <c r="N76" s="33"/>
    </row>
    <row r="77" spans="1:14">
      <c r="A77" s="30"/>
      <c r="B77" s="9"/>
      <c r="C77" s="9"/>
      <c r="D77" s="5"/>
      <c r="E77" s="9"/>
      <c r="F77" s="9"/>
      <c r="G77" s="9"/>
      <c r="H77" s="9"/>
      <c r="I77" s="12"/>
      <c r="J77" s="18"/>
      <c r="K77" s="9"/>
      <c r="L77" s="9"/>
      <c r="M77" s="12"/>
      <c r="N77" s="33"/>
    </row>
    <row r="78" spans="1:14">
      <c r="A78" s="30"/>
      <c r="B78" s="9"/>
      <c r="C78" s="9"/>
      <c r="D78" s="5"/>
      <c r="E78" s="9"/>
      <c r="F78" s="9"/>
      <c r="G78" s="9"/>
      <c r="H78" s="9"/>
      <c r="I78" s="12"/>
      <c r="J78" s="18"/>
      <c r="K78" s="9"/>
      <c r="L78" s="9"/>
      <c r="M78" s="12"/>
      <c r="N78" s="33"/>
    </row>
    <row r="79" spans="1:14">
      <c r="A79" s="30"/>
      <c r="B79" s="9"/>
      <c r="C79" s="9"/>
      <c r="D79" s="5"/>
      <c r="E79" s="9"/>
      <c r="F79" s="9"/>
      <c r="G79" s="9"/>
      <c r="H79" s="9"/>
      <c r="I79" s="12"/>
      <c r="J79" s="18"/>
      <c r="K79" s="9"/>
      <c r="L79" s="9"/>
      <c r="M79" s="12"/>
      <c r="N79" s="33"/>
    </row>
    <row r="80" spans="1:14">
      <c r="A80" s="30"/>
      <c r="B80" s="9"/>
      <c r="C80" s="9"/>
      <c r="D80" s="5"/>
      <c r="E80" s="9"/>
      <c r="F80" s="9"/>
      <c r="G80" s="9"/>
      <c r="H80" s="9"/>
      <c r="I80" s="12"/>
      <c r="J80" s="18"/>
      <c r="K80" s="9"/>
      <c r="L80" s="9"/>
      <c r="M80" s="12"/>
      <c r="N80" s="33"/>
    </row>
    <row r="81" spans="1:14">
      <c r="A81" s="30"/>
      <c r="B81" s="9"/>
      <c r="C81" s="9"/>
      <c r="D81" s="5"/>
      <c r="E81" s="9"/>
      <c r="F81" s="9"/>
      <c r="G81" s="9"/>
      <c r="H81" s="9"/>
      <c r="I81" s="12"/>
      <c r="J81" s="18"/>
      <c r="K81" s="9"/>
      <c r="L81" s="9"/>
      <c r="M81" s="12"/>
      <c r="N81" s="33"/>
    </row>
    <row r="82" spans="1:14">
      <c r="A82" s="30"/>
      <c r="B82" s="9"/>
      <c r="C82" s="9"/>
      <c r="D82" s="5"/>
      <c r="E82" s="9"/>
      <c r="F82" s="9"/>
      <c r="G82" s="9"/>
      <c r="H82" s="9"/>
      <c r="I82" s="12"/>
      <c r="J82" s="18"/>
      <c r="K82" s="9"/>
      <c r="L82" s="9"/>
      <c r="M82" s="12"/>
      <c r="N82" s="33"/>
    </row>
    <row r="83" spans="1:14">
      <c r="A83" s="30"/>
      <c r="B83" s="9"/>
      <c r="C83" s="9"/>
      <c r="D83" s="5"/>
      <c r="E83" s="9"/>
      <c r="F83" s="9"/>
      <c r="G83" s="9"/>
      <c r="H83" s="9"/>
      <c r="I83" s="12"/>
      <c r="J83" s="18"/>
      <c r="K83" s="9"/>
      <c r="L83" s="9"/>
      <c r="M83" s="12"/>
      <c r="N83" s="33"/>
    </row>
    <row r="84" spans="1:14">
      <c r="A84" s="30"/>
      <c r="B84" s="9"/>
      <c r="C84" s="9"/>
      <c r="D84" s="5"/>
      <c r="E84" s="9"/>
      <c r="F84" s="9"/>
      <c r="G84" s="9"/>
      <c r="H84" s="9"/>
      <c r="I84" s="12"/>
      <c r="J84" s="18"/>
      <c r="K84" s="9"/>
      <c r="L84" s="9"/>
      <c r="M84" s="12"/>
      <c r="N84" s="33"/>
    </row>
    <row r="85" spans="1:14">
      <c r="A85" s="30"/>
      <c r="B85" s="9"/>
      <c r="C85" s="9"/>
      <c r="D85" s="5"/>
      <c r="E85" s="9"/>
      <c r="F85" s="9"/>
      <c r="G85" s="9"/>
      <c r="H85" s="9"/>
      <c r="I85" s="12"/>
      <c r="J85" s="18"/>
      <c r="K85" s="9"/>
      <c r="L85" s="9"/>
      <c r="M85" s="12"/>
      <c r="N85" s="33"/>
    </row>
    <row r="86" spans="1:14">
      <c r="A86" s="30"/>
      <c r="B86" s="9"/>
      <c r="C86" s="9"/>
      <c r="D86" s="5"/>
      <c r="E86" s="9"/>
      <c r="F86" s="9"/>
      <c r="G86" s="9"/>
      <c r="H86" s="9"/>
      <c r="I86" s="12"/>
      <c r="J86" s="18"/>
      <c r="K86" s="9"/>
      <c r="L86" s="9"/>
      <c r="M86" s="12"/>
      <c r="N86" s="33"/>
    </row>
    <row r="87" spans="1:14">
      <c r="A87" s="30"/>
      <c r="B87" s="9"/>
      <c r="C87" s="9"/>
      <c r="D87" s="5"/>
      <c r="E87" s="9"/>
      <c r="F87" s="9"/>
      <c r="G87" s="9"/>
      <c r="H87" s="9"/>
      <c r="I87" s="12"/>
      <c r="J87" s="18"/>
      <c r="K87" s="9"/>
      <c r="L87" s="9"/>
      <c r="M87" s="12"/>
      <c r="N87" s="33"/>
    </row>
    <row r="88" spans="1:14">
      <c r="A88" s="30"/>
      <c r="B88" s="9"/>
      <c r="C88" s="9"/>
      <c r="D88" s="5"/>
      <c r="E88" s="9"/>
      <c r="F88" s="9"/>
      <c r="G88" s="9"/>
      <c r="H88" s="9"/>
      <c r="I88" s="12"/>
      <c r="J88" s="18"/>
      <c r="K88" s="9"/>
      <c r="L88" s="9"/>
      <c r="M88" s="12"/>
      <c r="N88" s="33"/>
    </row>
    <row r="89" spans="1:14">
      <c r="A89" s="30"/>
      <c r="B89" s="9"/>
      <c r="C89" s="9"/>
      <c r="D89" s="5"/>
      <c r="E89" s="9"/>
      <c r="F89" s="9"/>
      <c r="G89" s="9"/>
      <c r="H89" s="9"/>
      <c r="I89" s="12"/>
      <c r="J89" s="18"/>
      <c r="K89" s="9"/>
      <c r="L89" s="9"/>
      <c r="M89" s="12"/>
      <c r="N89" s="33"/>
    </row>
    <row r="90" spans="1:14">
      <c r="A90" s="30"/>
      <c r="B90" s="9"/>
      <c r="C90" s="9"/>
      <c r="D90" s="5"/>
      <c r="E90" s="9"/>
      <c r="F90" s="9"/>
      <c r="G90" s="9"/>
      <c r="H90" s="9"/>
      <c r="I90" s="12"/>
      <c r="J90" s="18"/>
      <c r="K90" s="9"/>
      <c r="L90" s="9"/>
      <c r="M90" s="12"/>
      <c r="N90" s="33"/>
    </row>
    <row r="91" spans="1:14">
      <c r="A91" s="30"/>
      <c r="B91" s="9"/>
      <c r="C91" s="9"/>
      <c r="D91" s="5"/>
      <c r="E91" s="9"/>
      <c r="F91" s="9"/>
      <c r="G91" s="9"/>
      <c r="H91" s="9"/>
      <c r="I91" s="12"/>
      <c r="J91" s="18"/>
      <c r="K91" s="9"/>
      <c r="L91" s="9"/>
      <c r="M91" s="12"/>
      <c r="N91" s="33"/>
    </row>
    <row r="92" spans="1:14">
      <c r="A92" s="30"/>
      <c r="B92" s="9"/>
      <c r="C92" s="9"/>
      <c r="D92" s="5"/>
      <c r="E92" s="9"/>
      <c r="F92" s="9"/>
      <c r="G92" s="9"/>
      <c r="H92" s="9"/>
      <c r="I92" s="12"/>
      <c r="J92" s="18"/>
      <c r="K92" s="9"/>
      <c r="L92" s="9"/>
      <c r="M92" s="12"/>
      <c r="N92" s="33"/>
    </row>
    <row r="93" spans="1:14">
      <c r="A93" s="30"/>
      <c r="B93" s="9"/>
      <c r="C93" s="9"/>
      <c r="D93" s="5"/>
      <c r="E93" s="9"/>
      <c r="F93" s="9"/>
      <c r="G93" s="9"/>
      <c r="H93" s="9"/>
      <c r="I93" s="12"/>
      <c r="J93" s="18"/>
      <c r="K93" s="9"/>
      <c r="L93" s="9"/>
      <c r="M93" s="12"/>
      <c r="N93" s="33"/>
    </row>
    <row r="94" spans="1:14">
      <c r="A94" s="30"/>
      <c r="B94" s="9"/>
      <c r="C94" s="9"/>
      <c r="D94" s="5"/>
      <c r="E94" s="9"/>
      <c r="F94" s="9"/>
      <c r="G94" s="9"/>
      <c r="H94" s="9"/>
      <c r="I94" s="12"/>
      <c r="J94" s="18"/>
      <c r="K94" s="9"/>
      <c r="L94" s="9"/>
      <c r="M94" s="12"/>
      <c r="N94" s="33"/>
    </row>
    <row r="95" spans="1:14">
      <c r="A95" s="30"/>
      <c r="B95" s="9"/>
      <c r="C95" s="9"/>
      <c r="D95" s="5"/>
      <c r="E95" s="9"/>
      <c r="F95" s="9"/>
      <c r="G95" s="9"/>
      <c r="H95" s="9"/>
      <c r="I95" s="12"/>
      <c r="J95" s="18"/>
      <c r="K95" s="9"/>
      <c r="L95" s="9"/>
      <c r="M95" s="12"/>
      <c r="N95" s="33"/>
    </row>
    <row r="96" spans="1:14">
      <c r="A96" s="30"/>
      <c r="B96" s="9"/>
      <c r="C96" s="9"/>
      <c r="D96" s="5"/>
      <c r="E96" s="9"/>
      <c r="F96" s="9"/>
      <c r="G96" s="9"/>
      <c r="H96" s="9"/>
      <c r="I96" s="12"/>
      <c r="J96" s="18"/>
      <c r="K96" s="9"/>
      <c r="L96" s="9"/>
      <c r="M96" s="12"/>
      <c r="N96" s="33"/>
    </row>
    <row r="97" spans="1:14">
      <c r="A97" s="30"/>
      <c r="B97" s="9"/>
      <c r="C97" s="9"/>
      <c r="D97" s="5"/>
      <c r="E97" s="9"/>
      <c r="F97" s="9"/>
      <c r="G97" s="9"/>
      <c r="H97" s="9"/>
      <c r="I97" s="12"/>
      <c r="J97" s="18"/>
      <c r="K97" s="9"/>
      <c r="L97" s="9"/>
      <c r="M97" s="12"/>
      <c r="N97" s="33"/>
    </row>
    <row r="98" spans="1:14">
      <c r="A98" s="30"/>
      <c r="B98" s="9"/>
      <c r="C98" s="9"/>
      <c r="D98" s="5"/>
      <c r="E98" s="9"/>
      <c r="F98" s="9"/>
      <c r="G98" s="9"/>
      <c r="H98" s="9"/>
      <c r="I98" s="12"/>
      <c r="J98" s="18"/>
      <c r="K98" s="9"/>
      <c r="L98" s="9"/>
      <c r="M98" s="12"/>
      <c r="N98" s="33"/>
    </row>
    <row r="99" spans="1:14">
      <c r="A99" s="30"/>
      <c r="B99" s="9"/>
      <c r="C99" s="9"/>
      <c r="D99" s="5"/>
      <c r="E99" s="9"/>
      <c r="F99" s="9"/>
      <c r="G99" s="9"/>
      <c r="H99" s="9"/>
      <c r="I99" s="12"/>
      <c r="J99" s="18"/>
      <c r="K99" s="9"/>
      <c r="L99" s="9"/>
      <c r="M99" s="12"/>
      <c r="N99" s="33"/>
    </row>
    <row r="100" spans="1:14">
      <c r="A100" s="30"/>
      <c r="B100" s="9"/>
      <c r="C100" s="9"/>
      <c r="D100" s="5"/>
      <c r="E100" s="9"/>
      <c r="F100" s="9"/>
      <c r="G100" s="9"/>
      <c r="H100" s="9"/>
      <c r="I100" s="12"/>
      <c r="J100" s="18"/>
      <c r="K100" s="9"/>
      <c r="L100" s="9"/>
      <c r="M100" s="12"/>
      <c r="N100" s="33"/>
    </row>
    <row r="101" spans="1:14">
      <c r="A101" s="30"/>
      <c r="B101" s="9"/>
      <c r="C101" s="9"/>
      <c r="D101" s="5"/>
      <c r="E101" s="9"/>
      <c r="F101" s="9"/>
      <c r="G101" s="9"/>
      <c r="H101" s="9"/>
      <c r="I101" s="12"/>
      <c r="J101" s="18"/>
      <c r="K101" s="9"/>
      <c r="L101" s="9"/>
      <c r="M101" s="12"/>
      <c r="N101" s="33"/>
    </row>
    <row r="102" spans="1:14">
      <c r="A102" s="30"/>
      <c r="B102" s="9"/>
      <c r="C102" s="9"/>
      <c r="D102" s="5"/>
      <c r="E102" s="9"/>
      <c r="F102" s="9"/>
      <c r="G102" s="9"/>
      <c r="H102" s="9"/>
      <c r="I102" s="12"/>
      <c r="J102" s="18"/>
      <c r="K102" s="9"/>
      <c r="L102" s="9"/>
      <c r="M102" s="12"/>
      <c r="N102" s="33"/>
    </row>
    <row r="103" spans="1:14">
      <c r="A103" s="30"/>
      <c r="B103" s="9"/>
      <c r="C103" s="9"/>
      <c r="D103" s="5"/>
      <c r="E103" s="9"/>
      <c r="F103" s="9"/>
      <c r="G103" s="9"/>
      <c r="H103" s="9"/>
      <c r="I103" s="12"/>
      <c r="J103" s="18"/>
      <c r="K103" s="9"/>
      <c r="L103" s="9"/>
      <c r="M103" s="12"/>
      <c r="N103" s="33"/>
    </row>
    <row r="104" spans="1:14">
      <c r="A104" s="30"/>
      <c r="B104" s="9"/>
      <c r="C104" s="9"/>
      <c r="D104" s="5"/>
      <c r="E104" s="9"/>
      <c r="F104" s="9"/>
      <c r="G104" s="9"/>
      <c r="H104" s="9"/>
      <c r="I104" s="12"/>
      <c r="J104" s="18"/>
      <c r="K104" s="9"/>
      <c r="L104" s="9"/>
      <c r="M104" s="12"/>
      <c r="N104" s="33"/>
    </row>
    <row r="105" spans="1:14">
      <c r="A105" s="30"/>
      <c r="B105" s="9"/>
      <c r="C105" s="9"/>
      <c r="D105" s="5"/>
      <c r="E105" s="9"/>
      <c r="F105" s="9"/>
      <c r="G105" s="9"/>
      <c r="H105" s="9"/>
      <c r="I105" s="12"/>
      <c r="J105" s="18"/>
      <c r="K105" s="9"/>
      <c r="L105" s="9"/>
      <c r="M105" s="12"/>
      <c r="N105" s="33"/>
    </row>
    <row r="106" spans="1:14">
      <c r="A106" s="30"/>
      <c r="B106" s="9"/>
      <c r="C106" s="9"/>
      <c r="D106" s="5"/>
      <c r="E106" s="9"/>
      <c r="F106" s="9"/>
      <c r="G106" s="9"/>
      <c r="H106" s="9"/>
      <c r="I106" s="12"/>
      <c r="J106" s="18"/>
      <c r="K106" s="9"/>
      <c r="L106" s="9"/>
      <c r="M106" s="12"/>
      <c r="N106" s="33"/>
    </row>
    <row r="107" spans="1:14">
      <c r="A107" s="30"/>
      <c r="B107" s="9"/>
      <c r="C107" s="9"/>
      <c r="D107" s="5"/>
      <c r="E107" s="9"/>
      <c r="F107" s="9"/>
      <c r="G107" s="9"/>
      <c r="H107" s="9"/>
      <c r="I107" s="12"/>
      <c r="J107" s="18"/>
      <c r="K107" s="9"/>
      <c r="L107" s="9"/>
      <c r="M107" s="12"/>
      <c r="N107" s="33"/>
    </row>
    <row r="108" spans="1:14">
      <c r="A108" s="30"/>
      <c r="B108" s="9"/>
      <c r="C108" s="9"/>
      <c r="D108" s="5"/>
      <c r="E108" s="9"/>
      <c r="F108" s="9"/>
      <c r="G108" s="9"/>
      <c r="H108" s="9"/>
      <c r="I108" s="12"/>
      <c r="J108" s="18"/>
      <c r="K108" s="9"/>
      <c r="L108" s="9"/>
      <c r="M108" s="12"/>
      <c r="N108" s="33"/>
    </row>
    <row r="109" spans="1:14">
      <c r="A109" s="30"/>
      <c r="B109" s="9"/>
      <c r="C109" s="9"/>
      <c r="D109" s="5"/>
      <c r="E109" s="9"/>
      <c r="F109" s="9"/>
      <c r="G109" s="9"/>
      <c r="H109" s="9"/>
      <c r="I109" s="12"/>
      <c r="J109" s="18"/>
      <c r="K109" s="9"/>
      <c r="L109" s="9"/>
      <c r="M109" s="12"/>
      <c r="N109" s="33"/>
    </row>
    <row r="110" spans="1:14">
      <c r="A110" s="30"/>
      <c r="B110" s="9"/>
      <c r="C110" s="9"/>
      <c r="D110" s="5"/>
      <c r="E110" s="9"/>
      <c r="F110" s="9"/>
      <c r="G110" s="9"/>
      <c r="H110" s="9"/>
      <c r="I110" s="12"/>
      <c r="J110" s="18"/>
      <c r="K110" s="9"/>
      <c r="L110" s="9"/>
      <c r="M110" s="12"/>
      <c r="N110" s="33"/>
    </row>
    <row r="111" spans="1:14">
      <c r="A111" s="30"/>
      <c r="B111" s="9"/>
      <c r="C111" s="9"/>
      <c r="D111" s="5"/>
      <c r="E111" s="9"/>
      <c r="F111" s="9"/>
      <c r="G111" s="9"/>
      <c r="H111" s="9"/>
      <c r="I111" s="12"/>
      <c r="J111" s="18"/>
      <c r="K111" s="9"/>
      <c r="L111" s="9"/>
      <c r="M111" s="12"/>
      <c r="N111" s="33"/>
    </row>
    <row r="112" spans="1:14">
      <c r="A112" s="30"/>
      <c r="B112" s="9"/>
      <c r="C112" s="9"/>
      <c r="D112" s="5"/>
      <c r="E112" s="9"/>
      <c r="F112" s="9"/>
      <c r="G112" s="9"/>
      <c r="H112" s="9"/>
      <c r="I112" s="12"/>
      <c r="J112" s="18"/>
      <c r="K112" s="9"/>
      <c r="L112" s="9"/>
      <c r="M112" s="12"/>
      <c r="N112" s="33"/>
    </row>
    <row r="113" spans="1:14">
      <c r="A113" s="30"/>
      <c r="B113" s="9"/>
      <c r="C113" s="9"/>
      <c r="D113" s="5"/>
      <c r="E113" s="9"/>
      <c r="F113" s="9"/>
      <c r="G113" s="9"/>
      <c r="H113" s="9"/>
      <c r="I113" s="12"/>
      <c r="J113" s="18"/>
      <c r="K113" s="9"/>
      <c r="L113" s="9"/>
      <c r="M113" s="12"/>
      <c r="N113" s="33"/>
    </row>
    <row r="114" spans="1:14">
      <c r="A114" s="30"/>
      <c r="B114" s="9"/>
      <c r="C114" s="9"/>
      <c r="D114" s="5"/>
      <c r="E114" s="9"/>
      <c r="F114" s="9"/>
      <c r="G114" s="9"/>
      <c r="H114" s="9"/>
      <c r="I114" s="12"/>
      <c r="J114" s="18"/>
      <c r="K114" s="9"/>
      <c r="L114" s="9"/>
      <c r="M114" s="12"/>
      <c r="N114" s="33"/>
    </row>
    <row r="115" spans="1:14">
      <c r="A115" s="30"/>
      <c r="B115" s="9"/>
      <c r="C115" s="9"/>
      <c r="D115" s="5"/>
      <c r="E115" s="9"/>
      <c r="F115" s="9"/>
      <c r="G115" s="9"/>
      <c r="H115" s="9"/>
      <c r="I115" s="12"/>
      <c r="J115" s="18"/>
      <c r="K115" s="9"/>
      <c r="L115" s="9"/>
      <c r="M115" s="12"/>
      <c r="N115" s="33"/>
    </row>
    <row r="116" spans="1:14">
      <c r="A116" s="30"/>
      <c r="B116" s="9"/>
      <c r="C116" s="9"/>
      <c r="D116" s="5"/>
      <c r="E116" s="9"/>
      <c r="F116" s="9"/>
      <c r="G116" s="9"/>
      <c r="H116" s="9"/>
      <c r="I116" s="12"/>
      <c r="J116" s="18"/>
      <c r="K116" s="9"/>
      <c r="L116" s="9"/>
      <c r="M116" s="12"/>
      <c r="N116" s="33"/>
    </row>
    <row r="117" spans="1:14">
      <c r="A117" s="30"/>
      <c r="B117" s="9"/>
      <c r="C117" s="9"/>
      <c r="D117" s="5"/>
      <c r="E117" s="9"/>
      <c r="F117" s="9"/>
      <c r="G117" s="9"/>
      <c r="H117" s="9"/>
      <c r="I117" s="12"/>
      <c r="J117" s="18"/>
      <c r="K117" s="9"/>
      <c r="L117" s="9"/>
      <c r="M117" s="12"/>
      <c r="N117" s="33"/>
    </row>
    <row r="118" spans="1:14">
      <c r="A118" s="30"/>
      <c r="B118" s="9"/>
      <c r="C118" s="9"/>
      <c r="D118" s="5"/>
      <c r="E118" s="9"/>
      <c r="F118" s="9"/>
      <c r="G118" s="9"/>
      <c r="H118" s="9"/>
      <c r="I118" s="12"/>
      <c r="J118" s="18"/>
      <c r="K118" s="9"/>
      <c r="L118" s="9"/>
      <c r="M118" s="12"/>
      <c r="N118" s="33"/>
    </row>
    <row r="119" spans="1:14">
      <c r="A119" s="30"/>
      <c r="B119" s="9"/>
      <c r="C119" s="9"/>
      <c r="D119" s="5"/>
      <c r="E119" s="9"/>
      <c r="F119" s="9"/>
      <c r="G119" s="9"/>
      <c r="H119" s="9"/>
      <c r="I119" s="12"/>
      <c r="J119" s="18"/>
      <c r="K119" s="9"/>
      <c r="L119" s="9"/>
      <c r="M119" s="12"/>
      <c r="N119" s="33"/>
    </row>
    <row r="120" spans="1:14">
      <c r="A120" s="30"/>
      <c r="B120" s="9"/>
      <c r="C120" s="9"/>
      <c r="D120" s="5"/>
      <c r="E120" s="9"/>
      <c r="F120" s="9"/>
      <c r="G120" s="9"/>
      <c r="H120" s="9"/>
      <c r="I120" s="12"/>
      <c r="J120" s="18"/>
      <c r="K120" s="9"/>
      <c r="L120" s="9"/>
      <c r="M120" s="12"/>
      <c r="N120" s="33"/>
    </row>
    <row r="121" spans="1:14">
      <c r="A121" s="30"/>
      <c r="B121" s="9"/>
      <c r="C121" s="9"/>
      <c r="D121" s="5"/>
      <c r="E121" s="9"/>
      <c r="F121" s="9"/>
      <c r="G121" s="9"/>
      <c r="H121" s="9"/>
      <c r="I121" s="12"/>
      <c r="J121" s="18"/>
      <c r="K121" s="9"/>
      <c r="L121" s="9"/>
      <c r="M121" s="12"/>
      <c r="N121" s="33"/>
    </row>
    <row r="122" spans="1:14">
      <c r="A122" s="30"/>
      <c r="B122" s="9"/>
      <c r="C122" s="9"/>
      <c r="D122" s="5"/>
      <c r="E122" s="9"/>
      <c r="F122" s="9"/>
      <c r="G122" s="9"/>
      <c r="H122" s="9"/>
      <c r="I122" s="12"/>
      <c r="J122" s="18"/>
      <c r="K122" s="9"/>
      <c r="L122" s="9"/>
      <c r="M122" s="12"/>
      <c r="N122" s="33"/>
    </row>
    <row r="123" spans="1:14">
      <c r="A123" s="30"/>
      <c r="B123" s="9"/>
      <c r="C123" s="9"/>
      <c r="D123" s="5"/>
      <c r="E123" s="9"/>
      <c r="F123" s="9"/>
      <c r="G123" s="9"/>
      <c r="H123" s="9"/>
      <c r="I123" s="12"/>
      <c r="J123" s="18"/>
      <c r="K123" s="9"/>
      <c r="L123" s="9"/>
      <c r="M123" s="12"/>
      <c r="N123" s="33"/>
    </row>
    <row r="124" spans="1:14">
      <c r="A124" s="30"/>
      <c r="B124" s="9"/>
      <c r="C124" s="9"/>
      <c r="D124" s="5"/>
      <c r="E124" s="9"/>
      <c r="F124" s="9"/>
      <c r="G124" s="9"/>
      <c r="H124" s="9"/>
      <c r="I124" s="12"/>
      <c r="J124" s="18"/>
      <c r="K124" s="9"/>
      <c r="L124" s="9"/>
      <c r="M124" s="12"/>
      <c r="N124" s="33"/>
    </row>
    <row r="125" spans="1:14">
      <c r="A125" s="30"/>
      <c r="B125" s="9"/>
      <c r="C125" s="9"/>
      <c r="D125" s="5"/>
      <c r="E125" s="9"/>
      <c r="F125" s="9"/>
      <c r="G125" s="9"/>
      <c r="H125" s="9"/>
      <c r="I125" s="12"/>
      <c r="J125" s="18"/>
      <c r="K125" s="9"/>
      <c r="L125" s="9"/>
      <c r="M125" s="12"/>
      <c r="N125" s="33"/>
    </row>
    <row r="126" spans="1:14">
      <c r="A126" s="30"/>
      <c r="B126" s="9"/>
      <c r="C126" s="9"/>
      <c r="D126" s="5"/>
      <c r="E126" s="9"/>
      <c r="F126" s="9"/>
      <c r="G126" s="9"/>
      <c r="H126" s="9"/>
      <c r="I126" s="12"/>
      <c r="J126" s="18"/>
      <c r="K126" s="9"/>
      <c r="L126" s="9"/>
      <c r="M126" s="12"/>
      <c r="N126" s="33"/>
    </row>
    <row r="127" spans="1:14">
      <c r="A127" s="30"/>
      <c r="B127" s="9"/>
      <c r="C127" s="9"/>
      <c r="D127" s="5"/>
      <c r="E127" s="9"/>
      <c r="F127" s="9"/>
      <c r="G127" s="9"/>
      <c r="H127" s="9"/>
      <c r="I127" s="12"/>
      <c r="J127" s="18"/>
      <c r="K127" s="9"/>
      <c r="L127" s="9"/>
      <c r="M127" s="12"/>
      <c r="N127" s="33"/>
    </row>
    <row r="128" spans="1:14">
      <c r="A128" s="30"/>
      <c r="B128" s="9"/>
      <c r="C128" s="9"/>
      <c r="D128" s="5"/>
      <c r="E128" s="9"/>
      <c r="F128" s="9"/>
      <c r="G128" s="9"/>
      <c r="H128" s="9"/>
      <c r="I128" s="12"/>
      <c r="J128" s="18"/>
      <c r="K128" s="9"/>
      <c r="L128" s="9"/>
      <c r="M128" s="12"/>
      <c r="N128" s="33"/>
    </row>
    <row r="129" spans="1:14">
      <c r="A129" s="30"/>
      <c r="B129" s="9"/>
      <c r="C129" s="9"/>
      <c r="D129" s="5"/>
      <c r="E129" s="9"/>
      <c r="F129" s="9"/>
      <c r="G129" s="9"/>
      <c r="H129" s="9"/>
      <c r="I129" s="12"/>
      <c r="J129" s="18"/>
      <c r="K129" s="9"/>
      <c r="L129" s="9"/>
      <c r="M129" s="12"/>
      <c r="N129" s="33"/>
    </row>
    <row r="130" spans="1:14">
      <c r="A130" s="30"/>
      <c r="B130" s="9"/>
      <c r="C130" s="9"/>
      <c r="D130" s="5"/>
      <c r="E130" s="9"/>
      <c r="F130" s="9"/>
      <c r="G130" s="9"/>
      <c r="H130" s="9"/>
      <c r="I130" s="12"/>
      <c r="J130" s="18"/>
      <c r="K130" s="9"/>
      <c r="L130" s="9"/>
      <c r="M130" s="12"/>
      <c r="N130" s="33"/>
    </row>
    <row r="131" spans="1:14">
      <c r="A131" s="30"/>
      <c r="B131" s="9"/>
      <c r="C131" s="9"/>
      <c r="D131" s="5"/>
      <c r="E131" s="9"/>
      <c r="F131" s="9"/>
      <c r="G131" s="9"/>
      <c r="H131" s="9"/>
      <c r="I131" s="12"/>
      <c r="J131" s="18"/>
      <c r="K131" s="9"/>
      <c r="L131" s="9"/>
      <c r="M131" s="12"/>
      <c r="N131" s="33"/>
    </row>
    <row r="132" spans="1:14">
      <c r="A132" s="30"/>
      <c r="B132" s="9"/>
      <c r="C132" s="9"/>
      <c r="D132" s="5"/>
      <c r="E132" s="9"/>
      <c r="F132" s="9"/>
      <c r="G132" s="9"/>
      <c r="H132" s="9"/>
      <c r="I132" s="12"/>
      <c r="J132" s="18"/>
      <c r="K132" s="9"/>
      <c r="L132" s="9"/>
      <c r="M132" s="12"/>
      <c r="N132" s="33"/>
    </row>
    <row r="133" spans="1:14">
      <c r="A133" s="30"/>
      <c r="B133" s="9"/>
      <c r="C133" s="9"/>
      <c r="D133" s="5"/>
      <c r="E133" s="9"/>
      <c r="F133" s="9"/>
      <c r="G133" s="9"/>
      <c r="H133" s="9"/>
      <c r="I133" s="12"/>
      <c r="J133" s="18"/>
      <c r="K133" s="9"/>
      <c r="L133" s="9"/>
      <c r="M133" s="12"/>
      <c r="N133" s="33"/>
    </row>
    <row r="134" spans="1:14">
      <c r="A134" s="30"/>
      <c r="B134" s="9"/>
      <c r="C134" s="9"/>
      <c r="D134" s="5"/>
      <c r="E134" s="9"/>
      <c r="F134" s="9"/>
      <c r="G134" s="9"/>
      <c r="H134" s="9"/>
      <c r="I134" s="12"/>
      <c r="J134" s="18"/>
      <c r="K134" s="9"/>
      <c r="L134" s="9"/>
      <c r="M134" s="12"/>
      <c r="N134" s="33"/>
    </row>
    <row r="135" spans="1:14">
      <c r="A135" s="30"/>
      <c r="B135" s="9"/>
      <c r="C135" s="9"/>
      <c r="D135" s="5"/>
      <c r="E135" s="9"/>
      <c r="F135" s="9"/>
      <c r="G135" s="9"/>
      <c r="H135" s="9"/>
      <c r="I135" s="12"/>
      <c r="J135" s="18"/>
      <c r="K135" s="9"/>
      <c r="L135" s="9"/>
      <c r="M135" s="12"/>
      <c r="N135" s="33"/>
    </row>
    <row r="136" spans="1:14">
      <c r="A136" s="30"/>
      <c r="B136" s="9"/>
      <c r="C136" s="9"/>
      <c r="D136" s="5"/>
      <c r="E136" s="9"/>
      <c r="F136" s="9"/>
      <c r="G136" s="9"/>
      <c r="H136" s="9"/>
      <c r="I136" s="12"/>
      <c r="J136" s="18"/>
      <c r="K136" s="9"/>
      <c r="L136" s="9"/>
      <c r="M136" s="12"/>
      <c r="N136" s="33"/>
    </row>
    <row r="137" spans="1:14">
      <c r="A137" s="30"/>
      <c r="B137" s="9"/>
      <c r="C137" s="9"/>
      <c r="D137" s="5"/>
      <c r="E137" s="9"/>
      <c r="F137" s="9"/>
      <c r="G137" s="9"/>
      <c r="H137" s="9"/>
      <c r="I137" s="12"/>
      <c r="J137" s="18"/>
      <c r="K137" s="9"/>
      <c r="L137" s="9"/>
      <c r="M137" s="12"/>
      <c r="N137" s="33"/>
    </row>
    <row r="138" spans="1:14">
      <c r="A138" s="30"/>
      <c r="B138" s="9"/>
      <c r="C138" s="9"/>
      <c r="D138" s="5"/>
      <c r="E138" s="9"/>
      <c r="F138" s="9"/>
      <c r="G138" s="9"/>
      <c r="H138" s="9"/>
      <c r="I138" s="12"/>
      <c r="J138" s="18"/>
      <c r="K138" s="9"/>
      <c r="L138" s="9"/>
      <c r="M138" s="12"/>
      <c r="N138" s="33"/>
    </row>
    <row r="139" spans="1:14">
      <c r="A139" s="30"/>
      <c r="B139" s="9"/>
      <c r="C139" s="9"/>
      <c r="D139" s="5"/>
      <c r="E139" s="9"/>
      <c r="F139" s="9"/>
      <c r="G139" s="9"/>
      <c r="H139" s="9"/>
      <c r="I139" s="12"/>
      <c r="J139" s="18"/>
      <c r="K139" s="9"/>
      <c r="L139" s="9"/>
      <c r="M139" s="12"/>
      <c r="N139" s="33"/>
    </row>
    <row r="140" spans="1:14">
      <c r="A140" s="30"/>
      <c r="B140" s="9"/>
      <c r="C140" s="9"/>
      <c r="D140" s="5"/>
      <c r="E140" s="9"/>
      <c r="F140" s="9"/>
      <c r="G140" s="9"/>
      <c r="H140" s="9"/>
      <c r="I140" s="12"/>
      <c r="J140" s="18"/>
      <c r="K140" s="9"/>
      <c r="L140" s="9"/>
      <c r="M140" s="12"/>
      <c r="N140" s="33"/>
    </row>
    <row r="141" spans="1:14">
      <c r="A141" s="30"/>
      <c r="B141" s="9"/>
      <c r="C141" s="9"/>
      <c r="D141" s="5"/>
      <c r="E141" s="9"/>
      <c r="F141" s="9"/>
      <c r="G141" s="9"/>
      <c r="H141" s="9"/>
      <c r="I141" s="12"/>
      <c r="J141" s="18"/>
      <c r="K141" s="9"/>
      <c r="L141" s="9"/>
      <c r="M141" s="12"/>
      <c r="N141" s="33"/>
    </row>
    <row r="142" spans="1:14">
      <c r="A142" s="30"/>
      <c r="B142" s="9"/>
      <c r="C142" s="9"/>
      <c r="D142" s="5"/>
      <c r="E142" s="9"/>
      <c r="F142" s="9"/>
      <c r="G142" s="9"/>
      <c r="H142" s="9"/>
      <c r="I142" s="12"/>
      <c r="J142" s="18"/>
      <c r="K142" s="9"/>
      <c r="L142" s="9"/>
      <c r="M142" s="12"/>
      <c r="N142" s="33"/>
    </row>
    <row r="143" spans="1:14">
      <c r="A143" s="30"/>
      <c r="B143" s="9"/>
      <c r="C143" s="9"/>
      <c r="D143" s="5"/>
      <c r="E143" s="9"/>
      <c r="F143" s="9"/>
      <c r="G143" s="9"/>
      <c r="H143" s="9"/>
      <c r="I143" s="12"/>
      <c r="J143" s="18"/>
      <c r="K143" s="9"/>
      <c r="L143" s="9"/>
      <c r="M143" s="12"/>
      <c r="N143" s="33"/>
    </row>
    <row r="144" spans="1:14">
      <c r="A144" s="30"/>
      <c r="B144" s="9"/>
      <c r="C144" s="9"/>
      <c r="D144" s="5"/>
      <c r="E144" s="9"/>
      <c r="F144" s="9"/>
      <c r="G144" s="9"/>
      <c r="H144" s="9"/>
      <c r="I144" s="12"/>
      <c r="J144" s="18"/>
      <c r="K144" s="9"/>
      <c r="L144" s="9"/>
      <c r="M144" s="12"/>
      <c r="N144" s="33"/>
    </row>
    <row r="145" spans="1:14">
      <c r="A145" s="30"/>
      <c r="B145" s="9"/>
      <c r="C145" s="9"/>
      <c r="D145" s="5"/>
      <c r="E145" s="9"/>
      <c r="F145" s="9"/>
      <c r="G145" s="9"/>
      <c r="H145" s="9"/>
      <c r="I145" s="12"/>
      <c r="J145" s="18"/>
      <c r="K145" s="9"/>
      <c r="L145" s="9"/>
      <c r="M145" s="12"/>
      <c r="N145" s="33"/>
    </row>
    <row r="146" spans="1:14">
      <c r="A146" s="30"/>
      <c r="B146" s="9"/>
      <c r="C146" s="9"/>
      <c r="D146" s="5"/>
      <c r="E146" s="9"/>
      <c r="F146" s="9"/>
      <c r="G146" s="9"/>
      <c r="H146" s="9"/>
      <c r="I146" s="12"/>
      <c r="J146" s="18"/>
      <c r="K146" s="9"/>
      <c r="L146" s="9"/>
      <c r="M146" s="12"/>
      <c r="N146" s="33"/>
    </row>
    <row r="147" spans="1:14">
      <c r="A147" s="30"/>
      <c r="B147" s="9"/>
      <c r="C147" s="9"/>
      <c r="D147" s="5"/>
      <c r="E147" s="9"/>
      <c r="F147" s="9"/>
      <c r="G147" s="9"/>
      <c r="H147" s="9"/>
      <c r="I147" s="12"/>
      <c r="J147" s="18"/>
      <c r="K147" s="9"/>
      <c r="L147" s="9"/>
      <c r="M147" s="12"/>
      <c r="N147" s="33"/>
    </row>
    <row r="148" spans="1:14">
      <c r="A148" s="30"/>
      <c r="B148" s="9"/>
      <c r="C148" s="9"/>
      <c r="D148" s="5"/>
      <c r="E148" s="9"/>
      <c r="F148" s="9"/>
      <c r="G148" s="9"/>
      <c r="H148" s="9"/>
      <c r="I148" s="12"/>
      <c r="J148" s="18"/>
      <c r="K148" s="9"/>
      <c r="L148" s="9"/>
      <c r="M148" s="12"/>
      <c r="N148" s="33"/>
    </row>
    <row r="149" spans="1:14">
      <c r="A149" s="30"/>
      <c r="B149" s="9"/>
      <c r="C149" s="9"/>
      <c r="D149" s="5"/>
      <c r="E149" s="9"/>
      <c r="F149" s="9"/>
      <c r="G149" s="9"/>
      <c r="H149" s="9"/>
      <c r="I149" s="12"/>
      <c r="J149" s="18"/>
      <c r="K149" s="9"/>
      <c r="L149" s="9"/>
      <c r="M149" s="12"/>
      <c r="N149" s="33"/>
    </row>
    <row r="150" spans="1:14">
      <c r="A150" s="30"/>
      <c r="B150" s="9"/>
      <c r="C150" s="9"/>
      <c r="D150" s="5"/>
      <c r="E150" s="9"/>
      <c r="F150" s="9"/>
      <c r="G150" s="9"/>
      <c r="H150" s="9"/>
      <c r="I150" s="12"/>
      <c r="J150" s="18"/>
      <c r="K150" s="9"/>
      <c r="L150" s="9"/>
      <c r="M150" s="12"/>
      <c r="N150" s="33"/>
    </row>
    <row r="151" spans="1:14">
      <c r="A151" s="30"/>
      <c r="B151" s="9"/>
      <c r="C151" s="9"/>
      <c r="D151" s="5"/>
      <c r="E151" s="9"/>
      <c r="F151" s="9"/>
      <c r="G151" s="9"/>
      <c r="H151" s="9"/>
      <c r="I151" s="12"/>
      <c r="J151" s="18"/>
      <c r="K151" s="9"/>
      <c r="L151" s="9"/>
      <c r="M151" s="12"/>
      <c r="N151" s="33"/>
    </row>
    <row r="152" spans="1:14">
      <c r="A152" s="30"/>
      <c r="B152" s="9"/>
      <c r="C152" s="9"/>
      <c r="D152" s="5"/>
      <c r="E152" s="9"/>
      <c r="F152" s="9"/>
      <c r="G152" s="9"/>
      <c r="H152" s="9"/>
      <c r="I152" s="12"/>
      <c r="J152" s="18"/>
      <c r="K152" s="9"/>
      <c r="L152" s="9"/>
      <c r="M152" s="12"/>
      <c r="N152" s="33"/>
    </row>
    <row r="153" spans="1:14">
      <c r="A153" s="30"/>
      <c r="B153" s="9"/>
      <c r="C153" s="9"/>
      <c r="D153" s="5"/>
      <c r="E153" s="9"/>
      <c r="F153" s="9"/>
      <c r="G153" s="9"/>
      <c r="H153" s="9"/>
      <c r="I153" s="12"/>
      <c r="J153" s="18"/>
      <c r="K153" s="9"/>
      <c r="L153" s="9"/>
      <c r="M153" s="12"/>
      <c r="N153" s="33"/>
    </row>
    <row r="154" spans="1:14">
      <c r="A154" s="30"/>
      <c r="B154" s="9"/>
      <c r="C154" s="9"/>
      <c r="D154" s="5"/>
      <c r="E154" s="9"/>
      <c r="F154" s="9"/>
      <c r="G154" s="9"/>
      <c r="H154" s="9"/>
      <c r="I154" s="12"/>
      <c r="J154" s="18"/>
      <c r="K154" s="9"/>
      <c r="L154" s="9"/>
      <c r="M154" s="12"/>
      <c r="N154" s="33"/>
    </row>
    <row r="155" spans="1:14">
      <c r="A155" s="31"/>
      <c r="B155" s="10"/>
      <c r="C155" s="10"/>
      <c r="D155" s="6"/>
      <c r="E155" s="10"/>
      <c r="F155" s="10"/>
      <c r="G155" s="10"/>
      <c r="H155" s="10"/>
      <c r="I155" s="13"/>
      <c r="J155" s="19"/>
      <c r="K155" s="10"/>
      <c r="L155" s="10"/>
      <c r="M155" s="13"/>
      <c r="N155" s="34"/>
    </row>
  </sheetData>
  <mergeCells count="3">
    <mergeCell ref="A1:N1"/>
    <mergeCell ref="A2:N2"/>
    <mergeCell ref="A3:N3"/>
  </mergeCells>
  <dataValidations count="4">
    <dataValidation type="list" sqref="E6:E155" xr:uid="{00000000-0002-0000-0500-000000000000}">
      <formula1>"Baik,Gangguan Ringan,Rusak Ringan,Rusak Sedang,Rusak Berat,Perlu Pembersihan,Perlu Pemantauan"</formula1>
    </dataValidation>
    <dataValidation type="list" sqref="F6:F155" xr:uid="{00000000-0002-0000-0500-000001000000}">
      <formula1>"Rendah,Sedang,Tinggi"</formula1>
    </dataValidation>
    <dataValidation type="list" sqref="H6:H155" xr:uid="{00000000-0002-0000-0500-000002000000}">
      <formula1>"Belum Ditindaklanjuti,Direncanakan,Dalam Pelaksanaan,Selesai"</formula1>
    </dataValidation>
    <dataValidation type="list" sqref="L6:L155" xr:uid="{00000000-0002-0000-0500-000003000000}">
      <formula1>"Draft,Dalam Verifikasi,Terverifikasi,Perlu Perbaikan"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BC3F-E052-4FE5-8A0F-EC125AC75072}">
  <dimension ref="A1:O27"/>
  <sheetViews>
    <sheetView workbookViewId="0">
      <selection activeCell="B6" sqref="B6"/>
    </sheetView>
  </sheetViews>
  <sheetFormatPr defaultRowHeight="14"/>
  <cols>
    <col min="1" max="1" width="18" customWidth="1"/>
    <col min="2" max="2" width="10" customWidth="1"/>
    <col min="3" max="3" width="15" customWidth="1"/>
    <col min="4" max="4" width="17" customWidth="1"/>
    <col min="5" max="5" width="14" customWidth="1"/>
    <col min="6" max="6" width="16" customWidth="1"/>
    <col min="7" max="9" width="11" customWidth="1"/>
    <col min="10" max="10" width="13" customWidth="1"/>
    <col min="11" max="11" width="36" customWidth="1"/>
    <col min="12" max="12" width="20" customWidth="1"/>
    <col min="13" max="13" width="16" customWidth="1"/>
    <col min="14" max="14" width="18" customWidth="1"/>
    <col min="15" max="15" width="38" customWidth="1"/>
  </cols>
  <sheetData>
    <row r="1" spans="1:15" ht="18.649999999999999" customHeight="1">
      <c r="A1" s="207" t="s">
        <v>2102</v>
      </c>
      <c r="B1" s="207"/>
      <c r="C1" s="207"/>
      <c r="D1" s="207"/>
      <c r="E1" s="207"/>
      <c r="F1" s="207"/>
      <c r="G1" s="207"/>
      <c r="H1" s="207"/>
      <c r="I1" s="207"/>
      <c r="J1" s="207"/>
      <c r="K1" s="207"/>
      <c r="L1" s="207"/>
      <c r="M1" s="207"/>
      <c r="N1" s="207"/>
      <c r="O1" s="207"/>
    </row>
    <row r="2" spans="1:15" ht="16" customHeight="1">
      <c r="A2" s="208" t="s">
        <v>2101</v>
      </c>
      <c r="B2" s="208"/>
      <c r="C2" s="208"/>
      <c r="D2" s="208"/>
      <c r="E2" s="208"/>
      <c r="F2" s="208"/>
      <c r="G2" s="208"/>
      <c r="H2" s="208"/>
      <c r="I2" s="208"/>
      <c r="J2" s="208"/>
      <c r="K2" s="208"/>
      <c r="L2" s="208"/>
      <c r="M2" s="208"/>
      <c r="N2" s="208"/>
      <c r="O2" s="208"/>
    </row>
    <row r="3" spans="1:15" ht="22.65" customHeight="1">
      <c r="A3" s="209" t="s">
        <v>2100</v>
      </c>
      <c r="B3" s="209"/>
      <c r="C3" s="209"/>
      <c r="D3" s="209"/>
      <c r="E3" s="209"/>
      <c r="F3" s="209"/>
      <c r="G3" s="209"/>
      <c r="H3" s="209"/>
      <c r="I3" s="209"/>
      <c r="J3" s="209"/>
      <c r="K3" s="209"/>
      <c r="L3" s="209"/>
      <c r="M3" s="209"/>
      <c r="N3" s="209"/>
      <c r="O3" s="209"/>
    </row>
    <row r="5" spans="1:15" ht="25.4" customHeight="1">
      <c r="A5" s="163" t="s">
        <v>2099</v>
      </c>
      <c r="B5" s="162" t="s">
        <v>919</v>
      </c>
      <c r="C5" s="162" t="s">
        <v>2098</v>
      </c>
      <c r="D5" s="162" t="s">
        <v>2097</v>
      </c>
      <c r="E5" s="162" t="s">
        <v>2096</v>
      </c>
      <c r="F5" s="162" t="s">
        <v>2095</v>
      </c>
      <c r="G5" s="162" t="s">
        <v>2094</v>
      </c>
      <c r="H5" s="162" t="s">
        <v>2093</v>
      </c>
      <c r="I5" s="162" t="s">
        <v>2092</v>
      </c>
      <c r="J5" s="162" t="s">
        <v>2091</v>
      </c>
      <c r="K5" s="162" t="s">
        <v>27</v>
      </c>
      <c r="L5" s="162" t="s">
        <v>28</v>
      </c>
      <c r="M5" s="162" t="s">
        <v>29</v>
      </c>
      <c r="N5" s="162" t="s">
        <v>30</v>
      </c>
      <c r="O5" s="161" t="s">
        <v>853</v>
      </c>
    </row>
    <row r="6" spans="1:15" ht="16" customHeight="1">
      <c r="A6" s="160" t="s">
        <v>2090</v>
      </c>
      <c r="B6" s="159">
        <v>2018</v>
      </c>
      <c r="C6" s="159" t="s">
        <v>2074</v>
      </c>
      <c r="D6" s="159" t="s">
        <v>2072</v>
      </c>
      <c r="E6" s="158">
        <v>87</v>
      </c>
      <c r="F6" s="158">
        <v>36</v>
      </c>
      <c r="G6" s="158">
        <v>122</v>
      </c>
      <c r="H6" s="158">
        <v>0</v>
      </c>
      <c r="I6" s="158">
        <v>0</v>
      </c>
      <c r="J6" s="158">
        <f t="shared" ref="J6:J23" si="0">SUM(E6:I6)</f>
        <v>245</v>
      </c>
      <c r="K6" s="157" t="s">
        <v>1278</v>
      </c>
      <c r="L6" s="157" t="s">
        <v>927</v>
      </c>
      <c r="M6" s="157"/>
      <c r="N6" s="157"/>
      <c r="O6" s="156"/>
    </row>
    <row r="7" spans="1:15" ht="16" customHeight="1">
      <c r="A7" s="155" t="s">
        <v>2089</v>
      </c>
      <c r="B7" s="154">
        <v>2018</v>
      </c>
      <c r="C7" s="154" t="s">
        <v>2074</v>
      </c>
      <c r="D7" s="154" t="s">
        <v>2069</v>
      </c>
      <c r="E7" s="153">
        <v>169</v>
      </c>
      <c r="F7" s="153">
        <v>46</v>
      </c>
      <c r="G7" s="153">
        <v>0</v>
      </c>
      <c r="H7" s="153">
        <v>0</v>
      </c>
      <c r="I7" s="153">
        <v>0</v>
      </c>
      <c r="J7" s="153">
        <f t="shared" si="0"/>
        <v>215</v>
      </c>
      <c r="K7" s="152" t="s">
        <v>1278</v>
      </c>
      <c r="L7" s="152" t="s">
        <v>927</v>
      </c>
      <c r="M7" s="152"/>
      <c r="N7" s="152"/>
      <c r="O7" s="151"/>
    </row>
    <row r="8" spans="1:15" ht="16" customHeight="1">
      <c r="A8" s="155" t="s">
        <v>2088</v>
      </c>
      <c r="B8" s="154">
        <v>2019</v>
      </c>
      <c r="C8" s="154" t="s">
        <v>2074</v>
      </c>
      <c r="D8" s="154" t="s">
        <v>2072</v>
      </c>
      <c r="E8" s="153">
        <v>70</v>
      </c>
      <c r="F8" s="153">
        <v>0</v>
      </c>
      <c r="G8" s="153">
        <v>111</v>
      </c>
      <c r="H8" s="153">
        <v>0</v>
      </c>
      <c r="I8" s="153">
        <v>0</v>
      </c>
      <c r="J8" s="153">
        <f t="shared" si="0"/>
        <v>181</v>
      </c>
      <c r="K8" s="152" t="s">
        <v>1278</v>
      </c>
      <c r="L8" s="152" t="s">
        <v>927</v>
      </c>
      <c r="M8" s="152"/>
      <c r="N8" s="152"/>
      <c r="O8" s="151"/>
    </row>
    <row r="9" spans="1:15" ht="16" customHeight="1">
      <c r="A9" s="155" t="s">
        <v>2087</v>
      </c>
      <c r="B9" s="154">
        <v>2019</v>
      </c>
      <c r="C9" s="154" t="s">
        <v>2074</v>
      </c>
      <c r="D9" s="154" t="s">
        <v>2069</v>
      </c>
      <c r="E9" s="153">
        <v>50</v>
      </c>
      <c r="F9" s="153">
        <v>12</v>
      </c>
      <c r="G9" s="153">
        <v>0</v>
      </c>
      <c r="H9" s="153">
        <v>57</v>
      </c>
      <c r="I9" s="153">
        <v>0</v>
      </c>
      <c r="J9" s="153">
        <f t="shared" si="0"/>
        <v>119</v>
      </c>
      <c r="K9" s="152" t="s">
        <v>1278</v>
      </c>
      <c r="L9" s="152" t="s">
        <v>927</v>
      </c>
      <c r="M9" s="152"/>
      <c r="N9" s="152"/>
      <c r="O9" s="151"/>
    </row>
    <row r="10" spans="1:15" ht="16" customHeight="1">
      <c r="A10" s="155" t="s">
        <v>2086</v>
      </c>
      <c r="B10" s="154">
        <v>2020</v>
      </c>
      <c r="C10" s="154" t="s">
        <v>2074</v>
      </c>
      <c r="D10" s="154" t="s">
        <v>2072</v>
      </c>
      <c r="E10" s="153">
        <v>8</v>
      </c>
      <c r="F10" s="153">
        <v>0</v>
      </c>
      <c r="G10" s="153">
        <v>19</v>
      </c>
      <c r="H10" s="153">
        <v>0</v>
      </c>
      <c r="I10" s="153">
        <v>0</v>
      </c>
      <c r="J10" s="153">
        <f t="shared" si="0"/>
        <v>27</v>
      </c>
      <c r="K10" s="152" t="s">
        <v>1278</v>
      </c>
      <c r="L10" s="152" t="s">
        <v>927</v>
      </c>
      <c r="M10" s="152"/>
      <c r="N10" s="152"/>
      <c r="O10" s="151"/>
    </row>
    <row r="11" spans="1:15" ht="16" customHeight="1">
      <c r="A11" s="155" t="s">
        <v>2085</v>
      </c>
      <c r="B11" s="154">
        <v>2020</v>
      </c>
      <c r="C11" s="154" t="s">
        <v>2074</v>
      </c>
      <c r="D11" s="154" t="s">
        <v>2069</v>
      </c>
      <c r="E11" s="153">
        <v>40</v>
      </c>
      <c r="F11" s="153">
        <v>0</v>
      </c>
      <c r="G11" s="153">
        <v>80</v>
      </c>
      <c r="H11" s="153">
        <v>23</v>
      </c>
      <c r="I11" s="153">
        <v>0</v>
      </c>
      <c r="J11" s="153">
        <f t="shared" si="0"/>
        <v>143</v>
      </c>
      <c r="K11" s="152" t="s">
        <v>1278</v>
      </c>
      <c r="L11" s="152" t="s">
        <v>927</v>
      </c>
      <c r="M11" s="152"/>
      <c r="N11" s="152"/>
      <c r="O11" s="151"/>
    </row>
    <row r="12" spans="1:15" ht="16" customHeight="1">
      <c r="A12" s="155" t="s">
        <v>2084</v>
      </c>
      <c r="B12" s="154">
        <v>2021</v>
      </c>
      <c r="C12" s="154" t="s">
        <v>2074</v>
      </c>
      <c r="D12" s="154" t="s">
        <v>2072</v>
      </c>
      <c r="E12" s="153">
        <v>6</v>
      </c>
      <c r="F12" s="153">
        <v>0</v>
      </c>
      <c r="G12" s="153">
        <v>0</v>
      </c>
      <c r="H12" s="153">
        <v>0</v>
      </c>
      <c r="I12" s="153">
        <v>0</v>
      </c>
      <c r="J12" s="153">
        <f t="shared" si="0"/>
        <v>6</v>
      </c>
      <c r="K12" s="152" t="s">
        <v>1278</v>
      </c>
      <c r="L12" s="152" t="s">
        <v>927</v>
      </c>
      <c r="M12" s="152"/>
      <c r="N12" s="152"/>
      <c r="O12" s="151"/>
    </row>
    <row r="13" spans="1:15" ht="16" customHeight="1">
      <c r="A13" s="155" t="s">
        <v>2083</v>
      </c>
      <c r="B13" s="154">
        <v>2021</v>
      </c>
      <c r="C13" s="154" t="s">
        <v>2074</v>
      </c>
      <c r="D13" s="154" t="s">
        <v>2069</v>
      </c>
      <c r="E13" s="153">
        <v>16</v>
      </c>
      <c r="F13" s="153">
        <v>0</v>
      </c>
      <c r="G13" s="153">
        <v>47</v>
      </c>
      <c r="H13" s="153">
        <v>99</v>
      </c>
      <c r="I13" s="153">
        <v>0</v>
      </c>
      <c r="J13" s="153">
        <f t="shared" si="0"/>
        <v>162</v>
      </c>
      <c r="K13" s="152" t="s">
        <v>1278</v>
      </c>
      <c r="L13" s="152" t="s">
        <v>927</v>
      </c>
      <c r="M13" s="152"/>
      <c r="N13" s="152"/>
      <c r="O13" s="151"/>
    </row>
    <row r="14" spans="1:15" ht="16" customHeight="1">
      <c r="A14" s="155" t="s">
        <v>2082</v>
      </c>
      <c r="B14" s="154">
        <v>2022</v>
      </c>
      <c r="C14" s="154" t="s">
        <v>2074</v>
      </c>
      <c r="D14" s="154" t="s">
        <v>2072</v>
      </c>
      <c r="E14" s="153">
        <v>4</v>
      </c>
      <c r="F14" s="153">
        <v>0</v>
      </c>
      <c r="G14" s="153">
        <v>0</v>
      </c>
      <c r="H14" s="153">
        <v>0</v>
      </c>
      <c r="I14" s="153">
        <v>0</v>
      </c>
      <c r="J14" s="153">
        <f t="shared" si="0"/>
        <v>4</v>
      </c>
      <c r="K14" s="152" t="s">
        <v>1278</v>
      </c>
      <c r="L14" s="152" t="s">
        <v>927</v>
      </c>
      <c r="M14" s="152"/>
      <c r="N14" s="152"/>
      <c r="O14" s="151"/>
    </row>
    <row r="15" spans="1:15" ht="16" customHeight="1">
      <c r="A15" s="155" t="s">
        <v>2081</v>
      </c>
      <c r="B15" s="154">
        <v>2022</v>
      </c>
      <c r="C15" s="154" t="s">
        <v>2074</v>
      </c>
      <c r="D15" s="154" t="s">
        <v>2069</v>
      </c>
      <c r="E15" s="153">
        <v>18</v>
      </c>
      <c r="F15" s="153">
        <v>0</v>
      </c>
      <c r="G15" s="153">
        <v>0</v>
      </c>
      <c r="H15" s="153">
        <v>0</v>
      </c>
      <c r="I15" s="153">
        <v>0</v>
      </c>
      <c r="J15" s="153">
        <f t="shared" si="0"/>
        <v>18</v>
      </c>
      <c r="K15" s="152" t="s">
        <v>1278</v>
      </c>
      <c r="L15" s="152" t="s">
        <v>927</v>
      </c>
      <c r="M15" s="152"/>
      <c r="N15" s="152"/>
      <c r="O15" s="151"/>
    </row>
    <row r="16" spans="1:15" ht="16" customHeight="1">
      <c r="A16" s="155" t="s">
        <v>2080</v>
      </c>
      <c r="B16" s="154">
        <v>2023</v>
      </c>
      <c r="C16" s="154" t="s">
        <v>2074</v>
      </c>
      <c r="D16" s="154" t="s">
        <v>2072</v>
      </c>
      <c r="E16" s="153">
        <v>4</v>
      </c>
      <c r="F16" s="153">
        <v>0</v>
      </c>
      <c r="G16" s="153">
        <v>0</v>
      </c>
      <c r="H16" s="153">
        <v>0</v>
      </c>
      <c r="I16" s="153">
        <v>0</v>
      </c>
      <c r="J16" s="153">
        <f t="shared" si="0"/>
        <v>4</v>
      </c>
      <c r="K16" s="152" t="s">
        <v>1278</v>
      </c>
      <c r="L16" s="152" t="s">
        <v>927</v>
      </c>
      <c r="M16" s="152"/>
      <c r="N16" s="152"/>
      <c r="O16" s="151"/>
    </row>
    <row r="17" spans="1:15" ht="16" customHeight="1">
      <c r="A17" s="155" t="s">
        <v>2079</v>
      </c>
      <c r="B17" s="154">
        <v>2023</v>
      </c>
      <c r="C17" s="154" t="s">
        <v>2074</v>
      </c>
      <c r="D17" s="154" t="s">
        <v>2069</v>
      </c>
      <c r="E17" s="153">
        <v>11</v>
      </c>
      <c r="F17" s="153">
        <v>0</v>
      </c>
      <c r="G17" s="153">
        <v>0</v>
      </c>
      <c r="H17" s="153">
        <v>0</v>
      </c>
      <c r="I17" s="153">
        <v>0</v>
      </c>
      <c r="J17" s="153">
        <f t="shared" si="0"/>
        <v>11</v>
      </c>
      <c r="K17" s="152" t="s">
        <v>1278</v>
      </c>
      <c r="L17" s="152" t="s">
        <v>927</v>
      </c>
      <c r="M17" s="152"/>
      <c r="N17" s="152"/>
      <c r="O17" s="151"/>
    </row>
    <row r="18" spans="1:15" ht="16" customHeight="1">
      <c r="A18" s="155" t="s">
        <v>2078</v>
      </c>
      <c r="B18" s="154">
        <v>2024</v>
      </c>
      <c r="C18" s="154" t="s">
        <v>2074</v>
      </c>
      <c r="D18" s="154" t="s">
        <v>2072</v>
      </c>
      <c r="E18" s="153">
        <v>0</v>
      </c>
      <c r="F18" s="153">
        <v>20</v>
      </c>
      <c r="G18" s="153">
        <v>0</v>
      </c>
      <c r="H18" s="153">
        <v>0</v>
      </c>
      <c r="I18" s="153">
        <v>0</v>
      </c>
      <c r="J18" s="153">
        <f t="shared" si="0"/>
        <v>20</v>
      </c>
      <c r="K18" s="152" t="s">
        <v>1278</v>
      </c>
      <c r="L18" s="152" t="s">
        <v>927</v>
      </c>
      <c r="M18" s="152"/>
      <c r="N18" s="152"/>
      <c r="O18" s="151"/>
    </row>
    <row r="19" spans="1:15" ht="16" customHeight="1">
      <c r="A19" s="155" t="s">
        <v>2077</v>
      </c>
      <c r="B19" s="154">
        <v>2024</v>
      </c>
      <c r="C19" s="154" t="s">
        <v>2074</v>
      </c>
      <c r="D19" s="154" t="s">
        <v>2069</v>
      </c>
      <c r="E19" s="153">
        <v>8</v>
      </c>
      <c r="F19" s="153">
        <v>0</v>
      </c>
      <c r="G19" s="153">
        <v>0</v>
      </c>
      <c r="H19" s="153">
        <v>0</v>
      </c>
      <c r="I19" s="153">
        <v>2</v>
      </c>
      <c r="J19" s="153">
        <f t="shared" si="0"/>
        <v>10</v>
      </c>
      <c r="K19" s="152" t="s">
        <v>1278</v>
      </c>
      <c r="L19" s="152" t="s">
        <v>927</v>
      </c>
      <c r="M19" s="152"/>
      <c r="N19" s="152"/>
      <c r="O19" s="151"/>
    </row>
    <row r="20" spans="1:15" ht="16" customHeight="1">
      <c r="A20" s="155" t="s">
        <v>2076</v>
      </c>
      <c r="B20" s="154">
        <v>2025</v>
      </c>
      <c r="C20" s="154" t="s">
        <v>2074</v>
      </c>
      <c r="D20" s="154" t="s">
        <v>2072</v>
      </c>
      <c r="E20" s="153">
        <v>1</v>
      </c>
      <c r="F20" s="153">
        <v>0</v>
      </c>
      <c r="G20" s="153">
        <v>0</v>
      </c>
      <c r="H20" s="153">
        <v>1</v>
      </c>
      <c r="I20" s="153">
        <v>0</v>
      </c>
      <c r="J20" s="153">
        <f t="shared" si="0"/>
        <v>2</v>
      </c>
      <c r="K20" s="152" t="s">
        <v>1278</v>
      </c>
      <c r="L20" s="152" t="s">
        <v>927</v>
      </c>
      <c r="M20" s="152"/>
      <c r="N20" s="152"/>
      <c r="O20" s="151"/>
    </row>
    <row r="21" spans="1:15" ht="16" customHeight="1">
      <c r="A21" s="155" t="s">
        <v>2075</v>
      </c>
      <c r="B21" s="154">
        <v>2025</v>
      </c>
      <c r="C21" s="154" t="s">
        <v>2074</v>
      </c>
      <c r="D21" s="154" t="s">
        <v>2069</v>
      </c>
      <c r="E21" s="153">
        <v>4</v>
      </c>
      <c r="F21" s="153">
        <v>0</v>
      </c>
      <c r="G21" s="153">
        <v>0</v>
      </c>
      <c r="H21" s="153">
        <v>49</v>
      </c>
      <c r="I21" s="153">
        <v>6</v>
      </c>
      <c r="J21" s="153">
        <f t="shared" si="0"/>
        <v>59</v>
      </c>
      <c r="K21" s="152" t="s">
        <v>1278</v>
      </c>
      <c r="L21" s="152" t="s">
        <v>927</v>
      </c>
      <c r="M21" s="152"/>
      <c r="N21" s="152"/>
      <c r="O21" s="151"/>
    </row>
    <row r="22" spans="1:15" ht="16" customHeight="1">
      <c r="A22" s="155" t="s">
        <v>2073</v>
      </c>
      <c r="B22" s="154">
        <v>2026</v>
      </c>
      <c r="C22" s="154" t="s">
        <v>2070</v>
      </c>
      <c r="D22" s="154" t="s">
        <v>2072</v>
      </c>
      <c r="E22" s="153">
        <v>2</v>
      </c>
      <c r="F22" s="153">
        <v>0</v>
      </c>
      <c r="G22" s="153">
        <v>0</v>
      </c>
      <c r="H22" s="153">
        <v>0</v>
      </c>
      <c r="I22" s="153">
        <v>0</v>
      </c>
      <c r="J22" s="153">
        <f t="shared" si="0"/>
        <v>2</v>
      </c>
      <c r="K22" s="152" t="s">
        <v>1278</v>
      </c>
      <c r="L22" s="152" t="s">
        <v>927</v>
      </c>
      <c r="M22" s="152"/>
      <c r="N22" s="152"/>
      <c r="O22" s="151" t="s">
        <v>2068</v>
      </c>
    </row>
    <row r="23" spans="1:15" ht="16" customHeight="1">
      <c r="A23" s="150" t="s">
        <v>2071</v>
      </c>
      <c r="B23" s="149">
        <v>2026</v>
      </c>
      <c r="C23" s="149" t="s">
        <v>2070</v>
      </c>
      <c r="D23" s="149" t="s">
        <v>2069</v>
      </c>
      <c r="E23" s="148">
        <v>8</v>
      </c>
      <c r="F23" s="148">
        <v>0</v>
      </c>
      <c r="G23" s="148">
        <v>0</v>
      </c>
      <c r="H23" s="148">
        <v>135</v>
      </c>
      <c r="I23" s="148">
        <v>0</v>
      </c>
      <c r="J23" s="148">
        <f t="shared" si="0"/>
        <v>143</v>
      </c>
      <c r="K23" s="147" t="s">
        <v>1278</v>
      </c>
      <c r="L23" s="147" t="s">
        <v>927</v>
      </c>
      <c r="M23" s="147"/>
      <c r="N23" s="147"/>
      <c r="O23" s="146" t="s">
        <v>2068</v>
      </c>
    </row>
    <row r="24" spans="1:15" ht="14.5" thickBot="1">
      <c r="E24" s="145"/>
      <c r="F24" s="145"/>
      <c r="G24" s="145"/>
      <c r="H24" s="145"/>
      <c r="I24" s="145"/>
      <c r="J24" s="145"/>
    </row>
    <row r="25" spans="1:15" ht="16" customHeight="1">
      <c r="B25" s="210" t="s">
        <v>2067</v>
      </c>
      <c r="C25" s="210"/>
      <c r="D25" s="210"/>
      <c r="E25" s="144">
        <f t="shared" ref="E25:J25" si="1">SUM(E6:E23)</f>
        <v>506</v>
      </c>
      <c r="F25" s="144">
        <f t="shared" si="1"/>
        <v>114</v>
      </c>
      <c r="G25" s="144">
        <f t="shared" si="1"/>
        <v>379</v>
      </c>
      <c r="H25" s="144">
        <f t="shared" si="1"/>
        <v>364</v>
      </c>
      <c r="I25" s="144">
        <f t="shared" si="1"/>
        <v>8</v>
      </c>
      <c r="J25" s="144">
        <f t="shared" si="1"/>
        <v>1371</v>
      </c>
      <c r="K25" s="143"/>
      <c r="L25" s="143"/>
      <c r="M25" s="143"/>
      <c r="N25" s="143"/>
      <c r="O25" s="143"/>
    </row>
    <row r="26" spans="1:15" ht="16" customHeight="1">
      <c r="B26" s="204" t="s">
        <v>2066</v>
      </c>
      <c r="C26" s="204"/>
      <c r="D26" s="204"/>
      <c r="E26" s="205"/>
      <c r="F26" s="205"/>
      <c r="G26" s="205"/>
      <c r="H26" s="205"/>
      <c r="I26" s="205"/>
      <c r="J26" s="141">
        <f>SUMIF(C6:C23,"Realisasi",J6:J23)</f>
        <v>1226</v>
      </c>
    </row>
    <row r="27" spans="1:15" ht="16" customHeight="1">
      <c r="B27" s="204" t="s">
        <v>2065</v>
      </c>
      <c r="C27" s="204"/>
      <c r="D27" s="204"/>
      <c r="E27" s="205"/>
      <c r="F27" s="205"/>
      <c r="G27" s="205"/>
      <c r="H27" s="205"/>
      <c r="I27" s="205"/>
      <c r="J27" s="141">
        <f>SUMIF(C6:C23,"Proses",J6:J23)</f>
        <v>145</v>
      </c>
      <c r="K27" s="206" t="s">
        <v>2064</v>
      </c>
      <c r="L27" s="206"/>
      <c r="M27" s="206"/>
      <c r="N27" s="206"/>
      <c r="O27" s="206"/>
    </row>
  </sheetData>
  <mergeCells count="7">
    <mergeCell ref="B27:I27"/>
    <mergeCell ref="K27:O27"/>
    <mergeCell ref="A1:O1"/>
    <mergeCell ref="A2:O2"/>
    <mergeCell ref="A3:O3"/>
    <mergeCell ref="B25:D25"/>
    <mergeCell ref="B26:I26"/>
  </mergeCells>
  <conditionalFormatting sqref="C6:C205">
    <cfRule type="expression" dxfId="24" priority="1">
      <formula>C6="Proses"</formula>
    </cfRule>
  </conditionalFormatting>
  <conditionalFormatting sqref="J6:J23">
    <cfRule type="dataBar" priority="2">
      <dataBar>
        <cfvo type="min"/>
        <cfvo type="max"/>
        <color rgb="FF175B72"/>
      </dataBar>
    </cfRule>
    <cfRule type="dataBar" priority="3">
      <dataBar>
        <cfvo type="min"/>
        <cfvo type="max"/>
        <color rgb="FF175B72"/>
      </dataBar>
      <extLst>
        <ext xmlns:x14="http://schemas.microsoft.com/office/spreadsheetml/2009/9/main" uri="{B025F937-C7B1-47D3-B67F-A62EFF666E3E}">
          <x14:id>{4313DA93-B237-4016-A7F2-A9F209F2DC61}</x14:id>
        </ext>
      </extLst>
    </cfRule>
  </conditionalFormatting>
  <dataValidations count="3">
    <dataValidation type="list" sqref="L6:L205" xr:uid="{00000000-0002-0000-0700-000002000000}">
      <formula1>"Terverifikasi,Belum Diverifikasi,Perlu Perbaikan"</formula1>
    </dataValidation>
    <dataValidation type="list" sqref="D6:D205" xr:uid="{00000000-0002-0000-0700-000001000000}">
      <formula1>"Kumuh,Luar Kumuh"</formula1>
    </dataValidation>
    <dataValidation type="list" sqref="C6:C205" xr:uid="{00000000-0002-0000-0700-000000000000}">
      <formula1>"Realisasi,Proses"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313DA93-B237-4016-A7F2-A9F209F2DC61}">
            <x14:dataBar>
              <x14:cfvo type="min"/>
              <x14:cfvo type="max"/>
              <x14:negativeFillColor auto="1"/>
              <x14:axisColor auto="1"/>
            </x14:dataBar>
          </x14:cfRule>
          <xm:sqref>J6:J23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F6B4-A806-417E-8B7D-BB2A4D1DA302}">
  <dimension ref="A1:S19"/>
  <sheetViews>
    <sheetView workbookViewId="0">
      <selection activeCell="H7" sqref="H7"/>
    </sheetView>
  </sheetViews>
  <sheetFormatPr defaultRowHeight="14"/>
  <cols>
    <col min="1" max="1" width="20" customWidth="1"/>
    <col min="2" max="2" width="10" customWidth="1"/>
    <col min="3" max="3" width="20" customWidth="1"/>
    <col min="4" max="4" width="37" customWidth="1"/>
    <col min="5" max="5" width="18" customWidth="1"/>
    <col min="6" max="6" width="16" customWidth="1"/>
    <col min="7" max="7" width="15" customWidth="1"/>
    <col min="8" max="9" width="18" customWidth="1"/>
    <col min="10" max="10" width="21" customWidth="1"/>
    <col min="11" max="11" width="23" customWidth="1"/>
    <col min="12" max="12" width="42" customWidth="1"/>
    <col min="13" max="13" width="25" customWidth="1"/>
    <col min="14" max="14" width="14" customWidth="1"/>
    <col min="15" max="15" width="48" customWidth="1"/>
    <col min="16" max="16" width="29" customWidth="1"/>
    <col min="17" max="17" width="24" customWidth="1"/>
    <col min="18" max="18" width="17" customWidth="1"/>
    <col min="19" max="19" width="18" customWidth="1"/>
  </cols>
  <sheetData>
    <row r="1" spans="1:19" ht="18.649999999999999" customHeight="1">
      <c r="A1" s="207" t="s">
        <v>2160</v>
      </c>
      <c r="B1" s="207"/>
      <c r="C1" s="207"/>
      <c r="D1" s="207"/>
      <c r="E1" s="207"/>
      <c r="F1" s="207"/>
      <c r="G1" s="207"/>
      <c r="H1" s="207"/>
      <c r="I1" s="207"/>
      <c r="J1" s="207"/>
      <c r="K1" s="207"/>
      <c r="L1" s="207"/>
      <c r="M1" s="207"/>
      <c r="N1" s="207"/>
      <c r="O1" s="207"/>
      <c r="P1" s="207"/>
      <c r="Q1" s="207"/>
      <c r="R1" s="207"/>
      <c r="S1" s="207"/>
    </row>
    <row r="2" spans="1:19" ht="17.399999999999999" customHeight="1">
      <c r="A2" s="208" t="s">
        <v>2159</v>
      </c>
      <c r="B2" s="208"/>
      <c r="C2" s="208"/>
      <c r="D2" s="208"/>
      <c r="E2" s="208"/>
      <c r="F2" s="208"/>
      <c r="G2" s="208"/>
      <c r="H2" s="208"/>
      <c r="I2" s="208"/>
      <c r="J2" s="208"/>
      <c r="K2" s="208"/>
      <c r="L2" s="208"/>
      <c r="M2" s="208"/>
      <c r="N2" s="208"/>
      <c r="O2" s="208"/>
      <c r="P2" s="208"/>
      <c r="Q2" s="208"/>
      <c r="R2" s="208"/>
      <c r="S2" s="208"/>
    </row>
    <row r="3" spans="1:19" ht="24" customHeight="1">
      <c r="A3" s="209" t="s">
        <v>2158</v>
      </c>
      <c r="B3" s="209"/>
      <c r="C3" s="209"/>
      <c r="D3" s="209"/>
      <c r="E3" s="209"/>
      <c r="F3" s="209"/>
      <c r="G3" s="209"/>
      <c r="H3" s="209"/>
      <c r="I3" s="209"/>
      <c r="J3" s="209"/>
      <c r="K3" s="209"/>
      <c r="L3" s="209"/>
      <c r="M3" s="209"/>
      <c r="N3" s="209"/>
      <c r="O3" s="209"/>
      <c r="P3" s="209"/>
      <c r="Q3" s="209"/>
      <c r="R3" s="209"/>
      <c r="S3" s="209"/>
    </row>
    <row r="5" spans="1:19" ht="28" customHeight="1">
      <c r="A5" s="163" t="s">
        <v>2157</v>
      </c>
      <c r="B5" s="162" t="s">
        <v>919</v>
      </c>
      <c r="C5" s="162" t="s">
        <v>2156</v>
      </c>
      <c r="D5" s="162" t="s">
        <v>2155</v>
      </c>
      <c r="E5" s="162" t="s">
        <v>2154</v>
      </c>
      <c r="F5" s="162" t="s">
        <v>2153</v>
      </c>
      <c r="G5" s="162" t="s">
        <v>2152</v>
      </c>
      <c r="H5" s="162" t="s">
        <v>2151</v>
      </c>
      <c r="I5" s="162" t="s">
        <v>2150</v>
      </c>
      <c r="J5" s="162" t="s">
        <v>2149</v>
      </c>
      <c r="K5" s="162" t="s">
        <v>2148</v>
      </c>
      <c r="L5" s="162" t="s">
        <v>2147</v>
      </c>
      <c r="M5" s="162" t="s">
        <v>2146</v>
      </c>
      <c r="N5" s="162" t="s">
        <v>2098</v>
      </c>
      <c r="O5" s="162" t="s">
        <v>853</v>
      </c>
      <c r="P5" s="162" t="s">
        <v>27</v>
      </c>
      <c r="Q5" s="162" t="s">
        <v>28</v>
      </c>
      <c r="R5" s="162" t="s">
        <v>29</v>
      </c>
      <c r="S5" s="161" t="s">
        <v>30</v>
      </c>
    </row>
    <row r="6" spans="1:19" ht="28" customHeight="1">
      <c r="A6" s="160" t="s">
        <v>2145</v>
      </c>
      <c r="B6" s="159">
        <v>2014</v>
      </c>
      <c r="C6" s="159" t="s">
        <v>2144</v>
      </c>
      <c r="D6" s="159" t="s">
        <v>2135</v>
      </c>
      <c r="E6" s="159"/>
      <c r="F6" s="159">
        <v>14</v>
      </c>
      <c r="G6" s="175">
        <v>196.2</v>
      </c>
      <c r="H6" s="175"/>
      <c r="I6" s="174"/>
      <c r="J6" s="175">
        <f t="shared" ref="J6:J13" si="0">$G$6-G6</f>
        <v>0</v>
      </c>
      <c r="K6" s="174">
        <f t="shared" ref="K6:K13" si="1">IF($G$6=0,"",J6/$G$6)</f>
        <v>0</v>
      </c>
      <c r="L6" s="157" t="s">
        <v>2143</v>
      </c>
      <c r="M6" s="157" t="s">
        <v>2133</v>
      </c>
      <c r="N6" s="157" t="s">
        <v>2118</v>
      </c>
      <c r="O6" s="157" t="s">
        <v>2142</v>
      </c>
      <c r="P6" s="157" t="s">
        <v>1278</v>
      </c>
      <c r="Q6" s="157" t="s">
        <v>2109</v>
      </c>
      <c r="R6" s="157"/>
      <c r="S6" s="156"/>
    </row>
    <row r="7" spans="1:19" ht="28" customHeight="1">
      <c r="A7" s="155" t="s">
        <v>2141</v>
      </c>
      <c r="B7" s="154">
        <v>2018</v>
      </c>
      <c r="C7" s="154" t="s">
        <v>2140</v>
      </c>
      <c r="D7" s="154" t="s">
        <v>2135</v>
      </c>
      <c r="E7" s="154"/>
      <c r="F7" s="154">
        <v>14</v>
      </c>
      <c r="G7" s="173">
        <v>187.89</v>
      </c>
      <c r="H7" s="173">
        <f t="shared" ref="H7:H13" si="2">G7-G6</f>
        <v>-8.3100000000000023</v>
      </c>
      <c r="I7" s="172">
        <f t="shared" ref="I7:I13" si="3">IF(G6=0,"",H7/G6)</f>
        <v>-4.2354740061162091E-2</v>
      </c>
      <c r="J7" s="173">
        <f t="shared" si="0"/>
        <v>8.3100000000000023</v>
      </c>
      <c r="K7" s="172">
        <f t="shared" si="1"/>
        <v>4.2354740061162091E-2</v>
      </c>
      <c r="L7" s="152" t="s">
        <v>2139</v>
      </c>
      <c r="M7" s="152" t="s">
        <v>2133</v>
      </c>
      <c r="N7" s="152" t="s">
        <v>2118</v>
      </c>
      <c r="O7" s="152" t="s">
        <v>2138</v>
      </c>
      <c r="P7" s="152" t="s">
        <v>1278</v>
      </c>
      <c r="Q7" s="152" t="s">
        <v>2109</v>
      </c>
      <c r="R7" s="152"/>
      <c r="S7" s="151"/>
    </row>
    <row r="8" spans="1:19" ht="28" customHeight="1">
      <c r="A8" s="155" t="s">
        <v>2137</v>
      </c>
      <c r="B8" s="154">
        <v>2019</v>
      </c>
      <c r="C8" s="154" t="s">
        <v>2136</v>
      </c>
      <c r="D8" s="154" t="s">
        <v>2135</v>
      </c>
      <c r="E8" s="154"/>
      <c r="F8" s="154">
        <v>1</v>
      </c>
      <c r="G8" s="173">
        <v>21.9</v>
      </c>
      <c r="H8" s="173">
        <f t="shared" si="2"/>
        <v>-165.98999999999998</v>
      </c>
      <c r="I8" s="172">
        <f t="shared" si="3"/>
        <v>-0.88344243972537118</v>
      </c>
      <c r="J8" s="173">
        <f t="shared" si="0"/>
        <v>174.29999999999998</v>
      </c>
      <c r="K8" s="172">
        <f t="shared" si="1"/>
        <v>0.88837920489296629</v>
      </c>
      <c r="L8" s="152" t="s">
        <v>2134</v>
      </c>
      <c r="M8" s="152" t="s">
        <v>2133</v>
      </c>
      <c r="N8" s="152" t="s">
        <v>2118</v>
      </c>
      <c r="O8" s="152" t="s">
        <v>2132</v>
      </c>
      <c r="P8" s="152" t="s">
        <v>1278</v>
      </c>
      <c r="Q8" s="152" t="s">
        <v>2109</v>
      </c>
      <c r="R8" s="152"/>
      <c r="S8" s="151"/>
    </row>
    <row r="9" spans="1:19" ht="28" customHeight="1">
      <c r="A9" s="155" t="s">
        <v>2131</v>
      </c>
      <c r="B9" s="154">
        <v>2020</v>
      </c>
      <c r="C9" s="154" t="s">
        <v>2120</v>
      </c>
      <c r="D9" s="154" t="s">
        <v>2114</v>
      </c>
      <c r="E9" s="154"/>
      <c r="F9" s="154">
        <v>8</v>
      </c>
      <c r="G9" s="173">
        <v>148.5</v>
      </c>
      <c r="H9" s="173">
        <f t="shared" si="2"/>
        <v>126.6</v>
      </c>
      <c r="I9" s="172">
        <f t="shared" si="3"/>
        <v>5.7808219178082192</v>
      </c>
      <c r="J9" s="173">
        <f t="shared" si="0"/>
        <v>47.699999999999989</v>
      </c>
      <c r="K9" s="172">
        <f t="shared" si="1"/>
        <v>0.24311926605504583</v>
      </c>
      <c r="L9" s="152" t="s">
        <v>2130</v>
      </c>
      <c r="M9" s="152" t="s">
        <v>2126</v>
      </c>
      <c r="N9" s="152" t="s">
        <v>2118</v>
      </c>
      <c r="O9" s="152" t="s">
        <v>2129</v>
      </c>
      <c r="P9" s="152" t="s">
        <v>1278</v>
      </c>
      <c r="Q9" s="152" t="s">
        <v>2109</v>
      </c>
      <c r="R9" s="152"/>
      <c r="S9" s="151"/>
    </row>
    <row r="10" spans="1:19" ht="28" customHeight="1">
      <c r="A10" s="155" t="s">
        <v>2128</v>
      </c>
      <c r="B10" s="154">
        <v>2021</v>
      </c>
      <c r="C10" s="154" t="s">
        <v>2120</v>
      </c>
      <c r="D10" s="154" t="s">
        <v>2114</v>
      </c>
      <c r="E10" s="154"/>
      <c r="F10" s="154">
        <v>8</v>
      </c>
      <c r="G10" s="173">
        <v>150.09</v>
      </c>
      <c r="H10" s="173">
        <f t="shared" si="2"/>
        <v>1.5900000000000034</v>
      </c>
      <c r="I10" s="172">
        <f t="shared" si="3"/>
        <v>1.0707070707070729E-2</v>
      </c>
      <c r="J10" s="173">
        <f t="shared" si="0"/>
        <v>46.109999999999985</v>
      </c>
      <c r="K10" s="172">
        <f t="shared" si="1"/>
        <v>0.2350152905198776</v>
      </c>
      <c r="L10" s="152" t="s">
        <v>2127</v>
      </c>
      <c r="M10" s="152" t="s">
        <v>2126</v>
      </c>
      <c r="N10" s="152" t="s">
        <v>2118</v>
      </c>
      <c r="O10" s="152" t="s">
        <v>2125</v>
      </c>
      <c r="P10" s="152" t="s">
        <v>1278</v>
      </c>
      <c r="Q10" s="152" t="s">
        <v>2109</v>
      </c>
      <c r="R10" s="152"/>
      <c r="S10" s="151"/>
    </row>
    <row r="11" spans="1:19" ht="28" customHeight="1">
      <c r="A11" s="155" t="s">
        <v>2124</v>
      </c>
      <c r="B11" s="154">
        <v>2022</v>
      </c>
      <c r="C11" s="154" t="s">
        <v>2120</v>
      </c>
      <c r="D11" s="154" t="s">
        <v>2114</v>
      </c>
      <c r="E11" s="154"/>
      <c r="F11" s="154">
        <v>6</v>
      </c>
      <c r="G11" s="173">
        <v>85.3</v>
      </c>
      <c r="H11" s="173">
        <f t="shared" si="2"/>
        <v>-64.790000000000006</v>
      </c>
      <c r="I11" s="172">
        <f t="shared" si="3"/>
        <v>-0.43167432873609168</v>
      </c>
      <c r="J11" s="173">
        <f t="shared" si="0"/>
        <v>110.89999999999999</v>
      </c>
      <c r="K11" s="172">
        <f t="shared" si="1"/>
        <v>0.56523955147808358</v>
      </c>
      <c r="L11" s="152" t="s">
        <v>2123</v>
      </c>
      <c r="M11" s="152" t="s">
        <v>2112</v>
      </c>
      <c r="N11" s="152" t="s">
        <v>2118</v>
      </c>
      <c r="O11" s="152" t="s">
        <v>2122</v>
      </c>
      <c r="P11" s="152" t="s">
        <v>1278</v>
      </c>
      <c r="Q11" s="152" t="s">
        <v>2109</v>
      </c>
      <c r="R11" s="152"/>
      <c r="S11" s="151"/>
    </row>
    <row r="12" spans="1:19" ht="28" customHeight="1">
      <c r="A12" s="155" t="s">
        <v>2121</v>
      </c>
      <c r="B12" s="154">
        <v>2023</v>
      </c>
      <c r="C12" s="154" t="s">
        <v>2120</v>
      </c>
      <c r="D12" s="154" t="s">
        <v>2114</v>
      </c>
      <c r="E12" s="154"/>
      <c r="F12" s="154">
        <v>2</v>
      </c>
      <c r="G12" s="173">
        <v>28.43</v>
      </c>
      <c r="H12" s="173">
        <f t="shared" si="2"/>
        <v>-56.87</v>
      </c>
      <c r="I12" s="172">
        <f t="shared" si="3"/>
        <v>-0.6667057444314185</v>
      </c>
      <c r="J12" s="173">
        <f t="shared" si="0"/>
        <v>167.76999999999998</v>
      </c>
      <c r="K12" s="172">
        <f t="shared" si="1"/>
        <v>0.85509683995922525</v>
      </c>
      <c r="L12" s="152" t="s">
        <v>2119</v>
      </c>
      <c r="M12" s="152" t="s">
        <v>2112</v>
      </c>
      <c r="N12" s="152" t="s">
        <v>2118</v>
      </c>
      <c r="O12" s="152" t="s">
        <v>2117</v>
      </c>
      <c r="P12" s="152" t="s">
        <v>1278</v>
      </c>
      <c r="Q12" s="152" t="s">
        <v>2109</v>
      </c>
      <c r="R12" s="152"/>
      <c r="S12" s="151"/>
    </row>
    <row r="13" spans="1:19" ht="28" customHeight="1">
      <c r="A13" s="150" t="s">
        <v>2116</v>
      </c>
      <c r="B13" s="149">
        <v>2024</v>
      </c>
      <c r="C13" s="149" t="s">
        <v>2115</v>
      </c>
      <c r="D13" s="149" t="s">
        <v>2114</v>
      </c>
      <c r="E13" s="149"/>
      <c r="F13" s="149">
        <v>2</v>
      </c>
      <c r="G13" s="171">
        <v>24.08</v>
      </c>
      <c r="H13" s="171">
        <f t="shared" si="2"/>
        <v>-4.3500000000000014</v>
      </c>
      <c r="I13" s="170">
        <f t="shared" si="3"/>
        <v>-0.15300738656348933</v>
      </c>
      <c r="J13" s="171">
        <f t="shared" si="0"/>
        <v>172.12</v>
      </c>
      <c r="K13" s="170">
        <f t="shared" si="1"/>
        <v>0.87726809378185533</v>
      </c>
      <c r="L13" s="147" t="s">
        <v>2113</v>
      </c>
      <c r="M13" s="147" t="s">
        <v>2112</v>
      </c>
      <c r="N13" s="147" t="s">
        <v>2111</v>
      </c>
      <c r="O13" s="147" t="s">
        <v>2110</v>
      </c>
      <c r="P13" s="147" t="s">
        <v>1278</v>
      </c>
      <c r="Q13" s="147" t="s">
        <v>2109</v>
      </c>
      <c r="R13" s="147"/>
      <c r="S13" s="146"/>
    </row>
    <row r="15" spans="1:19" ht="16" customHeight="1">
      <c r="B15" s="212" t="s">
        <v>2108</v>
      </c>
      <c r="C15" s="212"/>
      <c r="D15" s="212"/>
      <c r="E15" s="212"/>
      <c r="F15" s="212"/>
      <c r="G15" s="169" t="s">
        <v>2107</v>
      </c>
    </row>
    <row r="16" spans="1:19" ht="16" customHeight="1">
      <c r="B16" s="213" t="s">
        <v>2106</v>
      </c>
      <c r="C16" s="213"/>
      <c r="D16" s="213"/>
      <c r="E16" s="213"/>
      <c r="F16" s="213"/>
      <c r="G16" s="167">
        <f>G6</f>
        <v>196.2</v>
      </c>
    </row>
    <row r="17" spans="2:7" ht="16" customHeight="1">
      <c r="B17" s="204" t="s">
        <v>2105</v>
      </c>
      <c r="C17" s="204"/>
      <c r="D17" s="204"/>
      <c r="E17" s="204"/>
      <c r="F17" s="204"/>
      <c r="G17" s="166">
        <f>G13</f>
        <v>24.08</v>
      </c>
    </row>
    <row r="18" spans="2:7" ht="16" customHeight="1">
      <c r="B18" s="204" t="s">
        <v>2104</v>
      </c>
      <c r="C18" s="204"/>
      <c r="D18" s="204"/>
      <c r="E18" s="204"/>
      <c r="F18" s="204"/>
      <c r="G18" s="166">
        <f>G16-G17</f>
        <v>172.12</v>
      </c>
    </row>
    <row r="19" spans="2:7" ht="16" customHeight="1">
      <c r="B19" s="211" t="s">
        <v>2103</v>
      </c>
      <c r="C19" s="211"/>
      <c r="D19" s="211"/>
      <c r="E19" s="211"/>
      <c r="F19" s="211"/>
      <c r="G19" s="164">
        <f>IF(G16=0,"",G18/G16)</f>
        <v>0.87726809378185533</v>
      </c>
    </row>
  </sheetData>
  <mergeCells count="8">
    <mergeCell ref="B17:F17"/>
    <mergeCell ref="B18:F18"/>
    <mergeCell ref="B19:F19"/>
    <mergeCell ref="A1:S1"/>
    <mergeCell ref="A2:S2"/>
    <mergeCell ref="A3:S3"/>
    <mergeCell ref="B15:F15"/>
    <mergeCell ref="B16:F16"/>
  </mergeCells>
  <conditionalFormatting sqref="H6:H205">
    <cfRule type="expression" dxfId="23" priority="1">
      <formula>H6&lt;0</formula>
    </cfRule>
    <cfRule type="expression" dxfId="22" priority="2">
      <formula>H6&gt;0</formula>
    </cfRule>
  </conditionalFormatting>
  <conditionalFormatting sqref="N6:N205">
    <cfRule type="expression" dxfId="21" priority="3">
      <formula>N6="Terkini"</formula>
    </cfRule>
  </conditionalFormatting>
  <dataValidations count="4">
    <dataValidation type="list" sqref="Q6:Q205" xr:uid="{00000000-0002-0000-0800-000003000000}">
      <formula1>"Terverifikasi,Belum Diverifikasi,Perlu Konfirmasi Dokumen,Perlu Perbaikan"</formula1>
    </dataValidation>
    <dataValidation type="list" sqref="N6:N205" xr:uid="{00000000-0002-0000-0800-000002000000}">
      <formula1>"Historis,Terkini,Proses"</formula1>
    </dataValidation>
    <dataValidation type="list" sqref="M6:M205" xr:uid="{00000000-0002-0000-0800-000001000000}">
      <formula1>"Fase 1 — Penurunan awal,Fase 2 — Perubahan metode,Fase 3 — Penurunan konsisten,Fase berikutnya"</formula1>
    </dataValidation>
    <dataValidation type="list" sqref="C6:C205" xr:uid="{00000000-0002-0000-0800-000000000000}">
      <formula1>"Baseline/SK,Evaluasi,Berita Acara,Penetapan/Pemutakhiran,Verifikasi/Pemutakhiran"</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F041-307A-4B41-92D4-A639834607B2}">
  <dimension ref="A1:U256"/>
  <sheetViews>
    <sheetView tabSelected="1" topLeftCell="H43" zoomScale="85" zoomScaleNormal="85" workbookViewId="0">
      <selection activeCell="O61" sqref="O61"/>
    </sheetView>
  </sheetViews>
  <sheetFormatPr defaultRowHeight="14"/>
  <cols>
    <col min="1" max="1" width="21" customWidth="1"/>
    <col min="2" max="2" width="13" customWidth="1"/>
    <col min="3" max="3" width="34" customWidth="1"/>
    <col min="4" max="5" width="20" customWidth="1"/>
    <col min="6" max="6" width="12" customWidth="1"/>
    <col min="7" max="7" width="16.58203125" customWidth="1"/>
    <col min="8" max="8" width="23" customWidth="1"/>
    <col min="9" max="9" width="22" customWidth="1"/>
    <col min="10" max="10" width="17" customWidth="1"/>
    <col min="11" max="11" width="37" customWidth="1"/>
    <col min="12" max="12" width="23.83203125" customWidth="1"/>
    <col min="13" max="14" width="15" customWidth="1"/>
    <col min="15" max="15" width="40" customWidth="1"/>
    <col min="16" max="16" width="48" customWidth="1"/>
    <col min="17" max="17" width="29" customWidth="1"/>
    <col min="18" max="18" width="24" customWidth="1"/>
    <col min="19" max="19" width="17" customWidth="1"/>
    <col min="20" max="20" width="18" customWidth="1"/>
  </cols>
  <sheetData>
    <row r="1" spans="1:20" ht="20">
      <c r="A1" s="207" t="s">
        <v>2179</v>
      </c>
      <c r="B1" s="207"/>
      <c r="C1" s="207"/>
      <c r="D1" s="207"/>
      <c r="E1" s="207"/>
      <c r="F1" s="207"/>
      <c r="G1" s="207"/>
      <c r="H1" s="207"/>
      <c r="I1" s="207"/>
      <c r="J1" s="207"/>
      <c r="K1" s="207"/>
      <c r="L1" s="207"/>
      <c r="M1" s="207"/>
      <c r="N1" s="207"/>
      <c r="O1" s="207"/>
      <c r="P1" s="207"/>
      <c r="Q1" s="207"/>
      <c r="R1" s="207"/>
      <c r="S1" s="207"/>
      <c r="T1" s="207"/>
    </row>
    <row r="2" spans="1:20" ht="14.5">
      <c r="A2" s="208" t="s">
        <v>2178</v>
      </c>
      <c r="B2" s="208"/>
      <c r="C2" s="208"/>
      <c r="D2" s="208"/>
      <c r="E2" s="208"/>
      <c r="F2" s="208"/>
      <c r="G2" s="208"/>
      <c r="H2" s="208"/>
      <c r="I2" s="208"/>
      <c r="J2" s="208"/>
      <c r="K2" s="208"/>
      <c r="L2" s="208"/>
      <c r="M2" s="208"/>
      <c r="N2" s="208"/>
      <c r="O2" s="208"/>
      <c r="P2" s="208"/>
      <c r="Q2" s="208"/>
      <c r="R2" s="208"/>
      <c r="S2" s="208"/>
      <c r="T2" s="208"/>
    </row>
    <row r="3" spans="1:20">
      <c r="A3" s="209" t="s">
        <v>2177</v>
      </c>
      <c r="B3" s="209"/>
      <c r="C3" s="209"/>
      <c r="D3" s="209"/>
      <c r="E3" s="209"/>
      <c r="F3" s="209"/>
      <c r="G3" s="209"/>
      <c r="H3" s="209"/>
      <c r="I3" s="209"/>
      <c r="J3" s="209"/>
      <c r="K3" s="209"/>
      <c r="L3" s="209"/>
      <c r="M3" s="209"/>
      <c r="N3" s="209"/>
      <c r="O3" s="209"/>
      <c r="P3" s="209"/>
      <c r="Q3" s="209"/>
      <c r="R3" s="209"/>
      <c r="S3" s="209"/>
      <c r="T3" s="209"/>
    </row>
    <row r="5" spans="1:20" ht="26">
      <c r="A5" s="163" t="s">
        <v>2176</v>
      </c>
      <c r="B5" s="162" t="s">
        <v>26</v>
      </c>
      <c r="C5" s="162" t="s">
        <v>2175</v>
      </c>
      <c r="D5" s="162" t="s">
        <v>7</v>
      </c>
      <c r="E5" s="162" t="s">
        <v>1162</v>
      </c>
      <c r="F5" s="162" t="s">
        <v>2174</v>
      </c>
      <c r="G5" s="162" t="s">
        <v>2152</v>
      </c>
      <c r="H5" s="162" t="s">
        <v>2097</v>
      </c>
      <c r="I5" s="162" t="s">
        <v>1176</v>
      </c>
      <c r="J5" s="162" t="s">
        <v>2173</v>
      </c>
      <c r="K5" s="162" t="s">
        <v>2155</v>
      </c>
      <c r="L5" s="162" t="s">
        <v>2154</v>
      </c>
      <c r="M5" s="162" t="s">
        <v>24</v>
      </c>
      <c r="N5" s="162" t="s">
        <v>25</v>
      </c>
      <c r="O5" s="162" t="s">
        <v>2172</v>
      </c>
      <c r="P5" s="162" t="s">
        <v>853</v>
      </c>
      <c r="Q5" s="162" t="s">
        <v>27</v>
      </c>
      <c r="R5" s="162" t="s">
        <v>28</v>
      </c>
      <c r="S5" s="162" t="s">
        <v>29</v>
      </c>
      <c r="T5" s="161" t="s">
        <v>30</v>
      </c>
    </row>
    <row r="6" spans="1:20" s="231" customFormat="1" ht="75">
      <c r="A6" s="218" t="s">
        <v>2407</v>
      </c>
      <c r="B6" s="218">
        <v>2014</v>
      </c>
      <c r="C6" s="218" t="s">
        <v>2354</v>
      </c>
      <c r="D6" s="218" t="s">
        <v>2355</v>
      </c>
      <c r="E6" s="218" t="s">
        <v>81</v>
      </c>
      <c r="F6" s="218">
        <v>6</v>
      </c>
      <c r="G6" s="219">
        <v>22.8</v>
      </c>
      <c r="H6" s="218" t="s">
        <v>2118</v>
      </c>
      <c r="I6" s="218" t="s">
        <v>1190</v>
      </c>
      <c r="J6" s="218">
        <v>2014</v>
      </c>
      <c r="K6" s="218" t="s">
        <v>2356</v>
      </c>
      <c r="L6" s="228" t="s">
        <v>2408</v>
      </c>
      <c r="M6" s="229" t="s">
        <v>2358</v>
      </c>
      <c r="N6" s="229" t="s">
        <v>2359</v>
      </c>
      <c r="O6" s="218"/>
      <c r="P6" s="221" t="s">
        <v>2409</v>
      </c>
      <c r="Q6" s="221" t="s">
        <v>2315</v>
      </c>
      <c r="R6" s="221" t="s">
        <v>857</v>
      </c>
      <c r="S6" s="221"/>
      <c r="T6" s="221" t="s">
        <v>1278</v>
      </c>
    </row>
    <row r="7" spans="1:20" s="231" customFormat="1" ht="75">
      <c r="A7" s="218" t="s">
        <v>2410</v>
      </c>
      <c r="B7" s="218">
        <v>2014</v>
      </c>
      <c r="C7" s="218" t="s">
        <v>2361</v>
      </c>
      <c r="D7" s="218" t="s">
        <v>398</v>
      </c>
      <c r="E7" s="218" t="s">
        <v>81</v>
      </c>
      <c r="F7" s="218">
        <v>5</v>
      </c>
      <c r="G7" s="219">
        <v>15.6</v>
      </c>
      <c r="H7" s="218" t="s">
        <v>2118</v>
      </c>
      <c r="I7" s="218" t="s">
        <v>1190</v>
      </c>
      <c r="J7" s="218">
        <v>2014</v>
      </c>
      <c r="K7" s="218" t="s">
        <v>2356</v>
      </c>
      <c r="L7" s="228" t="s">
        <v>2408</v>
      </c>
      <c r="M7" s="229" t="s">
        <v>2362</v>
      </c>
      <c r="N7" s="229" t="s">
        <v>2363</v>
      </c>
      <c r="O7" s="218"/>
      <c r="P7" s="221" t="s">
        <v>2409</v>
      </c>
      <c r="Q7" s="221" t="s">
        <v>2315</v>
      </c>
      <c r="R7" s="221" t="s">
        <v>857</v>
      </c>
      <c r="S7" s="221"/>
      <c r="T7" s="221" t="s">
        <v>1278</v>
      </c>
    </row>
    <row r="8" spans="1:20" s="231" customFormat="1" ht="75">
      <c r="A8" s="218" t="s">
        <v>2411</v>
      </c>
      <c r="B8" s="218">
        <v>2014</v>
      </c>
      <c r="C8" s="218" t="s">
        <v>2365</v>
      </c>
      <c r="D8" s="218" t="s">
        <v>2366</v>
      </c>
      <c r="E8" s="218" t="s">
        <v>304</v>
      </c>
      <c r="F8" s="218">
        <v>3</v>
      </c>
      <c r="G8" s="219">
        <v>8.3000000000000007</v>
      </c>
      <c r="H8" s="218" t="s">
        <v>2118</v>
      </c>
      <c r="I8" s="218" t="s">
        <v>1190</v>
      </c>
      <c r="J8" s="218">
        <v>2014</v>
      </c>
      <c r="K8" s="218" t="s">
        <v>2356</v>
      </c>
      <c r="L8" s="228" t="s">
        <v>2408</v>
      </c>
      <c r="M8" s="229" t="s">
        <v>2367</v>
      </c>
      <c r="N8" s="229" t="s">
        <v>2368</v>
      </c>
      <c r="O8" s="218"/>
      <c r="P8" s="221" t="s">
        <v>2409</v>
      </c>
      <c r="Q8" s="221" t="s">
        <v>2315</v>
      </c>
      <c r="R8" s="221" t="s">
        <v>857</v>
      </c>
      <c r="S8" s="221"/>
      <c r="T8" s="221" t="s">
        <v>1278</v>
      </c>
    </row>
    <row r="9" spans="1:20" s="231" customFormat="1" ht="75">
      <c r="A9" s="218" t="s">
        <v>2412</v>
      </c>
      <c r="B9" s="218">
        <v>2014</v>
      </c>
      <c r="C9" s="218" t="s">
        <v>2370</v>
      </c>
      <c r="D9" s="218" t="s">
        <v>2371</v>
      </c>
      <c r="E9" s="218" t="s">
        <v>304</v>
      </c>
      <c r="F9" s="218">
        <v>2</v>
      </c>
      <c r="G9" s="219">
        <v>2.4</v>
      </c>
      <c r="H9" s="218" t="s">
        <v>2118</v>
      </c>
      <c r="I9" s="218" t="s">
        <v>1190</v>
      </c>
      <c r="J9" s="218">
        <v>2014</v>
      </c>
      <c r="K9" s="218" t="s">
        <v>2356</v>
      </c>
      <c r="L9" s="228" t="s">
        <v>2408</v>
      </c>
      <c r="M9" s="229" t="s">
        <v>2372</v>
      </c>
      <c r="N9" s="229" t="s">
        <v>2373</v>
      </c>
      <c r="O9" s="218"/>
      <c r="P9" s="221" t="s">
        <v>2409</v>
      </c>
      <c r="Q9" s="221" t="s">
        <v>2315</v>
      </c>
      <c r="R9" s="221" t="s">
        <v>857</v>
      </c>
      <c r="S9" s="221"/>
      <c r="T9" s="221" t="s">
        <v>1278</v>
      </c>
    </row>
    <row r="10" spans="1:20" s="231" customFormat="1" ht="75">
      <c r="A10" s="218" t="s">
        <v>2413</v>
      </c>
      <c r="B10" s="218">
        <v>2014</v>
      </c>
      <c r="C10" s="218" t="s">
        <v>2375</v>
      </c>
      <c r="D10" s="218" t="s">
        <v>2376</v>
      </c>
      <c r="E10" s="218" t="s">
        <v>304</v>
      </c>
      <c r="F10" s="218">
        <v>5</v>
      </c>
      <c r="G10" s="219">
        <v>7.9</v>
      </c>
      <c r="H10" s="218" t="s">
        <v>2118</v>
      </c>
      <c r="I10" s="218" t="s">
        <v>1190</v>
      </c>
      <c r="J10" s="218">
        <v>2014</v>
      </c>
      <c r="K10" s="218" t="s">
        <v>2356</v>
      </c>
      <c r="L10" s="228" t="s">
        <v>2408</v>
      </c>
      <c r="M10" s="229" t="s">
        <v>2377</v>
      </c>
      <c r="N10" s="229" t="s">
        <v>2378</v>
      </c>
      <c r="O10" s="218"/>
      <c r="P10" s="221" t="s">
        <v>2409</v>
      </c>
      <c r="Q10" s="221" t="s">
        <v>2315</v>
      </c>
      <c r="R10" s="221" t="s">
        <v>857</v>
      </c>
      <c r="S10" s="221"/>
      <c r="T10" s="221" t="s">
        <v>1278</v>
      </c>
    </row>
    <row r="11" spans="1:20" s="231" customFormat="1" ht="75">
      <c r="A11" s="218" t="s">
        <v>2414</v>
      </c>
      <c r="B11" s="218">
        <v>2014</v>
      </c>
      <c r="C11" s="218" t="s">
        <v>2380</v>
      </c>
      <c r="D11" s="218" t="s">
        <v>100</v>
      </c>
      <c r="E11" s="218" t="s">
        <v>99</v>
      </c>
      <c r="F11" s="218">
        <v>4</v>
      </c>
      <c r="G11" s="219">
        <v>16.2</v>
      </c>
      <c r="H11" s="218" t="s">
        <v>2118</v>
      </c>
      <c r="I11" s="218" t="s">
        <v>1190</v>
      </c>
      <c r="J11" s="218">
        <v>2014</v>
      </c>
      <c r="K11" s="218" t="s">
        <v>2356</v>
      </c>
      <c r="L11" s="228" t="s">
        <v>2408</v>
      </c>
      <c r="M11" s="229" t="s">
        <v>2381</v>
      </c>
      <c r="N11" s="229" t="s">
        <v>2382</v>
      </c>
      <c r="O11" s="218"/>
      <c r="P11" s="221" t="s">
        <v>2409</v>
      </c>
      <c r="Q11" s="221" t="s">
        <v>2315</v>
      </c>
      <c r="R11" s="221" t="s">
        <v>857</v>
      </c>
      <c r="S11" s="221"/>
      <c r="T11" s="221" t="s">
        <v>1278</v>
      </c>
    </row>
    <row r="12" spans="1:20" s="231" customFormat="1" ht="75">
      <c r="A12" s="218" t="s">
        <v>2415</v>
      </c>
      <c r="B12" s="218">
        <v>2014</v>
      </c>
      <c r="C12" s="218" t="s">
        <v>2384</v>
      </c>
      <c r="D12" s="218" t="s">
        <v>213</v>
      </c>
      <c r="E12" s="218" t="s">
        <v>99</v>
      </c>
      <c r="F12" s="218">
        <v>2</v>
      </c>
      <c r="G12" s="219">
        <v>5.3</v>
      </c>
      <c r="H12" s="218" t="s">
        <v>2118</v>
      </c>
      <c r="I12" s="218" t="s">
        <v>1190</v>
      </c>
      <c r="J12" s="218">
        <v>2014</v>
      </c>
      <c r="K12" s="218" t="s">
        <v>2356</v>
      </c>
      <c r="L12" s="228" t="s">
        <v>2408</v>
      </c>
      <c r="M12" s="229" t="s">
        <v>2385</v>
      </c>
      <c r="N12" s="229" t="s">
        <v>2386</v>
      </c>
      <c r="O12" s="218"/>
      <c r="P12" s="221" t="s">
        <v>2409</v>
      </c>
      <c r="Q12" s="221" t="s">
        <v>2315</v>
      </c>
      <c r="R12" s="221" t="s">
        <v>857</v>
      </c>
      <c r="S12" s="221"/>
      <c r="T12" s="221" t="s">
        <v>1278</v>
      </c>
    </row>
    <row r="13" spans="1:20" s="231" customFormat="1" ht="75">
      <c r="A13" s="218" t="s">
        <v>2416</v>
      </c>
      <c r="B13" s="218">
        <v>2014</v>
      </c>
      <c r="C13" s="218" t="s">
        <v>2295</v>
      </c>
      <c r="D13" s="218" t="s">
        <v>2296</v>
      </c>
      <c r="E13" s="218" t="s">
        <v>810</v>
      </c>
      <c r="F13" s="218">
        <v>5</v>
      </c>
      <c r="G13" s="219">
        <v>6</v>
      </c>
      <c r="H13" s="218" t="s">
        <v>2118</v>
      </c>
      <c r="I13" s="218" t="s">
        <v>1190</v>
      </c>
      <c r="J13" s="218">
        <v>2014</v>
      </c>
      <c r="K13" s="218" t="s">
        <v>2356</v>
      </c>
      <c r="L13" s="228" t="s">
        <v>2408</v>
      </c>
      <c r="M13" s="229" t="s">
        <v>2388</v>
      </c>
      <c r="N13" s="229" t="s">
        <v>2389</v>
      </c>
      <c r="O13" s="218"/>
      <c r="P13" s="221" t="s">
        <v>2409</v>
      </c>
      <c r="Q13" s="221" t="s">
        <v>2315</v>
      </c>
      <c r="R13" s="221" t="s">
        <v>857</v>
      </c>
      <c r="S13" s="221"/>
      <c r="T13" s="221" t="s">
        <v>1278</v>
      </c>
    </row>
    <row r="14" spans="1:20" s="231" customFormat="1" ht="75">
      <c r="A14" s="218" t="s">
        <v>2417</v>
      </c>
      <c r="B14" s="218">
        <v>2014</v>
      </c>
      <c r="C14" s="218" t="s">
        <v>2170</v>
      </c>
      <c r="D14" s="218" t="s">
        <v>2134</v>
      </c>
      <c r="E14" s="218" t="s">
        <v>810</v>
      </c>
      <c r="F14" s="218">
        <v>8</v>
      </c>
      <c r="G14" s="219">
        <v>44.8</v>
      </c>
      <c r="H14" s="218" t="s">
        <v>2118</v>
      </c>
      <c r="I14" s="218" t="s">
        <v>1190</v>
      </c>
      <c r="J14" s="218">
        <v>2014</v>
      </c>
      <c r="K14" s="218" t="s">
        <v>2356</v>
      </c>
      <c r="L14" s="228" t="s">
        <v>2408</v>
      </c>
      <c r="M14" s="229" t="s">
        <v>2391</v>
      </c>
      <c r="N14" s="229" t="s">
        <v>2392</v>
      </c>
      <c r="O14" s="218"/>
      <c r="P14" s="221" t="s">
        <v>2409</v>
      </c>
      <c r="Q14" s="221" t="s">
        <v>2315</v>
      </c>
      <c r="R14" s="221" t="s">
        <v>857</v>
      </c>
      <c r="S14" s="221"/>
      <c r="T14" s="221" t="s">
        <v>1278</v>
      </c>
    </row>
    <row r="15" spans="1:20" s="231" customFormat="1" ht="75">
      <c r="A15" s="218" t="s">
        <v>2418</v>
      </c>
      <c r="B15" s="218">
        <v>2014</v>
      </c>
      <c r="C15" s="218" t="s">
        <v>2394</v>
      </c>
      <c r="D15" s="218" t="s">
        <v>2395</v>
      </c>
      <c r="E15" s="218" t="s">
        <v>860</v>
      </c>
      <c r="F15" s="218">
        <v>1</v>
      </c>
      <c r="G15" s="219">
        <v>1.8</v>
      </c>
      <c r="H15" s="218" t="s">
        <v>2118</v>
      </c>
      <c r="I15" s="218" t="s">
        <v>1190</v>
      </c>
      <c r="J15" s="218">
        <v>2014</v>
      </c>
      <c r="K15" s="218" t="s">
        <v>2356</v>
      </c>
      <c r="L15" s="228" t="s">
        <v>2408</v>
      </c>
      <c r="M15" s="229" t="s">
        <v>2396</v>
      </c>
      <c r="N15" s="229" t="s">
        <v>2397</v>
      </c>
      <c r="O15" s="218"/>
      <c r="P15" s="221" t="s">
        <v>2409</v>
      </c>
      <c r="Q15" s="221" t="s">
        <v>2315</v>
      </c>
      <c r="R15" s="221" t="s">
        <v>857</v>
      </c>
      <c r="S15" s="221"/>
      <c r="T15" s="221" t="s">
        <v>1278</v>
      </c>
    </row>
    <row r="16" spans="1:20" s="231" customFormat="1" ht="75">
      <c r="A16" s="218" t="s">
        <v>2419</v>
      </c>
      <c r="B16" s="218">
        <v>2014</v>
      </c>
      <c r="C16" s="218" t="s">
        <v>2341</v>
      </c>
      <c r="D16" s="218" t="s">
        <v>2342</v>
      </c>
      <c r="E16" s="218" t="s">
        <v>860</v>
      </c>
      <c r="F16" s="218">
        <v>2</v>
      </c>
      <c r="G16" s="219">
        <v>6.6</v>
      </c>
      <c r="H16" s="218" t="s">
        <v>2118</v>
      </c>
      <c r="I16" s="218" t="s">
        <v>1190</v>
      </c>
      <c r="J16" s="218">
        <v>2014</v>
      </c>
      <c r="K16" s="218" t="s">
        <v>2356</v>
      </c>
      <c r="L16" s="228" t="s">
        <v>2408</v>
      </c>
      <c r="M16" s="229" t="s">
        <v>2343</v>
      </c>
      <c r="N16" s="229" t="s">
        <v>2344</v>
      </c>
      <c r="O16" s="218"/>
      <c r="P16" s="221" t="s">
        <v>2409</v>
      </c>
      <c r="Q16" s="221" t="s">
        <v>2315</v>
      </c>
      <c r="R16" s="221" t="s">
        <v>857</v>
      </c>
      <c r="S16" s="221"/>
      <c r="T16" s="221" t="s">
        <v>1278</v>
      </c>
    </row>
    <row r="17" spans="1:21" s="231" customFormat="1" ht="75">
      <c r="A17" s="218" t="s">
        <v>2420</v>
      </c>
      <c r="B17" s="218">
        <v>2014</v>
      </c>
      <c r="C17" s="218" t="s">
        <v>2168</v>
      </c>
      <c r="D17" s="218" t="s">
        <v>2167</v>
      </c>
      <c r="E17" s="218" t="s">
        <v>860</v>
      </c>
      <c r="F17" s="218">
        <v>7</v>
      </c>
      <c r="G17" s="219">
        <v>24.5</v>
      </c>
      <c r="H17" s="218" t="s">
        <v>2118</v>
      </c>
      <c r="I17" s="218" t="s">
        <v>1190</v>
      </c>
      <c r="J17" s="218">
        <v>2014</v>
      </c>
      <c r="K17" s="218" t="s">
        <v>2356</v>
      </c>
      <c r="L17" s="228" t="s">
        <v>2408</v>
      </c>
      <c r="M17" s="229" t="s">
        <v>2400</v>
      </c>
      <c r="N17" s="229" t="s">
        <v>2401</v>
      </c>
      <c r="O17" s="218"/>
      <c r="P17" s="221" t="s">
        <v>2409</v>
      </c>
      <c r="Q17" s="221" t="s">
        <v>2315</v>
      </c>
      <c r="R17" s="221" t="s">
        <v>857</v>
      </c>
      <c r="S17" s="221"/>
      <c r="T17" s="221" t="s">
        <v>1278</v>
      </c>
    </row>
    <row r="18" spans="1:21" s="231" customFormat="1" ht="75">
      <c r="A18" s="218" t="s">
        <v>2421</v>
      </c>
      <c r="B18" s="218">
        <v>2014</v>
      </c>
      <c r="C18" s="218" t="s">
        <v>2334</v>
      </c>
      <c r="D18" s="218" t="s">
        <v>2335</v>
      </c>
      <c r="E18" s="218" t="s">
        <v>860</v>
      </c>
      <c r="F18" s="218">
        <v>4</v>
      </c>
      <c r="G18" s="219">
        <v>17.7</v>
      </c>
      <c r="H18" s="218" t="s">
        <v>2118</v>
      </c>
      <c r="I18" s="218" t="s">
        <v>1190</v>
      </c>
      <c r="J18" s="218">
        <v>2014</v>
      </c>
      <c r="K18" s="218" t="s">
        <v>2356</v>
      </c>
      <c r="L18" s="228" t="s">
        <v>2408</v>
      </c>
      <c r="M18" s="229" t="s">
        <v>2337</v>
      </c>
      <c r="N18" s="229" t="s">
        <v>2338</v>
      </c>
      <c r="O18" s="218"/>
      <c r="P18" s="221" t="s">
        <v>2409</v>
      </c>
      <c r="Q18" s="221" t="s">
        <v>2315</v>
      </c>
      <c r="R18" s="221" t="s">
        <v>857</v>
      </c>
      <c r="S18" s="221"/>
      <c r="T18" s="221" t="s">
        <v>1278</v>
      </c>
    </row>
    <row r="19" spans="1:21" s="231" customFormat="1" ht="75">
      <c r="A19" s="218" t="s">
        <v>2422</v>
      </c>
      <c r="B19" s="218">
        <v>2014</v>
      </c>
      <c r="C19" s="218" t="s">
        <v>2404</v>
      </c>
      <c r="D19" s="218" t="s">
        <v>2405</v>
      </c>
      <c r="E19" s="218" t="s">
        <v>860</v>
      </c>
      <c r="F19" s="218">
        <v>9</v>
      </c>
      <c r="G19" s="219">
        <v>16.3</v>
      </c>
      <c r="H19" s="218" t="s">
        <v>2118</v>
      </c>
      <c r="I19" s="218" t="s">
        <v>1190</v>
      </c>
      <c r="J19" s="218">
        <v>2014</v>
      </c>
      <c r="K19" s="218" t="s">
        <v>2356</v>
      </c>
      <c r="L19" s="228" t="s">
        <v>2408</v>
      </c>
      <c r="M19" s="229">
        <v>-212775</v>
      </c>
      <c r="N19" s="229" t="s">
        <v>2406</v>
      </c>
      <c r="O19" s="218"/>
      <c r="P19" s="221" t="s">
        <v>2409</v>
      </c>
      <c r="Q19" s="221" t="s">
        <v>2315</v>
      </c>
      <c r="R19" s="221" t="s">
        <v>857</v>
      </c>
      <c r="S19" s="221"/>
      <c r="T19" s="221" t="s">
        <v>1278</v>
      </c>
    </row>
    <row r="20" spans="1:21" s="227" customFormat="1" ht="25">
      <c r="A20" s="214" t="s">
        <v>2353</v>
      </c>
      <c r="B20" s="214">
        <v>2018</v>
      </c>
      <c r="C20" s="214" t="s">
        <v>2354</v>
      </c>
      <c r="D20" s="214" t="s">
        <v>2355</v>
      </c>
      <c r="E20" s="214" t="s">
        <v>81</v>
      </c>
      <c r="F20" s="214">
        <v>6</v>
      </c>
      <c r="G20" s="215">
        <v>22.6</v>
      </c>
      <c r="H20" s="214" t="s">
        <v>2118</v>
      </c>
      <c r="I20" s="214" t="s">
        <v>1898</v>
      </c>
      <c r="J20" s="214">
        <v>2018</v>
      </c>
      <c r="K20" s="214" t="s">
        <v>2356</v>
      </c>
      <c r="L20" s="224" t="s">
        <v>2357</v>
      </c>
      <c r="M20" s="225" t="s">
        <v>2358</v>
      </c>
      <c r="N20" s="225" t="s">
        <v>2359</v>
      </c>
      <c r="O20" s="214"/>
      <c r="P20" s="217" t="s">
        <v>2291</v>
      </c>
      <c r="Q20" s="217" t="s">
        <v>2315</v>
      </c>
      <c r="R20" s="217" t="s">
        <v>857</v>
      </c>
      <c r="S20" s="217"/>
      <c r="T20" s="217" t="s">
        <v>1278</v>
      </c>
      <c r="U20" s="226"/>
    </row>
    <row r="21" spans="1:21" s="227" customFormat="1" ht="25">
      <c r="A21" s="214" t="s">
        <v>2360</v>
      </c>
      <c r="B21" s="214">
        <v>2018</v>
      </c>
      <c r="C21" s="214" t="s">
        <v>2361</v>
      </c>
      <c r="D21" s="214" t="s">
        <v>398</v>
      </c>
      <c r="E21" s="214" t="s">
        <v>81</v>
      </c>
      <c r="F21" s="214">
        <v>5</v>
      </c>
      <c r="G21" s="215">
        <v>15.6</v>
      </c>
      <c r="H21" s="214" t="s">
        <v>2118</v>
      </c>
      <c r="I21" s="214" t="s">
        <v>1898</v>
      </c>
      <c r="J21" s="214">
        <v>2018</v>
      </c>
      <c r="K21" s="214" t="s">
        <v>2356</v>
      </c>
      <c r="L21" s="224" t="s">
        <v>2357</v>
      </c>
      <c r="M21" s="225" t="s">
        <v>2362</v>
      </c>
      <c r="N21" s="225" t="s">
        <v>2363</v>
      </c>
      <c r="O21" s="214"/>
      <c r="P21" s="217" t="s">
        <v>2291</v>
      </c>
      <c r="Q21" s="217" t="s">
        <v>2315</v>
      </c>
      <c r="R21" s="217" t="s">
        <v>857</v>
      </c>
      <c r="S21" s="217"/>
      <c r="T21" s="217" t="s">
        <v>1278</v>
      </c>
      <c r="U21" s="226"/>
    </row>
    <row r="22" spans="1:21" s="227" customFormat="1" ht="25">
      <c r="A22" s="214" t="s">
        <v>2364</v>
      </c>
      <c r="B22" s="214">
        <v>2018</v>
      </c>
      <c r="C22" s="214" t="s">
        <v>2365</v>
      </c>
      <c r="D22" s="214" t="s">
        <v>2366</v>
      </c>
      <c r="E22" s="214" t="s">
        <v>304</v>
      </c>
      <c r="F22" s="214">
        <v>3</v>
      </c>
      <c r="G22" s="215">
        <v>0</v>
      </c>
      <c r="H22" s="214" t="s">
        <v>2118</v>
      </c>
      <c r="I22" s="214" t="s">
        <v>1898</v>
      </c>
      <c r="J22" s="214">
        <v>2018</v>
      </c>
      <c r="K22" s="214" t="s">
        <v>2356</v>
      </c>
      <c r="L22" s="224" t="s">
        <v>2357</v>
      </c>
      <c r="M22" s="225" t="s">
        <v>2367</v>
      </c>
      <c r="N22" s="225" t="s">
        <v>2368</v>
      </c>
      <c r="O22" s="214"/>
      <c r="P22" s="217" t="s">
        <v>2291</v>
      </c>
      <c r="Q22" s="217" t="s">
        <v>2315</v>
      </c>
      <c r="R22" s="217" t="s">
        <v>857</v>
      </c>
      <c r="S22" s="217"/>
      <c r="T22" s="217" t="s">
        <v>1278</v>
      </c>
      <c r="U22" s="226"/>
    </row>
    <row r="23" spans="1:21" s="227" customFormat="1" ht="25">
      <c r="A23" s="214" t="s">
        <v>2369</v>
      </c>
      <c r="B23" s="214">
        <v>2018</v>
      </c>
      <c r="C23" s="214" t="s">
        <v>2370</v>
      </c>
      <c r="D23" s="214" t="s">
        <v>2371</v>
      </c>
      <c r="E23" s="214" t="s">
        <v>304</v>
      </c>
      <c r="F23" s="214">
        <v>2</v>
      </c>
      <c r="G23" s="215">
        <v>2.4</v>
      </c>
      <c r="H23" s="214" t="s">
        <v>2118</v>
      </c>
      <c r="I23" s="214" t="s">
        <v>1898</v>
      </c>
      <c r="J23" s="214">
        <v>2018</v>
      </c>
      <c r="K23" s="214" t="s">
        <v>2356</v>
      </c>
      <c r="L23" s="224" t="s">
        <v>2357</v>
      </c>
      <c r="M23" s="225" t="s">
        <v>2372</v>
      </c>
      <c r="N23" s="225" t="s">
        <v>2373</v>
      </c>
      <c r="O23" s="214"/>
      <c r="P23" s="217" t="s">
        <v>2291</v>
      </c>
      <c r="Q23" s="217" t="s">
        <v>2315</v>
      </c>
      <c r="R23" s="217" t="s">
        <v>857</v>
      </c>
      <c r="S23" s="217"/>
      <c r="T23" s="217" t="s">
        <v>1278</v>
      </c>
      <c r="U23" s="226"/>
    </row>
    <row r="24" spans="1:21" s="227" customFormat="1" ht="25">
      <c r="A24" s="214" t="s">
        <v>2374</v>
      </c>
      <c r="B24" s="214">
        <v>2018</v>
      </c>
      <c r="C24" s="214" t="s">
        <v>2375</v>
      </c>
      <c r="D24" s="214" t="s">
        <v>2376</v>
      </c>
      <c r="E24" s="214" t="s">
        <v>304</v>
      </c>
      <c r="F24" s="214">
        <v>5</v>
      </c>
      <c r="G24" s="215">
        <v>7.9</v>
      </c>
      <c r="H24" s="214" t="s">
        <v>2118</v>
      </c>
      <c r="I24" s="214" t="s">
        <v>1898</v>
      </c>
      <c r="J24" s="214">
        <v>2018</v>
      </c>
      <c r="K24" s="214" t="s">
        <v>2356</v>
      </c>
      <c r="L24" s="224" t="s">
        <v>2357</v>
      </c>
      <c r="M24" s="225" t="s">
        <v>2377</v>
      </c>
      <c r="N24" s="225" t="s">
        <v>2378</v>
      </c>
      <c r="O24" s="214"/>
      <c r="P24" s="217" t="s">
        <v>2291</v>
      </c>
      <c r="Q24" s="217" t="s">
        <v>2315</v>
      </c>
      <c r="R24" s="217" t="s">
        <v>857</v>
      </c>
      <c r="S24" s="217"/>
      <c r="T24" s="217" t="s">
        <v>1278</v>
      </c>
      <c r="U24" s="226"/>
    </row>
    <row r="25" spans="1:21" s="227" customFormat="1" ht="25">
      <c r="A25" s="214" t="s">
        <v>2379</v>
      </c>
      <c r="B25" s="214">
        <v>2018</v>
      </c>
      <c r="C25" s="214" t="s">
        <v>2380</v>
      </c>
      <c r="D25" s="214" t="s">
        <v>100</v>
      </c>
      <c r="E25" s="214" t="s">
        <v>99</v>
      </c>
      <c r="F25" s="214">
        <v>4</v>
      </c>
      <c r="G25" s="215">
        <v>16.2</v>
      </c>
      <c r="H25" s="214" t="s">
        <v>2118</v>
      </c>
      <c r="I25" s="214" t="s">
        <v>1898</v>
      </c>
      <c r="J25" s="214">
        <v>2018</v>
      </c>
      <c r="K25" s="214" t="s">
        <v>2356</v>
      </c>
      <c r="L25" s="224" t="s">
        <v>2357</v>
      </c>
      <c r="M25" s="225" t="s">
        <v>2381</v>
      </c>
      <c r="N25" s="225" t="s">
        <v>2382</v>
      </c>
      <c r="O25" s="214"/>
      <c r="P25" s="217" t="s">
        <v>2291</v>
      </c>
      <c r="Q25" s="217" t="s">
        <v>2315</v>
      </c>
      <c r="R25" s="217" t="s">
        <v>857</v>
      </c>
      <c r="S25" s="217"/>
      <c r="T25" s="217" t="s">
        <v>1278</v>
      </c>
      <c r="U25" s="226"/>
    </row>
    <row r="26" spans="1:21" s="227" customFormat="1" ht="25">
      <c r="A26" s="214" t="s">
        <v>2383</v>
      </c>
      <c r="B26" s="214">
        <v>2018</v>
      </c>
      <c r="C26" s="214" t="s">
        <v>2384</v>
      </c>
      <c r="D26" s="214" t="s">
        <v>213</v>
      </c>
      <c r="E26" s="214" t="s">
        <v>99</v>
      </c>
      <c r="F26" s="214">
        <v>2</v>
      </c>
      <c r="G26" s="215">
        <v>5.3</v>
      </c>
      <c r="H26" s="214" t="s">
        <v>2118</v>
      </c>
      <c r="I26" s="214" t="s">
        <v>1898</v>
      </c>
      <c r="J26" s="214">
        <v>2018</v>
      </c>
      <c r="K26" s="214" t="s">
        <v>2356</v>
      </c>
      <c r="L26" s="224" t="s">
        <v>2357</v>
      </c>
      <c r="M26" s="225" t="s">
        <v>2385</v>
      </c>
      <c r="N26" s="225" t="s">
        <v>2386</v>
      </c>
      <c r="O26" s="214"/>
      <c r="P26" s="217" t="s">
        <v>2291</v>
      </c>
      <c r="Q26" s="217" t="s">
        <v>2315</v>
      </c>
      <c r="R26" s="217" t="s">
        <v>857</v>
      </c>
      <c r="S26" s="217"/>
      <c r="T26" s="217" t="s">
        <v>1278</v>
      </c>
      <c r="U26" s="226"/>
    </row>
    <row r="27" spans="1:21" s="227" customFormat="1" ht="25">
      <c r="A27" s="214" t="s">
        <v>2387</v>
      </c>
      <c r="B27" s="214">
        <v>2018</v>
      </c>
      <c r="C27" s="214" t="s">
        <v>2295</v>
      </c>
      <c r="D27" s="214" t="s">
        <v>2296</v>
      </c>
      <c r="E27" s="214" t="s">
        <v>810</v>
      </c>
      <c r="F27" s="214">
        <v>5</v>
      </c>
      <c r="G27" s="215">
        <v>6</v>
      </c>
      <c r="H27" s="214" t="s">
        <v>2118</v>
      </c>
      <c r="I27" s="214" t="s">
        <v>1898</v>
      </c>
      <c r="J27" s="214">
        <v>2018</v>
      </c>
      <c r="K27" s="214" t="s">
        <v>2356</v>
      </c>
      <c r="L27" s="224" t="s">
        <v>2357</v>
      </c>
      <c r="M27" s="225" t="s">
        <v>2388</v>
      </c>
      <c r="N27" s="225" t="s">
        <v>2389</v>
      </c>
      <c r="O27" s="214"/>
      <c r="P27" s="217" t="s">
        <v>2291</v>
      </c>
      <c r="Q27" s="217" t="s">
        <v>2315</v>
      </c>
      <c r="R27" s="217" t="s">
        <v>857</v>
      </c>
      <c r="S27" s="217"/>
      <c r="T27" s="217" t="s">
        <v>1278</v>
      </c>
      <c r="U27" s="226"/>
    </row>
    <row r="28" spans="1:21" s="227" customFormat="1" ht="25">
      <c r="A28" s="214" t="s">
        <v>2390</v>
      </c>
      <c r="B28" s="214">
        <v>2018</v>
      </c>
      <c r="C28" s="214" t="s">
        <v>2170</v>
      </c>
      <c r="D28" s="214" t="s">
        <v>2134</v>
      </c>
      <c r="E28" s="214" t="s">
        <v>810</v>
      </c>
      <c r="F28" s="214">
        <v>8</v>
      </c>
      <c r="G28" s="215">
        <v>44.8</v>
      </c>
      <c r="H28" s="214" t="s">
        <v>2118</v>
      </c>
      <c r="I28" s="214" t="s">
        <v>1898</v>
      </c>
      <c r="J28" s="214">
        <v>2018</v>
      </c>
      <c r="K28" s="214" t="s">
        <v>2356</v>
      </c>
      <c r="L28" s="224" t="s">
        <v>2357</v>
      </c>
      <c r="M28" s="225" t="s">
        <v>2391</v>
      </c>
      <c r="N28" s="225" t="s">
        <v>2392</v>
      </c>
      <c r="O28" s="214"/>
      <c r="P28" s="217" t="s">
        <v>2291</v>
      </c>
      <c r="Q28" s="217" t="s">
        <v>2315</v>
      </c>
      <c r="R28" s="217" t="s">
        <v>857</v>
      </c>
      <c r="S28" s="217"/>
      <c r="T28" s="217" t="s">
        <v>1278</v>
      </c>
      <c r="U28" s="226"/>
    </row>
    <row r="29" spans="1:21" s="227" customFormat="1" ht="25">
      <c r="A29" s="214" t="s">
        <v>2393</v>
      </c>
      <c r="B29" s="214">
        <v>2018</v>
      </c>
      <c r="C29" s="214" t="s">
        <v>2394</v>
      </c>
      <c r="D29" s="214" t="s">
        <v>2395</v>
      </c>
      <c r="E29" s="214" t="s">
        <v>860</v>
      </c>
      <c r="F29" s="214">
        <v>1</v>
      </c>
      <c r="G29" s="215">
        <v>1.89</v>
      </c>
      <c r="H29" s="214" t="s">
        <v>2118</v>
      </c>
      <c r="I29" s="214" t="s">
        <v>1898</v>
      </c>
      <c r="J29" s="214">
        <v>2018</v>
      </c>
      <c r="K29" s="214" t="s">
        <v>2356</v>
      </c>
      <c r="L29" s="224" t="s">
        <v>2357</v>
      </c>
      <c r="M29" s="225" t="s">
        <v>2396</v>
      </c>
      <c r="N29" s="225" t="s">
        <v>2397</v>
      </c>
      <c r="O29" s="214"/>
      <c r="P29" s="217" t="s">
        <v>2291</v>
      </c>
      <c r="Q29" s="217" t="s">
        <v>2315</v>
      </c>
      <c r="R29" s="217" t="s">
        <v>857</v>
      </c>
      <c r="S29" s="217"/>
      <c r="T29" s="217" t="s">
        <v>1278</v>
      </c>
      <c r="U29" s="226"/>
    </row>
    <row r="30" spans="1:21" s="227" customFormat="1" ht="25">
      <c r="A30" s="214" t="s">
        <v>2398</v>
      </c>
      <c r="B30" s="214">
        <v>2018</v>
      </c>
      <c r="C30" s="214" t="s">
        <v>2341</v>
      </c>
      <c r="D30" s="214" t="s">
        <v>2342</v>
      </c>
      <c r="E30" s="214" t="s">
        <v>860</v>
      </c>
      <c r="F30" s="214">
        <v>2</v>
      </c>
      <c r="G30" s="215">
        <v>6.6</v>
      </c>
      <c r="H30" s="214" t="s">
        <v>2118</v>
      </c>
      <c r="I30" s="214" t="s">
        <v>1898</v>
      </c>
      <c r="J30" s="214">
        <v>2018</v>
      </c>
      <c r="K30" s="214" t="s">
        <v>2356</v>
      </c>
      <c r="L30" s="224" t="s">
        <v>2357</v>
      </c>
      <c r="M30" s="216" t="s">
        <v>2343</v>
      </c>
      <c r="N30" s="216" t="s">
        <v>2344</v>
      </c>
      <c r="O30" s="214"/>
      <c r="P30" s="217" t="s">
        <v>2291</v>
      </c>
      <c r="Q30" s="217" t="s">
        <v>2315</v>
      </c>
      <c r="R30" s="217" t="s">
        <v>857</v>
      </c>
      <c r="S30" s="217"/>
      <c r="T30" s="217" t="s">
        <v>1278</v>
      </c>
      <c r="U30" s="226"/>
    </row>
    <row r="31" spans="1:21" s="227" customFormat="1" ht="25">
      <c r="A31" s="214" t="s">
        <v>2399</v>
      </c>
      <c r="B31" s="214">
        <v>2018</v>
      </c>
      <c r="C31" s="214" t="s">
        <v>2168</v>
      </c>
      <c r="D31" s="214" t="s">
        <v>2167</v>
      </c>
      <c r="E31" s="214" t="s">
        <v>860</v>
      </c>
      <c r="F31" s="214">
        <v>7</v>
      </c>
      <c r="G31" s="215">
        <v>24.6</v>
      </c>
      <c r="H31" s="214" t="s">
        <v>2118</v>
      </c>
      <c r="I31" s="214" t="s">
        <v>1898</v>
      </c>
      <c r="J31" s="214">
        <v>2018</v>
      </c>
      <c r="K31" s="214" t="s">
        <v>2356</v>
      </c>
      <c r="L31" s="224" t="s">
        <v>2357</v>
      </c>
      <c r="M31" s="225" t="s">
        <v>2400</v>
      </c>
      <c r="N31" s="225" t="s">
        <v>2401</v>
      </c>
      <c r="O31" s="214"/>
      <c r="P31" s="217" t="s">
        <v>2291</v>
      </c>
      <c r="Q31" s="217" t="s">
        <v>2315</v>
      </c>
      <c r="R31" s="217" t="s">
        <v>857</v>
      </c>
      <c r="S31" s="217"/>
      <c r="T31" s="217" t="s">
        <v>1278</v>
      </c>
      <c r="U31" s="226"/>
    </row>
    <row r="32" spans="1:21" s="227" customFormat="1" ht="25">
      <c r="A32" s="214" t="s">
        <v>2402</v>
      </c>
      <c r="B32" s="214">
        <v>2018</v>
      </c>
      <c r="C32" s="214" t="s">
        <v>2334</v>
      </c>
      <c r="D32" s="214" t="s">
        <v>2335</v>
      </c>
      <c r="E32" s="214" t="s">
        <v>860</v>
      </c>
      <c r="F32" s="214">
        <v>4</v>
      </c>
      <c r="G32" s="215">
        <v>17.7</v>
      </c>
      <c r="H32" s="214" t="s">
        <v>2118</v>
      </c>
      <c r="I32" s="214" t="s">
        <v>1898</v>
      </c>
      <c r="J32" s="214">
        <v>2018</v>
      </c>
      <c r="K32" s="214" t="s">
        <v>2356</v>
      </c>
      <c r="L32" s="224" t="s">
        <v>2357</v>
      </c>
      <c r="M32" s="216" t="s">
        <v>2337</v>
      </c>
      <c r="N32" s="216" t="s">
        <v>2338</v>
      </c>
      <c r="O32" s="214"/>
      <c r="P32" s="217" t="s">
        <v>2291</v>
      </c>
      <c r="Q32" s="217" t="s">
        <v>2315</v>
      </c>
      <c r="R32" s="217" t="s">
        <v>857</v>
      </c>
      <c r="S32" s="217"/>
      <c r="T32" s="217" t="s">
        <v>1278</v>
      </c>
      <c r="U32" s="226"/>
    </row>
    <row r="33" spans="1:21" s="227" customFormat="1" ht="25">
      <c r="A33" s="214" t="s">
        <v>2403</v>
      </c>
      <c r="B33" s="214">
        <v>2018</v>
      </c>
      <c r="C33" s="214" t="s">
        <v>2404</v>
      </c>
      <c r="D33" s="214" t="s">
        <v>2405</v>
      </c>
      <c r="E33" s="214" t="s">
        <v>860</v>
      </c>
      <c r="F33" s="214">
        <v>9</v>
      </c>
      <c r="G33" s="215">
        <v>16.3</v>
      </c>
      <c r="H33" s="214" t="s">
        <v>2118</v>
      </c>
      <c r="I33" s="214" t="s">
        <v>1898</v>
      </c>
      <c r="J33" s="214">
        <v>2018</v>
      </c>
      <c r="K33" s="214" t="s">
        <v>2356</v>
      </c>
      <c r="L33" s="224" t="s">
        <v>2357</v>
      </c>
      <c r="M33" s="216">
        <v>-212775</v>
      </c>
      <c r="N33" s="225" t="s">
        <v>2406</v>
      </c>
      <c r="O33" s="214"/>
      <c r="P33" s="217" t="s">
        <v>2291</v>
      </c>
      <c r="Q33" s="217" t="s">
        <v>2315</v>
      </c>
      <c r="R33" s="217" t="s">
        <v>857</v>
      </c>
      <c r="S33" s="217"/>
      <c r="T33" s="217" t="s">
        <v>1278</v>
      </c>
      <c r="U33" s="226"/>
    </row>
    <row r="34" spans="1:21" s="223" customFormat="1" ht="37.5">
      <c r="A34" s="218" t="s">
        <v>2333</v>
      </c>
      <c r="B34" s="218">
        <v>2020</v>
      </c>
      <c r="C34" s="218" t="s">
        <v>2334</v>
      </c>
      <c r="D34" s="218" t="s">
        <v>2335</v>
      </c>
      <c r="E34" s="218" t="s">
        <v>860</v>
      </c>
      <c r="F34" s="218">
        <v>3</v>
      </c>
      <c r="G34" s="219">
        <f>4+1.5+7.1</f>
        <v>12.6</v>
      </c>
      <c r="H34" s="218" t="s">
        <v>2118</v>
      </c>
      <c r="I34" s="218" t="s">
        <v>1898</v>
      </c>
      <c r="J34" s="218">
        <v>2020</v>
      </c>
      <c r="K34" s="218" t="s">
        <v>2114</v>
      </c>
      <c r="L34" s="228" t="s">
        <v>2336</v>
      </c>
      <c r="M34" s="220" t="s">
        <v>2337</v>
      </c>
      <c r="N34" s="220" t="s">
        <v>2338</v>
      </c>
      <c r="O34" s="218"/>
      <c r="P34" s="221" t="s">
        <v>2339</v>
      </c>
      <c r="Q34" s="221" t="s">
        <v>2315</v>
      </c>
      <c r="R34" s="221" t="s">
        <v>857</v>
      </c>
      <c r="S34" s="221"/>
      <c r="T34" s="221" t="s">
        <v>1278</v>
      </c>
      <c r="U34" s="222"/>
    </row>
    <row r="35" spans="1:21" s="223" customFormat="1" ht="37.5">
      <c r="A35" s="218" t="s">
        <v>2340</v>
      </c>
      <c r="B35" s="218">
        <v>2020</v>
      </c>
      <c r="C35" s="218" t="s">
        <v>2341</v>
      </c>
      <c r="D35" s="218" t="s">
        <v>2342</v>
      </c>
      <c r="E35" s="218" t="s">
        <v>860</v>
      </c>
      <c r="F35" s="218">
        <v>3</v>
      </c>
      <c r="G35" s="219">
        <f>3.4+1.4+6.9</f>
        <v>11.7</v>
      </c>
      <c r="H35" s="218" t="s">
        <v>2118</v>
      </c>
      <c r="I35" s="218" t="s">
        <v>1898</v>
      </c>
      <c r="J35" s="218">
        <v>2020</v>
      </c>
      <c r="K35" s="218" t="s">
        <v>2114</v>
      </c>
      <c r="L35" s="228" t="s">
        <v>2336</v>
      </c>
      <c r="M35" s="220" t="s">
        <v>2343</v>
      </c>
      <c r="N35" s="220" t="s">
        <v>2344</v>
      </c>
      <c r="O35" s="218"/>
      <c r="P35" s="221" t="s">
        <v>2339</v>
      </c>
      <c r="Q35" s="221" t="s">
        <v>2315</v>
      </c>
      <c r="R35" s="221" t="s">
        <v>857</v>
      </c>
      <c r="S35" s="221"/>
      <c r="T35" s="221" t="s">
        <v>1278</v>
      </c>
      <c r="U35" s="222"/>
    </row>
    <row r="36" spans="1:21" s="223" customFormat="1" ht="37.5">
      <c r="A36" s="218" t="s">
        <v>2345</v>
      </c>
      <c r="B36" s="218">
        <v>2020</v>
      </c>
      <c r="C36" s="218" t="s">
        <v>2346</v>
      </c>
      <c r="D36" s="218" t="s">
        <v>811</v>
      </c>
      <c r="E36" s="218" t="s">
        <v>810</v>
      </c>
      <c r="F36" s="218">
        <v>1</v>
      </c>
      <c r="G36" s="219">
        <v>5.8</v>
      </c>
      <c r="H36" s="218" t="s">
        <v>2118</v>
      </c>
      <c r="I36" s="218" t="s">
        <v>1190</v>
      </c>
      <c r="J36" s="218">
        <v>2020</v>
      </c>
      <c r="K36" s="218" t="s">
        <v>2114</v>
      </c>
      <c r="L36" s="228" t="s">
        <v>2336</v>
      </c>
      <c r="M36" s="229" t="s">
        <v>2313</v>
      </c>
      <c r="N36" s="229" t="s">
        <v>2314</v>
      </c>
      <c r="O36" s="218"/>
      <c r="P36" s="221" t="s">
        <v>2347</v>
      </c>
      <c r="Q36" s="221" t="s">
        <v>2315</v>
      </c>
      <c r="R36" s="221" t="s">
        <v>857</v>
      </c>
      <c r="S36" s="221"/>
      <c r="T36" s="221" t="s">
        <v>1278</v>
      </c>
      <c r="U36" s="222"/>
    </row>
    <row r="37" spans="1:21" s="223" customFormat="1" ht="37.5">
      <c r="A37" s="218" t="s">
        <v>2348</v>
      </c>
      <c r="B37" s="218">
        <v>2020</v>
      </c>
      <c r="C37" s="218" t="s">
        <v>2286</v>
      </c>
      <c r="D37" s="218" t="s">
        <v>2287</v>
      </c>
      <c r="E37" s="218" t="s">
        <v>810</v>
      </c>
      <c r="F37" s="218">
        <v>3</v>
      </c>
      <c r="G37" s="219">
        <f>9.2+12.5+10.8</f>
        <v>32.5</v>
      </c>
      <c r="H37" s="218" t="s">
        <v>2118</v>
      </c>
      <c r="I37" s="218" t="s">
        <v>1190</v>
      </c>
      <c r="J37" s="218">
        <v>2020</v>
      </c>
      <c r="K37" s="218" t="s">
        <v>2114</v>
      </c>
      <c r="L37" s="228" t="s">
        <v>2336</v>
      </c>
      <c r="M37" s="229" t="s">
        <v>2289</v>
      </c>
      <c r="N37" s="229" t="s">
        <v>2290</v>
      </c>
      <c r="O37" s="218"/>
      <c r="P37" s="221" t="s">
        <v>2347</v>
      </c>
      <c r="Q37" s="221" t="s">
        <v>2315</v>
      </c>
      <c r="R37" s="221" t="s">
        <v>857</v>
      </c>
      <c r="S37" s="221"/>
      <c r="T37" s="221" t="s">
        <v>1278</v>
      </c>
      <c r="U37" s="222"/>
    </row>
    <row r="38" spans="1:21" s="223" customFormat="1" ht="37.5">
      <c r="A38" s="218" t="s">
        <v>2349</v>
      </c>
      <c r="B38" s="218">
        <v>2020</v>
      </c>
      <c r="C38" s="218" t="s">
        <v>2319</v>
      </c>
      <c r="D38" s="218" t="s">
        <v>2320</v>
      </c>
      <c r="E38" s="218" t="s">
        <v>99</v>
      </c>
      <c r="F38" s="218">
        <v>3</v>
      </c>
      <c r="G38" s="219">
        <f>3.2+5.4+5.3</f>
        <v>13.900000000000002</v>
      </c>
      <c r="H38" s="218" t="s">
        <v>2118</v>
      </c>
      <c r="I38" s="218" t="s">
        <v>1190</v>
      </c>
      <c r="J38" s="218">
        <v>2020</v>
      </c>
      <c r="K38" s="218" t="s">
        <v>2114</v>
      </c>
      <c r="L38" s="228" t="s">
        <v>2336</v>
      </c>
      <c r="M38" s="229" t="s">
        <v>2321</v>
      </c>
      <c r="N38" s="229" t="s">
        <v>2322</v>
      </c>
      <c r="O38" s="218"/>
      <c r="P38" s="221" t="s">
        <v>2347</v>
      </c>
      <c r="Q38" s="221" t="s">
        <v>2315</v>
      </c>
      <c r="R38" s="221" t="s">
        <v>857</v>
      </c>
      <c r="S38" s="221"/>
      <c r="T38" s="221" t="s">
        <v>1278</v>
      </c>
      <c r="U38" s="222"/>
    </row>
    <row r="39" spans="1:21" s="223" customFormat="1" ht="37.5">
      <c r="A39" s="218" t="s">
        <v>2350</v>
      </c>
      <c r="B39" s="218">
        <v>2020</v>
      </c>
      <c r="C39" s="218" t="s">
        <v>2324</v>
      </c>
      <c r="D39" s="218" t="s">
        <v>122</v>
      </c>
      <c r="E39" s="218" t="s">
        <v>81</v>
      </c>
      <c r="F39" s="218">
        <v>3</v>
      </c>
      <c r="G39" s="219">
        <f>6.2+4+6.9</f>
        <v>17.100000000000001</v>
      </c>
      <c r="H39" s="218" t="s">
        <v>2118</v>
      </c>
      <c r="I39" s="218" t="s">
        <v>1190</v>
      </c>
      <c r="J39" s="218">
        <v>2020</v>
      </c>
      <c r="K39" s="218" t="s">
        <v>2114</v>
      </c>
      <c r="L39" s="228" t="s">
        <v>2336</v>
      </c>
      <c r="M39" s="229" t="s">
        <v>2325</v>
      </c>
      <c r="N39" s="229" t="s">
        <v>2326</v>
      </c>
      <c r="O39" s="218"/>
      <c r="P39" s="221" t="s">
        <v>2347</v>
      </c>
      <c r="Q39" s="221" t="s">
        <v>2315</v>
      </c>
      <c r="R39" s="221" t="s">
        <v>857</v>
      </c>
      <c r="S39" s="221"/>
      <c r="T39" s="221" t="s">
        <v>1278</v>
      </c>
      <c r="U39" s="222"/>
    </row>
    <row r="40" spans="1:21" s="223" customFormat="1" ht="37.5">
      <c r="A40" s="218" t="s">
        <v>2351</v>
      </c>
      <c r="B40" s="218">
        <v>2020</v>
      </c>
      <c r="C40" s="218" t="s">
        <v>2170</v>
      </c>
      <c r="D40" s="218" t="s">
        <v>2134</v>
      </c>
      <c r="E40" s="218" t="s">
        <v>810</v>
      </c>
      <c r="F40" s="218">
        <v>5</v>
      </c>
      <c r="G40" s="219">
        <f>10.3+5.3+13.5+9.3+12.5</f>
        <v>50.900000000000006</v>
      </c>
      <c r="H40" s="218" t="s">
        <v>2118</v>
      </c>
      <c r="I40" s="218" t="s">
        <v>1190</v>
      </c>
      <c r="J40" s="218">
        <v>2020</v>
      </c>
      <c r="K40" s="218" t="s">
        <v>2114</v>
      </c>
      <c r="L40" s="228" t="s">
        <v>2336</v>
      </c>
      <c r="M40" s="229" t="s">
        <v>2279</v>
      </c>
      <c r="N40" s="229" t="s">
        <v>2280</v>
      </c>
      <c r="O40" s="218"/>
      <c r="P40" s="221" t="s">
        <v>2347</v>
      </c>
      <c r="Q40" s="221" t="s">
        <v>2315</v>
      </c>
      <c r="R40" s="221" t="s">
        <v>857</v>
      </c>
      <c r="S40" s="221"/>
      <c r="T40" s="221" t="s">
        <v>1278</v>
      </c>
      <c r="U40" s="222"/>
    </row>
    <row r="41" spans="1:21" s="223" customFormat="1" ht="37.5">
      <c r="A41" s="218" t="s">
        <v>2352</v>
      </c>
      <c r="B41" s="218">
        <v>2020</v>
      </c>
      <c r="C41" s="218" t="s">
        <v>2295</v>
      </c>
      <c r="D41" s="218" t="s">
        <v>2296</v>
      </c>
      <c r="E41" s="218" t="s">
        <v>810</v>
      </c>
      <c r="F41" s="218">
        <v>1</v>
      </c>
      <c r="G41" s="230">
        <v>3.9</v>
      </c>
      <c r="H41" s="218" t="s">
        <v>2118</v>
      </c>
      <c r="I41" s="218" t="s">
        <v>1190</v>
      </c>
      <c r="J41" s="218">
        <v>2020</v>
      </c>
      <c r="K41" s="218" t="s">
        <v>2114</v>
      </c>
      <c r="L41" s="228" t="s">
        <v>2336</v>
      </c>
      <c r="M41" s="229" t="s">
        <v>2297</v>
      </c>
      <c r="N41" s="229" t="s">
        <v>2298</v>
      </c>
      <c r="O41" s="218"/>
      <c r="P41" s="221" t="s">
        <v>2347</v>
      </c>
      <c r="Q41" s="221" t="s">
        <v>2315</v>
      </c>
      <c r="R41" s="221" t="s">
        <v>857</v>
      </c>
      <c r="S41" s="221"/>
      <c r="T41" s="221" t="s">
        <v>1278</v>
      </c>
      <c r="U41" s="222"/>
    </row>
    <row r="42" spans="1:21" s="227" customFormat="1" ht="25">
      <c r="A42" s="214" t="s">
        <v>2310</v>
      </c>
      <c r="B42" s="214">
        <v>2021</v>
      </c>
      <c r="C42" s="214" t="s">
        <v>2311</v>
      </c>
      <c r="D42" s="214" t="s">
        <v>811</v>
      </c>
      <c r="E42" s="214" t="s">
        <v>810</v>
      </c>
      <c r="F42" s="214">
        <v>1</v>
      </c>
      <c r="G42" s="215">
        <v>5.8</v>
      </c>
      <c r="H42" s="214" t="s">
        <v>2118</v>
      </c>
      <c r="I42" s="214" t="s">
        <v>1898</v>
      </c>
      <c r="J42" s="214">
        <v>2021</v>
      </c>
      <c r="K42" s="214" t="s">
        <v>2114</v>
      </c>
      <c r="L42" s="224" t="s">
        <v>2312</v>
      </c>
      <c r="M42" s="225" t="s">
        <v>2313</v>
      </c>
      <c r="N42" s="225" t="s">
        <v>2314</v>
      </c>
      <c r="O42" s="214"/>
      <c r="P42" s="217" t="s">
        <v>2291</v>
      </c>
      <c r="Q42" s="217" t="s">
        <v>2315</v>
      </c>
      <c r="R42" s="217" t="s">
        <v>857</v>
      </c>
      <c r="S42" s="217"/>
      <c r="T42" s="217" t="s">
        <v>1278</v>
      </c>
      <c r="U42" s="226"/>
    </row>
    <row r="43" spans="1:21" s="227" customFormat="1" ht="50">
      <c r="A43" s="214" t="s">
        <v>2316</v>
      </c>
      <c r="B43" s="214">
        <v>2021</v>
      </c>
      <c r="C43" s="214" t="s">
        <v>2286</v>
      </c>
      <c r="D43" s="214" t="s">
        <v>2287</v>
      </c>
      <c r="E43" s="214" t="s">
        <v>810</v>
      </c>
      <c r="F43" s="214">
        <v>3</v>
      </c>
      <c r="G43" s="215">
        <v>32.520000000000003</v>
      </c>
      <c r="H43" s="214" t="s">
        <v>2118</v>
      </c>
      <c r="I43" s="214" t="s">
        <v>1898</v>
      </c>
      <c r="J43" s="214">
        <v>2021</v>
      </c>
      <c r="K43" s="214" t="s">
        <v>2114</v>
      </c>
      <c r="L43" s="224" t="s">
        <v>2312</v>
      </c>
      <c r="M43" s="216" t="s">
        <v>2289</v>
      </c>
      <c r="N43" s="216" t="s">
        <v>2290</v>
      </c>
      <c r="O43" s="214"/>
      <c r="P43" s="217" t="s">
        <v>2317</v>
      </c>
      <c r="Q43" s="217" t="s">
        <v>2315</v>
      </c>
      <c r="R43" s="217" t="s">
        <v>857</v>
      </c>
      <c r="S43" s="217"/>
      <c r="T43" s="217" t="s">
        <v>1278</v>
      </c>
      <c r="U43" s="226"/>
    </row>
    <row r="44" spans="1:21" s="227" customFormat="1" ht="25">
      <c r="A44" s="214" t="s">
        <v>2318</v>
      </c>
      <c r="B44" s="214">
        <v>2021</v>
      </c>
      <c r="C44" s="214" t="s">
        <v>2319</v>
      </c>
      <c r="D44" s="214" t="s">
        <v>2320</v>
      </c>
      <c r="E44" s="214" t="s">
        <v>99</v>
      </c>
      <c r="F44" s="214">
        <v>3</v>
      </c>
      <c r="G44" s="215">
        <v>13.9</v>
      </c>
      <c r="H44" s="214" t="s">
        <v>2118</v>
      </c>
      <c r="I44" s="214" t="s">
        <v>1898</v>
      </c>
      <c r="J44" s="214">
        <v>2021</v>
      </c>
      <c r="K44" s="214" t="s">
        <v>2114</v>
      </c>
      <c r="L44" s="224" t="s">
        <v>2312</v>
      </c>
      <c r="M44" s="225" t="s">
        <v>2321</v>
      </c>
      <c r="N44" s="225" t="s">
        <v>2322</v>
      </c>
      <c r="O44" s="214"/>
      <c r="P44" s="217" t="s">
        <v>2291</v>
      </c>
      <c r="Q44" s="217" t="s">
        <v>2315</v>
      </c>
      <c r="R44" s="217" t="s">
        <v>857</v>
      </c>
      <c r="S44" s="217"/>
      <c r="T44" s="217" t="s">
        <v>1278</v>
      </c>
      <c r="U44" s="226"/>
    </row>
    <row r="45" spans="1:21" s="227" customFormat="1" ht="25">
      <c r="A45" s="214" t="s">
        <v>2323</v>
      </c>
      <c r="B45" s="214">
        <v>2021</v>
      </c>
      <c r="C45" s="214" t="s">
        <v>2324</v>
      </c>
      <c r="D45" s="214" t="s">
        <v>122</v>
      </c>
      <c r="E45" s="214" t="s">
        <v>81</v>
      </c>
      <c r="F45" s="214">
        <v>3</v>
      </c>
      <c r="G45" s="215">
        <v>17.14</v>
      </c>
      <c r="H45" s="214" t="s">
        <v>2118</v>
      </c>
      <c r="I45" s="214" t="s">
        <v>1898</v>
      </c>
      <c r="J45" s="214">
        <v>2021</v>
      </c>
      <c r="K45" s="214" t="s">
        <v>2114</v>
      </c>
      <c r="L45" s="224" t="s">
        <v>2312</v>
      </c>
      <c r="M45" s="225" t="s">
        <v>2325</v>
      </c>
      <c r="N45" s="225" t="s">
        <v>2326</v>
      </c>
      <c r="O45" s="214"/>
      <c r="P45" s="217" t="s">
        <v>2291</v>
      </c>
      <c r="Q45" s="217" t="s">
        <v>2315</v>
      </c>
      <c r="R45" s="217" t="s">
        <v>857</v>
      </c>
      <c r="S45" s="217"/>
      <c r="T45" s="217" t="s">
        <v>1278</v>
      </c>
      <c r="U45" s="226"/>
    </row>
    <row r="46" spans="1:21" s="227" customFormat="1" ht="50">
      <c r="A46" s="214" t="s">
        <v>2327</v>
      </c>
      <c r="B46" s="214">
        <v>2021</v>
      </c>
      <c r="C46" s="214" t="s">
        <v>2170</v>
      </c>
      <c r="D46" s="214" t="s">
        <v>2134</v>
      </c>
      <c r="E46" s="214" t="s">
        <v>810</v>
      </c>
      <c r="F46" s="214">
        <v>5</v>
      </c>
      <c r="G46" s="215">
        <v>50.92</v>
      </c>
      <c r="H46" s="214" t="s">
        <v>2118</v>
      </c>
      <c r="I46" s="214" t="s">
        <v>1898</v>
      </c>
      <c r="J46" s="214">
        <v>2021</v>
      </c>
      <c r="K46" s="214" t="s">
        <v>2114</v>
      </c>
      <c r="L46" s="224" t="s">
        <v>2312</v>
      </c>
      <c r="M46" s="216" t="s">
        <v>2279</v>
      </c>
      <c r="N46" s="216" t="s">
        <v>2280</v>
      </c>
      <c r="O46" s="214"/>
      <c r="P46" s="217" t="s">
        <v>2328</v>
      </c>
      <c r="Q46" s="217" t="s">
        <v>2315</v>
      </c>
      <c r="R46" s="217" t="s">
        <v>857</v>
      </c>
      <c r="S46" s="217"/>
      <c r="T46" s="217" t="s">
        <v>1278</v>
      </c>
      <c r="U46" s="226"/>
    </row>
    <row r="47" spans="1:21" s="227" customFormat="1" ht="37.5">
      <c r="A47" s="214" t="s">
        <v>2329</v>
      </c>
      <c r="B47" s="214">
        <v>2021</v>
      </c>
      <c r="C47" s="214" t="s">
        <v>2295</v>
      </c>
      <c r="D47" s="214" t="s">
        <v>2296</v>
      </c>
      <c r="E47" s="214" t="s">
        <v>810</v>
      </c>
      <c r="F47" s="214">
        <v>1</v>
      </c>
      <c r="G47" s="215">
        <v>3.94</v>
      </c>
      <c r="H47" s="214" t="s">
        <v>2118</v>
      </c>
      <c r="I47" s="214" t="s">
        <v>2300</v>
      </c>
      <c r="J47" s="214">
        <v>2021</v>
      </c>
      <c r="K47" s="214" t="s">
        <v>2114</v>
      </c>
      <c r="L47" s="224" t="s">
        <v>2312</v>
      </c>
      <c r="M47" s="216" t="s">
        <v>2297</v>
      </c>
      <c r="N47" s="216" t="s">
        <v>2298</v>
      </c>
      <c r="O47" s="214"/>
      <c r="P47" s="217" t="s">
        <v>2301</v>
      </c>
      <c r="Q47" s="217" t="s">
        <v>2315</v>
      </c>
      <c r="R47" s="217" t="s">
        <v>857</v>
      </c>
      <c r="S47" s="217"/>
      <c r="T47" s="217" t="s">
        <v>1278</v>
      </c>
      <c r="U47" s="226"/>
    </row>
    <row r="48" spans="1:21" s="227" customFormat="1" ht="25">
      <c r="A48" s="214" t="s">
        <v>2330</v>
      </c>
      <c r="B48" s="214">
        <v>2021</v>
      </c>
      <c r="C48" s="214" t="s">
        <v>2168</v>
      </c>
      <c r="D48" s="214" t="s">
        <v>2167</v>
      </c>
      <c r="E48" s="214" t="s">
        <v>860</v>
      </c>
      <c r="F48" s="214">
        <v>6</v>
      </c>
      <c r="G48" s="215">
        <v>18.13</v>
      </c>
      <c r="H48" s="214" t="s">
        <v>2118</v>
      </c>
      <c r="I48" s="214" t="s">
        <v>1190</v>
      </c>
      <c r="J48" s="214">
        <v>2021</v>
      </c>
      <c r="K48" s="214" t="s">
        <v>2114</v>
      </c>
      <c r="L48" s="224" t="s">
        <v>2312</v>
      </c>
      <c r="M48" s="216" t="s">
        <v>2282</v>
      </c>
      <c r="N48" s="216" t="s">
        <v>2283</v>
      </c>
      <c r="O48" s="214"/>
      <c r="P48" s="217" t="s">
        <v>2331</v>
      </c>
      <c r="Q48" s="217" t="s">
        <v>2315</v>
      </c>
      <c r="R48" s="217" t="s">
        <v>857</v>
      </c>
      <c r="S48" s="217"/>
      <c r="T48" s="217" t="s">
        <v>1278</v>
      </c>
      <c r="U48" s="226"/>
    </row>
    <row r="49" spans="1:21" s="227" customFormat="1" ht="25">
      <c r="A49" s="214" t="s">
        <v>2332</v>
      </c>
      <c r="B49" s="214">
        <v>2021</v>
      </c>
      <c r="C49" s="214" t="s">
        <v>2303</v>
      </c>
      <c r="D49" s="214" t="s">
        <v>838</v>
      </c>
      <c r="E49" s="214" t="s">
        <v>810</v>
      </c>
      <c r="F49" s="214">
        <v>1</v>
      </c>
      <c r="G49" s="215">
        <v>7.74</v>
      </c>
      <c r="H49" s="214" t="s">
        <v>2118</v>
      </c>
      <c r="I49" s="214" t="s">
        <v>1190</v>
      </c>
      <c r="J49" s="214">
        <v>2021</v>
      </c>
      <c r="K49" s="214" t="s">
        <v>2114</v>
      </c>
      <c r="L49" s="224" t="s">
        <v>2312</v>
      </c>
      <c r="M49" s="216" t="s">
        <v>2304</v>
      </c>
      <c r="N49" s="216" t="s">
        <v>2305</v>
      </c>
      <c r="O49" s="214"/>
      <c r="P49" s="217" t="s">
        <v>2331</v>
      </c>
      <c r="Q49" s="217" t="s">
        <v>2315</v>
      </c>
      <c r="R49" s="217" t="s">
        <v>857</v>
      </c>
      <c r="S49" s="217"/>
      <c r="T49" s="217" t="s">
        <v>1278</v>
      </c>
      <c r="U49" s="226"/>
    </row>
    <row r="50" spans="1:21" s="223" customFormat="1" ht="25">
      <c r="A50" s="218" t="s">
        <v>2285</v>
      </c>
      <c r="B50" s="218">
        <v>2022</v>
      </c>
      <c r="C50" s="218" t="s">
        <v>2286</v>
      </c>
      <c r="D50" s="218" t="s">
        <v>2287</v>
      </c>
      <c r="E50" s="218" t="s">
        <v>810</v>
      </c>
      <c r="F50" s="218">
        <v>1</v>
      </c>
      <c r="G50" s="219">
        <v>12.5</v>
      </c>
      <c r="H50" s="218" t="s">
        <v>2118</v>
      </c>
      <c r="I50" s="218" t="s">
        <v>1898</v>
      </c>
      <c r="J50" s="218">
        <v>2022</v>
      </c>
      <c r="K50" s="218" t="s">
        <v>2114</v>
      </c>
      <c r="L50" s="218" t="s">
        <v>2288</v>
      </c>
      <c r="M50" s="220" t="s">
        <v>2289</v>
      </c>
      <c r="N50" s="220" t="s">
        <v>2290</v>
      </c>
      <c r="O50" s="218"/>
      <c r="P50" s="221" t="s">
        <v>2291</v>
      </c>
      <c r="Q50" s="221" t="s">
        <v>1278</v>
      </c>
      <c r="R50" s="221" t="s">
        <v>857</v>
      </c>
      <c r="S50" s="221"/>
      <c r="T50" s="221" t="s">
        <v>1278</v>
      </c>
      <c r="U50" s="222"/>
    </row>
    <row r="51" spans="1:21" s="223" customFormat="1" ht="50">
      <c r="A51" s="218" t="s">
        <v>2292</v>
      </c>
      <c r="B51" s="218">
        <v>2022</v>
      </c>
      <c r="C51" s="218" t="s">
        <v>2170</v>
      </c>
      <c r="D51" s="218" t="s">
        <v>2134</v>
      </c>
      <c r="E51" s="218" t="s">
        <v>810</v>
      </c>
      <c r="F51" s="218">
        <v>3</v>
      </c>
      <c r="G51" s="219">
        <v>32.090000000000003</v>
      </c>
      <c r="H51" s="218" t="s">
        <v>2118</v>
      </c>
      <c r="I51" s="218" t="s">
        <v>1898</v>
      </c>
      <c r="J51" s="218">
        <v>2022</v>
      </c>
      <c r="K51" s="218" t="s">
        <v>2114</v>
      </c>
      <c r="L51" s="218" t="s">
        <v>2288</v>
      </c>
      <c r="M51" s="220" t="s">
        <v>2279</v>
      </c>
      <c r="N51" s="220" t="s">
        <v>2280</v>
      </c>
      <c r="O51" s="218"/>
      <c r="P51" s="221" t="s">
        <v>2293</v>
      </c>
      <c r="Q51" s="221" t="s">
        <v>1278</v>
      </c>
      <c r="R51" s="221" t="s">
        <v>857</v>
      </c>
      <c r="S51" s="221"/>
      <c r="T51" s="221" t="s">
        <v>1278</v>
      </c>
      <c r="U51" s="222"/>
    </row>
    <row r="52" spans="1:21" s="223" customFormat="1" ht="25">
      <c r="A52" s="218" t="s">
        <v>2294</v>
      </c>
      <c r="B52" s="218">
        <v>2022</v>
      </c>
      <c r="C52" s="218" t="s">
        <v>2295</v>
      </c>
      <c r="D52" s="218" t="s">
        <v>2296</v>
      </c>
      <c r="E52" s="218" t="s">
        <v>810</v>
      </c>
      <c r="F52" s="218">
        <v>1</v>
      </c>
      <c r="G52" s="219">
        <v>3.94</v>
      </c>
      <c r="H52" s="218" t="s">
        <v>2118</v>
      </c>
      <c r="I52" s="218" t="s">
        <v>1898</v>
      </c>
      <c r="J52" s="218">
        <v>2022</v>
      </c>
      <c r="K52" s="218" t="s">
        <v>2114</v>
      </c>
      <c r="L52" s="218" t="s">
        <v>2288</v>
      </c>
      <c r="M52" s="220" t="s">
        <v>2297</v>
      </c>
      <c r="N52" s="220" t="s">
        <v>2298</v>
      </c>
      <c r="O52" s="218"/>
      <c r="P52" s="221" t="s">
        <v>2291</v>
      </c>
      <c r="Q52" s="221" t="s">
        <v>1278</v>
      </c>
      <c r="R52" s="221" t="s">
        <v>857</v>
      </c>
      <c r="S52" s="221"/>
      <c r="T52" s="221" t="s">
        <v>1278</v>
      </c>
      <c r="U52" s="222"/>
    </row>
    <row r="53" spans="1:21" s="223" customFormat="1" ht="37.5">
      <c r="A53" s="218" t="s">
        <v>2299</v>
      </c>
      <c r="B53" s="218">
        <v>2022</v>
      </c>
      <c r="C53" s="218" t="s">
        <v>2168</v>
      </c>
      <c r="D53" s="218" t="s">
        <v>2167</v>
      </c>
      <c r="E53" s="218" t="s">
        <v>860</v>
      </c>
      <c r="F53" s="218">
        <v>6</v>
      </c>
      <c r="G53" s="219">
        <v>18.13</v>
      </c>
      <c r="H53" s="218" t="s">
        <v>2118</v>
      </c>
      <c r="I53" s="218" t="s">
        <v>2300</v>
      </c>
      <c r="J53" s="218">
        <v>2022</v>
      </c>
      <c r="K53" s="218" t="s">
        <v>2114</v>
      </c>
      <c r="L53" s="218" t="s">
        <v>2288</v>
      </c>
      <c r="M53" s="220" t="s">
        <v>2282</v>
      </c>
      <c r="N53" s="220" t="s">
        <v>2283</v>
      </c>
      <c r="O53" s="218"/>
      <c r="P53" s="221" t="s">
        <v>2301</v>
      </c>
      <c r="Q53" s="221" t="s">
        <v>1278</v>
      </c>
      <c r="R53" s="221" t="s">
        <v>857</v>
      </c>
      <c r="S53" s="221"/>
      <c r="T53" s="221" t="s">
        <v>1278</v>
      </c>
      <c r="U53" s="222"/>
    </row>
    <row r="54" spans="1:21" s="223" customFormat="1" ht="25">
      <c r="A54" s="218" t="s">
        <v>2302</v>
      </c>
      <c r="B54" s="218">
        <v>2022</v>
      </c>
      <c r="C54" s="218" t="s">
        <v>2303</v>
      </c>
      <c r="D54" s="218" t="s">
        <v>838</v>
      </c>
      <c r="E54" s="218" t="s">
        <v>810</v>
      </c>
      <c r="F54" s="218">
        <v>1</v>
      </c>
      <c r="G54" s="219">
        <v>7.74</v>
      </c>
      <c r="H54" s="218" t="s">
        <v>2118</v>
      </c>
      <c r="I54" s="218" t="s">
        <v>1898</v>
      </c>
      <c r="J54" s="218">
        <v>2022</v>
      </c>
      <c r="K54" s="218" t="s">
        <v>2114</v>
      </c>
      <c r="L54" s="218" t="s">
        <v>2288</v>
      </c>
      <c r="M54" s="220" t="s">
        <v>2304</v>
      </c>
      <c r="N54" s="220" t="s">
        <v>2305</v>
      </c>
      <c r="O54" s="218"/>
      <c r="P54" s="221" t="s">
        <v>2291</v>
      </c>
      <c r="Q54" s="221" t="s">
        <v>1278</v>
      </c>
      <c r="R54" s="221" t="s">
        <v>857</v>
      </c>
      <c r="S54" s="221"/>
      <c r="T54" s="221" t="s">
        <v>1278</v>
      </c>
      <c r="U54" s="222"/>
    </row>
    <row r="55" spans="1:21" s="223" customFormat="1" ht="25">
      <c r="A55" s="218" t="s">
        <v>2306</v>
      </c>
      <c r="B55" s="218">
        <v>2022</v>
      </c>
      <c r="C55" s="218" t="s">
        <v>2307</v>
      </c>
      <c r="D55" s="218" t="s">
        <v>91</v>
      </c>
      <c r="E55" s="218" t="s">
        <v>60</v>
      </c>
      <c r="F55" s="218">
        <v>2</v>
      </c>
      <c r="G55" s="219">
        <v>10.9</v>
      </c>
      <c r="H55" s="218" t="s">
        <v>2118</v>
      </c>
      <c r="I55" s="218" t="s">
        <v>1898</v>
      </c>
      <c r="J55" s="218">
        <v>2022</v>
      </c>
      <c r="K55" s="218" t="s">
        <v>2114</v>
      </c>
      <c r="L55" s="218" t="s">
        <v>2288</v>
      </c>
      <c r="M55" s="220" t="s">
        <v>2308</v>
      </c>
      <c r="N55" s="220" t="s">
        <v>2309</v>
      </c>
      <c r="O55" s="218"/>
      <c r="P55" s="221" t="s">
        <v>2291</v>
      </c>
      <c r="Q55" s="221" t="s">
        <v>1278</v>
      </c>
      <c r="R55" s="221" t="s">
        <v>857</v>
      </c>
      <c r="S55" s="221"/>
      <c r="T55" s="221" t="s">
        <v>1278</v>
      </c>
      <c r="U55" s="222"/>
    </row>
    <row r="56" spans="1:21" ht="50">
      <c r="A56" s="214" t="s">
        <v>2171</v>
      </c>
      <c r="B56" s="214">
        <v>2024</v>
      </c>
      <c r="C56" s="214" t="s">
        <v>2170</v>
      </c>
      <c r="D56" s="214" t="s">
        <v>2134</v>
      </c>
      <c r="E56" s="214" t="s">
        <v>810</v>
      </c>
      <c r="F56" s="214">
        <v>1</v>
      </c>
      <c r="G56" s="215">
        <v>8.8000000000000007</v>
      </c>
      <c r="H56" s="214" t="s">
        <v>2166</v>
      </c>
      <c r="I56" s="214" t="s">
        <v>1190</v>
      </c>
      <c r="J56" s="214">
        <v>2024</v>
      </c>
      <c r="K56" s="214" t="s">
        <v>2114</v>
      </c>
      <c r="L56" s="214"/>
      <c r="M56" s="216" t="s">
        <v>2279</v>
      </c>
      <c r="N56" s="216" t="s">
        <v>2280</v>
      </c>
      <c r="O56" s="224" t="s">
        <v>2423</v>
      </c>
      <c r="P56" s="217" t="s">
        <v>2281</v>
      </c>
      <c r="Q56" s="217" t="s">
        <v>1278</v>
      </c>
      <c r="R56" s="217" t="s">
        <v>857</v>
      </c>
      <c r="S56" s="217"/>
      <c r="T56" s="217" t="s">
        <v>1278</v>
      </c>
    </row>
    <row r="57" spans="1:21" ht="25">
      <c r="A57" s="214" t="s">
        <v>2169</v>
      </c>
      <c r="B57" s="214">
        <v>2024</v>
      </c>
      <c r="C57" s="214" t="s">
        <v>2168</v>
      </c>
      <c r="D57" s="214" t="s">
        <v>2167</v>
      </c>
      <c r="E57" s="214" t="s">
        <v>860</v>
      </c>
      <c r="F57" s="214">
        <v>6</v>
      </c>
      <c r="G57" s="215">
        <v>15.28</v>
      </c>
      <c r="H57" s="214" t="s">
        <v>2166</v>
      </c>
      <c r="I57" s="214" t="s">
        <v>1190</v>
      </c>
      <c r="J57" s="214">
        <v>2024</v>
      </c>
      <c r="K57" s="214" t="s">
        <v>2114</v>
      </c>
      <c r="L57" s="214"/>
      <c r="M57" s="216" t="s">
        <v>2282</v>
      </c>
      <c r="N57" s="216" t="s">
        <v>2283</v>
      </c>
      <c r="O57" s="214"/>
      <c r="P57" s="217" t="s">
        <v>2284</v>
      </c>
      <c r="Q57" s="217" t="s">
        <v>1278</v>
      </c>
      <c r="R57" s="217" t="s">
        <v>857</v>
      </c>
      <c r="S57" s="217"/>
      <c r="T57" s="217" t="s">
        <v>1278</v>
      </c>
    </row>
    <row r="58" spans="1:21">
      <c r="A58" s="150"/>
      <c r="B58" s="149"/>
      <c r="C58" s="149"/>
      <c r="D58" s="149"/>
      <c r="E58" s="149"/>
      <c r="F58" s="149"/>
      <c r="G58" s="171"/>
      <c r="H58" s="149"/>
      <c r="I58" s="149"/>
      <c r="J58" s="149"/>
      <c r="K58" s="149"/>
      <c r="L58" s="149"/>
      <c r="M58" s="177"/>
      <c r="N58" s="177"/>
      <c r="O58" s="149"/>
      <c r="P58" s="147"/>
      <c r="Q58" s="147"/>
      <c r="R58" s="147"/>
      <c r="S58" s="147"/>
      <c r="T58" s="146"/>
    </row>
    <row r="59" spans="1:21">
      <c r="M59" s="176"/>
      <c r="N59" s="176"/>
    </row>
    <row r="60" spans="1:21">
      <c r="B60" s="232" t="s">
        <v>2165</v>
      </c>
      <c r="C60" s="232"/>
      <c r="D60" s="232"/>
      <c r="E60" s="232"/>
      <c r="F60" s="232"/>
      <c r="G60" s="169" t="s">
        <v>2107</v>
      </c>
      <c r="M60" s="176"/>
      <c r="N60" s="176"/>
    </row>
    <row r="61" spans="1:21">
      <c r="B61" s="213" t="s">
        <v>2164</v>
      </c>
      <c r="C61" s="213"/>
      <c r="D61" s="213"/>
      <c r="E61" s="213"/>
      <c r="F61" s="213"/>
      <c r="G61" s="168">
        <f>COUNTA(A6:A58)</f>
        <v>52</v>
      </c>
      <c r="M61" s="176"/>
      <c r="N61" s="176"/>
    </row>
    <row r="62" spans="1:21">
      <c r="B62" s="204" t="s">
        <v>2163</v>
      </c>
      <c r="C62" s="204"/>
      <c r="D62" s="204"/>
      <c r="E62" s="204"/>
      <c r="F62" s="204"/>
      <c r="G62" s="142">
        <f>SUM(F6:F58)</f>
        <v>192</v>
      </c>
      <c r="M62" s="176"/>
      <c r="N62" s="176"/>
    </row>
    <row r="63" spans="1:21">
      <c r="B63" s="204" t="s">
        <v>2162</v>
      </c>
      <c r="C63" s="204"/>
      <c r="D63" s="204"/>
      <c r="E63" s="204"/>
      <c r="F63" s="204"/>
      <c r="G63" s="166">
        <f>SUM(G6:G58)</f>
        <v>791.96</v>
      </c>
      <c r="M63" s="176"/>
      <c r="N63" s="176"/>
    </row>
    <row r="64" spans="1:21">
      <c r="B64" s="211" t="s">
        <v>2161</v>
      </c>
      <c r="C64" s="211"/>
      <c r="D64" s="211"/>
      <c r="E64" s="211"/>
      <c r="F64" s="211"/>
      <c r="G64" s="165">
        <f>COUNTIFS(M6:M58,"&lt;&gt;",N6:N58,"&lt;&gt;")</f>
        <v>52</v>
      </c>
      <c r="M64" s="176"/>
      <c r="N64" s="176"/>
    </row>
    <row r="65" spans="13:14">
      <c r="M65" s="176"/>
      <c r="N65" s="176"/>
    </row>
    <row r="66" spans="13:14">
      <c r="M66" s="176"/>
      <c r="N66" s="176"/>
    </row>
    <row r="67" spans="13:14">
      <c r="M67" s="176"/>
      <c r="N67" s="176"/>
    </row>
    <row r="68" spans="13:14">
      <c r="M68" s="176"/>
      <c r="N68" s="176"/>
    </row>
    <row r="69" spans="13:14">
      <c r="M69" s="176"/>
      <c r="N69" s="176"/>
    </row>
    <row r="70" spans="13:14">
      <c r="M70" s="176"/>
      <c r="N70" s="176"/>
    </row>
    <row r="71" spans="13:14">
      <c r="M71" s="176"/>
      <c r="N71" s="176"/>
    </row>
    <row r="72" spans="13:14">
      <c r="M72" s="176"/>
      <c r="N72" s="176"/>
    </row>
    <row r="73" spans="13:14">
      <c r="M73" s="176"/>
      <c r="N73" s="176"/>
    </row>
    <row r="74" spans="13:14">
      <c r="M74" s="176"/>
      <c r="N74" s="176"/>
    </row>
    <row r="75" spans="13:14">
      <c r="M75" s="176"/>
      <c r="N75" s="176"/>
    </row>
    <row r="76" spans="13:14">
      <c r="M76" s="176"/>
      <c r="N76" s="176"/>
    </row>
    <row r="77" spans="13:14">
      <c r="M77" s="176"/>
      <c r="N77" s="176"/>
    </row>
    <row r="78" spans="13:14">
      <c r="M78" s="176"/>
      <c r="N78" s="176"/>
    </row>
    <row r="79" spans="13:14">
      <c r="M79" s="176"/>
      <c r="N79" s="176"/>
    </row>
    <row r="80" spans="13:14">
      <c r="M80" s="176"/>
      <c r="N80" s="176"/>
    </row>
    <row r="81" spans="13:14">
      <c r="M81" s="176"/>
      <c r="N81" s="176"/>
    </row>
    <row r="82" spans="13:14">
      <c r="M82" s="176"/>
      <c r="N82" s="176"/>
    </row>
    <row r="83" spans="13:14">
      <c r="M83" s="176"/>
      <c r="N83" s="176"/>
    </row>
    <row r="84" spans="13:14">
      <c r="M84" s="176"/>
      <c r="N84" s="176"/>
    </row>
    <row r="85" spans="13:14">
      <c r="M85" s="176"/>
      <c r="N85" s="176"/>
    </row>
    <row r="86" spans="13:14">
      <c r="M86" s="176"/>
      <c r="N86" s="176"/>
    </row>
    <row r="87" spans="13:14">
      <c r="M87" s="176"/>
      <c r="N87" s="176"/>
    </row>
    <row r="88" spans="13:14">
      <c r="M88" s="176"/>
      <c r="N88" s="176"/>
    </row>
    <row r="89" spans="13:14">
      <c r="M89" s="176"/>
      <c r="N89" s="176"/>
    </row>
    <row r="90" spans="13:14">
      <c r="M90" s="176"/>
      <c r="N90" s="176"/>
    </row>
    <row r="91" spans="13:14">
      <c r="M91" s="176"/>
      <c r="N91" s="176"/>
    </row>
    <row r="92" spans="13:14">
      <c r="M92" s="176"/>
      <c r="N92" s="176"/>
    </row>
    <row r="93" spans="13:14">
      <c r="M93" s="176"/>
      <c r="N93" s="176"/>
    </row>
    <row r="94" spans="13:14">
      <c r="M94" s="176"/>
      <c r="N94" s="176"/>
    </row>
    <row r="95" spans="13:14">
      <c r="M95" s="176"/>
      <c r="N95" s="176"/>
    </row>
    <row r="96" spans="13:14">
      <c r="M96" s="176"/>
      <c r="N96" s="176"/>
    </row>
    <row r="97" spans="13:14">
      <c r="M97" s="176"/>
      <c r="N97" s="176"/>
    </row>
    <row r="98" spans="13:14">
      <c r="M98" s="176"/>
      <c r="N98" s="176"/>
    </row>
    <row r="99" spans="13:14">
      <c r="M99" s="176"/>
      <c r="N99" s="176"/>
    </row>
    <row r="100" spans="13:14">
      <c r="M100" s="176"/>
      <c r="N100" s="176"/>
    </row>
    <row r="101" spans="13:14">
      <c r="M101" s="176"/>
      <c r="N101" s="176"/>
    </row>
    <row r="102" spans="13:14">
      <c r="M102" s="176"/>
      <c r="N102" s="176"/>
    </row>
    <row r="103" spans="13:14">
      <c r="M103" s="176"/>
      <c r="N103" s="176"/>
    </row>
    <row r="104" spans="13:14">
      <c r="M104" s="176"/>
      <c r="N104" s="176"/>
    </row>
    <row r="105" spans="13:14">
      <c r="M105" s="176"/>
      <c r="N105" s="176"/>
    </row>
    <row r="106" spans="13:14">
      <c r="M106" s="176"/>
      <c r="N106" s="176"/>
    </row>
    <row r="107" spans="13:14">
      <c r="M107" s="176"/>
      <c r="N107" s="176"/>
    </row>
    <row r="108" spans="13:14">
      <c r="M108" s="176"/>
      <c r="N108" s="176"/>
    </row>
    <row r="109" spans="13:14">
      <c r="M109" s="176"/>
      <c r="N109" s="176"/>
    </row>
    <row r="110" spans="13:14">
      <c r="M110" s="176"/>
      <c r="N110" s="176"/>
    </row>
    <row r="111" spans="13:14">
      <c r="M111" s="176"/>
      <c r="N111" s="176"/>
    </row>
    <row r="112" spans="13:14">
      <c r="M112" s="176"/>
      <c r="N112" s="176"/>
    </row>
    <row r="113" spans="13:14">
      <c r="M113" s="176"/>
      <c r="N113" s="176"/>
    </row>
    <row r="114" spans="13:14">
      <c r="M114" s="176"/>
      <c r="N114" s="176"/>
    </row>
    <row r="115" spans="13:14">
      <c r="M115" s="176"/>
      <c r="N115" s="176"/>
    </row>
    <row r="116" spans="13:14">
      <c r="M116" s="176"/>
      <c r="N116" s="176"/>
    </row>
    <row r="117" spans="13:14">
      <c r="M117" s="176"/>
      <c r="N117" s="176"/>
    </row>
    <row r="118" spans="13:14">
      <c r="M118" s="176"/>
      <c r="N118" s="176"/>
    </row>
    <row r="119" spans="13:14">
      <c r="M119" s="176"/>
      <c r="N119" s="176"/>
    </row>
    <row r="120" spans="13:14">
      <c r="M120" s="176"/>
      <c r="N120" s="176"/>
    </row>
    <row r="121" spans="13:14">
      <c r="M121" s="176"/>
      <c r="N121" s="176"/>
    </row>
    <row r="122" spans="13:14">
      <c r="M122" s="176"/>
      <c r="N122" s="176"/>
    </row>
    <row r="123" spans="13:14">
      <c r="M123" s="176"/>
      <c r="N123" s="176"/>
    </row>
    <row r="124" spans="13:14">
      <c r="M124" s="176"/>
      <c r="N124" s="176"/>
    </row>
    <row r="125" spans="13:14">
      <c r="M125" s="176"/>
      <c r="N125" s="176"/>
    </row>
    <row r="126" spans="13:14">
      <c r="M126" s="176"/>
      <c r="N126" s="176"/>
    </row>
    <row r="127" spans="13:14">
      <c r="M127" s="176"/>
      <c r="N127" s="176"/>
    </row>
    <row r="128" spans="13:14">
      <c r="M128" s="176"/>
      <c r="N128" s="176"/>
    </row>
    <row r="129" spans="13:14">
      <c r="M129" s="176"/>
      <c r="N129" s="176"/>
    </row>
    <row r="130" spans="13:14">
      <c r="M130" s="176"/>
      <c r="N130" s="176"/>
    </row>
    <row r="131" spans="13:14">
      <c r="M131" s="176"/>
      <c r="N131" s="176"/>
    </row>
    <row r="132" spans="13:14">
      <c r="M132" s="176"/>
      <c r="N132" s="176"/>
    </row>
    <row r="133" spans="13:14">
      <c r="M133" s="176"/>
      <c r="N133" s="176"/>
    </row>
    <row r="134" spans="13:14">
      <c r="M134" s="176"/>
      <c r="N134" s="176"/>
    </row>
    <row r="135" spans="13:14">
      <c r="M135" s="176"/>
      <c r="N135" s="176"/>
    </row>
    <row r="136" spans="13:14">
      <c r="M136" s="176"/>
      <c r="N136" s="176"/>
    </row>
    <row r="137" spans="13:14">
      <c r="M137" s="176"/>
      <c r="N137" s="176"/>
    </row>
    <row r="138" spans="13:14">
      <c r="M138" s="176"/>
      <c r="N138" s="176"/>
    </row>
    <row r="139" spans="13:14">
      <c r="M139" s="176"/>
      <c r="N139" s="176"/>
    </row>
    <row r="140" spans="13:14">
      <c r="M140" s="176"/>
      <c r="N140" s="176"/>
    </row>
    <row r="141" spans="13:14">
      <c r="M141" s="176"/>
      <c r="N141" s="176"/>
    </row>
    <row r="142" spans="13:14">
      <c r="M142" s="176"/>
      <c r="N142" s="176"/>
    </row>
    <row r="143" spans="13:14">
      <c r="M143" s="176"/>
      <c r="N143" s="176"/>
    </row>
    <row r="144" spans="13:14">
      <c r="M144" s="176"/>
      <c r="N144" s="176"/>
    </row>
    <row r="145" spans="13:14">
      <c r="M145" s="176"/>
      <c r="N145" s="176"/>
    </row>
    <row r="146" spans="13:14">
      <c r="M146" s="176"/>
      <c r="N146" s="176"/>
    </row>
    <row r="147" spans="13:14">
      <c r="M147" s="176"/>
      <c r="N147" s="176"/>
    </row>
    <row r="148" spans="13:14">
      <c r="M148" s="176"/>
      <c r="N148" s="176"/>
    </row>
    <row r="149" spans="13:14">
      <c r="M149" s="176"/>
      <c r="N149" s="176"/>
    </row>
    <row r="150" spans="13:14">
      <c r="M150" s="176"/>
      <c r="N150" s="176"/>
    </row>
    <row r="151" spans="13:14">
      <c r="M151" s="176"/>
      <c r="N151" s="176"/>
    </row>
    <row r="152" spans="13:14">
      <c r="M152" s="176"/>
      <c r="N152" s="176"/>
    </row>
    <row r="153" spans="13:14">
      <c r="M153" s="176"/>
      <c r="N153" s="176"/>
    </row>
    <row r="154" spans="13:14">
      <c r="M154" s="176"/>
      <c r="N154" s="176"/>
    </row>
    <row r="155" spans="13:14">
      <c r="M155" s="176"/>
      <c r="N155" s="176"/>
    </row>
    <row r="156" spans="13:14">
      <c r="M156" s="176"/>
      <c r="N156" s="176"/>
    </row>
    <row r="157" spans="13:14">
      <c r="M157" s="176"/>
      <c r="N157" s="176"/>
    </row>
    <row r="158" spans="13:14">
      <c r="M158" s="176"/>
      <c r="N158" s="176"/>
    </row>
    <row r="159" spans="13:14">
      <c r="M159" s="176"/>
      <c r="N159" s="176"/>
    </row>
    <row r="160" spans="13:14">
      <c r="M160" s="176"/>
      <c r="N160" s="176"/>
    </row>
    <row r="161" spans="13:14">
      <c r="M161" s="176"/>
      <c r="N161" s="176"/>
    </row>
    <row r="162" spans="13:14">
      <c r="M162" s="176"/>
      <c r="N162" s="176"/>
    </row>
    <row r="163" spans="13:14">
      <c r="M163" s="176"/>
      <c r="N163" s="176"/>
    </row>
    <row r="164" spans="13:14">
      <c r="M164" s="176"/>
      <c r="N164" s="176"/>
    </row>
    <row r="165" spans="13:14">
      <c r="M165" s="176"/>
      <c r="N165" s="176"/>
    </row>
    <row r="166" spans="13:14">
      <c r="M166" s="176"/>
      <c r="N166" s="176"/>
    </row>
    <row r="167" spans="13:14">
      <c r="M167" s="176"/>
      <c r="N167" s="176"/>
    </row>
    <row r="168" spans="13:14">
      <c r="M168" s="176"/>
      <c r="N168" s="176"/>
    </row>
    <row r="169" spans="13:14">
      <c r="M169" s="176"/>
      <c r="N169" s="176"/>
    </row>
    <row r="170" spans="13:14">
      <c r="M170" s="176"/>
      <c r="N170" s="176"/>
    </row>
    <row r="171" spans="13:14">
      <c r="M171" s="176"/>
      <c r="N171" s="176"/>
    </row>
    <row r="172" spans="13:14">
      <c r="M172" s="176"/>
      <c r="N172" s="176"/>
    </row>
    <row r="173" spans="13:14">
      <c r="M173" s="176"/>
      <c r="N173" s="176"/>
    </row>
    <row r="174" spans="13:14">
      <c r="M174" s="176"/>
      <c r="N174" s="176"/>
    </row>
    <row r="175" spans="13:14">
      <c r="M175" s="176"/>
      <c r="N175" s="176"/>
    </row>
    <row r="176" spans="13:14">
      <c r="M176" s="176"/>
      <c r="N176" s="176"/>
    </row>
    <row r="177" spans="13:14">
      <c r="M177" s="176"/>
      <c r="N177" s="176"/>
    </row>
    <row r="178" spans="13:14">
      <c r="M178" s="176"/>
      <c r="N178" s="176"/>
    </row>
    <row r="179" spans="13:14">
      <c r="M179" s="176"/>
      <c r="N179" s="176"/>
    </row>
    <row r="180" spans="13:14">
      <c r="M180" s="176"/>
      <c r="N180" s="176"/>
    </row>
    <row r="181" spans="13:14">
      <c r="M181" s="176"/>
      <c r="N181" s="176"/>
    </row>
    <row r="182" spans="13:14">
      <c r="M182" s="176"/>
      <c r="N182" s="176"/>
    </row>
    <row r="183" spans="13:14">
      <c r="M183" s="176"/>
      <c r="N183" s="176"/>
    </row>
    <row r="184" spans="13:14">
      <c r="M184" s="176"/>
      <c r="N184" s="176"/>
    </row>
    <row r="185" spans="13:14">
      <c r="M185" s="176"/>
      <c r="N185" s="176"/>
    </row>
    <row r="186" spans="13:14">
      <c r="M186" s="176"/>
      <c r="N186" s="176"/>
    </row>
    <row r="187" spans="13:14">
      <c r="M187" s="176"/>
      <c r="N187" s="176"/>
    </row>
    <row r="188" spans="13:14">
      <c r="M188" s="176"/>
      <c r="N188" s="176"/>
    </row>
    <row r="189" spans="13:14">
      <c r="M189" s="176"/>
      <c r="N189" s="176"/>
    </row>
    <row r="190" spans="13:14">
      <c r="M190" s="176"/>
      <c r="N190" s="176"/>
    </row>
    <row r="191" spans="13:14">
      <c r="M191" s="176"/>
      <c r="N191" s="176"/>
    </row>
    <row r="192" spans="13:14">
      <c r="M192" s="176"/>
      <c r="N192" s="176"/>
    </row>
    <row r="193" spans="13:14">
      <c r="M193" s="176"/>
      <c r="N193" s="176"/>
    </row>
    <row r="194" spans="13:14">
      <c r="M194" s="176"/>
      <c r="N194" s="176"/>
    </row>
    <row r="195" spans="13:14">
      <c r="M195" s="176"/>
      <c r="N195" s="176"/>
    </row>
    <row r="196" spans="13:14">
      <c r="M196" s="176"/>
      <c r="N196" s="176"/>
    </row>
    <row r="197" spans="13:14">
      <c r="M197" s="176"/>
      <c r="N197" s="176"/>
    </row>
    <row r="198" spans="13:14">
      <c r="M198" s="176"/>
      <c r="N198" s="176"/>
    </row>
    <row r="199" spans="13:14">
      <c r="M199" s="176"/>
      <c r="N199" s="176"/>
    </row>
    <row r="200" spans="13:14">
      <c r="M200" s="176"/>
      <c r="N200" s="176"/>
    </row>
    <row r="201" spans="13:14">
      <c r="M201" s="176"/>
      <c r="N201" s="176"/>
    </row>
    <row r="202" spans="13:14">
      <c r="M202" s="176"/>
      <c r="N202" s="176"/>
    </row>
    <row r="203" spans="13:14">
      <c r="M203" s="176"/>
      <c r="N203" s="176"/>
    </row>
    <row r="204" spans="13:14">
      <c r="M204" s="176"/>
      <c r="N204" s="176"/>
    </row>
    <row r="205" spans="13:14">
      <c r="M205" s="176"/>
      <c r="N205" s="176"/>
    </row>
    <row r="206" spans="13:14">
      <c r="M206" s="176"/>
      <c r="N206" s="176"/>
    </row>
    <row r="207" spans="13:14">
      <c r="M207" s="176"/>
      <c r="N207" s="176"/>
    </row>
    <row r="208" spans="13:14">
      <c r="M208" s="176"/>
      <c r="N208" s="176"/>
    </row>
    <row r="209" spans="13:14">
      <c r="M209" s="176"/>
      <c r="N209" s="176"/>
    </row>
    <row r="210" spans="13:14">
      <c r="M210" s="176"/>
      <c r="N210" s="176"/>
    </row>
    <row r="211" spans="13:14">
      <c r="M211" s="176"/>
      <c r="N211" s="176"/>
    </row>
    <row r="212" spans="13:14">
      <c r="M212" s="176"/>
      <c r="N212" s="176"/>
    </row>
    <row r="213" spans="13:14">
      <c r="M213" s="176"/>
      <c r="N213" s="176"/>
    </row>
    <row r="214" spans="13:14">
      <c r="M214" s="176"/>
      <c r="N214" s="176"/>
    </row>
    <row r="215" spans="13:14">
      <c r="M215" s="176"/>
      <c r="N215" s="176"/>
    </row>
    <row r="216" spans="13:14">
      <c r="M216" s="176"/>
      <c r="N216" s="176"/>
    </row>
    <row r="217" spans="13:14">
      <c r="M217" s="176"/>
      <c r="N217" s="176"/>
    </row>
    <row r="218" spans="13:14">
      <c r="M218" s="176"/>
      <c r="N218" s="176"/>
    </row>
    <row r="219" spans="13:14">
      <c r="M219" s="176"/>
      <c r="N219" s="176"/>
    </row>
    <row r="220" spans="13:14">
      <c r="M220" s="176"/>
      <c r="N220" s="176"/>
    </row>
    <row r="221" spans="13:14">
      <c r="M221" s="176"/>
      <c r="N221" s="176"/>
    </row>
    <row r="222" spans="13:14">
      <c r="M222" s="176"/>
      <c r="N222" s="176"/>
    </row>
    <row r="223" spans="13:14">
      <c r="M223" s="176"/>
      <c r="N223" s="176"/>
    </row>
    <row r="224" spans="13:14">
      <c r="M224" s="176"/>
      <c r="N224" s="176"/>
    </row>
    <row r="225" spans="13:14">
      <c r="M225" s="176"/>
      <c r="N225" s="176"/>
    </row>
    <row r="226" spans="13:14">
      <c r="M226" s="176"/>
      <c r="N226" s="176"/>
    </row>
    <row r="227" spans="13:14">
      <c r="M227" s="176"/>
      <c r="N227" s="176"/>
    </row>
    <row r="228" spans="13:14">
      <c r="M228" s="176"/>
      <c r="N228" s="176"/>
    </row>
    <row r="229" spans="13:14">
      <c r="M229" s="176"/>
      <c r="N229" s="176"/>
    </row>
    <row r="230" spans="13:14">
      <c r="M230" s="176"/>
      <c r="N230" s="176"/>
    </row>
    <row r="231" spans="13:14">
      <c r="M231" s="176"/>
      <c r="N231" s="176"/>
    </row>
    <row r="232" spans="13:14">
      <c r="M232" s="176"/>
      <c r="N232" s="176"/>
    </row>
    <row r="233" spans="13:14">
      <c r="M233" s="176"/>
      <c r="N233" s="176"/>
    </row>
    <row r="234" spans="13:14">
      <c r="M234" s="176"/>
      <c r="N234" s="176"/>
    </row>
    <row r="235" spans="13:14">
      <c r="M235" s="176"/>
      <c r="N235" s="176"/>
    </row>
    <row r="236" spans="13:14">
      <c r="M236" s="176"/>
      <c r="N236" s="176"/>
    </row>
    <row r="237" spans="13:14">
      <c r="M237" s="176"/>
      <c r="N237" s="176"/>
    </row>
    <row r="238" spans="13:14">
      <c r="M238" s="176"/>
      <c r="N238" s="176"/>
    </row>
    <row r="239" spans="13:14">
      <c r="M239" s="176"/>
      <c r="N239" s="176"/>
    </row>
    <row r="240" spans="13:14">
      <c r="M240" s="176"/>
      <c r="N240" s="176"/>
    </row>
    <row r="241" spans="13:14">
      <c r="M241" s="176"/>
      <c r="N241" s="176"/>
    </row>
    <row r="242" spans="13:14">
      <c r="M242" s="176"/>
      <c r="N242" s="176"/>
    </row>
    <row r="243" spans="13:14">
      <c r="M243" s="176"/>
      <c r="N243" s="176"/>
    </row>
    <row r="244" spans="13:14">
      <c r="M244" s="176"/>
      <c r="N244" s="176"/>
    </row>
    <row r="245" spans="13:14">
      <c r="M245" s="176"/>
      <c r="N245" s="176"/>
    </row>
    <row r="246" spans="13:14">
      <c r="M246" s="176"/>
      <c r="N246" s="176"/>
    </row>
    <row r="247" spans="13:14">
      <c r="M247" s="176"/>
      <c r="N247" s="176"/>
    </row>
    <row r="248" spans="13:14">
      <c r="M248" s="176"/>
      <c r="N248" s="176"/>
    </row>
    <row r="249" spans="13:14">
      <c r="M249" s="176"/>
      <c r="N249" s="176"/>
    </row>
    <row r="250" spans="13:14">
      <c r="M250" s="176"/>
      <c r="N250" s="176"/>
    </row>
    <row r="251" spans="13:14">
      <c r="M251" s="176"/>
      <c r="N251" s="176"/>
    </row>
    <row r="252" spans="13:14">
      <c r="M252" s="176"/>
      <c r="N252" s="176"/>
    </row>
    <row r="253" spans="13:14">
      <c r="M253" s="176"/>
      <c r="N253" s="176"/>
    </row>
    <row r="254" spans="13:14">
      <c r="M254" s="176"/>
      <c r="N254" s="176"/>
    </row>
    <row r="255" spans="13:14">
      <c r="M255" s="176"/>
      <c r="N255" s="176"/>
    </row>
    <row r="256" spans="13:14">
      <c r="M256" s="176"/>
      <c r="N256" s="176"/>
    </row>
  </sheetData>
  <mergeCells count="8">
    <mergeCell ref="B62:F62"/>
    <mergeCell ref="B63:F63"/>
    <mergeCell ref="B64:F64"/>
    <mergeCell ref="A1:T1"/>
    <mergeCell ref="A2:T2"/>
    <mergeCell ref="A3:T3"/>
    <mergeCell ref="B60:F60"/>
    <mergeCell ref="B61:F61"/>
  </mergeCells>
  <phoneticPr fontId="17" type="noConversion"/>
  <conditionalFormatting sqref="H58:H256">
    <cfRule type="expression" dxfId="20" priority="19">
      <formula>H58="Kawasan Kumuh Tersisa"</formula>
    </cfRule>
  </conditionalFormatting>
  <conditionalFormatting sqref="I58:I256">
    <cfRule type="expression" dxfId="19" priority="20">
      <formula>I58="Dalam Penanganan"</formula>
    </cfRule>
    <cfRule type="expression" dxfId="18" priority="21">
      <formula>I58="Selesai Ditangani"</formula>
    </cfRule>
  </conditionalFormatting>
  <conditionalFormatting sqref="H6:H19">
    <cfRule type="expression" dxfId="17" priority="16">
      <formula>H6="Kawasan Kumuh Tersisa"</formula>
    </cfRule>
  </conditionalFormatting>
  <conditionalFormatting sqref="I6:I19">
    <cfRule type="expression" dxfId="16" priority="17">
      <formula>I6="Dalam Penanganan"</formula>
    </cfRule>
    <cfRule type="expression" dxfId="15" priority="18">
      <formula>I6="Selesai Ditangani"</formula>
    </cfRule>
  </conditionalFormatting>
  <conditionalFormatting sqref="H20:H33">
    <cfRule type="expression" dxfId="14" priority="13">
      <formula>H20="Kawasan Kumuh Tersisa"</formula>
    </cfRule>
  </conditionalFormatting>
  <conditionalFormatting sqref="I20:I33">
    <cfRule type="expression" dxfId="13" priority="14">
      <formula>I20="Dalam Penanganan"</formula>
    </cfRule>
    <cfRule type="expression" dxfId="12" priority="15">
      <formula>I20="Selesai Ditangani"</formula>
    </cfRule>
  </conditionalFormatting>
  <conditionalFormatting sqref="H34:H41">
    <cfRule type="expression" dxfId="11" priority="10">
      <formula>H34="Kawasan Kumuh Tersisa"</formula>
    </cfRule>
  </conditionalFormatting>
  <conditionalFormatting sqref="I34:I41">
    <cfRule type="expression" dxfId="10" priority="11">
      <formula>I34="Dalam Penanganan"</formula>
    </cfRule>
    <cfRule type="expression" dxfId="9" priority="12">
      <formula>I34="Selesai Ditangani"</formula>
    </cfRule>
  </conditionalFormatting>
  <conditionalFormatting sqref="H42:H49">
    <cfRule type="expression" dxfId="8" priority="7">
      <formula>H42="Kawasan Kumuh Tersisa"</formula>
    </cfRule>
  </conditionalFormatting>
  <conditionalFormatting sqref="I42:I49">
    <cfRule type="expression" dxfId="7" priority="8">
      <formula>I42="Dalam Penanganan"</formula>
    </cfRule>
    <cfRule type="expression" dxfId="6" priority="9">
      <formula>I42="Selesai Ditangani"</formula>
    </cfRule>
  </conditionalFormatting>
  <conditionalFormatting sqref="H50:H55">
    <cfRule type="expression" dxfId="5" priority="4">
      <formula>H50="Kawasan Kumuh Tersisa"</formula>
    </cfRule>
  </conditionalFormatting>
  <conditionalFormatting sqref="I50:I55">
    <cfRule type="expression" dxfId="4" priority="5">
      <formula>I50="Dalam Penanganan"</formula>
    </cfRule>
    <cfRule type="expression" dxfId="3" priority="6">
      <formula>I50="Selesai Ditangani"</formula>
    </cfRule>
  </conditionalFormatting>
  <conditionalFormatting sqref="H56:H57">
    <cfRule type="expression" dxfId="2" priority="1">
      <formula>H56="Kawasan Kumuh Tersisa"</formula>
    </cfRule>
  </conditionalFormatting>
  <conditionalFormatting sqref="I56:I57">
    <cfRule type="expression" dxfId="1" priority="2">
      <formula>I56="Dalam Penanganan"</formula>
    </cfRule>
    <cfRule type="expression" dxfId="0" priority="3">
      <formula>I56="Selesai Ditangani"</formula>
    </cfRule>
  </conditionalFormatting>
  <dataValidations count="3">
    <dataValidation type="list" sqref="R6:R256" xr:uid="{00000000-0002-0000-0900-000002000000}">
      <formula1>"Terverifikasi,Belum Diverifikasi,Perlu Konfirmasi Dokumen,Perlu Perbaikan"</formula1>
    </dataValidation>
    <dataValidation type="list" sqref="I6:I256" xr:uid="{00000000-0002-0000-0900-000001000000}">
      <formula1>"Belum Ditangani,Dalam Penanganan,Selesai Ditangani,Perlu Verifikasi"</formula1>
    </dataValidation>
    <dataValidation type="list" sqref="H6:H256" xr:uid="{00000000-0002-0000-0900-000000000000}">
      <formula1>"Kawasan Kumuh Tersisa,Dalam Evaluasi,Keluar dari SK,Historis"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PERUMAHAN</vt:lpstr>
      <vt:lpstr>BACKLOG_KECAMATAN</vt:lpstr>
      <vt:lpstr>RTLH_RLH_KECAMATAN</vt:lpstr>
      <vt:lpstr>RTLH_INDIVIDU</vt:lpstr>
      <vt:lpstr>RUSUNAWA_UNIT</vt:lpstr>
      <vt:lpstr>RUSUNAWA_RETRIBUSI</vt:lpstr>
      <vt:lpstr>RUSUNAWA_SARPRAS</vt:lpstr>
      <vt:lpstr>KOLABORASI_RTLH</vt:lpstr>
      <vt:lpstr>KAWASAN_KUMUH_REKAP</vt:lpstr>
      <vt:lpstr>KAWASAN_KUMUH_LOKASI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Putri Aprilyaningtias</cp:lastModifiedBy>
  <dcterms:created xsi:type="dcterms:W3CDTF">2026-07-17T09:56:51Z</dcterms:created>
  <dcterms:modified xsi:type="dcterms:W3CDTF">2026-07-23T09:01:39Z</dcterms:modified>
</cp:coreProperties>
</file>