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E976A206-A8E8-4ACD-B53E-0588B10197E8}" xr6:coauthVersionLast="47" xr6:coauthVersionMax="47" xr10:uidLastSave="{00000000-0000-0000-0000-000000000000}"/>
  <bookViews>
    <workbookView xWindow="-110" yWindow="-110" windowWidth="25820" windowHeight="15500" firstSheet="3" activeTab="7"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9" l="1"/>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AR8" i="7"/>
  <c r="AR9" i="7"/>
  <c r="AR10" i="7"/>
  <c r="AO10" i="7" s="1"/>
  <c r="AR11" i="7"/>
  <c r="AO11" i="7" s="1"/>
  <c r="AR12" i="7"/>
  <c r="AO12" i="7" s="1"/>
  <c r="AR13" i="7"/>
  <c r="AO13" i="7" s="1"/>
  <c r="AR14" i="7"/>
  <c r="AO14" i="7" s="1"/>
  <c r="AR15" i="7"/>
  <c r="AO15" i="7" s="1"/>
  <c r="AR16" i="7"/>
  <c r="AO16" i="7" s="1"/>
  <c r="AR17" i="7"/>
  <c r="AR18" i="7"/>
  <c r="AO18" i="7" s="1"/>
  <c r="AR19" i="7"/>
  <c r="AO19" i="7" s="1"/>
  <c r="AR20" i="7"/>
  <c r="AO20" i="7" s="1"/>
  <c r="AR21" i="7"/>
  <c r="AR22" i="7"/>
  <c r="AO22" i="7" s="1"/>
  <c r="AR23" i="7"/>
  <c r="AO23" i="7" s="1"/>
  <c r="AR24" i="7"/>
  <c r="AO24" i="7" s="1"/>
  <c r="AR25" i="7"/>
  <c r="AO25" i="7" s="1"/>
  <c r="AR26" i="7"/>
  <c r="AO26" i="7" s="1"/>
  <c r="AR27" i="7"/>
  <c r="AO27" i="7" s="1"/>
  <c r="AR28" i="7"/>
  <c r="AR29" i="7"/>
  <c r="AR30" i="7"/>
  <c r="AO30" i="7" s="1"/>
  <c r="AR31" i="7"/>
  <c r="AO31" i="7" s="1"/>
  <c r="AR32" i="7"/>
  <c r="AR33" i="7"/>
  <c r="AR34" i="7"/>
  <c r="AO34" i="7" s="1"/>
  <c r="AR35" i="7"/>
  <c r="AO35" i="7" s="1"/>
  <c r="AR36" i="7"/>
  <c r="AO36" i="7" s="1"/>
  <c r="AR37" i="7"/>
  <c r="AO37" i="7" s="1"/>
  <c r="AR38" i="7"/>
  <c r="AO38" i="7" s="1"/>
  <c r="AR39" i="7"/>
  <c r="AO39" i="7" s="1"/>
  <c r="AR40" i="7"/>
  <c r="AR41" i="7"/>
  <c r="AO41" i="7" s="1"/>
  <c r="AR42" i="7"/>
  <c r="AO42" i="7" s="1"/>
  <c r="AR43" i="7"/>
  <c r="AO43" i="7" s="1"/>
  <c r="AR44" i="7"/>
  <c r="AO44" i="7" s="1"/>
  <c r="AR45" i="7"/>
  <c r="AO45" i="7" s="1"/>
  <c r="AR46" i="7"/>
  <c r="AO46" i="7" s="1"/>
  <c r="AR47" i="7"/>
  <c r="AO47" i="7" s="1"/>
  <c r="AR48" i="7"/>
  <c r="AR49" i="7"/>
  <c r="AO49" i="7" s="1"/>
  <c r="AR50" i="7"/>
  <c r="AO50" i="7" s="1"/>
  <c r="AR51" i="7"/>
  <c r="AO51" i="7" s="1"/>
  <c r="AR52" i="7"/>
  <c r="AO52" i="7" s="1"/>
  <c r="AR53" i="7"/>
  <c r="AO53" i="7" s="1"/>
  <c r="AR54" i="7"/>
  <c r="AO54" i="7" s="1"/>
  <c r="AR55" i="7"/>
  <c r="AR56" i="7"/>
  <c r="AO56" i="7" s="1"/>
  <c r="AR57" i="7"/>
  <c r="AR58" i="7"/>
  <c r="AR59" i="7"/>
  <c r="AO59" i="7" s="1"/>
  <c r="AR60" i="7"/>
  <c r="AR61" i="7"/>
  <c r="AO61" i="7" s="1"/>
  <c r="AR62" i="7"/>
  <c r="AO62" i="7" s="1"/>
  <c r="AR63" i="7"/>
  <c r="AO63" i="7" s="1"/>
  <c r="AR64" i="7"/>
  <c r="AO64" i="7" s="1"/>
  <c r="AR65" i="7"/>
  <c r="AO65" i="7" s="1"/>
  <c r="AR66" i="7"/>
  <c r="AO66" i="7" s="1"/>
  <c r="AR67" i="7"/>
  <c r="AO67" i="7" s="1"/>
  <c r="AR68" i="7"/>
  <c r="AR69" i="7"/>
  <c r="AR70" i="7"/>
  <c r="AR71" i="7"/>
  <c r="AO71" i="7" s="1"/>
  <c r="AR72" i="7"/>
  <c r="AO72" i="7" s="1"/>
  <c r="AR73" i="7"/>
  <c r="AO73" i="7" s="1"/>
  <c r="AR74" i="7"/>
  <c r="AO74" i="7" s="1"/>
  <c r="AR75" i="7"/>
  <c r="AO75" i="7" s="1"/>
  <c r="AR76" i="7"/>
  <c r="AO76" i="7" s="1"/>
  <c r="AR77" i="7"/>
  <c r="AO77" i="7" s="1"/>
  <c r="AR78" i="7"/>
  <c r="AO78" i="7" s="1"/>
  <c r="AR79" i="7"/>
  <c r="AR80" i="7"/>
  <c r="AR81" i="7"/>
  <c r="AO81" i="7" s="1"/>
  <c r="AR82" i="7"/>
  <c r="AO82" i="7" s="1"/>
  <c r="AR83" i="7"/>
  <c r="AO83" i="7" s="1"/>
  <c r="AR84" i="7"/>
  <c r="AO84" i="7" s="1"/>
  <c r="AR85" i="7"/>
  <c r="AO85" i="7" s="1"/>
  <c r="AR86" i="7"/>
  <c r="AO86" i="7" s="1"/>
  <c r="AR87" i="7"/>
  <c r="AO87" i="7" s="1"/>
  <c r="AR88" i="7"/>
  <c r="AR89" i="7"/>
  <c r="AO89" i="7" s="1"/>
  <c r="AR90" i="7"/>
  <c r="AO90" i="7" s="1"/>
  <c r="AR91" i="7"/>
  <c r="AO91" i="7" s="1"/>
  <c r="AR92" i="7"/>
  <c r="AO92" i="7" s="1"/>
  <c r="AR93" i="7"/>
  <c r="AR94" i="7"/>
  <c r="AR95" i="7"/>
  <c r="AO95" i="7" s="1"/>
  <c r="AR96" i="7"/>
  <c r="AO96" i="7" s="1"/>
  <c r="AR97" i="7"/>
  <c r="AR98" i="7"/>
  <c r="AR99" i="7"/>
  <c r="AO99" i="7" s="1"/>
  <c r="AR100" i="7"/>
  <c r="AR101" i="7"/>
  <c r="AO101" i="7" s="1"/>
  <c r="AR102" i="7"/>
  <c r="AO102" i="7" s="1"/>
  <c r="AR103" i="7"/>
  <c r="AO103" i="7" s="1"/>
  <c r="AR104" i="7"/>
  <c r="AO104" i="7" s="1"/>
  <c r="AR105" i="7"/>
  <c r="AO105" i="7" s="1"/>
  <c r="AR106" i="7"/>
  <c r="AO106" i="7" s="1"/>
  <c r="AR107" i="7"/>
  <c r="AO107" i="7" s="1"/>
  <c r="AR108" i="7"/>
  <c r="AR109" i="7"/>
  <c r="AR110" i="7"/>
  <c r="AO110" i="7" s="1"/>
  <c r="AR111" i="7"/>
  <c r="AO111" i="7" s="1"/>
  <c r="AR112" i="7"/>
  <c r="AO112" i="7" s="1"/>
  <c r="AR113" i="7"/>
  <c r="AO113" i="7" s="1"/>
  <c r="AR114" i="7"/>
  <c r="AO114" i="7" s="1"/>
  <c r="AR115" i="7"/>
  <c r="AO115" i="7" s="1"/>
  <c r="AR116" i="7"/>
  <c r="AO116" i="7" s="1"/>
  <c r="AR117" i="7"/>
  <c r="AO117" i="7" s="1"/>
  <c r="AR118" i="7"/>
  <c r="AO118" i="7" s="1"/>
  <c r="AR119" i="7"/>
  <c r="AO119" i="7" s="1"/>
  <c r="AR120" i="7"/>
  <c r="AR121" i="7"/>
  <c r="AO121" i="7" s="1"/>
  <c r="AR122" i="7"/>
  <c r="AO122" i="7" s="1"/>
  <c r="AR123" i="7"/>
  <c r="AO123" i="7" s="1"/>
  <c r="AR124" i="7"/>
  <c r="AO124" i="7" s="1"/>
  <c r="AR125" i="7"/>
  <c r="AO125" i="7" s="1"/>
  <c r="AR126" i="7"/>
  <c r="AO126" i="7" s="1"/>
  <c r="AR127" i="7"/>
  <c r="AO127" i="7" s="1"/>
  <c r="AR128" i="7"/>
  <c r="AR129" i="7"/>
  <c r="AR130" i="7"/>
  <c r="AR131" i="7"/>
  <c r="AR132" i="7"/>
  <c r="AR133" i="7"/>
  <c r="AR134" i="7"/>
  <c r="AO134" i="7" s="1"/>
  <c r="AR135" i="7"/>
  <c r="AO135" i="7" s="1"/>
  <c r="AR136" i="7"/>
  <c r="AO136" i="7" s="1"/>
  <c r="AR137" i="7"/>
  <c r="AO137" i="7" s="1"/>
  <c r="AR138" i="7"/>
  <c r="AO138" i="7" s="1"/>
  <c r="AR139" i="7"/>
  <c r="AO139" i="7" s="1"/>
  <c r="AR140" i="7"/>
  <c r="AO140" i="7" s="1"/>
  <c r="AR141" i="7"/>
  <c r="AO141" i="7" s="1"/>
  <c r="AR142" i="7"/>
  <c r="AO142" i="7" s="1"/>
  <c r="AR143" i="7"/>
  <c r="AO143" i="7" s="1"/>
  <c r="AR144" i="7"/>
  <c r="AO144" i="7" s="1"/>
  <c r="AR145" i="7"/>
  <c r="AO145" i="7" s="1"/>
  <c r="AR146" i="7"/>
  <c r="AO146" i="7" s="1"/>
  <c r="AR147" i="7"/>
  <c r="AO147" i="7" s="1"/>
  <c r="AR148" i="7"/>
  <c r="AR149" i="7"/>
  <c r="AO149" i="7" s="1"/>
  <c r="AR150" i="7"/>
  <c r="AO150" i="7" s="1"/>
  <c r="AR151" i="7"/>
  <c r="AO151" i="7" s="1"/>
  <c r="AR152" i="7"/>
  <c r="AO152" i="7" s="1"/>
  <c r="AR153" i="7"/>
  <c r="AO153" i="7" s="1"/>
  <c r="AR154" i="7"/>
  <c r="AO154" i="7" s="1"/>
  <c r="AR155" i="7"/>
  <c r="AO155" i="7" s="1"/>
  <c r="AR156" i="7"/>
  <c r="AO156" i="7" s="1"/>
  <c r="AR157" i="7"/>
  <c r="AR158" i="7"/>
  <c r="AR159" i="7"/>
  <c r="AO159" i="7" s="1"/>
  <c r="AR160" i="7"/>
  <c r="AO160" i="7" s="1"/>
  <c r="AR161" i="7"/>
  <c r="AO161" i="7" s="1"/>
  <c r="AR162" i="7"/>
  <c r="AO162" i="7" s="1"/>
  <c r="AR163" i="7"/>
  <c r="AO163" i="7" s="1"/>
  <c r="AR164" i="7"/>
  <c r="AO164" i="7" s="1"/>
  <c r="AR165" i="7"/>
  <c r="AO165" i="7" s="1"/>
  <c r="AR166" i="7"/>
  <c r="AO166" i="7" s="1"/>
  <c r="AR167" i="7"/>
  <c r="AO167" i="7" s="1"/>
  <c r="AR168" i="7"/>
  <c r="AR169" i="7"/>
  <c r="AR170" i="7"/>
  <c r="AO170" i="7" s="1"/>
  <c r="AR171" i="7"/>
  <c r="AO171" i="7" s="1"/>
  <c r="AR172" i="7"/>
  <c r="AO172" i="7" s="1"/>
  <c r="AR173" i="7"/>
  <c r="AO173" i="7" s="1"/>
  <c r="AR174" i="7"/>
  <c r="AR175" i="7"/>
  <c r="AO175" i="7" s="1"/>
  <c r="AR176" i="7"/>
  <c r="AO176" i="7" s="1"/>
  <c r="AR177" i="7"/>
  <c r="AO177" i="7" s="1"/>
  <c r="AR178" i="7"/>
  <c r="AO178" i="7" s="1"/>
  <c r="AR179" i="7"/>
  <c r="AO179" i="7" s="1"/>
  <c r="AR180" i="7"/>
  <c r="AO180" i="7" s="1"/>
  <c r="AR181" i="7"/>
  <c r="AO181" i="7" s="1"/>
  <c r="AR182" i="7"/>
  <c r="AO182" i="7" s="1"/>
  <c r="AR183" i="7"/>
  <c r="AR184" i="7"/>
  <c r="AO184" i="7" s="1"/>
  <c r="AR185" i="7"/>
  <c r="AO185" i="7" s="1"/>
  <c r="AR186" i="7"/>
  <c r="AO186" i="7" s="1"/>
  <c r="AR187" i="7"/>
  <c r="AO187" i="7" s="1"/>
  <c r="AR188" i="7"/>
  <c r="AR189" i="7"/>
  <c r="AR190" i="7"/>
  <c r="AR191" i="7"/>
  <c r="AO191" i="7" s="1"/>
  <c r="AR192" i="7"/>
  <c r="AO192" i="7" s="1"/>
  <c r="AR193" i="7"/>
  <c r="AO193" i="7" s="1"/>
  <c r="AR194" i="7"/>
  <c r="AO194" i="7" s="1"/>
  <c r="AR195" i="7"/>
  <c r="AO195" i="7" s="1"/>
  <c r="AR196" i="7"/>
  <c r="AO196" i="7" s="1"/>
  <c r="AR197" i="7"/>
  <c r="AO197" i="7" s="1"/>
  <c r="AR198" i="7"/>
  <c r="AO198" i="7" s="1"/>
  <c r="AR199" i="7"/>
  <c r="AO199" i="7" s="1"/>
  <c r="AR200" i="7"/>
  <c r="AO200" i="7" s="1"/>
  <c r="AR201" i="7"/>
  <c r="AO201" i="7" s="1"/>
  <c r="AR202" i="7"/>
  <c r="AO202" i="7" s="1"/>
  <c r="AR203" i="7"/>
  <c r="AO203" i="7" s="1"/>
  <c r="AR204" i="7"/>
  <c r="AO204" i="7" s="1"/>
  <c r="AR205" i="7"/>
  <c r="AO205" i="7" s="1"/>
  <c r="AR206" i="7"/>
  <c r="AO206" i="7" s="1"/>
  <c r="AR207" i="7"/>
  <c r="AO207" i="7" s="1"/>
  <c r="AR208" i="7"/>
  <c r="AR209" i="7"/>
  <c r="AO209" i="7" s="1"/>
  <c r="AR210" i="7"/>
  <c r="AO210" i="7" s="1"/>
  <c r="AR211" i="7"/>
  <c r="AO211" i="7" s="1"/>
  <c r="AR212" i="7"/>
  <c r="AO212" i="7" s="1"/>
  <c r="AR213" i="7"/>
  <c r="AO213" i="7" s="1"/>
  <c r="AR214" i="7"/>
  <c r="AR215" i="7"/>
  <c r="AR216" i="7"/>
  <c r="AO216" i="7" s="1"/>
  <c r="AR217" i="7"/>
  <c r="AO217" i="7" s="1"/>
  <c r="AR218" i="7"/>
  <c r="AO218" i="7" s="1"/>
  <c r="AR219" i="7"/>
  <c r="AO219" i="7" s="1"/>
  <c r="AR220" i="7"/>
  <c r="AO220" i="7" s="1"/>
  <c r="AR221" i="7"/>
  <c r="AO221" i="7" s="1"/>
  <c r="AR222" i="7"/>
  <c r="AO222" i="7" s="1"/>
  <c r="AR223" i="7"/>
  <c r="AR224" i="7"/>
  <c r="AO224" i="7" s="1"/>
  <c r="AR225" i="7"/>
  <c r="AO225" i="7" s="1"/>
  <c r="AR226" i="7"/>
  <c r="AO226" i="7" s="1"/>
  <c r="AR227" i="7"/>
  <c r="AO227" i="7" s="1"/>
  <c r="AR228" i="7"/>
  <c r="AR229" i="7"/>
  <c r="AR230" i="7"/>
  <c r="AR231" i="7"/>
  <c r="AO231" i="7" s="1"/>
  <c r="AR232" i="7"/>
  <c r="AO232" i="7" s="1"/>
  <c r="AR233" i="7"/>
  <c r="AO233" i="7" s="1"/>
  <c r="AR234" i="7"/>
  <c r="AO234" i="7" s="1"/>
  <c r="AR235" i="7"/>
  <c r="AO235" i="7" s="1"/>
  <c r="AR236" i="7"/>
  <c r="AO236" i="7" s="1"/>
  <c r="AR237" i="7"/>
  <c r="AO237" i="7" s="1"/>
  <c r="AR238" i="7"/>
  <c r="AO238" i="7" s="1"/>
  <c r="AR239" i="7"/>
  <c r="AO239" i="7" s="1"/>
  <c r="AR240" i="7"/>
  <c r="AO240" i="7" s="1"/>
  <c r="AR241" i="7"/>
  <c r="AO241" i="7" s="1"/>
  <c r="AR242" i="7"/>
  <c r="AO242" i="7" s="1"/>
  <c r="AR243" i="7"/>
  <c r="AO243" i="7" s="1"/>
  <c r="AR244" i="7"/>
  <c r="AO244" i="7" s="1"/>
  <c r="AR245" i="7"/>
  <c r="AO245" i="7" s="1"/>
  <c r="AR246" i="7"/>
  <c r="AO246" i="7" s="1"/>
  <c r="AR247" i="7"/>
  <c r="AO247" i="7" s="1"/>
  <c r="AR248" i="7"/>
  <c r="AR249" i="7"/>
  <c r="AO249" i="7" s="1"/>
  <c r="AR250" i="7"/>
  <c r="AO250" i="7" s="1"/>
  <c r="AR251" i="7"/>
  <c r="AO251" i="7" s="1"/>
  <c r="AR252" i="7"/>
  <c r="AO252" i="7" s="1"/>
  <c r="AR253" i="7"/>
  <c r="AO253" i="7" s="1"/>
  <c r="AR254" i="7"/>
  <c r="AO254" i="7" s="1"/>
  <c r="AR255" i="7"/>
  <c r="AR256" i="7"/>
  <c r="AO256" i="7" s="1"/>
  <c r="AR257" i="7"/>
  <c r="AO257" i="7" s="1"/>
  <c r="AR258" i="7"/>
  <c r="AO258" i="7" s="1"/>
  <c r="AR259" i="7"/>
  <c r="AO259" i="7" s="1"/>
  <c r="AR260" i="7"/>
  <c r="AO260" i="7" s="1"/>
  <c r="AR261" i="7"/>
  <c r="AO261" i="7" s="1"/>
  <c r="AR262" i="7"/>
  <c r="AO262" i="7" s="1"/>
  <c r="AR263" i="7"/>
  <c r="AO263" i="7" s="1"/>
  <c r="AR264" i="7"/>
  <c r="AO264" i="7" s="1"/>
  <c r="AR265" i="7"/>
  <c r="AO265" i="7" s="1"/>
  <c r="AR266" i="7"/>
  <c r="AO266" i="7" s="1"/>
  <c r="AR267" i="7"/>
  <c r="AO267" i="7" s="1"/>
  <c r="AR268" i="7"/>
  <c r="AR269" i="7"/>
  <c r="AR270" i="7"/>
  <c r="AR271" i="7"/>
  <c r="AO271" i="7" s="1"/>
  <c r="AR272" i="7"/>
  <c r="AO272" i="7" s="1"/>
  <c r="AR273" i="7"/>
  <c r="AO273" i="7" s="1"/>
  <c r="AR274" i="7"/>
  <c r="AO274" i="7" s="1"/>
  <c r="AR275" i="7"/>
  <c r="AO275" i="7" s="1"/>
  <c r="AR276" i="7"/>
  <c r="AO276" i="7" s="1"/>
  <c r="AR277" i="7"/>
  <c r="AO277" i="7" s="1"/>
  <c r="AR278" i="7"/>
  <c r="AO278" i="7" s="1"/>
  <c r="AR279" i="7"/>
  <c r="AO279" i="7" s="1"/>
  <c r="AR280" i="7"/>
  <c r="AO280" i="7" s="1"/>
  <c r="AR281" i="7"/>
  <c r="AO281" i="7" s="1"/>
  <c r="AR282" i="7"/>
  <c r="AO282" i="7" s="1"/>
  <c r="AR283" i="7"/>
  <c r="AO283" i="7" s="1"/>
  <c r="AR284" i="7"/>
  <c r="AO284" i="7" s="1"/>
  <c r="AR285" i="7"/>
  <c r="AO285" i="7" s="1"/>
  <c r="AR286" i="7"/>
  <c r="AO286" i="7" s="1"/>
  <c r="AR287" i="7"/>
  <c r="AO287" i="7" s="1"/>
  <c r="AR288" i="7"/>
  <c r="AR289" i="7"/>
  <c r="AO289" i="7" s="1"/>
  <c r="AR290" i="7"/>
  <c r="AO290" i="7" s="1"/>
  <c r="AR291" i="7"/>
  <c r="AO291" i="7" s="1"/>
  <c r="AR292" i="7"/>
  <c r="AO292" i="7" s="1"/>
  <c r="AR293" i="7"/>
  <c r="AO293" i="7" s="1"/>
  <c r="AR294" i="7"/>
  <c r="AO294" i="7" s="1"/>
  <c r="AR295" i="7"/>
  <c r="AR296" i="7"/>
  <c r="AO296" i="7" s="1"/>
  <c r="AR297" i="7"/>
  <c r="AO297" i="7" s="1"/>
  <c r="AR298" i="7"/>
  <c r="AO298" i="7" s="1"/>
  <c r="AR299" i="7"/>
  <c r="AO299" i="7" s="1"/>
  <c r="AR7" i="7"/>
  <c r="AO7" i="7" s="1"/>
  <c r="AR6" i="7"/>
  <c r="AO79" i="7"/>
  <c r="AQ79" i="7"/>
  <c r="AN79" i="7"/>
  <c r="AA79" i="7"/>
  <c r="Z79" i="7"/>
  <c r="Y79" i="7"/>
  <c r="X79"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36"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X36" i="7"/>
  <c r="Z36" i="7"/>
  <c r="X170" i="7"/>
  <c r="Z170" i="7"/>
  <c r="X171" i="7"/>
  <c r="Z171" i="7"/>
  <c r="X172" i="7"/>
  <c r="Z172" i="7"/>
  <c r="X173" i="7"/>
  <c r="Z173" i="7"/>
  <c r="X174" i="7"/>
  <c r="Z174" i="7"/>
  <c r="X175" i="7"/>
  <c r="Z175" i="7"/>
  <c r="X176" i="7"/>
  <c r="Z176" i="7"/>
  <c r="X177" i="7"/>
  <c r="Z177" i="7"/>
  <c r="X178" i="7"/>
  <c r="Z178" i="7"/>
  <c r="X179" i="7"/>
  <c r="Z179" i="7"/>
  <c r="X180" i="7"/>
  <c r="Z180" i="7"/>
  <c r="X181" i="7"/>
  <c r="Z181" i="7"/>
  <c r="X182" i="7"/>
  <c r="Z182" i="7"/>
  <c r="X183" i="7"/>
  <c r="Z183" i="7"/>
  <c r="X184" i="7"/>
  <c r="Z184" i="7"/>
  <c r="X185" i="7"/>
  <c r="Z185" i="7"/>
  <c r="X186" i="7"/>
  <c r="Z186" i="7"/>
  <c r="X187" i="7"/>
  <c r="Z187" i="7"/>
  <c r="X188" i="7"/>
  <c r="Z188" i="7"/>
  <c r="X189" i="7"/>
  <c r="Z189" i="7"/>
  <c r="X190" i="7"/>
  <c r="Z190" i="7"/>
  <c r="X191" i="7"/>
  <c r="Z191" i="7"/>
  <c r="X192" i="7"/>
  <c r="Z192" i="7"/>
  <c r="X193" i="7"/>
  <c r="Z193" i="7"/>
  <c r="X194" i="7"/>
  <c r="Z194" i="7"/>
  <c r="X195" i="7"/>
  <c r="Z195" i="7"/>
  <c r="X196" i="7"/>
  <c r="Z196" i="7"/>
  <c r="X197" i="7"/>
  <c r="Z197" i="7"/>
  <c r="X198" i="7"/>
  <c r="Z198" i="7"/>
  <c r="X199" i="7"/>
  <c r="Z199" i="7"/>
  <c r="X200" i="7"/>
  <c r="Z200" i="7"/>
  <c r="X201" i="7"/>
  <c r="Z201" i="7"/>
  <c r="X202" i="7"/>
  <c r="Z202" i="7"/>
  <c r="X203" i="7"/>
  <c r="Z203" i="7"/>
  <c r="X204" i="7"/>
  <c r="Z204" i="7"/>
  <c r="X205" i="7"/>
  <c r="Z205" i="7"/>
  <c r="X206" i="7"/>
  <c r="Z206" i="7"/>
  <c r="X207" i="7"/>
  <c r="Z207" i="7"/>
  <c r="X208" i="7"/>
  <c r="Z208" i="7"/>
  <c r="X209" i="7"/>
  <c r="Z209" i="7"/>
  <c r="X210" i="7"/>
  <c r="Z210" i="7"/>
  <c r="X211" i="7"/>
  <c r="Z211" i="7"/>
  <c r="X212" i="7"/>
  <c r="Z212" i="7"/>
  <c r="X213" i="7"/>
  <c r="Z213" i="7"/>
  <c r="X214" i="7"/>
  <c r="Z214" i="7"/>
  <c r="X215" i="7"/>
  <c r="Z215" i="7"/>
  <c r="X216" i="7"/>
  <c r="Z216" i="7"/>
  <c r="X217" i="7"/>
  <c r="Z217" i="7"/>
  <c r="X218" i="7"/>
  <c r="Z218" i="7"/>
  <c r="X219" i="7"/>
  <c r="Z219" i="7"/>
  <c r="X220" i="7"/>
  <c r="Z220" i="7"/>
  <c r="X221" i="7"/>
  <c r="Z221" i="7"/>
  <c r="X222" i="7"/>
  <c r="Z222" i="7"/>
  <c r="X223" i="7"/>
  <c r="Z223" i="7"/>
  <c r="X224" i="7"/>
  <c r="Z224" i="7"/>
  <c r="X225" i="7"/>
  <c r="Z225" i="7"/>
  <c r="X226" i="7"/>
  <c r="Z226" i="7"/>
  <c r="X227" i="7"/>
  <c r="Z227" i="7"/>
  <c r="X228" i="7"/>
  <c r="Z228" i="7"/>
  <c r="X229" i="7"/>
  <c r="Z229" i="7"/>
  <c r="X230" i="7"/>
  <c r="Z230" i="7"/>
  <c r="X231" i="7"/>
  <c r="Z231" i="7"/>
  <c r="X232" i="7"/>
  <c r="Z232" i="7"/>
  <c r="X233" i="7"/>
  <c r="Z233" i="7"/>
  <c r="X234" i="7"/>
  <c r="Z234" i="7"/>
  <c r="X235" i="7"/>
  <c r="Z235" i="7"/>
  <c r="X236" i="7"/>
  <c r="Z236" i="7"/>
  <c r="X237" i="7"/>
  <c r="Z237" i="7"/>
  <c r="X238" i="7"/>
  <c r="Z238" i="7"/>
  <c r="X239" i="7"/>
  <c r="Z239" i="7"/>
  <c r="X240" i="7"/>
  <c r="Z240" i="7"/>
  <c r="X241" i="7"/>
  <c r="Z241" i="7"/>
  <c r="X242" i="7"/>
  <c r="Z242" i="7"/>
  <c r="X243" i="7"/>
  <c r="Z243" i="7"/>
  <c r="X244" i="7"/>
  <c r="Z244" i="7"/>
  <c r="X245" i="7"/>
  <c r="Z245" i="7"/>
  <c r="X246" i="7"/>
  <c r="Z246" i="7"/>
  <c r="X247" i="7"/>
  <c r="Z247" i="7"/>
  <c r="X248" i="7"/>
  <c r="Z248" i="7"/>
  <c r="X249" i="7"/>
  <c r="Z249" i="7"/>
  <c r="X250" i="7"/>
  <c r="Z250" i="7"/>
  <c r="X251" i="7"/>
  <c r="Z251" i="7"/>
  <c r="X252" i="7"/>
  <c r="Z252" i="7"/>
  <c r="X253" i="7"/>
  <c r="Z253" i="7"/>
  <c r="X254" i="7"/>
  <c r="Z254" i="7"/>
  <c r="X255" i="7"/>
  <c r="Z255" i="7"/>
  <c r="X256" i="7"/>
  <c r="Z256" i="7"/>
  <c r="X257" i="7"/>
  <c r="Z257" i="7"/>
  <c r="X258" i="7"/>
  <c r="Z258" i="7"/>
  <c r="X259" i="7"/>
  <c r="Z259" i="7"/>
  <c r="X260" i="7"/>
  <c r="Z260" i="7"/>
  <c r="X261" i="7"/>
  <c r="Z261" i="7"/>
  <c r="X262" i="7"/>
  <c r="Z262" i="7"/>
  <c r="X263" i="7"/>
  <c r="Z263" i="7"/>
  <c r="X264" i="7"/>
  <c r="Z264" i="7"/>
  <c r="X265" i="7"/>
  <c r="Z265" i="7"/>
  <c r="X266" i="7"/>
  <c r="Z266" i="7"/>
  <c r="X267" i="7"/>
  <c r="Z267" i="7"/>
  <c r="X268" i="7"/>
  <c r="Z268" i="7"/>
  <c r="X269" i="7"/>
  <c r="Z269" i="7"/>
  <c r="X270" i="7"/>
  <c r="Z270" i="7"/>
  <c r="X271" i="7"/>
  <c r="Z271" i="7"/>
  <c r="X272" i="7"/>
  <c r="Z272" i="7"/>
  <c r="X273" i="7"/>
  <c r="Z273" i="7"/>
  <c r="X274" i="7"/>
  <c r="Z274" i="7"/>
  <c r="X275" i="7"/>
  <c r="Z275" i="7"/>
  <c r="X276" i="7"/>
  <c r="Z276" i="7"/>
  <c r="X277" i="7"/>
  <c r="Z277" i="7"/>
  <c r="X278" i="7"/>
  <c r="Z278" i="7"/>
  <c r="X279" i="7"/>
  <c r="Z279" i="7"/>
  <c r="X280" i="7"/>
  <c r="Z280" i="7"/>
  <c r="X281" i="7"/>
  <c r="Z281" i="7"/>
  <c r="X282" i="7"/>
  <c r="Z282" i="7"/>
  <c r="X283" i="7"/>
  <c r="Z283" i="7"/>
  <c r="X284" i="7"/>
  <c r="Z284" i="7"/>
  <c r="X285" i="7"/>
  <c r="Z285" i="7"/>
  <c r="X286" i="7"/>
  <c r="Z286" i="7"/>
  <c r="X287" i="7"/>
  <c r="Z287" i="7"/>
  <c r="X288" i="7"/>
  <c r="Z288" i="7"/>
  <c r="X289" i="7"/>
  <c r="Z289" i="7"/>
  <c r="X290" i="7"/>
  <c r="Z290" i="7"/>
  <c r="X291" i="7"/>
  <c r="Z291" i="7"/>
  <c r="X292" i="7"/>
  <c r="Z292" i="7"/>
  <c r="X293" i="7"/>
  <c r="Z293" i="7"/>
  <c r="X294" i="7"/>
  <c r="Z294" i="7"/>
  <c r="X295" i="7"/>
  <c r="Z295" i="7"/>
  <c r="X296" i="7"/>
  <c r="Z296" i="7"/>
  <c r="X297" i="7"/>
  <c r="Z297" i="7"/>
  <c r="X298" i="7"/>
  <c r="Z298" i="7"/>
  <c r="X299" i="7"/>
  <c r="Z299" i="7"/>
  <c r="AN36" i="7"/>
  <c r="AQ36" i="7"/>
  <c r="AN170" i="7"/>
  <c r="AQ170" i="7"/>
  <c r="AN171" i="7"/>
  <c r="AQ171" i="7"/>
  <c r="AN172" i="7"/>
  <c r="AQ172" i="7"/>
  <c r="AN173" i="7"/>
  <c r="AQ173" i="7"/>
  <c r="AN174" i="7"/>
  <c r="AQ174" i="7"/>
  <c r="AO174" i="7"/>
  <c r="AN175" i="7"/>
  <c r="AQ175" i="7"/>
  <c r="AN176" i="7"/>
  <c r="AQ176" i="7"/>
  <c r="AN177" i="7"/>
  <c r="AQ177" i="7"/>
  <c r="AN178" i="7"/>
  <c r="AQ178" i="7"/>
  <c r="AN179" i="7"/>
  <c r="AQ179" i="7"/>
  <c r="AN180" i="7"/>
  <c r="AQ180" i="7"/>
  <c r="AN181" i="7"/>
  <c r="AQ181" i="7"/>
  <c r="AN182" i="7"/>
  <c r="AQ182" i="7"/>
  <c r="AN183" i="7"/>
  <c r="AQ183" i="7"/>
  <c r="AO183" i="7"/>
  <c r="AN184" i="7"/>
  <c r="AQ184" i="7"/>
  <c r="AN185" i="7"/>
  <c r="AQ185" i="7"/>
  <c r="AN186" i="7"/>
  <c r="AQ186" i="7"/>
  <c r="AN187" i="7"/>
  <c r="AQ187" i="7"/>
  <c r="AN188" i="7"/>
  <c r="AQ188" i="7"/>
  <c r="AO188" i="7"/>
  <c r="AN189" i="7"/>
  <c r="AQ189" i="7"/>
  <c r="AO189" i="7"/>
  <c r="AN190" i="7"/>
  <c r="AQ190" i="7"/>
  <c r="AO190" i="7"/>
  <c r="AN191" i="7"/>
  <c r="AQ191" i="7"/>
  <c r="AN192" i="7"/>
  <c r="AQ192" i="7"/>
  <c r="AN193" i="7"/>
  <c r="AQ193" i="7"/>
  <c r="AN194" i="7"/>
  <c r="AQ194" i="7"/>
  <c r="AN195" i="7"/>
  <c r="AQ195" i="7"/>
  <c r="AN196" i="7"/>
  <c r="AQ196" i="7"/>
  <c r="AN197" i="7"/>
  <c r="AQ197" i="7"/>
  <c r="AN198" i="7"/>
  <c r="AQ198" i="7"/>
  <c r="AN199" i="7"/>
  <c r="AQ199" i="7"/>
  <c r="AN200" i="7"/>
  <c r="AQ200" i="7"/>
  <c r="AN201" i="7"/>
  <c r="AQ201" i="7"/>
  <c r="AN202" i="7"/>
  <c r="AQ202" i="7"/>
  <c r="AN203" i="7"/>
  <c r="AQ203" i="7"/>
  <c r="AN204" i="7"/>
  <c r="AQ204" i="7"/>
  <c r="AN205" i="7"/>
  <c r="AQ205" i="7"/>
  <c r="AN206" i="7"/>
  <c r="AQ206" i="7"/>
  <c r="AN207" i="7"/>
  <c r="AQ207" i="7"/>
  <c r="AN208" i="7"/>
  <c r="AQ208" i="7"/>
  <c r="AO208" i="7"/>
  <c r="AN209" i="7"/>
  <c r="AQ209" i="7"/>
  <c r="AN210" i="7"/>
  <c r="AQ210" i="7"/>
  <c r="AN211" i="7"/>
  <c r="AQ211" i="7"/>
  <c r="AN212" i="7"/>
  <c r="AQ212" i="7"/>
  <c r="AN213" i="7"/>
  <c r="AQ213" i="7"/>
  <c r="AN214" i="7"/>
  <c r="AQ214" i="7"/>
  <c r="AO214" i="7"/>
  <c r="AN215" i="7"/>
  <c r="AQ215" i="7"/>
  <c r="AO215" i="7"/>
  <c r="AN216" i="7"/>
  <c r="AQ216" i="7"/>
  <c r="AN217" i="7"/>
  <c r="AQ217" i="7"/>
  <c r="AN218" i="7"/>
  <c r="AQ218" i="7"/>
  <c r="AN219" i="7"/>
  <c r="AQ219" i="7"/>
  <c r="AN220" i="7"/>
  <c r="AQ220" i="7"/>
  <c r="AN221" i="7"/>
  <c r="AQ221" i="7"/>
  <c r="AN222" i="7"/>
  <c r="AQ222" i="7"/>
  <c r="AN223" i="7"/>
  <c r="AQ223" i="7"/>
  <c r="AO223" i="7"/>
  <c r="AN224" i="7"/>
  <c r="AQ224" i="7"/>
  <c r="AN225" i="7"/>
  <c r="AQ225" i="7"/>
  <c r="AN226" i="7"/>
  <c r="AQ226" i="7"/>
  <c r="AN227" i="7"/>
  <c r="AQ227" i="7"/>
  <c r="AN228" i="7"/>
  <c r="AQ228" i="7"/>
  <c r="AO228" i="7"/>
  <c r="AN229" i="7"/>
  <c r="AQ229" i="7"/>
  <c r="AO229" i="7"/>
  <c r="AN230" i="7"/>
  <c r="AQ230" i="7"/>
  <c r="AO230" i="7"/>
  <c r="AN231" i="7"/>
  <c r="AQ231" i="7"/>
  <c r="AN232" i="7"/>
  <c r="AQ232" i="7"/>
  <c r="AN233" i="7"/>
  <c r="AQ233" i="7"/>
  <c r="AN234" i="7"/>
  <c r="AQ234" i="7"/>
  <c r="AN235" i="7"/>
  <c r="AQ235" i="7"/>
  <c r="AN236" i="7"/>
  <c r="AQ236" i="7"/>
  <c r="AN237" i="7"/>
  <c r="AQ237" i="7"/>
  <c r="AN238" i="7"/>
  <c r="AQ238" i="7"/>
  <c r="AN239" i="7"/>
  <c r="AQ239" i="7"/>
  <c r="AN240" i="7"/>
  <c r="AQ240" i="7"/>
  <c r="AN241" i="7"/>
  <c r="AQ241" i="7"/>
  <c r="AN242" i="7"/>
  <c r="AQ242" i="7"/>
  <c r="AN243" i="7"/>
  <c r="AQ243" i="7"/>
  <c r="AN244" i="7"/>
  <c r="AQ244" i="7"/>
  <c r="AN245" i="7"/>
  <c r="AQ245" i="7"/>
  <c r="AN246" i="7"/>
  <c r="AQ246" i="7"/>
  <c r="AN247" i="7"/>
  <c r="AQ247" i="7"/>
  <c r="AN248" i="7"/>
  <c r="AQ248" i="7"/>
  <c r="AO248" i="7"/>
  <c r="AN249" i="7"/>
  <c r="AQ249" i="7"/>
  <c r="AN250" i="7"/>
  <c r="AQ250" i="7"/>
  <c r="AN251" i="7"/>
  <c r="AQ251" i="7"/>
  <c r="AN252" i="7"/>
  <c r="AQ252" i="7"/>
  <c r="AN253" i="7"/>
  <c r="AQ253" i="7"/>
  <c r="AN254" i="7"/>
  <c r="AQ254" i="7"/>
  <c r="AN255" i="7"/>
  <c r="AQ255" i="7"/>
  <c r="AO255" i="7"/>
  <c r="AN256" i="7"/>
  <c r="AQ256" i="7"/>
  <c r="AN257" i="7"/>
  <c r="AQ257" i="7"/>
  <c r="AN258" i="7"/>
  <c r="AQ258" i="7"/>
  <c r="AN259" i="7"/>
  <c r="AQ259" i="7"/>
  <c r="AN260" i="7"/>
  <c r="AQ260" i="7"/>
  <c r="AN261" i="7"/>
  <c r="AQ261" i="7"/>
  <c r="AN262" i="7"/>
  <c r="AQ262" i="7"/>
  <c r="AN263" i="7"/>
  <c r="AQ263" i="7"/>
  <c r="AN264" i="7"/>
  <c r="AQ264" i="7"/>
  <c r="AN265" i="7"/>
  <c r="AQ265" i="7"/>
  <c r="AN266" i="7"/>
  <c r="AQ266" i="7"/>
  <c r="AN267" i="7"/>
  <c r="AQ267" i="7"/>
  <c r="AN268" i="7"/>
  <c r="AQ268" i="7"/>
  <c r="AO268" i="7"/>
  <c r="AN269" i="7"/>
  <c r="AQ269" i="7"/>
  <c r="AO269" i="7"/>
  <c r="AN270" i="7"/>
  <c r="AQ270" i="7"/>
  <c r="AO270" i="7"/>
  <c r="AN271" i="7"/>
  <c r="AQ271" i="7"/>
  <c r="AN272" i="7"/>
  <c r="AQ272" i="7"/>
  <c r="AN273" i="7"/>
  <c r="AQ273" i="7"/>
  <c r="AN274" i="7"/>
  <c r="AQ274" i="7"/>
  <c r="AN275" i="7"/>
  <c r="AQ275" i="7"/>
  <c r="AN276" i="7"/>
  <c r="AQ276" i="7"/>
  <c r="AN277" i="7"/>
  <c r="AQ277" i="7"/>
  <c r="AN278" i="7"/>
  <c r="AQ278" i="7"/>
  <c r="AN279" i="7"/>
  <c r="AQ279" i="7"/>
  <c r="AN280" i="7"/>
  <c r="AQ280" i="7"/>
  <c r="AN281" i="7"/>
  <c r="AQ281" i="7"/>
  <c r="AN282" i="7"/>
  <c r="AQ282" i="7"/>
  <c r="AN283" i="7"/>
  <c r="AQ283" i="7"/>
  <c r="AN284" i="7"/>
  <c r="AQ284" i="7"/>
  <c r="AN285" i="7"/>
  <c r="AQ285" i="7"/>
  <c r="AN286" i="7"/>
  <c r="AQ286" i="7"/>
  <c r="AN287" i="7"/>
  <c r="AQ287" i="7"/>
  <c r="AN288" i="7"/>
  <c r="AQ288" i="7"/>
  <c r="AO288" i="7"/>
  <c r="AN289" i="7"/>
  <c r="AQ289" i="7"/>
  <c r="AN290" i="7"/>
  <c r="AQ290" i="7"/>
  <c r="AN291" i="7"/>
  <c r="AQ291" i="7"/>
  <c r="AN292" i="7"/>
  <c r="AQ292" i="7"/>
  <c r="AN293" i="7"/>
  <c r="AQ293" i="7"/>
  <c r="AN294" i="7"/>
  <c r="AQ294" i="7"/>
  <c r="AN295" i="7"/>
  <c r="AQ295" i="7"/>
  <c r="AO295" i="7"/>
  <c r="AN296" i="7"/>
  <c r="AQ296" i="7"/>
  <c r="AN297" i="7"/>
  <c r="AQ297" i="7"/>
  <c r="AN298" i="7"/>
  <c r="AQ298" i="7"/>
  <c r="AN299" i="7"/>
  <c r="AQ299" i="7"/>
  <c r="AA36" i="7"/>
  <c r="AA170" i="7"/>
  <c r="AA171" i="7"/>
  <c r="AA172" i="7"/>
  <c r="AA173" i="7"/>
  <c r="AA174" i="7"/>
  <c r="AA175" i="7"/>
  <c r="AA176" i="7"/>
  <c r="AA177" i="7"/>
  <c r="AA178" i="7"/>
  <c r="AA179" i="7"/>
  <c r="AA180" i="7"/>
  <c r="AA181" i="7"/>
  <c r="AA182" i="7"/>
  <c r="AA183" i="7"/>
  <c r="AA184" i="7"/>
  <c r="AA185" i="7"/>
  <c r="AA186" i="7"/>
  <c r="AA187" i="7"/>
  <c r="AA188" i="7"/>
  <c r="AA189" i="7"/>
  <c r="AA190" i="7"/>
  <c r="AA191" i="7"/>
  <c r="AA192" i="7"/>
  <c r="AA193" i="7"/>
  <c r="AA194" i="7"/>
  <c r="AA195" i="7"/>
  <c r="AA196" i="7"/>
  <c r="AA197" i="7"/>
  <c r="AA198" i="7"/>
  <c r="AA199" i="7"/>
  <c r="AA200" i="7"/>
  <c r="AA201" i="7"/>
  <c r="AA202" i="7"/>
  <c r="AA203" i="7"/>
  <c r="AA204" i="7"/>
  <c r="AA205" i="7"/>
  <c r="AA206" i="7"/>
  <c r="AA207" i="7"/>
  <c r="AA208" i="7"/>
  <c r="AA209" i="7"/>
  <c r="AA210" i="7"/>
  <c r="AA211" i="7"/>
  <c r="AA212" i="7"/>
  <c r="AA213" i="7"/>
  <c r="AA214" i="7"/>
  <c r="AA215" i="7"/>
  <c r="AA216" i="7"/>
  <c r="AA217" i="7"/>
  <c r="AA218" i="7"/>
  <c r="AA219" i="7"/>
  <c r="AA220" i="7"/>
  <c r="AA221" i="7"/>
  <c r="AA222" i="7"/>
  <c r="AA223" i="7"/>
  <c r="AA224" i="7"/>
  <c r="AA225" i="7"/>
  <c r="AA226" i="7"/>
  <c r="AA227" i="7"/>
  <c r="AA228" i="7"/>
  <c r="AA229" i="7"/>
  <c r="AA230" i="7"/>
  <c r="AA231" i="7"/>
  <c r="AA232" i="7"/>
  <c r="AA233" i="7"/>
  <c r="AA234" i="7"/>
  <c r="AA235" i="7"/>
  <c r="AA236" i="7"/>
  <c r="AA237" i="7"/>
  <c r="AA238" i="7"/>
  <c r="AA239" i="7"/>
  <c r="AA240" i="7"/>
  <c r="AB240" i="7" s="1"/>
  <c r="AA241" i="7"/>
  <c r="AA242" i="7"/>
  <c r="AA243" i="7"/>
  <c r="AA244" i="7"/>
  <c r="AA245" i="7"/>
  <c r="AA246" i="7"/>
  <c r="AA247" i="7"/>
  <c r="AA248" i="7"/>
  <c r="AA249" i="7"/>
  <c r="AA250" i="7"/>
  <c r="AA251" i="7"/>
  <c r="AA252" i="7"/>
  <c r="AA253" i="7"/>
  <c r="AA254" i="7"/>
  <c r="AA255" i="7"/>
  <c r="AA256" i="7"/>
  <c r="AA257" i="7"/>
  <c r="AA258" i="7"/>
  <c r="AA259" i="7"/>
  <c r="AA260" i="7"/>
  <c r="AA261" i="7"/>
  <c r="AA262" i="7"/>
  <c r="AA263" i="7"/>
  <c r="AA264" i="7"/>
  <c r="AA265" i="7"/>
  <c r="AA266" i="7"/>
  <c r="AA267" i="7"/>
  <c r="AA268" i="7"/>
  <c r="AA269" i="7"/>
  <c r="AA270" i="7"/>
  <c r="AB270" i="7" s="1"/>
  <c r="AA271" i="7"/>
  <c r="AA272" i="7"/>
  <c r="AA273" i="7"/>
  <c r="AA274" i="7"/>
  <c r="AA275" i="7"/>
  <c r="AA276" i="7"/>
  <c r="AA277" i="7"/>
  <c r="AA278" i="7"/>
  <c r="AA279" i="7"/>
  <c r="AA280" i="7"/>
  <c r="AA281" i="7"/>
  <c r="AA282" i="7"/>
  <c r="AA283" i="7"/>
  <c r="AA284" i="7"/>
  <c r="AA285" i="7"/>
  <c r="AA286" i="7"/>
  <c r="AA287" i="7"/>
  <c r="AA288" i="7"/>
  <c r="AA289" i="7"/>
  <c r="AA290" i="7"/>
  <c r="AA291" i="7"/>
  <c r="AA292" i="7"/>
  <c r="AA293" i="7"/>
  <c r="AA294" i="7"/>
  <c r="AA295" i="7"/>
  <c r="AA296" i="7"/>
  <c r="AA297" i="7"/>
  <c r="AA298" i="7"/>
  <c r="AA299"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AB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AB71" i="7"/>
  <c r="Z72" i="7"/>
  <c r="AA72" i="7"/>
  <c r="Z73" i="7"/>
  <c r="AA73" i="7"/>
  <c r="Z74" i="7"/>
  <c r="AA74" i="7"/>
  <c r="Z75" i="7"/>
  <c r="AA75" i="7"/>
  <c r="Z76" i="7"/>
  <c r="AA76" i="7"/>
  <c r="AB76" i="7" s="1"/>
  <c r="Z77" i="7"/>
  <c r="AA77" i="7"/>
  <c r="Z78" i="7"/>
  <c r="AA78"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AB128" i="7" s="1"/>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AB149" i="7" s="1"/>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AQ10" i="7"/>
  <c r="AQ11" i="7"/>
  <c r="AQ12" i="7"/>
  <c r="AQ13" i="7"/>
  <c r="AQ14" i="7"/>
  <c r="AQ15" i="7"/>
  <c r="AQ16" i="7"/>
  <c r="AQ17" i="7"/>
  <c r="AO17" i="7"/>
  <c r="AQ18" i="7"/>
  <c r="AQ19" i="7"/>
  <c r="AQ20" i="7"/>
  <c r="AQ21" i="7"/>
  <c r="AQ22" i="7"/>
  <c r="AQ23" i="7"/>
  <c r="AQ24" i="7"/>
  <c r="AQ25" i="7"/>
  <c r="AQ26" i="7"/>
  <c r="AQ27" i="7"/>
  <c r="AQ28" i="7"/>
  <c r="AO28" i="7"/>
  <c r="AQ29" i="7"/>
  <c r="AO29" i="7"/>
  <c r="AQ30" i="7"/>
  <c r="AQ31" i="7"/>
  <c r="AQ32" i="7"/>
  <c r="AO32" i="7"/>
  <c r="AQ33" i="7"/>
  <c r="AO33" i="7"/>
  <c r="AQ34" i="7"/>
  <c r="AQ35" i="7"/>
  <c r="AQ37" i="7"/>
  <c r="AQ38" i="7"/>
  <c r="AQ39" i="7"/>
  <c r="AQ40" i="7"/>
  <c r="AQ41" i="7"/>
  <c r="AQ42" i="7"/>
  <c r="AQ43" i="7"/>
  <c r="AQ44" i="7"/>
  <c r="AQ45" i="7"/>
  <c r="AQ46" i="7"/>
  <c r="AQ47" i="7"/>
  <c r="AQ48" i="7"/>
  <c r="AO48" i="7"/>
  <c r="AQ49" i="7"/>
  <c r="AQ50" i="7"/>
  <c r="AQ51" i="7"/>
  <c r="AQ52" i="7"/>
  <c r="AQ53" i="7"/>
  <c r="AQ54" i="7"/>
  <c r="AQ55" i="7"/>
  <c r="AO55" i="7"/>
  <c r="AQ56" i="7"/>
  <c r="AQ57" i="7"/>
  <c r="AO57" i="7"/>
  <c r="AQ58" i="7"/>
  <c r="AO58" i="7"/>
  <c r="AQ59" i="7"/>
  <c r="AQ60" i="7"/>
  <c r="AQ61" i="7"/>
  <c r="AQ62" i="7"/>
  <c r="AQ63" i="7"/>
  <c r="AQ64" i="7"/>
  <c r="AQ65" i="7"/>
  <c r="AQ66" i="7"/>
  <c r="AQ67" i="7"/>
  <c r="AQ68" i="7"/>
  <c r="AO68" i="7"/>
  <c r="AQ69" i="7"/>
  <c r="AO69" i="7"/>
  <c r="AQ70" i="7"/>
  <c r="AO70" i="7"/>
  <c r="AQ71" i="7"/>
  <c r="AQ72" i="7"/>
  <c r="AQ73" i="7"/>
  <c r="AQ74" i="7"/>
  <c r="AQ75" i="7"/>
  <c r="AQ76" i="7"/>
  <c r="AQ77" i="7"/>
  <c r="AQ78" i="7"/>
  <c r="AQ80" i="7"/>
  <c r="AQ81" i="7"/>
  <c r="AQ82" i="7"/>
  <c r="AQ83" i="7"/>
  <c r="AQ84" i="7"/>
  <c r="AQ85" i="7"/>
  <c r="AQ86" i="7"/>
  <c r="AQ87" i="7"/>
  <c r="AQ88" i="7"/>
  <c r="AO88" i="7"/>
  <c r="AQ89" i="7"/>
  <c r="AQ90" i="7"/>
  <c r="AQ91" i="7"/>
  <c r="AQ92" i="7"/>
  <c r="AQ93" i="7"/>
  <c r="AO93" i="7"/>
  <c r="AQ94" i="7"/>
  <c r="AO94" i="7"/>
  <c r="AQ95" i="7"/>
  <c r="AQ96" i="7"/>
  <c r="AQ97" i="7"/>
  <c r="AO97" i="7"/>
  <c r="AQ98" i="7"/>
  <c r="AO98" i="7"/>
  <c r="AQ99" i="7"/>
  <c r="AQ100" i="7"/>
  <c r="AQ101" i="7"/>
  <c r="AQ102" i="7"/>
  <c r="AQ103" i="7"/>
  <c r="AQ104" i="7"/>
  <c r="AQ105" i="7"/>
  <c r="AQ106" i="7"/>
  <c r="AQ107" i="7"/>
  <c r="AQ108" i="7"/>
  <c r="AO108" i="7"/>
  <c r="AQ109" i="7"/>
  <c r="AO109" i="7"/>
  <c r="AQ110" i="7"/>
  <c r="AQ111" i="7"/>
  <c r="AQ112" i="7"/>
  <c r="AQ113" i="7"/>
  <c r="AQ114" i="7"/>
  <c r="AQ115" i="7"/>
  <c r="AQ116" i="7"/>
  <c r="AQ117" i="7"/>
  <c r="AQ118" i="7"/>
  <c r="AQ119" i="7"/>
  <c r="AQ120" i="7"/>
  <c r="AQ121" i="7"/>
  <c r="AQ122" i="7"/>
  <c r="AQ123" i="7"/>
  <c r="AQ124" i="7"/>
  <c r="AQ125" i="7"/>
  <c r="AQ126" i="7"/>
  <c r="AQ127" i="7"/>
  <c r="AQ128" i="7"/>
  <c r="AO128" i="7"/>
  <c r="AQ129" i="7"/>
  <c r="AO129" i="7"/>
  <c r="AQ130" i="7"/>
  <c r="AO130" i="7"/>
  <c r="AQ131" i="7"/>
  <c r="AO131" i="7"/>
  <c r="AQ132" i="7"/>
  <c r="AO132" i="7"/>
  <c r="AQ133" i="7"/>
  <c r="AO133" i="7"/>
  <c r="AQ134" i="7"/>
  <c r="AQ135" i="7"/>
  <c r="AQ136" i="7"/>
  <c r="AQ137" i="7"/>
  <c r="AQ138" i="7"/>
  <c r="AQ139" i="7"/>
  <c r="AQ140" i="7"/>
  <c r="AQ141" i="7"/>
  <c r="AQ142" i="7"/>
  <c r="AQ143" i="7"/>
  <c r="AQ144" i="7"/>
  <c r="AQ145" i="7"/>
  <c r="AQ146" i="7"/>
  <c r="AQ147" i="7"/>
  <c r="AQ148" i="7"/>
  <c r="AO148" i="7"/>
  <c r="AQ149" i="7"/>
  <c r="AQ150" i="7"/>
  <c r="AQ151" i="7"/>
  <c r="AQ152" i="7"/>
  <c r="AQ153" i="7"/>
  <c r="AQ154" i="7"/>
  <c r="AQ155" i="7"/>
  <c r="AQ156" i="7"/>
  <c r="AQ157" i="7"/>
  <c r="AO157" i="7"/>
  <c r="AQ158" i="7"/>
  <c r="AO158" i="7"/>
  <c r="AQ159" i="7"/>
  <c r="AQ160" i="7"/>
  <c r="AQ161" i="7"/>
  <c r="AQ162" i="7"/>
  <c r="AQ163" i="7"/>
  <c r="AQ164" i="7"/>
  <c r="AQ165" i="7"/>
  <c r="AQ166" i="7"/>
  <c r="AQ167" i="7"/>
  <c r="AQ168" i="7"/>
  <c r="AO168" i="7"/>
  <c r="AQ169" i="7"/>
  <c r="AO169" i="7"/>
  <c r="AQ7" i="7"/>
  <c r="AQ8" i="7"/>
  <c r="AO8" i="7"/>
  <c r="AQ9" i="7"/>
  <c r="J26" i="9" l="1"/>
  <c r="AB133" i="7"/>
  <c r="AB54" i="7"/>
  <c r="AB45" i="7"/>
  <c r="AB110" i="7"/>
  <c r="AS110" i="7" s="1"/>
  <c r="AT110" i="7" s="1"/>
  <c r="AB101" i="7"/>
  <c r="AS101" i="7" s="1"/>
  <c r="AT101" i="7" s="1"/>
  <c r="AB166" i="7"/>
  <c r="AB91" i="7"/>
  <c r="AS91" i="7" s="1"/>
  <c r="AT91" i="7" s="1"/>
  <c r="AB81" i="7"/>
  <c r="AB34" i="7"/>
  <c r="AS34" i="7" s="1"/>
  <c r="AT34" i="7" s="1"/>
  <c r="AB161" i="7"/>
  <c r="AS161" i="7" s="1"/>
  <c r="AT161" i="7" s="1"/>
  <c r="AB47" i="7"/>
  <c r="AS47" i="7" s="1"/>
  <c r="AT47" i="7" s="1"/>
  <c r="AB27" i="7"/>
  <c r="AS27" i="7" s="1"/>
  <c r="AT27" i="7" s="1"/>
  <c r="AB97" i="7"/>
  <c r="AB144" i="7"/>
  <c r="AS144" i="7" s="1"/>
  <c r="AT144" i="7" s="1"/>
  <c r="AB105" i="7"/>
  <c r="AS105" i="7" s="1"/>
  <c r="AT105" i="7" s="1"/>
  <c r="AS240" i="7"/>
  <c r="AT240" i="7" s="1"/>
  <c r="AB64" i="7"/>
  <c r="AS64" i="7" s="1"/>
  <c r="AT64" i="7" s="1"/>
  <c r="AB70" i="7"/>
  <c r="AS70" i="7" s="1"/>
  <c r="AT70" i="7" s="1"/>
  <c r="AB60" i="7"/>
  <c r="AS60" i="7" s="1"/>
  <c r="AT60" i="7" s="1"/>
  <c r="AB136" i="7"/>
  <c r="AS136" i="7" s="1"/>
  <c r="AT136" i="7" s="1"/>
  <c r="AB126" i="7"/>
  <c r="AS126" i="7" s="1"/>
  <c r="AT126" i="7" s="1"/>
  <c r="AB289" i="7"/>
  <c r="AS289" i="7" s="1"/>
  <c r="AT289" i="7" s="1"/>
  <c r="AB143" i="7"/>
  <c r="AS143" i="7" s="1"/>
  <c r="AT143" i="7" s="1"/>
  <c r="AB155" i="7"/>
  <c r="AS155" i="7" s="1"/>
  <c r="AT155" i="7" s="1"/>
  <c r="AB68" i="7"/>
  <c r="AS68" i="7" s="1"/>
  <c r="AT68" i="7" s="1"/>
  <c r="AB28" i="7"/>
  <c r="AS28" i="7" s="1"/>
  <c r="AT28" i="7" s="1"/>
  <c r="AB204" i="7"/>
  <c r="AS204" i="7" s="1"/>
  <c r="AT204" i="7" s="1"/>
  <c r="AB46" i="7"/>
  <c r="AS46" i="7" s="1"/>
  <c r="AT46" i="7" s="1"/>
  <c r="AB264" i="7"/>
  <c r="AS264" i="7" s="1"/>
  <c r="AT264" i="7" s="1"/>
  <c r="AB14" i="7"/>
  <c r="AS14" i="7" s="1"/>
  <c r="AT14" i="7" s="1"/>
  <c r="AB90" i="7"/>
  <c r="AS90" i="7" s="1"/>
  <c r="AT90" i="7" s="1"/>
  <c r="AB26" i="7"/>
  <c r="AS26" i="7" s="1"/>
  <c r="AT26" i="7" s="1"/>
  <c r="AB62" i="7"/>
  <c r="AS62" i="7" s="1"/>
  <c r="AT62" i="7" s="1"/>
  <c r="AB159" i="7"/>
  <c r="AS159" i="7" s="1"/>
  <c r="AT159" i="7" s="1"/>
  <c r="AB44" i="7"/>
  <c r="AS44" i="7" s="1"/>
  <c r="AT44" i="7" s="1"/>
  <c r="AB157" i="7"/>
  <c r="AS157" i="7" s="1"/>
  <c r="AT157" i="7" s="1"/>
  <c r="AB202" i="7"/>
  <c r="AS202" i="7" s="1"/>
  <c r="AT202" i="7" s="1"/>
  <c r="AB150" i="7"/>
  <c r="AS150" i="7" s="1"/>
  <c r="AT150" i="7" s="1"/>
  <c r="AB130" i="7"/>
  <c r="AS130" i="7" s="1"/>
  <c r="AT130" i="7" s="1"/>
  <c r="AB77" i="7"/>
  <c r="AS77" i="7" s="1"/>
  <c r="AT77" i="7" s="1"/>
  <c r="AB22" i="7"/>
  <c r="AS22" i="7" s="1"/>
  <c r="AT22" i="7" s="1"/>
  <c r="AB12" i="7"/>
  <c r="AS12" i="7" s="1"/>
  <c r="AT12" i="7" s="1"/>
  <c r="AB40" i="7"/>
  <c r="AS40" i="7" s="1"/>
  <c r="AT40" i="7" s="1"/>
  <c r="AB79" i="7"/>
  <c r="AS79" i="7" s="1"/>
  <c r="AT79" i="7" s="1"/>
  <c r="AB86" i="7"/>
  <c r="AS86" i="7" s="1"/>
  <c r="AT86" i="7" s="1"/>
  <c r="AB111" i="7"/>
  <c r="AS111" i="7" s="1"/>
  <c r="AT111" i="7" s="1"/>
  <c r="AB121" i="7"/>
  <c r="AS121" i="7" s="1"/>
  <c r="AT121" i="7" s="1"/>
  <c r="AB113" i="7"/>
  <c r="AS113" i="7" s="1"/>
  <c r="AT113" i="7" s="1"/>
  <c r="AB93" i="7"/>
  <c r="AS93" i="7" s="1"/>
  <c r="AT93" i="7" s="1"/>
  <c r="AB287" i="7"/>
  <c r="AS287" i="7" s="1"/>
  <c r="AT287" i="7" s="1"/>
  <c r="AB267" i="7"/>
  <c r="AS267" i="7" s="1"/>
  <c r="AT267" i="7" s="1"/>
  <c r="AB187" i="7"/>
  <c r="AS187" i="7" s="1"/>
  <c r="AT187" i="7" s="1"/>
  <c r="AB177" i="7"/>
  <c r="AS177" i="7" s="1"/>
  <c r="AT177" i="7" s="1"/>
  <c r="AB164" i="7"/>
  <c r="AS164" i="7" s="1"/>
  <c r="AT164" i="7" s="1"/>
  <c r="AB215" i="7"/>
  <c r="AS215" i="7" s="1"/>
  <c r="AT215" i="7" s="1"/>
  <c r="AS71" i="7"/>
  <c r="AT71" i="7" s="1"/>
  <c r="AB57" i="7"/>
  <c r="AS57" i="7" s="1"/>
  <c r="AT57" i="7" s="1"/>
  <c r="AB217" i="7"/>
  <c r="AS217" i="7" s="1"/>
  <c r="AT217" i="7" s="1"/>
  <c r="AB137" i="7"/>
  <c r="AS137" i="7" s="1"/>
  <c r="AT137" i="7" s="1"/>
  <c r="AB135" i="7"/>
  <c r="AS135" i="7" s="1"/>
  <c r="AT135" i="7" s="1"/>
  <c r="AB152" i="7"/>
  <c r="AS152" i="7" s="1"/>
  <c r="AT152" i="7" s="1"/>
  <c r="AB53" i="7"/>
  <c r="AS53" i="7" s="1"/>
  <c r="AT53" i="7" s="1"/>
  <c r="AB8" i="7"/>
  <c r="AS8" i="7" s="1"/>
  <c r="AT8" i="7" s="1"/>
  <c r="AB156" i="7"/>
  <c r="AS156" i="7" s="1"/>
  <c r="AT156" i="7" s="1"/>
  <c r="AB237" i="7"/>
  <c r="AS237" i="7" s="1"/>
  <c r="AT237" i="7" s="1"/>
  <c r="AB74" i="7"/>
  <c r="AS74" i="7" s="1"/>
  <c r="AT74" i="7" s="1"/>
  <c r="AB146" i="7"/>
  <c r="AS146" i="7" s="1"/>
  <c r="AT146" i="7" s="1"/>
  <c r="AB212" i="7"/>
  <c r="AS212" i="7" s="1"/>
  <c r="AT212" i="7" s="1"/>
  <c r="AB61" i="7"/>
  <c r="AS61" i="7" s="1"/>
  <c r="AT61" i="7" s="1"/>
  <c r="AB271" i="7"/>
  <c r="AS271" i="7" s="1"/>
  <c r="AT271" i="7" s="1"/>
  <c r="AB231" i="7"/>
  <c r="AS231" i="7" s="1"/>
  <c r="AT231" i="7" s="1"/>
  <c r="AB257" i="7"/>
  <c r="AS257" i="7" s="1"/>
  <c r="AT257" i="7" s="1"/>
  <c r="AB83" i="7"/>
  <c r="AS83" i="7" s="1"/>
  <c r="AT83" i="7" s="1"/>
  <c r="AB104" i="7"/>
  <c r="AS104" i="7" s="1"/>
  <c r="AT104" i="7" s="1"/>
  <c r="AB120" i="7"/>
  <c r="AS120" i="7" s="1"/>
  <c r="AT120" i="7" s="1"/>
  <c r="AB94" i="7"/>
  <c r="AS94" i="7" s="1"/>
  <c r="AT94" i="7" s="1"/>
  <c r="AB41" i="7"/>
  <c r="AS41" i="7" s="1"/>
  <c r="AT41" i="7" s="1"/>
  <c r="AB32" i="7"/>
  <c r="AS32" i="7" s="1"/>
  <c r="AT32" i="7" s="1"/>
  <c r="AS81" i="7"/>
  <c r="AT81" i="7" s="1"/>
  <c r="AB36" i="7"/>
  <c r="AS36" i="7" s="1"/>
  <c r="AT36" i="7" s="1"/>
  <c r="AB220" i="7"/>
  <c r="AS220" i="7" s="1"/>
  <c r="AT220" i="7" s="1"/>
  <c r="AB227" i="7"/>
  <c r="AS227" i="7" s="1"/>
  <c r="AT227" i="7" s="1"/>
  <c r="AB107" i="7"/>
  <c r="AS107" i="7" s="1"/>
  <c r="AT107" i="7" s="1"/>
  <c r="AB123" i="7"/>
  <c r="AS123" i="7" s="1"/>
  <c r="AT123" i="7" s="1"/>
  <c r="AB114" i="7"/>
  <c r="AS114" i="7" s="1"/>
  <c r="AT114" i="7" s="1"/>
  <c r="AB38" i="7"/>
  <c r="AS38" i="7" s="1"/>
  <c r="AT38" i="7" s="1"/>
  <c r="AB165" i="7"/>
  <c r="AS165" i="7" s="1"/>
  <c r="AT165" i="7" s="1"/>
  <c r="AB140" i="7"/>
  <c r="AS140" i="7" s="1"/>
  <c r="AT140" i="7" s="1"/>
  <c r="AB132" i="7"/>
  <c r="AS132" i="7" s="1"/>
  <c r="AT132" i="7" s="1"/>
  <c r="AB11" i="7"/>
  <c r="AS11" i="7" s="1"/>
  <c r="AT11" i="7" s="1"/>
  <c r="AB122" i="7"/>
  <c r="AS122" i="7" s="1"/>
  <c r="AT122" i="7" s="1"/>
  <c r="AB139" i="7"/>
  <c r="AS139" i="7" s="1"/>
  <c r="AT139" i="7" s="1"/>
  <c r="AB19" i="7"/>
  <c r="AS19" i="7" s="1"/>
  <c r="AT19" i="7" s="1"/>
  <c r="AB10" i="7"/>
  <c r="AS10" i="7" s="1"/>
  <c r="AT10" i="7" s="1"/>
  <c r="AB238" i="7"/>
  <c r="AS238" i="7" s="1"/>
  <c r="AT238" i="7" s="1"/>
  <c r="AB82" i="7"/>
  <c r="AS82" i="7" s="1"/>
  <c r="AT82" i="7" s="1"/>
  <c r="AS166" i="7"/>
  <c r="AT166" i="7" s="1"/>
  <c r="AB247" i="7"/>
  <c r="AS247" i="7" s="1"/>
  <c r="AT247" i="7" s="1"/>
  <c r="AB142" i="7"/>
  <c r="AS142" i="7" s="1"/>
  <c r="AT142" i="7" s="1"/>
  <c r="AB282" i="7"/>
  <c r="AS282" i="7" s="1"/>
  <c r="AT282" i="7" s="1"/>
  <c r="AB272" i="7"/>
  <c r="AS272" i="7" s="1"/>
  <c r="AT272" i="7" s="1"/>
  <c r="AB262" i="7"/>
  <c r="AS262" i="7" s="1"/>
  <c r="AT262" i="7" s="1"/>
  <c r="AB252" i="7"/>
  <c r="AS252" i="7" s="1"/>
  <c r="AT252" i="7" s="1"/>
  <c r="AB232" i="7"/>
  <c r="AS232" i="7" s="1"/>
  <c r="AT232" i="7" s="1"/>
  <c r="AB192" i="7"/>
  <c r="AS192" i="7" s="1"/>
  <c r="AT192" i="7" s="1"/>
  <c r="AB182" i="7"/>
  <c r="AS182" i="7" s="1"/>
  <c r="AT182" i="7" s="1"/>
  <c r="AB172" i="7"/>
  <c r="AS172" i="7" s="1"/>
  <c r="AT172" i="7" s="1"/>
  <c r="AB163" i="7"/>
  <c r="AS163" i="7" s="1"/>
  <c r="AT163" i="7" s="1"/>
  <c r="AB261" i="7"/>
  <c r="AS261" i="7" s="1"/>
  <c r="AT261" i="7" s="1"/>
  <c r="AB251" i="7"/>
  <c r="AS251" i="7" s="1"/>
  <c r="AT251" i="7" s="1"/>
  <c r="AB241" i="7"/>
  <c r="AS241" i="7" s="1"/>
  <c r="AT241" i="7" s="1"/>
  <c r="AB211" i="7"/>
  <c r="AS211" i="7" s="1"/>
  <c r="AT211" i="7" s="1"/>
  <c r="AB201" i="7"/>
  <c r="AS201" i="7" s="1"/>
  <c r="AT201" i="7" s="1"/>
  <c r="AB191" i="7"/>
  <c r="AS191" i="7" s="1"/>
  <c r="AT191" i="7" s="1"/>
  <c r="AB181" i="7"/>
  <c r="AS181" i="7" s="1"/>
  <c r="AT181" i="7" s="1"/>
  <c r="AB100" i="7"/>
  <c r="AB162" i="7"/>
  <c r="AS162" i="7" s="1"/>
  <c r="AT162" i="7" s="1"/>
  <c r="AB288" i="7"/>
  <c r="AS288" i="7" s="1"/>
  <c r="AT288" i="7" s="1"/>
  <c r="AB102" i="7"/>
  <c r="AS102" i="7" s="1"/>
  <c r="AT102" i="7" s="1"/>
  <c r="AB84" i="7"/>
  <c r="AS84" i="7" s="1"/>
  <c r="AT84" i="7" s="1"/>
  <c r="AB42" i="7"/>
  <c r="AS42" i="7" s="1"/>
  <c r="AT42" i="7" s="1"/>
  <c r="AB268" i="7"/>
  <c r="AS268" i="7" s="1"/>
  <c r="AT268" i="7" s="1"/>
  <c r="AB214" i="7"/>
  <c r="AS214" i="7" s="1"/>
  <c r="AT214" i="7" s="1"/>
  <c r="AB116" i="7"/>
  <c r="AS116" i="7" s="1"/>
  <c r="AT116" i="7" s="1"/>
  <c r="AB124" i="7"/>
  <c r="AS124" i="7" s="1"/>
  <c r="AT124" i="7" s="1"/>
  <c r="AB98" i="7"/>
  <c r="AS98" i="7" s="1"/>
  <c r="AT98" i="7" s="1"/>
  <c r="AB30" i="7"/>
  <c r="AS30" i="7" s="1"/>
  <c r="AT30" i="7" s="1"/>
  <c r="AB218" i="7"/>
  <c r="AS218" i="7" s="1"/>
  <c r="AT218" i="7" s="1"/>
  <c r="AB67" i="7"/>
  <c r="AS67" i="7" s="1"/>
  <c r="AT67" i="7" s="1"/>
  <c r="AB50" i="7"/>
  <c r="AS50" i="7" s="1"/>
  <c r="AT50" i="7" s="1"/>
  <c r="AB66" i="7"/>
  <c r="AS66" i="7" s="1"/>
  <c r="AT66" i="7" s="1"/>
  <c r="AB58" i="7"/>
  <c r="AS58" i="7" s="1"/>
  <c r="AT58" i="7" s="1"/>
  <c r="AB134" i="7"/>
  <c r="AS134" i="7" s="1"/>
  <c r="AT134" i="7" s="1"/>
  <c r="AB106" i="7"/>
  <c r="AS106" i="7" s="1"/>
  <c r="AT106" i="7" s="1"/>
  <c r="AB43" i="7"/>
  <c r="AS43" i="7" s="1"/>
  <c r="AT43" i="7" s="1"/>
  <c r="AB197" i="7"/>
  <c r="AS197" i="7" s="1"/>
  <c r="AT197" i="7" s="1"/>
  <c r="AB222" i="7"/>
  <c r="AS222" i="7" s="1"/>
  <c r="AT222" i="7" s="1"/>
  <c r="AB291" i="7"/>
  <c r="AS291" i="7" s="1"/>
  <c r="AT291" i="7" s="1"/>
  <c r="AB25" i="7"/>
  <c r="AS25" i="7" s="1"/>
  <c r="AT25" i="7" s="1"/>
  <c r="AB103" i="7"/>
  <c r="AS103" i="7" s="1"/>
  <c r="AT103" i="7" s="1"/>
  <c r="AB39" i="7"/>
  <c r="AS39" i="7" s="1"/>
  <c r="AT39" i="7" s="1"/>
  <c r="AB31" i="7"/>
  <c r="AS31" i="7" s="1"/>
  <c r="AT31" i="7" s="1"/>
  <c r="AB179" i="7"/>
  <c r="AS179" i="7" s="1"/>
  <c r="AT179" i="7" s="1"/>
  <c r="AB118" i="7"/>
  <c r="AS118" i="7" s="1"/>
  <c r="AT118" i="7" s="1"/>
  <c r="AB78" i="7"/>
  <c r="AS78" i="7" s="1"/>
  <c r="AT78" i="7" s="1"/>
  <c r="AB178" i="7"/>
  <c r="AS178" i="7" s="1"/>
  <c r="AT178" i="7" s="1"/>
  <c r="AB160" i="7"/>
  <c r="AS160" i="7" s="1"/>
  <c r="AT160" i="7" s="1"/>
  <c r="AB56" i="7"/>
  <c r="AS56" i="7" s="1"/>
  <c r="AT56" i="7" s="1"/>
  <c r="AB16" i="7"/>
  <c r="AS16" i="7" s="1"/>
  <c r="AT16" i="7" s="1"/>
  <c r="AB167" i="7"/>
  <c r="AS167" i="7" s="1"/>
  <c r="AT167" i="7" s="1"/>
  <c r="AB141" i="7"/>
  <c r="AS141" i="7" s="1"/>
  <c r="AT141" i="7" s="1"/>
  <c r="AB109" i="7"/>
  <c r="AS109" i="7" s="1"/>
  <c r="AT109" i="7" s="1"/>
  <c r="AB73" i="7"/>
  <c r="AS73" i="7" s="1"/>
  <c r="AT73" i="7" s="1"/>
  <c r="AB23" i="7"/>
  <c r="AS23" i="7" s="1"/>
  <c r="AT23" i="7" s="1"/>
  <c r="AB145" i="7"/>
  <c r="AS145" i="7" s="1"/>
  <c r="AT145" i="7" s="1"/>
  <c r="AB129" i="7"/>
  <c r="AS129" i="7" s="1"/>
  <c r="AT129" i="7" s="1"/>
  <c r="AB96" i="7"/>
  <c r="AS96" i="7" s="1"/>
  <c r="AT96" i="7" s="1"/>
  <c r="AB85" i="7"/>
  <c r="AS85" i="7" s="1"/>
  <c r="AT85" i="7" s="1"/>
  <c r="AB148" i="7"/>
  <c r="AS148" i="7" s="1"/>
  <c r="AT148" i="7" s="1"/>
  <c r="AB52" i="7"/>
  <c r="AS52" i="7" s="1"/>
  <c r="AT52" i="7" s="1"/>
  <c r="AB298" i="7"/>
  <c r="AS298" i="7" s="1"/>
  <c r="AT298" i="7" s="1"/>
  <c r="AB210" i="7"/>
  <c r="AS210" i="7" s="1"/>
  <c r="AT210" i="7" s="1"/>
  <c r="AB295" i="7"/>
  <c r="AS295" i="7" s="1"/>
  <c r="AT295" i="7" s="1"/>
  <c r="AB275" i="7"/>
  <c r="AS275" i="7" s="1"/>
  <c r="AT275" i="7" s="1"/>
  <c r="AB245" i="7"/>
  <c r="AS245" i="7" s="1"/>
  <c r="AT245" i="7" s="1"/>
  <c r="AB185" i="7"/>
  <c r="AS185" i="7" s="1"/>
  <c r="AT185" i="7" s="1"/>
  <c r="AB169" i="7"/>
  <c r="AS169" i="7" s="1"/>
  <c r="AT169" i="7" s="1"/>
  <c r="AB80" i="7"/>
  <c r="AS80" i="7" s="1"/>
  <c r="AT80" i="7" s="1"/>
  <c r="AB7" i="7"/>
  <c r="AS7" i="7" s="1"/>
  <c r="AT7" i="7" s="1"/>
  <c r="AB125" i="7"/>
  <c r="AS125" i="7" s="1"/>
  <c r="AT125" i="7" s="1"/>
  <c r="AB297" i="7"/>
  <c r="AS297" i="7" s="1"/>
  <c r="AT297" i="7" s="1"/>
  <c r="AS270" i="7"/>
  <c r="AT270" i="7" s="1"/>
  <c r="AB153" i="7"/>
  <c r="AS153" i="7" s="1"/>
  <c r="AT153" i="7" s="1"/>
  <c r="AB17" i="7"/>
  <c r="AS17" i="7"/>
  <c r="AT17" i="7" s="1"/>
  <c r="AB63" i="7"/>
  <c r="AS63" i="7" s="1"/>
  <c r="AT63" i="7" s="1"/>
  <c r="AB151" i="7"/>
  <c r="AS151" i="7" s="1"/>
  <c r="AT151" i="7" s="1"/>
  <c r="AB51" i="7"/>
  <c r="AS51" i="7" s="1"/>
  <c r="AT51" i="7" s="1"/>
  <c r="AB37" i="7"/>
  <c r="AS37" i="7" s="1"/>
  <c r="AT37" i="7" s="1"/>
  <c r="AB208" i="7"/>
  <c r="AS208" i="7" s="1"/>
  <c r="AT208" i="7" s="1"/>
  <c r="AB294" i="7"/>
  <c r="AS294" i="7" s="1"/>
  <c r="AT294" i="7" s="1"/>
  <c r="AB184" i="7"/>
  <c r="AS184" i="7" s="1"/>
  <c r="AT184" i="7" s="1"/>
  <c r="AB292" i="7"/>
  <c r="AS292" i="7" s="1"/>
  <c r="AT292" i="7" s="1"/>
  <c r="AB24" i="7"/>
  <c r="AS24" i="7" s="1"/>
  <c r="AT24" i="7" s="1"/>
  <c r="AB95" i="7"/>
  <c r="AS95" i="7" s="1"/>
  <c r="AT95" i="7" s="1"/>
  <c r="AB117" i="7"/>
  <c r="AS117" i="7" s="1"/>
  <c r="AT117" i="7" s="1"/>
  <c r="AB207" i="7"/>
  <c r="AS207" i="7" s="1"/>
  <c r="AT207" i="7" s="1"/>
  <c r="AB18" i="7"/>
  <c r="AS18" i="7" s="1"/>
  <c r="AT18" i="7" s="1"/>
  <c r="AB112" i="7"/>
  <c r="AS112" i="7" s="1"/>
  <c r="AT112" i="7" s="1"/>
  <c r="AB87" i="7"/>
  <c r="AS87" i="7" s="1"/>
  <c r="AT87" i="7" s="1"/>
  <c r="AB13" i="7"/>
  <c r="AS13" i="7" s="1"/>
  <c r="AT13" i="7" s="1"/>
  <c r="AB131" i="7"/>
  <c r="AS131" i="7" s="1"/>
  <c r="AT131" i="7" s="1"/>
  <c r="AB35" i="7"/>
  <c r="AS35" i="7" s="1"/>
  <c r="AT35" i="7" s="1"/>
  <c r="AB258" i="7"/>
  <c r="AS258" i="7" s="1"/>
  <c r="AT258" i="7" s="1"/>
  <c r="AB188" i="7"/>
  <c r="AS188" i="7" s="1"/>
  <c r="AT188" i="7" s="1"/>
  <c r="AB293" i="7"/>
  <c r="AS293" i="7" s="1"/>
  <c r="AT293" i="7" s="1"/>
  <c r="AB283" i="7"/>
  <c r="AS283" i="7" s="1"/>
  <c r="AT283" i="7" s="1"/>
  <c r="AB273" i="7"/>
  <c r="AS273" i="7" s="1"/>
  <c r="AT273" i="7" s="1"/>
  <c r="AB263" i="7"/>
  <c r="AS263" i="7" s="1"/>
  <c r="AT263" i="7" s="1"/>
  <c r="AB243" i="7"/>
  <c r="AS243" i="7" s="1"/>
  <c r="AT243" i="7" s="1"/>
  <c r="AB233" i="7"/>
  <c r="AS233" i="7" s="1"/>
  <c r="AT233" i="7" s="1"/>
  <c r="AB213" i="7"/>
  <c r="AS213" i="7" s="1"/>
  <c r="AT213" i="7" s="1"/>
  <c r="AB193" i="7"/>
  <c r="AS193" i="7" s="1"/>
  <c r="AT193" i="7" s="1"/>
  <c r="AB183" i="7"/>
  <c r="AS183" i="7" s="1"/>
  <c r="AT183" i="7" s="1"/>
  <c r="AB173" i="7"/>
  <c r="AS173" i="7" s="1"/>
  <c r="AT173" i="7" s="1"/>
  <c r="AB99" i="7"/>
  <c r="AS99" i="7" s="1"/>
  <c r="AT99" i="7" s="1"/>
  <c r="AB55" i="7"/>
  <c r="AS55" i="7" s="1"/>
  <c r="AT55" i="7" s="1"/>
  <c r="AB127" i="7"/>
  <c r="AS127" i="7" s="1"/>
  <c r="AT127" i="7" s="1"/>
  <c r="AB69" i="7"/>
  <c r="AS69" i="7" s="1"/>
  <c r="AT69" i="7" s="1"/>
  <c r="AB170" i="7"/>
  <c r="AS170" i="7" s="1"/>
  <c r="AT170" i="7" s="1"/>
  <c r="AB33" i="7"/>
  <c r="AS33" i="7" s="1"/>
  <c r="AT33" i="7" s="1"/>
  <c r="AB279" i="7"/>
  <c r="AS279" i="7" s="1"/>
  <c r="AT279" i="7" s="1"/>
  <c r="AB250" i="7"/>
  <c r="AS250" i="7" s="1"/>
  <c r="AT250" i="7" s="1"/>
  <c r="AS21" i="7"/>
  <c r="AT21" i="7" s="1"/>
  <c r="AS97" i="7"/>
  <c r="AT97" i="7" s="1"/>
  <c r="AB278" i="7"/>
  <c r="AS278" i="7" s="1"/>
  <c r="AT278" i="7" s="1"/>
  <c r="AB249" i="7"/>
  <c r="AS249" i="7" s="1"/>
  <c r="AT249" i="7" s="1"/>
  <c r="AB277" i="7"/>
  <c r="AS277" i="7" s="1"/>
  <c r="AT277" i="7" s="1"/>
  <c r="AB72" i="7"/>
  <c r="AS72" i="7" s="1"/>
  <c r="AT72" i="7" s="1"/>
  <c r="AB242" i="7"/>
  <c r="AS242" i="7" s="1"/>
  <c r="AT242" i="7" s="1"/>
  <c r="AB20" i="7"/>
  <c r="AS20" i="7" s="1"/>
  <c r="AT20" i="7" s="1"/>
  <c r="AB119" i="7"/>
  <c r="AS119" i="7" s="1"/>
  <c r="AT119" i="7" s="1"/>
  <c r="AB248" i="7"/>
  <c r="AS248" i="7" s="1"/>
  <c r="AT248" i="7" s="1"/>
  <c r="AB75" i="7"/>
  <c r="AS75" i="7" s="1"/>
  <c r="AT75" i="7" s="1"/>
  <c r="AB296" i="7"/>
  <c r="AS296" i="7" s="1"/>
  <c r="AT296" i="7" s="1"/>
  <c r="AB286" i="7"/>
  <c r="AS286" i="7" s="1"/>
  <c r="AT286" i="7" s="1"/>
  <c r="AB276" i="7"/>
  <c r="AS276" i="7" s="1"/>
  <c r="AT276" i="7" s="1"/>
  <c r="AB266" i="7"/>
  <c r="AS266" i="7" s="1"/>
  <c r="AT266" i="7" s="1"/>
  <c r="AB256" i="7"/>
  <c r="AS256" i="7" s="1"/>
  <c r="AT256" i="7" s="1"/>
  <c r="AB246" i="7"/>
  <c r="AS246" i="7" s="1"/>
  <c r="AT246" i="7" s="1"/>
  <c r="AB236" i="7"/>
  <c r="AS236" i="7" s="1"/>
  <c r="AT236" i="7" s="1"/>
  <c r="AB226" i="7"/>
  <c r="AS226" i="7" s="1"/>
  <c r="AT226" i="7" s="1"/>
  <c r="AB216" i="7"/>
  <c r="AS216" i="7" s="1"/>
  <c r="AT216" i="7" s="1"/>
  <c r="AB206" i="7"/>
  <c r="AS206" i="7" s="1"/>
  <c r="AT206" i="7" s="1"/>
  <c r="AB196" i="7"/>
  <c r="AS196" i="7" s="1"/>
  <c r="AT196" i="7" s="1"/>
  <c r="AB186" i="7"/>
  <c r="AS186" i="7" s="1"/>
  <c r="AT186" i="7" s="1"/>
  <c r="AB176" i="7"/>
  <c r="AS176" i="7" s="1"/>
  <c r="AT176" i="7" s="1"/>
  <c r="AB138" i="7"/>
  <c r="AS138" i="7" s="1"/>
  <c r="AT138" i="7" s="1"/>
  <c r="AB253" i="7"/>
  <c r="AS253" i="7" s="1"/>
  <c r="AT253" i="7" s="1"/>
  <c r="AB189" i="7"/>
  <c r="AS189" i="7" s="1"/>
  <c r="AT189" i="7" s="1"/>
  <c r="AB203" i="7"/>
  <c r="AS203" i="7" s="1"/>
  <c r="AT203" i="7" s="1"/>
  <c r="AB147" i="7"/>
  <c r="AS147" i="7" s="1"/>
  <c r="AT147" i="7" s="1"/>
  <c r="AB89" i="7"/>
  <c r="AS89" i="7" s="1"/>
  <c r="AT89" i="7" s="1"/>
  <c r="AB9" i="7"/>
  <c r="AS9" i="7" s="1"/>
  <c r="AT9" i="7" s="1"/>
  <c r="AB229" i="7"/>
  <c r="AS229" i="7" s="1"/>
  <c r="AT229" i="7" s="1"/>
  <c r="AB200" i="7"/>
  <c r="AS200" i="7" s="1"/>
  <c r="AT200" i="7" s="1"/>
  <c r="AB108" i="7"/>
  <c r="AS108" i="7" s="1"/>
  <c r="AT108" i="7" s="1"/>
  <c r="AB158" i="7"/>
  <c r="AS158" i="7" s="1"/>
  <c r="AT158" i="7" s="1"/>
  <c r="AB299" i="7"/>
  <c r="AS299" i="7" s="1"/>
  <c r="AT299" i="7" s="1"/>
  <c r="AB228" i="7"/>
  <c r="AS228" i="7" s="1"/>
  <c r="AT228" i="7" s="1"/>
  <c r="AB199" i="7"/>
  <c r="AS199" i="7" s="1"/>
  <c r="AT199" i="7" s="1"/>
  <c r="AB285" i="7"/>
  <c r="AS285" i="7" s="1"/>
  <c r="AT285" i="7" s="1"/>
  <c r="AB265" i="7"/>
  <c r="AS265" i="7" s="1"/>
  <c r="AT265" i="7" s="1"/>
  <c r="AB255" i="7"/>
  <c r="AS255" i="7" s="1"/>
  <c r="AT255" i="7" s="1"/>
  <c r="AB235" i="7"/>
  <c r="AS235" i="7" s="1"/>
  <c r="AT235" i="7" s="1"/>
  <c r="AB205" i="7"/>
  <c r="AS205" i="7" s="1"/>
  <c r="AT205" i="7" s="1"/>
  <c r="AB195" i="7"/>
  <c r="AS195" i="7" s="1"/>
  <c r="AT195" i="7" s="1"/>
  <c r="AB175" i="7"/>
  <c r="AS175" i="7" s="1"/>
  <c r="AT175" i="7" s="1"/>
  <c r="AB168" i="7"/>
  <c r="AS168" i="7" s="1"/>
  <c r="AT168" i="7" s="1"/>
  <c r="AB154" i="7"/>
  <c r="AS154" i="7" s="1"/>
  <c r="AT154" i="7" s="1"/>
  <c r="AB88" i="7"/>
  <c r="AS88" i="7" s="1"/>
  <c r="AT88" i="7" s="1"/>
  <c r="AB59" i="7"/>
  <c r="AS59" i="7" s="1"/>
  <c r="AT59" i="7" s="1"/>
  <c r="AB198" i="7"/>
  <c r="AS198" i="7" s="1"/>
  <c r="AT198" i="7" s="1"/>
  <c r="AB260" i="7"/>
  <c r="AS260" i="7" s="1"/>
  <c r="AT260" i="7" s="1"/>
  <c r="AB284" i="7"/>
  <c r="AS284" i="7" s="1"/>
  <c r="AT284" i="7" s="1"/>
  <c r="AB254" i="7"/>
  <c r="AS254" i="7" s="1"/>
  <c r="AT254" i="7" s="1"/>
  <c r="AB244" i="7"/>
  <c r="AS244" i="7" s="1"/>
  <c r="AT244" i="7" s="1"/>
  <c r="AB234" i="7"/>
  <c r="AS234" i="7" s="1"/>
  <c r="AT234" i="7" s="1"/>
  <c r="AB224" i="7"/>
  <c r="AS224" i="7" s="1"/>
  <c r="AT224" i="7" s="1"/>
  <c r="AB194" i="7"/>
  <c r="AS194" i="7" s="1"/>
  <c r="AT194" i="7" s="1"/>
  <c r="AB174" i="7"/>
  <c r="AS174" i="7" s="1"/>
  <c r="AT174" i="7" s="1"/>
  <c r="AB48" i="7"/>
  <c r="AS48" i="7" s="1"/>
  <c r="AT48" i="7" s="1"/>
  <c r="AB92" i="7"/>
  <c r="AS92" i="7" s="1"/>
  <c r="AT92" i="7" s="1"/>
  <c r="AB190" i="7"/>
  <c r="AS190" i="7" s="1"/>
  <c r="AT190" i="7" s="1"/>
  <c r="AS100" i="7"/>
  <c r="AT100" i="7" s="1"/>
  <c r="AS76" i="7"/>
  <c r="AT76" i="7" s="1"/>
  <c r="AB65" i="7"/>
  <c r="AS65" i="7" s="1"/>
  <c r="AT65" i="7" s="1"/>
  <c r="AB15" i="7"/>
  <c r="AS15" i="7" s="1"/>
  <c r="AT15" i="7" s="1"/>
  <c r="AB259" i="7"/>
  <c r="AS259" i="7" s="1"/>
  <c r="AT259" i="7" s="1"/>
  <c r="AB180" i="7"/>
  <c r="AS180" i="7" s="1"/>
  <c r="AT180" i="7" s="1"/>
  <c r="AB29" i="7"/>
  <c r="AS29" i="7" s="1"/>
  <c r="AT29" i="7" s="1"/>
  <c r="AB115" i="7"/>
  <c r="AS115" i="7" s="1"/>
  <c r="AT115" i="7" s="1"/>
  <c r="AB49" i="7"/>
  <c r="AS49" i="7" s="1"/>
  <c r="AT49" i="7" s="1"/>
  <c r="AB239" i="7"/>
  <c r="AS239" i="7" s="1"/>
  <c r="AT239" i="7" s="1"/>
  <c r="AB281" i="7"/>
  <c r="AS281" i="7" s="1"/>
  <c r="AT281" i="7" s="1"/>
  <c r="AB221" i="7"/>
  <c r="AS221" i="7" s="1"/>
  <c r="AT221" i="7" s="1"/>
  <c r="AB171" i="7"/>
  <c r="AS171" i="7" s="1"/>
  <c r="AT171" i="7" s="1"/>
  <c r="AB274" i="7"/>
  <c r="AS274" i="7" s="1"/>
  <c r="AT274" i="7" s="1"/>
  <c r="AB223" i="7"/>
  <c r="AS223" i="7" s="1"/>
  <c r="AT223" i="7" s="1"/>
  <c r="AB225" i="7"/>
  <c r="AS225" i="7" s="1"/>
  <c r="AT225" i="7" s="1"/>
  <c r="AB209" i="7"/>
  <c r="AS209" i="7" s="1"/>
  <c r="AT209" i="7" s="1"/>
  <c r="AB269" i="7"/>
  <c r="AS269" i="7" s="1"/>
  <c r="AT269" i="7" s="1"/>
  <c r="AB219" i="7"/>
  <c r="AS219" i="7" s="1"/>
  <c r="AT219" i="7" s="1"/>
  <c r="AB280" i="7"/>
  <c r="AS280" i="7" s="1"/>
  <c r="AT280" i="7" s="1"/>
  <c r="AB290" i="7"/>
  <c r="AS290" i="7" s="1"/>
  <c r="AT290" i="7" s="1"/>
  <c r="AB230" i="7"/>
  <c r="AS230" i="7" s="1"/>
  <c r="AT230" i="7" s="1"/>
  <c r="AS54" i="7"/>
  <c r="AT54" i="7" s="1"/>
  <c r="AS45" i="7"/>
  <c r="AT45" i="7" s="1"/>
  <c r="AS128" i="7"/>
  <c r="AT128" i="7" s="1"/>
  <c r="AS149" i="7"/>
  <c r="AT149" i="7" s="1"/>
  <c r="AS133" i="7"/>
  <c r="AT133" i="7" s="1"/>
  <c r="AO120" i="7"/>
  <c r="AO100" i="7"/>
  <c r="AO80" i="7"/>
  <c r="AO60" i="7"/>
  <c r="AO40" i="7"/>
  <c r="AO21" i="7"/>
  <c r="AO9" i="7"/>
  <c r="AC143" i="1"/>
  <c r="AD143" i="1"/>
  <c r="AC144" i="1"/>
  <c r="AD144" i="1"/>
  <c r="AN169" i="7" l="1"/>
  <c r="X169" i="7"/>
  <c r="AN168" i="7"/>
  <c r="X168" i="7"/>
  <c r="AN167" i="7"/>
  <c r="X167" i="7"/>
  <c r="AN166" i="7"/>
  <c r="X166" i="7"/>
  <c r="AN165" i="7"/>
  <c r="X165" i="7"/>
  <c r="AN164" i="7"/>
  <c r="X164" i="7"/>
  <c r="AN163" i="7"/>
  <c r="X163" i="7"/>
  <c r="AN162" i="7"/>
  <c r="X162" i="7"/>
  <c r="AN161" i="7"/>
  <c r="X161" i="7"/>
  <c r="AN160" i="7"/>
  <c r="X160" i="7"/>
  <c r="AN159" i="7"/>
  <c r="X159" i="7"/>
  <c r="AN158" i="7"/>
  <c r="X158" i="7"/>
  <c r="AN157" i="7"/>
  <c r="X157" i="7"/>
  <c r="AN156" i="7"/>
  <c r="X156" i="7"/>
  <c r="AN155" i="7"/>
  <c r="X155" i="7"/>
  <c r="AN154" i="7"/>
  <c r="X154" i="7"/>
  <c r="AN153" i="7"/>
  <c r="X153" i="7"/>
  <c r="AN152" i="7"/>
  <c r="X152" i="7"/>
  <c r="AN151" i="7"/>
  <c r="X151" i="7"/>
  <c r="AN150" i="7"/>
  <c r="X150" i="7"/>
  <c r="AN149" i="7"/>
  <c r="X149" i="7"/>
  <c r="AN148" i="7"/>
  <c r="X148" i="7"/>
  <c r="AN147" i="7"/>
  <c r="X147" i="7"/>
  <c r="AN146" i="7"/>
  <c r="X146" i="7"/>
  <c r="AN145" i="7"/>
  <c r="X145" i="7"/>
  <c r="AN144" i="7"/>
  <c r="X144" i="7"/>
  <c r="AN143" i="7"/>
  <c r="X143" i="7"/>
  <c r="AN142" i="7"/>
  <c r="X142" i="7"/>
  <c r="AN141" i="7"/>
  <c r="X141" i="7"/>
  <c r="AN140" i="7"/>
  <c r="X140" i="7"/>
  <c r="AN139" i="7"/>
  <c r="X139" i="7"/>
  <c r="AN138" i="7"/>
  <c r="X138" i="7"/>
  <c r="AN137" i="7"/>
  <c r="X137" i="7"/>
  <c r="AN136" i="7"/>
  <c r="X136" i="7"/>
  <c r="AN135" i="7"/>
  <c r="X135" i="7"/>
  <c r="AN134" i="7"/>
  <c r="X134" i="7"/>
  <c r="AN133" i="7"/>
  <c r="X133" i="7"/>
  <c r="AN132" i="7"/>
  <c r="X132" i="7"/>
  <c r="AN131" i="7"/>
  <c r="X131" i="7"/>
  <c r="AN130" i="7"/>
  <c r="X130" i="7"/>
  <c r="AN129" i="7"/>
  <c r="X129" i="7"/>
  <c r="AN128" i="7"/>
  <c r="X128" i="7"/>
  <c r="AN127" i="7"/>
  <c r="X127" i="7"/>
  <c r="AN126" i="7"/>
  <c r="X126" i="7"/>
  <c r="AN125" i="7"/>
  <c r="X125" i="7"/>
  <c r="AN124" i="7"/>
  <c r="X124" i="7"/>
  <c r="AN123" i="7"/>
  <c r="X123" i="7"/>
  <c r="AN122" i="7"/>
  <c r="X122" i="7"/>
  <c r="AN121" i="7"/>
  <c r="X121" i="7"/>
  <c r="AN120" i="7"/>
  <c r="X120" i="7"/>
  <c r="AN119" i="7"/>
  <c r="X119" i="7"/>
  <c r="AN118" i="7"/>
  <c r="X118" i="7"/>
  <c r="AN117" i="7"/>
  <c r="X117" i="7"/>
  <c r="AN116" i="7"/>
  <c r="X116" i="7"/>
  <c r="AN115" i="7"/>
  <c r="X115" i="7"/>
  <c r="AN114" i="7"/>
  <c r="X114" i="7"/>
  <c r="AN113" i="7"/>
  <c r="X113" i="7"/>
  <c r="AN112" i="7"/>
  <c r="X112" i="7"/>
  <c r="AN111" i="7"/>
  <c r="X111" i="7"/>
  <c r="AN110" i="7"/>
  <c r="X110" i="7"/>
  <c r="AN109" i="7"/>
  <c r="X109" i="7"/>
  <c r="AN108" i="7"/>
  <c r="X108" i="7"/>
  <c r="AN107" i="7"/>
  <c r="X107" i="7"/>
  <c r="AN106" i="7"/>
  <c r="X106" i="7"/>
  <c r="AN105" i="7"/>
  <c r="X105" i="7"/>
  <c r="AN104" i="7"/>
  <c r="X104" i="7"/>
  <c r="AN103" i="7"/>
  <c r="X103" i="7"/>
  <c r="AN102" i="7"/>
  <c r="X102" i="7"/>
  <c r="AN101" i="7"/>
  <c r="X101" i="7"/>
  <c r="AN100" i="7"/>
  <c r="X100" i="7"/>
  <c r="AN99" i="7"/>
  <c r="X99" i="7"/>
  <c r="AN98" i="7"/>
  <c r="X98" i="7"/>
  <c r="AN97" i="7"/>
  <c r="X97" i="7"/>
  <c r="AN96" i="7"/>
  <c r="X96" i="7"/>
  <c r="AN95" i="7"/>
  <c r="X95" i="7"/>
  <c r="AN94" i="7"/>
  <c r="X94" i="7"/>
  <c r="AN93" i="7"/>
  <c r="X93" i="7"/>
  <c r="AN92" i="7"/>
  <c r="X92" i="7"/>
  <c r="AN91" i="7"/>
  <c r="X91" i="7"/>
  <c r="AN90" i="7"/>
  <c r="X90" i="7"/>
  <c r="AN89" i="7"/>
  <c r="X89" i="7"/>
  <c r="AN88" i="7"/>
  <c r="X88" i="7"/>
  <c r="AN87" i="7"/>
  <c r="X87" i="7"/>
  <c r="AN86" i="7"/>
  <c r="X86" i="7"/>
  <c r="AN85" i="7"/>
  <c r="X85" i="7"/>
  <c r="AN84" i="7"/>
  <c r="X84" i="7"/>
  <c r="AN83" i="7"/>
  <c r="X83" i="7"/>
  <c r="AN82" i="7"/>
  <c r="X82" i="7"/>
  <c r="AN81" i="7"/>
  <c r="X81" i="7"/>
  <c r="AN80" i="7"/>
  <c r="X80" i="7"/>
  <c r="AN78" i="7"/>
  <c r="X78" i="7"/>
  <c r="AN77" i="7"/>
  <c r="X77" i="7"/>
  <c r="AN76" i="7"/>
  <c r="X76" i="7"/>
  <c r="AN75" i="7"/>
  <c r="X75" i="7"/>
  <c r="AN74" i="7"/>
  <c r="X74" i="7"/>
  <c r="AN73" i="7"/>
  <c r="X73" i="7"/>
  <c r="AN72" i="7"/>
  <c r="X72" i="7"/>
  <c r="AN71" i="7"/>
  <c r="X71" i="7"/>
  <c r="AN70" i="7"/>
  <c r="X70" i="7"/>
  <c r="AN69" i="7"/>
  <c r="X69" i="7"/>
  <c r="AN68" i="7"/>
  <c r="X68" i="7"/>
  <c r="AN67" i="7"/>
  <c r="X67" i="7"/>
  <c r="AN66" i="7"/>
  <c r="X66" i="7"/>
  <c r="AN65" i="7"/>
  <c r="X65" i="7"/>
  <c r="AN64" i="7"/>
  <c r="X64" i="7"/>
  <c r="AN63" i="7"/>
  <c r="X63" i="7"/>
  <c r="AN62" i="7"/>
  <c r="X62" i="7"/>
  <c r="AN61" i="7"/>
  <c r="X61" i="7"/>
  <c r="AN60" i="7"/>
  <c r="X60" i="7"/>
  <c r="AN59" i="7"/>
  <c r="X59" i="7"/>
  <c r="AN58" i="7"/>
  <c r="X58" i="7"/>
  <c r="AN57" i="7"/>
  <c r="X57" i="7"/>
  <c r="AN56" i="7"/>
  <c r="X56" i="7"/>
  <c r="AN55" i="7"/>
  <c r="X55" i="7"/>
  <c r="AN54" i="7"/>
  <c r="X54" i="7"/>
  <c r="AN53" i="7"/>
  <c r="X53" i="7"/>
  <c r="AN52" i="7"/>
  <c r="X52" i="7"/>
  <c r="AN51" i="7"/>
  <c r="X51" i="7"/>
  <c r="AN50" i="7"/>
  <c r="X50" i="7"/>
  <c r="AN49" i="7"/>
  <c r="X49" i="7"/>
  <c r="AN48" i="7"/>
  <c r="X48" i="7"/>
  <c r="AN47" i="7"/>
  <c r="X47" i="7"/>
  <c r="AN46" i="7"/>
  <c r="X46" i="7"/>
  <c r="AN45" i="7"/>
  <c r="X45" i="7"/>
  <c r="AN44" i="7"/>
  <c r="X44" i="7"/>
  <c r="AN43" i="7"/>
  <c r="X43" i="7"/>
  <c r="AN42" i="7"/>
  <c r="X42" i="7"/>
  <c r="AN41" i="7"/>
  <c r="X41" i="7"/>
  <c r="AN40" i="7"/>
  <c r="X40" i="7"/>
  <c r="AN39" i="7"/>
  <c r="X39" i="7"/>
  <c r="AN38" i="7"/>
  <c r="X38" i="7"/>
  <c r="AN37" i="7"/>
  <c r="X37" i="7"/>
  <c r="AN35" i="7"/>
  <c r="X35" i="7"/>
  <c r="AN34" i="7"/>
  <c r="X34" i="7"/>
  <c r="AN33" i="7"/>
  <c r="X33" i="7"/>
  <c r="AN32" i="7"/>
  <c r="X32" i="7"/>
  <c r="AN31" i="7"/>
  <c r="X31" i="7"/>
  <c r="AN30" i="7"/>
  <c r="X30" i="7"/>
  <c r="AN29" i="7"/>
  <c r="X29" i="7"/>
  <c r="AN28" i="7"/>
  <c r="X28" i="7"/>
  <c r="AN27" i="7"/>
  <c r="X27" i="7"/>
  <c r="AN26" i="7"/>
  <c r="X26" i="7"/>
  <c r="AN25" i="7"/>
  <c r="X25" i="7"/>
  <c r="AN24" i="7"/>
  <c r="X24" i="7"/>
  <c r="AN23" i="7"/>
  <c r="X23" i="7"/>
  <c r="AN22" i="7"/>
  <c r="X22" i="7"/>
  <c r="AN21" i="7"/>
  <c r="X21" i="7"/>
  <c r="AN20" i="7"/>
  <c r="X20" i="7"/>
  <c r="AN19" i="7"/>
  <c r="X19" i="7"/>
  <c r="AN18" i="7"/>
  <c r="X18" i="7"/>
  <c r="AN17" i="7"/>
  <c r="X17" i="7"/>
  <c r="AN16" i="7"/>
  <c r="X16" i="7"/>
  <c r="AN15" i="7"/>
  <c r="X15" i="7"/>
  <c r="AN14" i="7"/>
  <c r="X14" i="7"/>
  <c r="AN13" i="7"/>
  <c r="X13" i="7"/>
  <c r="AN12" i="7"/>
  <c r="X12" i="7"/>
  <c r="AN11" i="7"/>
  <c r="X11" i="7"/>
  <c r="AN10" i="7"/>
  <c r="X10" i="7"/>
  <c r="AN9" i="7"/>
  <c r="X9" i="7"/>
  <c r="AN8" i="7"/>
  <c r="X8" i="7"/>
  <c r="AN7" i="7"/>
  <c r="Y7" i="7"/>
  <c r="X7" i="7"/>
  <c r="AO6" i="7"/>
  <c r="AQ6" i="7"/>
  <c r="AN6" i="7"/>
  <c r="AA6" i="7"/>
  <c r="Z6" i="7"/>
  <c r="Y6" i="7"/>
  <c r="X6" i="7"/>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B6" i="7" l="1"/>
  <c r="AS6" i="7" s="1"/>
  <c r="AT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75A932FA-EF15-4AC6-AB99-E31275E48879}">
      <text>
        <r>
          <rPr>
            <b/>
            <sz val="9"/>
            <color indexed="81"/>
            <rFont val="Tahoma"/>
            <charset val="1"/>
          </rPr>
          <t>Pilih Ya apabila:</t>
        </r>
        <r>
          <rPr>
            <sz val="9"/>
            <color indexed="81"/>
            <rFont val="Tahoma"/>
            <charset val="1"/>
          </rPr>
          <t xml:space="preserve">
Terdapat penghuni berusia 60 tahun atau lebih</t>
        </r>
      </text>
    </comment>
    <comment ref="S5" authorId="0" shapeId="0" xr:uid="{9452C019-A988-4CD6-BA80-C9CF1EA0A833}">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BA6A6CF3-2C88-46D9-97FE-4DA9EB77BFFA}">
      <text>
        <r>
          <rPr>
            <b/>
            <sz val="9"/>
            <color indexed="81"/>
            <rFont val="Tahoma"/>
            <charset val="1"/>
          </rPr>
          <t>Pilih Ya apabila:</t>
        </r>
        <r>
          <rPr>
            <sz val="9"/>
            <color indexed="81"/>
            <rFont val="Tahoma"/>
            <charset val="1"/>
          </rPr>
          <t xml:space="preserve">
Perempuan tercatat sebagai kepala keluarga pada KK</t>
        </r>
      </text>
    </comment>
    <comment ref="U5" authorId="0" shapeId="0" xr:uid="{5DBE769F-B6D9-4823-9F06-13F9388EF480}">
      <text>
        <r>
          <rPr>
            <b/>
            <sz val="9"/>
            <color indexed="81"/>
            <rFont val="Tahoma"/>
            <charset val="1"/>
          </rPr>
          <t>Pilih Ya apabila:</t>
        </r>
        <r>
          <rPr>
            <sz val="9"/>
            <color indexed="81"/>
            <rFont val="Tahoma"/>
            <charset val="1"/>
          </rPr>
          <t xml:space="preserve">
Terdapat penghuni berusia 0 sampai sebelum 5 tahun</t>
        </r>
      </text>
    </comment>
    <comment ref="V5" authorId="0" shapeId="0" xr:uid="{B973BB2F-153E-4AC6-9887-1A4B6BC05FE1}">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C23CA54E-D502-45DE-9904-EA3E5A57041E}">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70C49C49-6CE7-4B08-A6CA-7E6A7C53D0C3}">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28364F51-710C-4F07-A4CE-7763B17EA175}">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3D26D535-60F5-4F76-A989-7F9723D22331}">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B0231A3C-9A4C-4D41-ACD2-408AA9765ADA}">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32629353-B82B-45D2-B736-68445711540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C1B374F2-BD82-4174-B621-11D8850B43AE}">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EA7DF4DD-30AC-465B-8B05-C5185C43C83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E6DDBAA3-06BA-4298-BFDC-57B7DDFEDB23}">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<sst xmlns="http://schemas.openxmlformats.org/spreadsheetml/2006/main" count="12428" uniqueCount="2116">
  <si>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</si>
  <si>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</si>
  <si>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</si>
  <si>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</si>
  <si>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</si>
  <si>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</si>
  <si>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</si>
  <si>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</si>
  <si>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</si>
  <si>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</si>
  <si>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</si>
  <si>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</si>
  <si>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</si>
  <si>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</si>
  <si>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</si>
  <si>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</si>
  <si>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</si>
  <si>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</si>
  <si>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</si>
  <si>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</si>
  <si>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</si>
  <si>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</si>
  <si>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</si>
  <si>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</si>
  <si>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</si>
  <si>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</si>
  <si>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</si>
  <si>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</si>
  <si>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</si>
  <si>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</si>
  <si>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</si>
  <si>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</si>
  <si>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</si>
  <si>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</si>
  <si>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</si>
  <si>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</si>
  <si>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</si>
  <si>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</si>
  <si>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</si>
  <si>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</si>
  <si>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</si>
  <si>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</si>
  <si>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</si>
  <si>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</si>
  <si>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</si>
  <si>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</si>
  <si>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</si>
  <si>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</si>
  <si>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</si>
  <si>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</si>
  <si>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</si>
  <si>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</si>
  <si>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</si>
  <si>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</si>
  <si>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</si>
  <si>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</si>
  <si>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</si>
  <si>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</si>
  <si>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</si>
  <si>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</si>
  <si>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</si>
  <si>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</si>
  <si>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</si>
  <si>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</si>
  <si>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</si>
  <si>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</si>
  <si>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</si>
  <si>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</si>
  <si>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</si>
  <si>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</si>
  <si>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</si>
  <si>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</si>
  <si>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</si>
  <si>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</si>
  <si>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</si>
  <si>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</si>
  <si>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</si>
  <si>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</si>
  <si>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</si>
  <si>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</si>
  <si>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</si>
  <si>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</si>
  <si>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</si>
  <si>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</si>
  <si>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</si>
  <si>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</si>
  <si>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</si>
  <si>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</si>
  <si>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</si>
  <si>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</si>
  <si>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</si>
  <si>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</si>
  <si>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</si>
  <si>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</si>
  <si>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</si>
  <si>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</si>
  <si>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</si>
  <si>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</si>
  <si>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</si>
  <si>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</si>
  <si>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</si>
  <si>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</si>
  <si>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</si>
  <si>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</si>
  <si>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</si>
  <si>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</si>
  <si>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</si>
  <si>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</si>
  <si>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</si>
  <si>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</si>
  <si>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</si>
  <si>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</si>
  <si>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</si>
  <si>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</si>
  <si>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</si>
  <si>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</si>
  <si>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</si>
  <si>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</si>
  <si>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</si>
  <si>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</si>
  <si>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</si>
  <si>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</si>
  <si>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</si>
  <si>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</si>
  <si>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</si>
  <si>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</si>
  <si>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</si>
  <si>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</si>
  <si>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</si>
  <si>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</si>
  <si>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</si>
  <si>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</si>
  <si>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</si>
  <si>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</si>
  <si>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</si>
  <si>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</si>
  <si>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</si>
  <si>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</si>
  <si>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</si>
  <si>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</si>
  <si>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</si>
  <si>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</si>
  <si>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</si>
  <si>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</si>
  <si>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</si>
  <si>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</si>
  <si>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</si>
  <si>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</si>
  <si>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</si>
  <si>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</si>
  <si>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</si>
  <si>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</si>
  <si>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</si>
  <si>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</si>
  <si>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</si>
  <si>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</si>
  <si>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</si>
  <si>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</si>
  <si>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</si>
  <si>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</si>
  <si>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</si>
  <si>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</si>
  <si>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</si>
  <si>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</si>
  <si>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</si>
  <si>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</si>
  <si>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</si>
  <si>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</si>
  <si>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</si>
  <si>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</si>
  <si>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</si>
  <si>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</si>
  <si>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</si>
  <si>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</si>
  <si>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</si>
  <si>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</si>
  <si>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</si>
  <si>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</si>
  <si>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</si>
  <si>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</si>
  <si>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</si>
  <si>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</si>
  <si>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</si>
  <si>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</si>
  <si>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</si>
  <si>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</si>
  <si>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</si>
  <si>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</si>
  <si>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</si>
  <si>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</si>
  <si>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</si>
  <si>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</si>
  <si>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</si>
  <si>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</si>
  <si>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</si>
  <si>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</si>
  <si>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</si>
  <si>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</si>
  <si>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</si>
  <si>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</si>
  <si>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</si>
  <si>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</si>
  <si>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</si>
  <si>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</si>
  <si>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</si>
  <si>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</si>
  <si>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</si>
  <si>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</si>
  <si>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</si>
  <si>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</si>
  <si>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</si>
  <si>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</si>
  <si>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</si>
  <si>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</si>
  <si>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</si>
  <si>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</si>
  <si>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</si>
  <si>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</si>
  <si>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</si>
  <si>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</si>
  <si>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</si>
  <si>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</si>
  <si>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</si>
  <si>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</si>
  <si>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</si>
  <si>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</si>
  <si>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</si>
  <si>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</si>
  <si>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</si>
  <si>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</si>
  <si>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</si>
  <si>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</si>
  <si>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</si>
  <si>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</si>
  <si>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</si>
  <si>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</si>
  <si>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</si>
  <si>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</si>
  <si>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</si>
  <si>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</si>
  <si>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</si>
  <si>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</si>
  <si>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</si>
  <si>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</si>
  <si>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</si>
  <si>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</si>
  <si>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</si>
  <si>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</si>
  <si>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</si>
  <si>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</si>
  <si>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</si>
  <si>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</si>
  <si>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</si>
  <si>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</si>
  <si>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</si>
  <si>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</si>
  <si>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</si>
  <si>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</si>
  <si>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</si>
  <si>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</si>
  <si>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</si>
  <si>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</si>
  <si>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</si>
  <si>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</si>
  <si>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</si>
  <si>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</si>
  <si>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</si>
  <si>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</si>
  <si>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</si>
  <si>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</si>
  <si>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</si>
  <si>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</si>
  <si>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</si>
  <si>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</si>
  <si>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</si>
  <si>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</si>
  <si>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</si>
  <si>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</si>
  <si>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</si>
  <si>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</si>
  <si>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</si>
  <si>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</si>
  <si>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</si>
  <si>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</si>
  <si>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</si>
  <si>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</si>
  <si>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</si>
  <si>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</si>
  <si>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</si>
  <si>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</si>
  <si>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</si>
  <si>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</si>
  <si>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</si>
  <si>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</si>
  <si>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</si>
  <si>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</si>
  <si>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</si>
  <si>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</si>
  <si>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</si>
  <si>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</si>
  <si>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</si>
  <si>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</si>
  <si>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</si>
  <si>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</si>
  <si>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</si>
  <si>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</si>
  <si>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</si>
  <si>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</si>
  <si>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</si>
  <si>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</si>
  <si>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</si>
  <si>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</si>
  <si>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</si>
  <si>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</si>
  <si>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</si>
  <si>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</si>
  <si>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</si>
  <si>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</si>
  <si>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</si>
  <si>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</si>
  <si>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</si>
  <si>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</si>
  <si>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</si>
  <si>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</si>
  <si>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</si>
  <si>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</si>
  <si>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</si>
  <si>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</si>
  <si>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</si>
  <si>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</si>
  <si>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</si>
  <si>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</si>
  <si>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</si>
  <si>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</si>
  <si>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</si>
  <si>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</si>
  <si>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</si>
  <si>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</si>
  <si>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</si>
  <si>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</si>
  <si>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</si>
  <si>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</si>
  <si>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</si>
  <si>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</si>
  <si>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</si>
  <si>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</si>
  <si>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</si>
  <si>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</si>
  <si>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</si>
  <si>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</si>
  <si>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</si>
  <si>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</si>
  <si>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</si>
  <si>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</si>
  <si>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</si>
  <si>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</si>
  <si>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</si>
  <si>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</si>
  <si>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</si>
  <si>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</si>
  <si>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</si>
  <si>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</si>
  <si>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</si>
  <si>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</si>
  <si>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</si>
  <si>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</si>
  <si>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</si>
  <si>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</si>
  <si>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</si>
  <si>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</si>
  <si>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</si>
  <si>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</si>
  <si>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</si>
  <si>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</si>
  <si>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</si>
  <si>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</si>
  <si>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</si>
  <si>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</si>
  <si>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</si>
  <si>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</si>
  <si>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</si>
  <si>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</si>
  <si>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</si>
  <si>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</si>
  <si>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</si>
  <si>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</si>
  <si>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</si>
  <si>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</si>
  <si>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</si>
  <si>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</si>
  <si>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</si>
  <si>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</si>
  <si>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</si>
  <si>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</si>
  <si>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</si>
  <si>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</si>
  <si>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</si>
  <si>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</si>
  <si>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</si>
  <si>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</si>
  <si>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</si>
  <si>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</si>
  <si>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</si>
  <si>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</si>
  <si>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</si>
  <si>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</si>
  <si>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</si>
  <si>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</si>
  <si>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</si>
  <si>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</si>
  <si>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</si>
  <si>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</si>
  <si>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</si>
  <si>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</si>
  <si>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</si>
  <si>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</si>
  <si>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</si>
  <si>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</si>
  <si>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</si>
  <si>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</si>
  <si>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</si>
  <si>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</si>
  <si>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</si>
  <si>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</si>
  <si>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</si>
  <si>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</si>
  <si>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</si>
  <si>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</si>
  <si>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</si>
  <si>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</si>
  <si>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</si>
  <si>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</si>
  <si>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</si>
  <si>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</si>
  <si>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</si>
  <si>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</si>
  <si>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</si>
  <si>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</si>
  <si>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</si>
  <si>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</si>
  <si>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</si>
  <si>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</si>
  <si>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</si>
  <si>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</si>
  <si>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</si>
  <si>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</si>
  <si>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</si>
  <si>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</si>
  <si>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</si>
  <si>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</si>
  <si>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</si>
  <si>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</si>
  <si>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</si>
  <si>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</si>
  <si>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</si>
  <si>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</si>
  <si>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</si>
  <si>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</si>
  <si>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</si>
  <si>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</si>
  <si>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</si>
  <si>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</si>
  <si>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</si>
  <si>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</si>
  <si>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</si>
  <si>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</si>
  <si>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</si>
  <si>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</si>
  <si>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</si>
  <si>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</si>
  <si>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</si>
  <si>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</si>
  <si>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</si>
  <si>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</si>
  <si>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</si>
  <si>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</si>
  <si>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</si>
  <si>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</si>
  <si>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</si>
  <si>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</si>
  <si>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</si>
  <si>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</si>
  <si>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</si>
  <si>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</si>
  <si>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</si>
  <si>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</si>
  <si>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</si>
  <si>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</si>
  <si>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</si>
  <si>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</si>
  <si>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</si>
  <si>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</si>
  <si>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</si>
  <si>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</si>
  <si>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</si>
  <si>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</si>
  <si>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</si>
  <si>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</si>
  <si>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</si>
  <si>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</si>
  <si>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</si>
  <si>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</si>
  <si>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</si>
  <si>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</si>
  <si>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</si>
  <si>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</si>
  <si>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</si>
  <si>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</si>
  <si>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</si>
  <si>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</si>
  <si>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</si>
  <si>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</si>
  <si>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</si>
  <si>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</si>
  <si>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</si>
  <si>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</si>
  <si>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</si>
  <si>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</si>
  <si>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</si>
  <si>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</si>
  <si>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</si>
  <si>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</si>
  <si>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</si>
  <si>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</si>
  <si>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</si>
  <si>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</si>
  <si>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</si>
  <si>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</si>
  <si>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</si>
  <si>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</si>
  <si>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</si>
  <si>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</si>
  <si>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</si>
  <si>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</si>
  <si>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</si>
  <si>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</si>
  <si>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</si>
  <si>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</si>
  <si>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</si>
  <si>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</si>
  <si>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</si>
  <si>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</si>
  <si>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</si>
  <si>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</si>
  <si>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</si>
  <si>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</si>
  <si>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</si>
  <si>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</si>
  <si>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</si>
  <si>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</si>
  <si>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</si>
  <si>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</si>
  <si>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</si>
  <si>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</si>
  <si>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</si>
  <si>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</si>
  <si>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</si>
  <si>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</si>
  <si>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</si>
  <si>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</si>
  <si>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</si>
  <si>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</si>
  <si>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</si>
  <si>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</si>
  <si>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</si>
  <si>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</si>
  <si>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</si>
  <si>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</si>
  <si>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</si>
  <si>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</si>
  <si>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</si>
  <si>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</si>
  <si>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</si>
  <si>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</si>
  <si>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</si>
  <si>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</si>
  <si>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</si>
  <si>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</si>
  <si>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</si>
  <si>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</si>
  <si>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</si>
  <si>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</si>
  <si>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</si>
  <si>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</si>
  <si>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</si>
  <si>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</si>
  <si>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</si>
  <si>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</si>
  <si>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</si>
  <si>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</si>
  <si>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</si>
  <si>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</si>
  <si>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</si>
  <si>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</si>
  <si>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</si>
  <si>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</si>
  <si>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</si>
  <si>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</si>
  <si>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</si>
  <si>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</si>
  <si>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</si>
  <si>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</si>
  <si>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</si>
  <si>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</si>
  <si>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</si>
  <si>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</si>
  <si>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</si>
  <si>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</si>
  <si>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</si>
  <si>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</si>
  <si>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</si>
  <si>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</si>
  <si>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</si>
  <si>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</si>
  <si>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</si>
  <si>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</si>
  <si>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</si>
  <si>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</si>
  <si>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</si>
  <si>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</si>
  <si>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</si>
  <si>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</si>
  <si>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</si>
  <si>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</si>
  <si>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</si>
  <si>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</si>
  <si>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</si>
  <si>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</si>
  <si>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</si>
  <si>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</si>
  <si>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</si>
  <si>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</si>
  <si>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</si>
  <si>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</si>
  <si>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</si>
  <si>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</si>
  <si>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</si>
  <si>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</si>
  <si>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</si>
  <si>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</si>
  <si>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</si>
  <si>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</si>
  <si>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</si>
  <si>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</si>
  <si>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</si>
  <si>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</si>
  <si>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</si>
  <si>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</si>
  <si>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</si>
  <si>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</si>
  <si>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</si>
  <si>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</si>
  <si>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</si>
  <si>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</si>
  <si>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</si>
  <si>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</si>
  <si>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</si>
  <si>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</si>
  <si>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</si>
  <si>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</si>
  <si>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</si>
  <si>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</si>
  <si>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</si>
  <si>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</si>
  <si>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</si>
  <si>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</si>
  <si>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</si>
  <si>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</si>
  <si>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</si>
  <si>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</si>
  <si>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</si>
  <si>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</si>
  <si>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</si>
  <si>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</si>
  <si>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</si>
  <si>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</si>
  <si>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</si>
  <si>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</si>
  <si>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</si>
  <si>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</si>
  <si>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</si>
  <si>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</si>
  <si>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</si>
  <si>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</si>
  <si>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</si>
  <si>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</si>
  <si>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</si>
  <si>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</si>
  <si>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</si>
  <si>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</si>
  <si>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</si>
  <si>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</si>
  <si>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</si>
  <si>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</si>
  <si>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</si>
  <si>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</si>
  <si>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</si>
  <si>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</si>
  <si>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</si>
  <si>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</si>
  <si>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</si>
  <si>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</si>
  <si>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</si>
  <si>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</si>
  <si>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</si>
  <si>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</si>
  <si>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</si>
  <si>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</si>
  <si>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</si>
  <si>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</si>
  <si>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</si>
  <si>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</si>
  <si>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</si>
  <si>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</si>
  <si>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</si>
  <si>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</si>
  <si>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</si>
  <si>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</si>
  <si>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</si>
  <si>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</si>
  <si>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</si>
  <si>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</si>
  <si>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</si>
  <si>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</si>
  <si>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</si>
  <si>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</si>
  <si>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</si>
  <si>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</si>
  <si>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</si>
  <si>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</si>
  <si>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</si>
  <si>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</si>
  <si>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</si>
  <si>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</si>
  <si>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</si>
  <si>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</si>
  <si>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</si>
  <si>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</si>
  <si>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</si>
  <si>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</si>
  <si>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</si>
  <si>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</si>
  <si>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</si>
  <si>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</si>
  <si>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</si>
  <si>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</si>
  <si>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</si>
  <si>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</si>
  <si>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</si>
  <si>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</si>
  <si>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</si>
  <si>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</si>
  <si>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</si>
  <si>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</si>
  <si>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</si>
  <si>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</si>
  <si>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</si>
  <si>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</si>
  <si>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</si>
  <si>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</si>
  <si>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</si>
  <si>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</si>
  <si>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</si>
  <si>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</si>
  <si>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</si>
  <si>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</si>
  <si>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</si>
  <si>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</si>
  <si>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</si>
  <si>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</si>
  <si>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</si>
  <si>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</si>
  <si>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</si>
  <si>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</si>
  <si>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</si>
  <si>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</si>
  <si>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</si>
  <si>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</si>
  <si>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</si>
  <si>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</si>
  <si>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</si>
  <si>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</si>
  <si>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</si>
  <si>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</si>
  <si>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</si>
  <si>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</si>
  <si>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</si>
  <si>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</si>
  <si>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</si>
  <si>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</si>
  <si>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</si>
  <si>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</si>
  <si>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</si>
  <si>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</si>
  <si>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</si>
  <si>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</si>
  <si>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</si>
  <si>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</si>
  <si>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</si>
  <si>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</si>
  <si>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</si>
  <si>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</si>
  <si>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</si>
  <si>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</si>
  <si>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</si>
  <si>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</si>
  <si>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</si>
  <si>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</si>
  <si>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</si>
  <si>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</si>
  <si>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</si>
  <si>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</si>
  <si>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</si>
  <si>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</si>
  <si>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</si>
  <si>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</si>
  <si>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</si>
  <si>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</si>
  <si>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</si>
  <si>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</si>
  <si>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</si>
  <si>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</si>
  <si>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</si>
  <si>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</si>
  <si>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</si>
  <si>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</si>
  <si>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</si>
  <si>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</si>
  <si>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</si>
  <si>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</si>
  <si>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</si>
  <si>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</si>
  <si>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</si>
  <si>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</si>
  <si>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</si>
  <si>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</si>
  <si>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</si>
  <si>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</si>
  <si>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</si>
  <si>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</si>
  <si>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</si>
  <si>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</si>
  <si>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</si>
  <si>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</si>
  <si>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</si>
  <si>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</si>
  <si>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</si>
  <si>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</si>
  <si>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</si>
  <si>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</si>
  <si>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</si>
  <si>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</si>
  <si>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</si>
  <si>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</si>
  <si>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</si>
  <si>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</si>
  <si>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</si>
  <si>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</si>
  <si>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</si>
  <si>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</si>
  <si>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</si>
  <si>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</si>
  <si>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</si>
  <si>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</si>
  <si>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</si>
  <si>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</si>
  <si>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</si>
  <si>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</si>
  <si>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</si>
  <si>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</si>
  <si>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</si>
  <si>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</si>
  <si>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</si>
  <si>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</si>
  <si>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</si>
  <si>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</si>
  <si>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</si>
  <si>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</si>
  <si>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</si>
  <si>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</si>
  <si>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</si>
  <si>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</si>
  <si>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</si>
  <si>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</si>
  <si>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</si>
  <si>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</si>
  <si>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</si>
  <si>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</si>
  <si>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</si>
  <si>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</si>
  <si>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</si>
  <si>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</si>
  <si>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</si>
  <si>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</si>
  <si>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</si>
  <si>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</si>
  <si>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</si>
  <si>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</si>
  <si>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</si>
  <si>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</si>
  <si>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</si>
  <si>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</si>
  <si>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</si>
  <si>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</si>
  <si>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</si>
  <si>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</si>
  <si>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</si>
  <si>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</si>
  <si>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</si>
  <si>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</si>
  <si>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</si>
  <si>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</si>
  <si>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</si>
  <si>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</si>
  <si>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</si>
  <si>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</si>
  <si>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</si>
  <si>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</si>
  <si>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</si>
  <si>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</si>
  <si>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</si>
  <si>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</si>
  <si>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</si>
  <si>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</si>
  <si>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</si>
  <si>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</si>
  <si>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</si>
  <si>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</si>
  <si>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</si>
  <si>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</si>
  <si>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</si>
  <si>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</si>
  <si>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</si>
  <si>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</si>
  <si>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</si>
  <si>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</si>
  <si>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</si>
  <si>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</si>
  <si>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</si>
  <si>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</si>
  <si>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</si>
  <si>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</si>
  <si>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</si>
  <si>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</si>
  <si>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</si>
  <si>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</si>
  <si>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</si>
  <si>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</si>
  <si>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</si>
  <si>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</si>
  <si>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</si>
  <si>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</si>
  <si>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</si>
  <si>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</si>
  <si>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</si>
  <si>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</si>
  <si>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</si>
  <si>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</si>
  <si>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</si>
  <si>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</si>
  <si>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</si>
  <si>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</si>
  <si>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</si>
  <si>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</si>
  <si>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</si>
  <si>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</si>
  <si>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</si>
  <si>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</si>
  <si>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</si>
  <si>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</si>
  <si>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</si>
  <si>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</si>
  <si>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</si>
  <si>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</si>
  <si>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</si>
  <si>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</si>
  <si>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</si>
  <si>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</si>
  <si>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</si>
  <si>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</si>
  <si>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</si>
  <si>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</si>
  <si>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</si>
  <si>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</si>
  <si>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</si>
  <si>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</si>
  <si>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</si>
  <si>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</si>
  <si>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</si>
  <si>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</si>
  <si>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</si>
  <si>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</si>
  <si>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</si>
  <si>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</si>
  <si>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</si>
  <si>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</si>
  <si>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</si>
  <si>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</si>
  <si>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</si>
  <si>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</si>
  <si>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</si>
  <si>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</si>
  <si>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</si>
  <si>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</si>
  <si>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</si>
  <si>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</si>
  <si>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</si>
  <si>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</si>
  <si>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</si>
  <si>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</si>
  <si>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</si>
  <si>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</si>
  <si>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</si>
  <si>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</si>
  <si>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</si>
  <si>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</si>
  <si>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</si>
  <si>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</si>
  <si>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</si>
  <si>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</si>
  <si>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</si>
  <si>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</si>
  <si>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</si>
  <si>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</si>
  <si>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</si>
  <si>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</si>
  <si>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</si>
  <si>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</si>
  <si>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</si>
  <si>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</si>
  <si>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</si>
  <si>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</si>
  <si>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</si>
  <si>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</si>
  <si>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</si>
  <si>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</si>
  <si>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</si>
  <si>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</si>
  <si>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</si>
  <si>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</si>
  <si>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</si>
  <si>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</si>
  <si>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</si>
  <si>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</si>
  <si>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</si>
  <si>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</si>
  <si>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</si>
  <si>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</si>
  <si>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</si>
  <si>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</si>
  <si>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</si>
  <si>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</si>
  <si>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</si>
  <si>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</si>
  <si>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</si>
  <si>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</si>
  <si>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</si>
  <si>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</si>
  <si>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</si>
  <si>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</si>
  <si>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</si>
  <si>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</si>
  <si>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</si>
  <si>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</si>
  <si>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</si>
  <si>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</si>
  <si>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</si>
  <si>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</si>
  <si>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</si>
  <si>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</si>
  <si>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</si>
  <si>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</si>
  <si>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</si>
  <si>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</si>
  <si>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</si>
  <si>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</si>
  <si>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</si>
  <si>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</si>
  <si>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</si>
  <si>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</si>
  <si>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</si>
  <si>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</si>
  <si>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</si>
  <si>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</si>
  <si>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</si>
  <si>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</si>
  <si>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</si>
  <si>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</si>
  <si>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</si>
  <si>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</si>
  <si>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</si>
  <si>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</si>
  <si>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</si>
  <si>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</si>
  <si>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</si>
  <si>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</si>
  <si>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</si>
  <si>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</si>
  <si>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</si>
  <si>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</si>
  <si>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</si>
  <si>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</si>
  <si>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</si>
  <si>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</si>
  <si>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</si>
  <si>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</si>
  <si>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</si>
  <si>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</si>
  <si>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</si>
  <si>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</si>
  <si>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</si>
  <si>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</si>
  <si>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</si>
  <si>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</si>
  <si>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</si>
  <si>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</si>
  <si>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</si>
  <si>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</si>
  <si>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</si>
  <si>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</si>
  <si>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</si>
  <si>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</si>
  <si>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</si>
  <si>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</si>
  <si>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</si>
  <si>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</si>
  <si>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</si>
  <si>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</si>
  <si>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</si>
  <si>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</si>
  <si>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</si>
  <si>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</si>
  <si>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</si>
  <si>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</si>
  <si>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</si>
  <si>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</si>
  <si>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</si>
  <si>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</si>
  <si>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</si>
  <si>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</si>
  <si>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</si>
  <si>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</si>
  <si>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</si>
  <si>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</si>
  <si>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</si>
  <si>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</si>
  <si>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</si>
  <si>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</si>
  <si>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</si>
  <si>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</si>
  <si>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</si>
  <si>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</si>
  <si>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</si>
  <si>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</si>
  <si>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</si>
  <si>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</si>
  <si>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</si>
  <si>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</si>
  <si>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</si>
  <si>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</si>
  <si>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</si>
  <si>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</si>
  <si>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</si>
  <si>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</si>
  <si>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</si>
  <si>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</si>
  <si>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</si>
  <si>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</si>
  <si>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</si>
  <si>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</si>
  <si>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</si>
  <si>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</si>
  <si>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</si>
  <si>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</si>
  <si>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</si>
  <si>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</si>
  <si>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</si>
  <si>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</si>
  <si>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</si>
  <si>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</si>
  <si>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</si>
  <si>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</si>
  <si>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</si>
  <si>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</si>
  <si>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</si>
  <si>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</si>
  <si>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</si>
  <si>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</si>
  <si>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</si>
  <si>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</si>
  <si>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</si>
  <si>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</si>
  <si>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</si>
  <si>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</si>
  <si>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</si>
  <si>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</si>
  <si>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</si>
  <si>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</si>
  <si>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</si>
  <si>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</si>
  <si>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</si>
  <si>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</si>
  <si>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</si>
  <si>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</si>
  <si>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</si>
  <si>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</si>
  <si>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</si>
  <si>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</si>
  <si>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</si>
  <si>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</si>
  <si>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</si>
  <si>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</si>
  <si>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</si>
  <si>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</si>
  <si>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</si>
  <si>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</si>
  <si>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</si>
  <si>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</si>
  <si>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</si>
  <si>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</si>
  <si>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</si>
  <si>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</si>
  <si>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</si>
  <si>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</si>
  <si>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</si>
  <si>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</si>
  <si>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</si>
  <si>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</si>
  <si>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</si>
  <si>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</si>
  <si>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</si>
  <si>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</si>
  <si>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</si>
  <si>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</si>
  <si>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</si>
  <si>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</si>
  <si>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</si>
  <si>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</si>
  <si>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</si>
  <si>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</si>
  <si>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</si>
  <si>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</si>
  <si>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</si>
  <si>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</si>
  <si>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</si>
  <si>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</si>
  <si>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</si>
  <si>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</si>
  <si>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</si>
  <si>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</si>
  <si>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</si>
  <si>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</si>
  <si>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</si>
  <si>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</si>
  <si>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</si>
  <si>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</si>
  <si>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</si>
  <si>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</si>
  <si>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</si>
  <si>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</si>
  <si>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</si>
  <si>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</si>
  <si>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</si>
  <si>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</si>
  <si>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</si>
  <si>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</si>
  <si>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</si>
  <si>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</si>
  <si>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</si>
  <si>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</si>
  <si>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</si>
  <si>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</si>
  <si>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</si>
  <si>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</si>
  <si>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</si>
  <si>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</si>
  <si>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</si>
  <si>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</si>
  <si>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</si>
  <si>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</si>
  <si>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</si>
  <si>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</si>
  <si>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</si>
  <si>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</si>
  <si>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</si>
  <si>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</si>
  <si>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</si>
  <si>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</si>
  <si>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</si>
  <si>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</si>
  <si>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</si>
  <si>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</si>
  <si>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</si>
  <si>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</si>
  <si>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</si>
  <si>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</si>
  <si>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</si>
  <si>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</si>
  <si>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</si>
  <si>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</si>
  <si>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Terpal/Material Darurat</t>
  </si>
  <si>
    <t>Material Darurat</t>
  </si>
  <si>
    <t>Swadaya</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</si>
  <si>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</si>
  <si>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</si>
  <si>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</si>
  <si>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</si>
  <si>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</si>
  <si>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</si>
  <si>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</si>
  <si>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</si>
  <si>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</si>
  <si>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</si>
  <si>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</si>
  <si>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</si>
  <si>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</si>
  <si>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</si>
  <si>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</si>
  <si>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</si>
  <si>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</si>
  <si>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</si>
  <si>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</si>
  <si>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</si>
  <si>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</si>
  <si>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</si>
  <si>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</si>
  <si>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</si>
  <si>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</si>
  <si>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</si>
  <si>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</si>
  <si>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</si>
  <si>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</si>
  <si>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</si>
  <si>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</si>
  <si>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</si>
  <si>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</si>
  <si>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</si>
  <si>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</si>
  <si>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</si>
  <si>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</si>
  <si>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</si>
  <si>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</si>
  <si>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</si>
  <si>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</si>
  <si>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</si>
  <si>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</si>
  <si>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</si>
  <si>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</si>
  <si>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</si>
  <si>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</si>
  <si>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</si>
  <si>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</si>
  <si>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</si>
  <si>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</si>
  <si>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</si>
  <si>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</si>
  <si>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</si>
  <si>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</si>
  <si>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</si>
  <si>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</si>
  <si>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</si>
  <si>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</si>
  <si>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</si>
  <si>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</si>
  <si>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</si>
  <si>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</si>
  <si>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</si>
  <si>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</si>
  <si>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</si>
  <si>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</si>
  <si>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</si>
  <si>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</si>
  <si>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</si>
  <si>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</si>
  <si>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JL. TELUK BAYUR</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</si>
  <si>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</si>
  <si>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</si>
  <si>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</si>
  <si>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</si>
  <si>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</si>
  <si>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</si>
  <si>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</si>
  <si>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</si>
  <si>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</si>
  <si>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</si>
  <si>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</si>
  <si>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</si>
  <si>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</si>
  <si>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</si>
  <si>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</si>
  <si>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</si>
  <si>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</si>
  <si>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</si>
  <si>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</si>
  <si>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</si>
  <si>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</si>
  <si>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</si>
  <si>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RUMAH FULL PAPAN, ATAP GENTENG.LANTAI PLASTER.WC DILUAR.</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</si>
  <si>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</si>
  <si>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</si>
  <si>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</si>
  <si>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</si>
  <si>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</si>
  <si>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</si>
  <si>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</si>
  <si>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</si>
  <si>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</si>
  <si>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</si>
  <si>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</si>
  <si>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</si>
  <si>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</si>
  <si>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</si>
  <si>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</si>
  <si>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</si>
  <si>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</si>
  <si>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</si>
  <si>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</si>
  <si>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</si>
  <si>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</si>
  <si>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</si>
  <si>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</si>
  <si>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</si>
  <si>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</si>
  <si>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</si>
  <si>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</si>
  <si>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</si>
  <si>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</si>
  <si>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</si>
  <si>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</si>
  <si>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</si>
  <si>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</si>
  <si>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</si>
  <si>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</si>
  <si>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</si>
  <si>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</si>
  <si>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</si>
  <si>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</si>
  <si>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</si>
  <si>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</si>
  <si>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</si>
  <si>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</si>
  <si>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</si>
  <si>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</si>
  <si>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</si>
  <si>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</si>
  <si>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</si>
  <si>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</si>
  <si>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</si>
  <si>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</si>
  <si>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</si>
  <si>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</si>
  <si>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</si>
  <si>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</si>
  <si>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</si>
  <si>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</si>
  <si>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</si>
  <si>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</si>
  <si>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</si>
  <si>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</si>
  <si>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</si>
  <si>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</si>
  <si>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</si>
  <si>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</si>
  <si>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</si>
  <si>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</si>
  <si>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</si>
  <si>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</si>
  <si>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</si>
  <si>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</si>
  <si>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</si>
  <si>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</si>
  <si>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</si>
  <si>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</si>
  <si>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</si>
  <si>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</si>
  <si>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</si>
  <si>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</si>
  <si>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</si>
  <si>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RUMAH PERMANEN, ( MINTA REHAB BAGIAN ATAP)</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</si>
  <si>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</si>
  <si>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</si>
  <si>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</si>
  <si>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</si>
  <si>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</si>
  <si>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</si>
  <si>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</si>
  <si>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</si>
  <si>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</si>
  <si>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</si>
  <si>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</si>
  <si>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</si>
  <si>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</si>
  <si>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</si>
  <si>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</si>
  <si>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</si>
  <si>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</si>
  <si>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</si>
  <si>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</si>
  <si>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</si>
  <si>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</si>
  <si>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</si>
  <si>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</si>
  <si>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</si>
  <si>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</si>
  <si>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</si>
  <si>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</si>
  <si>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</si>
  <si>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</si>
  <si>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</si>
  <si>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</si>
  <si>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</si>
  <si>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</si>
  <si>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</si>
  <si>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</si>
  <si>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</si>
  <si>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</si>
  <si>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</si>
  <si>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</si>
  <si>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</si>
  <si>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</si>
  <si>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</si>
  <si>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</si>
  <si>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</si>
  <si>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</si>
  <si>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</si>
  <si>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</si>
  <si>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</si>
  <si>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</si>
  <si>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</si>
  <si>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</si>
  <si>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</si>
  <si>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</si>
  <si>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</si>
  <si>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</si>
  <si>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</si>
  <si>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</si>
  <si>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</si>
  <si>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</si>
  <si>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</si>
  <si>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</si>
  <si>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</si>
  <si>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RUMAH FULL PAPAN, ATAP ASBES,TIDAK MEMILIKI WC PRIBADI, LISTIRIK NYAMBUNG DENGAN SAUDARA, LANTAI FLOOR</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</si>
  <si>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</si>
  <si>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</si>
  <si>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</si>
  <si>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</si>
  <si>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</si>
  <si>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</si>
  <si>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</si>
  <si>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</si>
  <si>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</si>
  <si>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</si>
  <si>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</si>
  <si>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</si>
  <si>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</si>
  <si>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</si>
  <si>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</si>
  <si>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</si>
  <si>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</si>
  <si>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</si>
  <si>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</si>
  <si>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</si>
  <si>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</si>
  <si>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</si>
  <si>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</si>
  <si>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</si>
  <si>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</si>
  <si>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</si>
  <si>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</si>
  <si>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</si>
  <si>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</si>
  <si>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</si>
  <si>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</si>
  <si>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</si>
  <si>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</si>
  <si>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</si>
  <si>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</si>
  <si>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</si>
  <si>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</si>
  <si>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</si>
  <si>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</si>
  <si>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</si>
  <si>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</si>
  <si>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</si>
  <si>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</si>
  <si>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</si>
  <si>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</si>
  <si>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</si>
  <si>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</si>
  <si>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</si>
  <si>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</si>
  <si>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</si>
  <si>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</si>
  <si>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</si>
  <si>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</si>
  <si>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</si>
  <si>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</si>
  <si>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</si>
  <si>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</si>
  <si>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</si>
  <si>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</si>
  <si>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</si>
  <si>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</si>
  <si>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</si>
  <si>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</si>
  <si>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</si>
  <si>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</si>
  <si>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</si>
  <si>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</si>
  <si>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</si>
  <si>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</si>
  <si>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</si>
  <si>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</si>
  <si>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</si>
  <si>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</si>
  <si>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</si>
  <si>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</si>
  <si>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</si>
  <si>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</si>
  <si>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</si>
  <si>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</si>
  <si>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</si>
  <si>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</si>
  <si>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</si>
  <si>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</si>
  <si>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</si>
  <si>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</si>
  <si>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</si>
  <si>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</si>
  <si>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</si>
  <si>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</si>
  <si>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</si>
  <si>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</si>
  <si>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</si>
  <si>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</si>
  <si>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</si>
  <si>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</si>
  <si>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</si>
  <si>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</si>
  <si>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</si>
  <si>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</si>
  <si>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</si>
  <si>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</si>
  <si>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</si>
  <si>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</si>
  <si>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</si>
  <si>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</si>
  <si>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</si>
  <si>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</si>
  <si>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</si>
  <si>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</si>
  <si>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</si>
  <si>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</si>
  <si>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</si>
  <si>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</si>
  <si>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</si>
  <si>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</si>
  <si>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</si>
  <si>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</si>
  <si>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</si>
  <si>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</si>
  <si>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</si>
  <si>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</si>
  <si>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</si>
  <si>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</si>
  <si>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</si>
  <si>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</si>
  <si>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</si>
  <si>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</si>
  <si>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</si>
  <si>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</si>
  <si>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</si>
  <si>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</si>
  <si>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</si>
  <si>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</si>
  <si>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</si>
  <si>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</si>
  <si>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</si>
  <si>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</si>
  <si>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</si>
  <si>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</si>
  <si>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</si>
  <si>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</si>
  <si>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</si>
  <si>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</si>
  <si>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</si>
  <si>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</si>
  <si>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</si>
  <si>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</si>
  <si>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</si>
  <si>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</si>
  <si>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</si>
  <si>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</si>
  <si>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</si>
  <si>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</si>
  <si>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</si>
  <si>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</si>
  <si>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</si>
  <si>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</si>
  <si>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</si>
  <si>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</si>
  <si>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</si>
  <si>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</si>
  <si>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</si>
  <si>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</si>
  <si>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</si>
  <si>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</si>
  <si>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</si>
  <si>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</si>
  <si>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</si>
  <si>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</si>
  <si>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</si>
  <si>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</si>
  <si>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</si>
  <si>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</si>
  <si>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</si>
  <si>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</si>
  <si>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</si>
  <si>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</si>
  <si>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</si>
  <si>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</si>
  <si>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</si>
  <si>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</si>
  <si>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</si>
  <si>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</si>
  <si>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</si>
  <si>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</si>
  <si>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</si>
  <si>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</si>
  <si>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</si>
  <si>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</si>
  <si>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</si>
  <si>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</si>
  <si>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</si>
  <si>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</si>
  <si>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</si>
  <si>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</si>
  <si>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</si>
  <si>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</si>
  <si>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</si>
  <si>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</si>
  <si>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</si>
  <si>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</si>
  <si>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</si>
  <si>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</si>
  <si>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</si>
  <si>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</si>
  <si>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</si>
  <si>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</si>
  <si>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</si>
  <si>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</si>
  <si>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</si>
  <si>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</si>
  <si>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</si>
  <si>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</si>
  <si>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</si>
  <si>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</si>
  <si>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JL.TELUK BAYUR</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</si>
  <si>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</si>
  <si>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</si>
  <si>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</si>
  <si>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</si>
  <si>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</si>
  <si>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</si>
  <si>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</si>
  <si>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</si>
  <si>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</si>
  <si>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</si>
  <si>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</si>
  <si>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</si>
  <si>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</si>
  <si>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</si>
  <si>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</si>
  <si>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</si>
  <si>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</si>
  <si>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</si>
  <si>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</si>
  <si>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</si>
  <si>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</si>
  <si>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</si>
  <si>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</si>
  <si>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</si>
  <si>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</si>
  <si>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</si>
  <si>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</si>
  <si>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</si>
  <si>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</si>
  <si>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</si>
  <si>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</si>
  <si>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</si>
  <si>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</si>
  <si>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</si>
  <si>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</si>
  <si>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</si>
  <si>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</si>
  <si>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GG,PELITA RT/RW 009/003</t>
  </si>
  <si>
    <t>RUMAH SETENGAH JADI,UNTUK SEMNTARA TINGGAL DI BAGIAN DAPUR,</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</si>
  <si>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</si>
  <si>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</si>
  <si>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</si>
  <si>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</si>
  <si>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</si>
  <si>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</si>
  <si>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</si>
  <si>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</si>
  <si>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</si>
  <si>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</si>
  <si>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</si>
  <si>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</si>
  <si>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</si>
  <si>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</si>
  <si>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</si>
  <si>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</si>
  <si>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</si>
  <si>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</si>
  <si>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</si>
  <si>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</si>
  <si>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</si>
  <si>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</si>
  <si>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</si>
  <si>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</si>
  <si>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</si>
  <si>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</si>
  <si>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</si>
  <si>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</si>
  <si>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</si>
  <si>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</si>
  <si>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</si>
  <si>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</si>
  <si>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</si>
  <si>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</si>
  <si>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</si>
  <si>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</si>
  <si>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</si>
  <si>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</si>
  <si>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</si>
  <si>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</si>
  <si>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</si>
  <si>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</si>
  <si>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</si>
  <si>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</si>
  <si>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</si>
  <si>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</si>
  <si>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</si>
  <si>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</si>
  <si>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</si>
  <si>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</si>
  <si>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</si>
  <si>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</si>
  <si>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</si>
  <si>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</si>
  <si>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</si>
  <si>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</si>
  <si>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</si>
  <si>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</si>
  <si>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</si>
  <si>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</si>
  <si>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</si>
  <si>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</si>
  <si>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</si>
  <si>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</si>
  <si>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</si>
  <si>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</si>
  <si>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</si>
  <si>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</si>
  <si>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</si>
  <si>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</si>
  <si>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</si>
  <si>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</si>
  <si>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</si>
  <si>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</si>
  <si>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</si>
  <si>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</si>
  <si>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</si>
  <si>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</si>
  <si>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</si>
  <si>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</si>
  <si>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</si>
  <si>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</si>
  <si>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</si>
  <si>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</si>
  <si>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</si>
  <si>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</si>
  <si>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</si>
  <si>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</si>
  <si>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</si>
  <si>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</si>
  <si>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</si>
  <si>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</si>
  <si>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</si>
  <si>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</si>
  <si>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</si>
  <si>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</si>
  <si>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</si>
  <si>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</si>
  <si>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</si>
  <si>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</si>
  <si>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</si>
  <si>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</si>
  <si>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</si>
  <si>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</si>
  <si>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</si>
  <si>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</si>
  <si>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</si>
  <si>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</si>
  <si>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</si>
  <si>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</si>
  <si>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</si>
  <si>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</si>
  <si>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</si>
  <si>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</si>
  <si>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</si>
  <si>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</si>
  <si>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</si>
  <si>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</si>
  <si>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</si>
  <si>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</si>
  <si>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GG. SEMPAYI 1 RT.003 RW.001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</si>
  <si>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</si>
  <si>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</si>
  <si>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</si>
  <si>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</si>
  <si>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</si>
  <si>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</si>
  <si>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</si>
  <si>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</si>
  <si>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</si>
  <si>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</si>
  <si>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</si>
  <si>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</si>
  <si>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</si>
  <si>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</si>
  <si>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</si>
  <si>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</si>
  <si>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</si>
  <si>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</si>
  <si>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</si>
  <si>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</si>
  <si>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</si>
  <si>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</si>
  <si>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</si>
  <si>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</si>
  <si>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</si>
  <si>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</si>
  <si>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</si>
  <si>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</si>
  <si>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</si>
  <si>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</si>
  <si>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</si>
  <si>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</si>
  <si>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</si>
  <si>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</si>
  <si>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</si>
  <si>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</si>
  <si>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</si>
  <si>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</si>
  <si>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</si>
  <si>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</si>
  <si>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</si>
  <si>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</si>
  <si>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</si>
  <si>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</si>
  <si>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</si>
  <si>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</si>
  <si>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</si>
  <si>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</si>
  <si>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</si>
  <si>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</si>
  <si>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</si>
  <si>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</si>
  <si>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</si>
  <si>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</si>
  <si>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</si>
  <si>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</si>
  <si>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</si>
  <si>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</si>
  <si>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</si>
  <si>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</si>
  <si>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</si>
  <si>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</si>
  <si>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</si>
  <si>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</si>
  <si>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</si>
  <si>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</si>
  <si>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</si>
  <si>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</si>
  <si>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</si>
  <si>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</si>
  <si>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</si>
  <si>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</si>
  <si>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</si>
  <si>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DARMAWAN</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</si>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</sst>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3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s>
  <borders count="3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s>
  <cellStyleXfs count="1">
    <xf numFmtId="0" fontId="0" fillId="0" borderId="0"/>
  </cellStyleXfs>
  <cellXfs count="190">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64" fontId="0" fillId="25"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25" fillId="27" borderId="0" xfId="0" applyFont="1" applyFill="1" applyAlignment="1">
      <alignment vertical="center" wrapText="1"/>
    </xf>
    <xf numFmtId="3" fontId="16" fillId="35" borderId="0" xfId="0" applyNumberFormat="1" applyFont="1" applyFill="1" applyAlignment="1">
      <alignment horizontal="right" vertical="center"/>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0" fontId="26" fillId="33" borderId="22" xfId="0" applyFont="1" applyFill="1" applyBorder="1" applyAlignment="1">
      <alignmen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0" fontId="29" fillId="17" borderId="0" xfId="0" applyFont="1" applyFill="1" applyAlignment="1">
      <alignment vertical="center" wrapText="1"/>
    </xf>
    <xf numFmtId="0" fontId="30" fillId="31" borderId="0" xfId="0" applyFont="1" applyFill="1" applyAlignment="1">
      <alignment vertical="center" wrapText="1"/>
    </xf>
    <xf numFmtId="0" fontId="9" fillId="21" borderId="0" xfId="0" applyFont="1" applyFill="1" applyAlignment="1">
      <alignment horizontal="left" vertical="center"/>
    </xf>
  </cellXfs>
  <cellStyles count="1">
    <cellStyle name="Normal" xfId="0" builtinId="0"/>
  </cellStyles>
  <dxfs count="16">
    <dxf>
      <font>
        <b/>
        <color rgb="FF92400E"/>
      </font>
      <fill>
        <patternFill>
          <bgColor rgb="FFFEF3C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15"/>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14"/>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blRTLHIndividu" displayName="TblRTLHIndividu" ref="A5:BF299" headerRowDxfId="13" headerRowBorderDxfId="12">
  <tableColumns count="58">
    <tableColumn id="1" xr3:uid="{00000000-0010-0000-0600-000001000000}" name="ID_RTLH*"/>
    <tableColumn id="2" xr3:uid="{00000000-0010-0000-0600-000002000000}" name="NAMA_KEPALA_KELUARGA*"/>
    <tableColumn id="3" xr3:uid="{00000000-0010-0000-0600-000003000000}" name="NIK"/>
    <tableColumn id="4" xr3:uid="{00000000-0010-0000-0600-000004000000}" name="NO_KK"/>
    <tableColumn id="5" xr3:uid="{00000000-0010-0000-0600-000005000000}" name="ALAMAT*"/>
    <tableColumn id="6" xr3:uid="{00000000-0010-0000-0600-000006000000}" name="KELURAHAN*"/>
    <tableColumn id="7" xr3:uid="{00000000-0010-0000-0600-000007000000}" name="KECAMATAN*"/>
    <tableColumn id="8" xr3:uid="{00000000-0010-0000-0600-000008000000}" name="JENIS_USULAN*"/>
    <tableColumn id="9" xr3:uid="{00000000-0010-0000-0600-000009000000}" name="CATATAN_VERIFIKASI*"/>
    <tableColumn id="10" xr3:uid="{00000000-0010-0000-0600-00000A000000}" name="TIPE_KONSTRUKSI_RUMAH*"/>
    <tableColumn id="11" xr3:uid="{00000000-0010-0000-0600-00000B000000}" name="MATERIAL_ATAP"/>
    <tableColumn id="12" xr3:uid="{00000000-0010-0000-0600-00000C000000}" name="KONDISI_ATAP"/>
    <tableColumn id="13" xr3:uid="{00000000-0010-0000-0600-00000D000000}" name="MATERIAL_DINDING"/>
    <tableColumn id="14" xr3:uid="{00000000-0010-0000-0600-00000E000000}" name="KONDISI_DINDING"/>
    <tableColumn id="15" xr3:uid="{00000000-0010-0000-0600-00000F000000}" name="MATERIAL_LANTAI"/>
    <tableColumn id="16" xr3:uid="{00000000-0010-0000-0600-000010000000}" name="KONDISI_LANTAI"/>
    <tableColumn id="17" xr3:uid="{00000000-0010-0000-0600-000011000000}" name="STATUS_MBR*" dataDxfId="11"/>
    <tableColumn id="18" xr3:uid="{00000000-0010-0000-0600-000012000000}" name="RENTAN_LANSIA*" dataDxfId="10"/>
    <tableColumn id="19" xr3:uid="{00000000-0010-0000-0600-000013000000}" name="RENTAN_DISABILITAS*" dataDxfId="9"/>
    <tableColumn id="20" xr3:uid="{00000000-0010-0000-0600-000014000000}" name="RENTAN_KEPALA_KELUARGA_PEREMPUAN*" dataDxfId="8"/>
    <tableColumn id="21" xr3:uid="{00000000-0010-0000-0600-000015000000}" name="RENTAN_BALITA*" dataDxfId="7"/>
    <tableColumn id="22" xr3:uid="{00000000-0010-0000-0600-000016000000}" name="RENTAN_KETERGANTUNGAN_TINGGI*" dataDxfId="6"/>
    <tableColumn id="23" xr3:uid="{00000000-0010-0000-0600-000017000000}" name="CATATAN_KERENTANAN_PENGHUNI"/>
    <tableColumn id="24" xr3:uid="{00000000-0010-0000-0600-000018000000}" name="FAKTOR_KERENTANAN_TERPILIH" dataDxfId="5"/>
    <tableColumn id="25" xr3:uid="{00000000-0010-0000-0600-000019000000}" name="TINGKAT_KERENTANAN_PENGHUNI" dataDxfId="4"/>
    <tableColumn id="26" xr3:uid="{00000000-0010-0000-0600-00001A000000}" name="SKOR_MBR" dataDxfId="3"/>
    <tableColumn id="27" xr3:uid="{00000000-0010-0000-0600-00001B000000}" name="SKOR_FAKTOR_RENTAN" dataDxfId="2"/>
    <tableColumn id="28" xr3:uid="{00000000-0010-0000-0600-00001C000000}" name="SKOR_KERENTANAN" dataDxfId="1"/>
    <tableColumn id="29" xr3:uid="{00000000-0010-0000-0600-00001D000000}" name="RISIKO_BANGUNAN_BERPOTENSI_ROBOH*"/>
    <tableColumn id="30" xr3:uid="{00000000-0010-0000-0600-00001E000000}" name="RISIKO_BEKAS_KEBAKARAN_TIDAK_AMAN*"/>
    <tableColumn id="31" xr3:uid="{00000000-0010-0000-0600-00001F000000}" name="RISIKO_ATAP_DINDING_HAMPIR_RUNTUH*"/>
    <tableColumn id="32" xr3:uid="{00000000-0010-0000-0600-000020000000}" name="RISIKO_GENANGAN_MEMBAHAYAKAN*"/>
    <tableColumn id="33" xr3:uid="{00000000-0010-0000-0600-000021000000}" name="RISIKO_STRUKTUR_TIDAK_STABIL*"/>
    <tableColumn id="34" xr3:uid="{00000000-0010-0000-0600-000022000000}" name="RISIKO_INSTALASI_LISTRIK_BERBAHAYA*"/>
    <tableColumn id="35" xr3:uid="{00000000-0010-0000-0600-000023000000}" name="RISIKO_KOMPONEN_LEPAS_LAPUK*"/>
    <tableColumn id="36" xr3:uid="{00000000-0010-0000-0600-000024000000}" name="RISIKO_AKSES_EVAKUASI_TERBATAS*"/>
    <tableColumn id="37" xr3:uid="{00000000-0010-0000-0600-000025000000}" name="RISIKO_LOKASI_RAWAN_BENCANA*"/>
    <tableColumn id="38" xr3:uid="{00000000-0010-0000-0600-000026000000}" name="RISIKO_LAINNYA"/>
    <tableColumn id="39" xr3:uid="{00000000-0010-0000-0600-000027000000}" name="TINGKAT_RISIKO_LAINNYA"/>
    <tableColumn id="40" xr3:uid="{00000000-0010-0000-0600-000028000000}" name="FAKTOR_RISIKO_TERPILIH"/>
    <tableColumn id="41" xr3:uid="{00000000-0010-0000-0600-000029000000}" name="TINGKAT_RISIKO_KESELAMATAN"/>
    <tableColumn id="42" xr3:uid="{00000000-0010-0000-0600-00002A000000}" name="CATATAN_RISIKO_KESELAMATAN"/>
    <tableColumn id="43" xr3:uid="{00000000-0010-0000-0600-00002B000000}" name="SKOR_TEKNIS"/>
    <tableColumn id="44" xr3:uid="{00000000-0010-0000-06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600-00002D000000}" name="SKOR_PRIORITAS"/>
    <tableColumn id="46" xr3:uid="{00000000-0010-0000-0600-00002E000000}" name="TINGKAT_PRIORITAS"/>
    <tableColumn id="47" xr3:uid="{00000000-0010-0000-0600-00002F000000}" name="STATUS_ADMINISTRASI*"/>
    <tableColumn id="48" xr3:uid="{00000000-0010-0000-0600-000030000000}" name="STATUS_VERIFIKASI*"/>
    <tableColumn id="49" xr3:uid="{00000000-0010-0000-0600-000031000000}" name="STATUS_PENANGANAN*"/>
    <tableColumn id="50" xr3:uid="{00000000-0010-0000-0600-000032000000}" name="SUMBER_DANA"/>
    <tableColumn id="51" xr3:uid="{00000000-0010-0000-0600-000033000000}" name="TAHUN_PENANGANAN"/>
    <tableColumn id="52" xr3:uid="{00000000-0010-0000-0600-000034000000}" name="STATUS_KEPEMILIKAN_TANAH"/>
    <tableColumn id="53" xr3:uid="{00000000-0010-0000-0600-000035000000}" name="NOMOR_HP"/>
    <tableColumn id="54" xr3:uid="{00000000-0010-0000-0600-000036000000}" name="TANGGAL_SURVEI"/>
    <tableColumn id="55" xr3:uid="{00000000-0010-0000-0600-000037000000}" name="TAHUN_DATA*"/>
    <tableColumn id="56" xr3:uid="{00000000-0010-0000-0600-000038000000}" name="SUMBER_DATA*"/>
    <tableColumn id="57" xr3:uid="{00000000-0010-0000-0600-000039000000}" name="TANGGAL_UPDATE*"/>
    <tableColumn id="58" xr3:uid="{00000000-0010-0000-06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C4" activePane="bottomRight" state="frozen"/>
      <selection pane="topRight" activeCell="C1" sqref="C1"/>
      <selection pane="bottomLeft" activeCell="A4" sqref="A4"/>
      <selection pane="bottomRight" activeCell="D11" sqref="D11"/>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3" customWidth="1"/>
    <col min="28" max="30" width="18" customWidth="1"/>
  </cols>
  <sheetData>
    <row r="1" spans="1:30" ht="23">
      <c r="A1" s="142" t="s">
        <v>0</v>
      </c>
      <c r="B1" s="142"/>
      <c r="C1" s="142"/>
      <c r="D1" s="142"/>
      <c r="E1" s="142"/>
      <c r="F1" s="142"/>
      <c r="G1" s="142"/>
      <c r="H1" s="142"/>
      <c r="I1" s="142"/>
      <c r="J1" s="142"/>
      <c r="K1" s="142"/>
      <c r="L1" s="142"/>
      <c r="M1" s="142"/>
      <c r="N1" s="142"/>
      <c r="O1" s="142"/>
      <c r="P1" s="142"/>
      <c r="Q1" s="142"/>
      <c r="R1" s="142"/>
      <c r="S1" s="142"/>
      <c r="T1" s="142"/>
      <c r="U1" s="142"/>
      <c r="V1" s="142"/>
      <c r="W1" s="142"/>
      <c r="X1" s="142"/>
      <c r="Y1" s="142"/>
      <c r="Z1" s="143"/>
      <c r="AA1" s="143"/>
      <c r="AB1" s="143"/>
      <c r="AC1" s="143"/>
      <c r="AD1" s="143"/>
    </row>
    <row r="2" spans="1:30">
      <c r="A2" s="144" t="s">
        <v>1</v>
      </c>
      <c r="B2" s="144"/>
      <c r="C2" s="144"/>
      <c r="D2" s="144"/>
      <c r="E2" s="144"/>
      <c r="F2" s="144"/>
      <c r="G2" s="144"/>
      <c r="H2" s="144"/>
      <c r="I2" s="144"/>
      <c r="J2" s="144"/>
      <c r="K2" s="144"/>
      <c r="L2" s="144"/>
      <c r="M2" s="144"/>
      <c r="N2" s="144"/>
      <c r="O2" s="144"/>
      <c r="P2" s="144"/>
      <c r="Q2" s="144"/>
      <c r="R2" s="144"/>
      <c r="S2" s="144"/>
      <c r="T2" s="144"/>
      <c r="U2" s="144"/>
      <c r="V2" s="144"/>
      <c r="W2" s="144"/>
      <c r="X2" s="144"/>
      <c r="Y2" s="144"/>
      <c r="Z2" s="143"/>
      <c r="AA2" s="143"/>
      <c r="AB2" s="143"/>
      <c r="AC2" s="143"/>
      <c r="AD2" s="143"/>
    </row>
    <row r="3" spans="1:30">
      <c r="A3" s="145" t="s">
        <v>2</v>
      </c>
      <c r="B3" s="145"/>
      <c r="C3" s="145"/>
      <c r="D3" s="145"/>
      <c r="E3" s="145"/>
      <c r="F3" s="145"/>
      <c r="G3" s="145"/>
      <c r="H3" s="145"/>
      <c r="I3" s="145"/>
      <c r="J3" s="145"/>
      <c r="K3" s="145"/>
      <c r="L3" s="145"/>
      <c r="M3" s="145"/>
      <c r="N3" s="145"/>
      <c r="O3" s="145"/>
      <c r="P3" s="145"/>
      <c r="Q3" s="145"/>
      <c r="R3" s="145"/>
      <c r="S3" s="145"/>
      <c r="T3" s="145"/>
      <c r="U3" s="145"/>
      <c r="V3" s="145"/>
      <c r="W3" s="145"/>
      <c r="X3" s="145"/>
      <c r="Y3" s="145"/>
      <c r="Z3" s="146"/>
      <c r="AA3" s="146"/>
      <c r="AB3" s="146"/>
      <c r="AC3" s="146"/>
      <c r="AD3" s="146"/>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9"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5">
        <v>-2.0965340000000001</v>
      </c>
      <c r="W6" s="8">
        <v>106.07686699999999</v>
      </c>
      <c r="X6" s="52">
        <v>2025</v>
      </c>
      <c r="Y6" s="26"/>
      <c r="Z6" s="42" t="s">
        <v>857</v>
      </c>
      <c r="AA6" s="80">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6">
        <v>-2.1163816999999998</v>
      </c>
      <c r="W7" s="9">
        <v>106.06782029999999</v>
      </c>
      <c r="X7" s="52">
        <v>2025</v>
      </c>
      <c r="Y7" s="26"/>
      <c r="Z7" s="42" t="s">
        <v>857</v>
      </c>
      <c r="AA7" s="80">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6">
        <v>-2.1144223000000002</v>
      </c>
      <c r="W8" s="9">
        <v>106.06633170000001</v>
      </c>
      <c r="X8" s="52">
        <v>2025</v>
      </c>
      <c r="Y8" s="26"/>
      <c r="Z8" s="42" t="s">
        <v>857</v>
      </c>
      <c r="AA8" s="80">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6">
        <v>-2.1202549999999998</v>
      </c>
      <c r="W9" s="9">
        <v>106.07257199999999</v>
      </c>
      <c r="X9" s="53"/>
      <c r="Y9" s="27"/>
      <c r="Z9" s="43"/>
      <c r="AA9" s="81"/>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6">
        <v>-2.094214</v>
      </c>
      <c r="W10" s="9">
        <v>106.0800655</v>
      </c>
      <c r="X10" s="53"/>
      <c r="Y10" s="27"/>
      <c r="Z10" s="43"/>
      <c r="AA10" s="81"/>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6">
        <v>-2.1142946999999999</v>
      </c>
      <c r="W11" s="9">
        <v>106.0637443</v>
      </c>
      <c r="X11" s="53"/>
      <c r="Y11" s="27"/>
      <c r="Z11" s="43"/>
      <c r="AA11" s="81"/>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6">
        <v>-2.1036899</v>
      </c>
      <c r="W12" s="9">
        <v>106.0958978</v>
      </c>
      <c r="X12" s="53"/>
      <c r="Y12" s="27"/>
      <c r="Z12" s="43"/>
      <c r="AA12" s="81"/>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6">
        <v>-2.1060007000000001</v>
      </c>
      <c r="W13" s="9">
        <v>106.10589899999999</v>
      </c>
      <c r="X13" s="53"/>
      <c r="Y13" s="27"/>
      <c r="Z13" s="43"/>
      <c r="AA13" s="81"/>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6">
        <v>-2.0904376</v>
      </c>
      <c r="W14" s="9">
        <v>106.09290710000001</v>
      </c>
      <c r="X14" s="53"/>
      <c r="Y14" s="27"/>
      <c r="Z14" s="43"/>
      <c r="AA14" s="81"/>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6">
        <v>-2.100133</v>
      </c>
      <c r="W15" s="9">
        <v>106.07501499999999</v>
      </c>
      <c r="X15" s="53"/>
      <c r="Y15" s="27"/>
      <c r="Z15" s="43"/>
      <c r="AA15" s="81"/>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6">
        <v>-2.1091386999999999</v>
      </c>
      <c r="W16" s="9">
        <v>106.0656738</v>
      </c>
      <c r="X16" s="53"/>
      <c r="Y16" s="27"/>
      <c r="Z16" s="43"/>
      <c r="AA16" s="81"/>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6">
        <v>-2.0843104000000001</v>
      </c>
      <c r="W17" s="9">
        <v>106.09608110000001</v>
      </c>
      <c r="X17" s="53"/>
      <c r="Y17" s="27"/>
      <c r="Z17" s="43"/>
      <c r="AA17" s="81"/>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6">
        <v>-2.1291820000000001</v>
      </c>
      <c r="W18" s="9">
        <v>106.14707799999999</v>
      </c>
      <c r="X18" s="53"/>
      <c r="Y18" s="27"/>
      <c r="Z18" s="43"/>
      <c r="AA18" s="81"/>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6">
        <v>-2.1291820000000001</v>
      </c>
      <c r="W19" s="9">
        <v>106.14707900000001</v>
      </c>
      <c r="X19" s="53"/>
      <c r="Y19" s="27"/>
      <c r="Z19" s="43"/>
      <c r="AA19" s="81"/>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6">
        <v>-2.0851687000000001</v>
      </c>
      <c r="W20" s="9">
        <v>106.1168948</v>
      </c>
      <c r="X20" s="53"/>
      <c r="Y20" s="27"/>
      <c r="Z20" s="43"/>
      <c r="AA20" s="81"/>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6">
        <v>-2.0851687000000001</v>
      </c>
      <c r="W21" s="9">
        <v>106.11689490000001</v>
      </c>
      <c r="X21" s="53"/>
      <c r="Y21" s="27"/>
      <c r="Z21" s="43"/>
      <c r="AA21" s="81"/>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6">
        <v>-2.1510370000000001</v>
      </c>
      <c r="W22" s="9">
        <v>106.1741657</v>
      </c>
      <c r="X22" s="53"/>
      <c r="Y22" s="27"/>
      <c r="Z22" s="43"/>
      <c r="AA22" s="81"/>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6">
        <v>-2.1510370000000001</v>
      </c>
      <c r="W23" s="9">
        <v>106.1741657</v>
      </c>
      <c r="X23" s="53"/>
      <c r="Y23" s="27"/>
      <c r="Z23" s="43"/>
      <c r="AA23" s="81"/>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6">
        <v>-2.1040527</v>
      </c>
      <c r="W24" s="9">
        <v>106.13135629999999</v>
      </c>
      <c r="X24" s="53"/>
      <c r="Y24" s="27"/>
      <c r="Z24" s="43"/>
      <c r="AA24" s="81"/>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6">
        <v>-2.1027433000000002</v>
      </c>
      <c r="W25" s="9">
        <v>106.0581504</v>
      </c>
      <c r="X25" s="53"/>
      <c r="Y25" s="27"/>
      <c r="Z25" s="43"/>
      <c r="AA25" s="81"/>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6">
        <v>-2.1027433000000002</v>
      </c>
      <c r="W26" s="9">
        <v>106.0581504</v>
      </c>
      <c r="X26" s="53"/>
      <c r="Y26" s="27"/>
      <c r="Z26" s="43"/>
      <c r="AA26" s="81"/>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6">
        <v>-2.1046360000000002</v>
      </c>
      <c r="W27" s="9">
        <v>106.08262999999999</v>
      </c>
      <c r="X27" s="53"/>
      <c r="Y27" s="27"/>
      <c r="Z27" s="43"/>
      <c r="AA27" s="81"/>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6">
        <v>-2.1201479999999999</v>
      </c>
      <c r="W28" s="9">
        <v>106.068039</v>
      </c>
      <c r="X28" s="53"/>
      <c r="Y28" s="27"/>
      <c r="Z28" s="43"/>
      <c r="AA28" s="81"/>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6">
        <v>-2.0965927</v>
      </c>
      <c r="W29" s="9">
        <v>106.0855923</v>
      </c>
      <c r="X29" s="53"/>
      <c r="Y29" s="27"/>
      <c r="Z29" s="43"/>
      <c r="AA29" s="81"/>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6">
        <v>-2.0999433999999999</v>
      </c>
      <c r="W30" s="9">
        <v>106.09478319999999</v>
      </c>
      <c r="X30" s="53"/>
      <c r="Y30" s="27"/>
      <c r="Z30" s="43"/>
      <c r="AA30" s="81"/>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6"/>
      <c r="W31" s="9"/>
      <c r="X31" s="53"/>
      <c r="Y31" s="27"/>
      <c r="Z31" s="43"/>
      <c r="AA31" s="81"/>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6">
        <v>-2.1265749999999999</v>
      </c>
      <c r="W32" s="9">
        <v>106.16171900000001</v>
      </c>
      <c r="X32" s="53"/>
      <c r="Y32" s="27"/>
      <c r="Z32" s="43"/>
      <c r="AA32" s="81"/>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6">
        <v>-2.1265160000000001</v>
      </c>
      <c r="W33" s="9">
        <v>106.162347</v>
      </c>
      <c r="X33" s="53"/>
      <c r="Y33" s="27"/>
      <c r="Z33" s="43"/>
      <c r="AA33" s="81"/>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6">
        <v>-2.1265869999999998</v>
      </c>
      <c r="W34" s="9">
        <v>106.163877</v>
      </c>
      <c r="X34" s="53"/>
      <c r="Y34" s="27"/>
      <c r="Z34" s="43"/>
      <c r="AA34" s="81"/>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6">
        <v>-2.1284293000000001</v>
      </c>
      <c r="W35" s="9">
        <v>106.1647957</v>
      </c>
      <c r="X35" s="53"/>
      <c r="Y35" s="27"/>
      <c r="Z35" s="43"/>
      <c r="AA35" s="81"/>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6">
        <v>-2.0998827000000002</v>
      </c>
      <c r="W36" s="9">
        <v>106.07701280000001</v>
      </c>
      <c r="X36" s="53"/>
      <c r="Y36" s="27"/>
      <c r="Z36" s="43"/>
      <c r="AA36" s="81"/>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6">
        <v>-2.1064750000000001</v>
      </c>
      <c r="W37" s="9">
        <v>106.09184</v>
      </c>
      <c r="X37" s="53"/>
      <c r="Y37" s="27"/>
      <c r="Z37" s="43"/>
      <c r="AA37" s="81"/>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6">
        <v>-2.1070612</v>
      </c>
      <c r="W38" s="9">
        <v>106.0869773</v>
      </c>
      <c r="X38" s="53"/>
      <c r="Y38" s="27"/>
      <c r="Z38" s="43"/>
      <c r="AA38" s="81"/>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6">
        <v>-2.105553</v>
      </c>
      <c r="W39" s="9">
        <v>106.078391</v>
      </c>
      <c r="X39" s="53"/>
      <c r="Y39" s="27"/>
      <c r="Z39" s="43"/>
      <c r="AA39" s="81"/>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6">
        <v>-2.1048140000000002</v>
      </c>
      <c r="W40" s="9">
        <v>106.07858899999999</v>
      </c>
      <c r="X40" s="53"/>
      <c r="Y40" s="27"/>
      <c r="Z40" s="43"/>
      <c r="AA40" s="81"/>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6">
        <v>-2.1149461000000001</v>
      </c>
      <c r="W41" s="9">
        <v>106.0729504</v>
      </c>
      <c r="X41" s="53"/>
      <c r="Y41" s="27"/>
      <c r="Z41" s="43"/>
      <c r="AA41" s="81"/>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6">
        <v>-2.1140292999999999</v>
      </c>
      <c r="W42" s="9">
        <v>106.0734587</v>
      </c>
      <c r="X42" s="53"/>
      <c r="Y42" s="27"/>
      <c r="Z42" s="43"/>
      <c r="AA42" s="81"/>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6">
        <v>-2.1030522999999999</v>
      </c>
      <c r="W43" s="9">
        <v>106.0597731</v>
      </c>
      <c r="X43" s="53"/>
      <c r="Y43" s="27"/>
      <c r="Z43" s="43"/>
      <c r="AA43" s="81"/>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6">
        <v>-2.1030522999999999</v>
      </c>
      <c r="W44" s="9">
        <v>106.0597731</v>
      </c>
      <c r="X44" s="53"/>
      <c r="Y44" s="27"/>
      <c r="Z44" s="43"/>
      <c r="AA44" s="81"/>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6">
        <v>-2.0896949999999999</v>
      </c>
      <c r="W45" s="9">
        <v>106.10564100000001</v>
      </c>
      <c r="X45" s="53"/>
      <c r="Y45" s="27"/>
      <c r="Z45" s="43"/>
      <c r="AA45" s="81"/>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6">
        <v>-2.084692</v>
      </c>
      <c r="W46" s="9">
        <v>106.09772599999999</v>
      </c>
      <c r="X46" s="53"/>
      <c r="Y46" s="27"/>
      <c r="Z46" s="43"/>
      <c r="AA46" s="81"/>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6">
        <v>-2.1513855</v>
      </c>
      <c r="W47" s="9">
        <v>106.1672731</v>
      </c>
      <c r="X47" s="53"/>
      <c r="Y47" s="27"/>
      <c r="Z47" s="43"/>
      <c r="AA47" s="81"/>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6">
        <v>-2.1406580000000002</v>
      </c>
      <c r="W48" s="9">
        <v>106.167591</v>
      </c>
      <c r="X48" s="53"/>
      <c r="Y48" s="27"/>
      <c r="Z48" s="43"/>
      <c r="AA48" s="81"/>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6"/>
      <c r="W49" s="9"/>
      <c r="X49" s="53"/>
      <c r="Y49" s="27"/>
      <c r="Z49" s="43"/>
      <c r="AA49" s="81"/>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6">
        <v>-2.1156009</v>
      </c>
      <c r="W50" s="9">
        <v>106.0769555</v>
      </c>
      <c r="X50" s="53"/>
      <c r="Y50" s="27"/>
      <c r="Z50" s="43"/>
      <c r="AA50" s="81"/>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6">
        <v>-2.0902853000000001</v>
      </c>
      <c r="W51" s="9">
        <v>106.1002032</v>
      </c>
      <c r="X51" s="53"/>
      <c r="Y51" s="27"/>
      <c r="Z51" s="43"/>
      <c r="AA51" s="81"/>
      <c r="AB51" s="46"/>
      <c r="AC51">
        <f t="shared" si="0"/>
        <v>0.16901408450704225</v>
      </c>
      <c r="AD51">
        <f t="shared" si="1"/>
        <v>0.58333333333333337</v>
      </c>
    </row>
    <row r="52" spans="1:30">
      <c r="A52" s="29">
        <v>47</v>
      </c>
      <c r="B52" s="9" t="s">
        <v>1888</v>
      </c>
      <c r="C52" s="5" t="s">
        <v>34</v>
      </c>
      <c r="D52" s="9" t="s">
        <v>35</v>
      </c>
      <c r="E52" s="9" t="s">
        <v>136</v>
      </c>
      <c r="F52" s="5" t="s">
        <v>1889</v>
      </c>
      <c r="G52" s="5" t="s">
        <v>1890</v>
      </c>
      <c r="H52" s="15" t="s">
        <v>1891</v>
      </c>
      <c r="I52" s="15"/>
      <c r="J52" s="5">
        <v>2026</v>
      </c>
      <c r="K52" s="15">
        <v>43</v>
      </c>
      <c r="L52" s="9">
        <v>0</v>
      </c>
      <c r="M52" s="15">
        <v>0</v>
      </c>
      <c r="N52" s="15" t="s">
        <v>41</v>
      </c>
      <c r="O52" s="5" t="s">
        <v>42</v>
      </c>
      <c r="P52" s="5"/>
      <c r="Q52" s="21" t="s">
        <v>72</v>
      </c>
      <c r="R52" s="21" t="s">
        <v>88</v>
      </c>
      <c r="S52" s="18"/>
      <c r="T52" s="9"/>
      <c r="U52" s="9"/>
      <c r="V52" s="76"/>
      <c r="W52" s="9"/>
      <c r="X52" s="53"/>
      <c r="Y52" s="65"/>
      <c r="Z52" s="43"/>
      <c r="AA52" s="81"/>
      <c r="AB52" s="74"/>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6">
        <v>-2.1100943999999999</v>
      </c>
      <c r="W53" s="9">
        <v>106.0959122</v>
      </c>
      <c r="X53" s="53"/>
      <c r="Y53" s="27"/>
      <c r="Z53" s="43"/>
      <c r="AA53" s="81"/>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6">
        <v>-2.1096020000000002</v>
      </c>
      <c r="W54" s="9">
        <v>106.09485599999999</v>
      </c>
      <c r="X54" s="53"/>
      <c r="Y54" s="27"/>
      <c r="Z54" s="43"/>
      <c r="AA54" s="81"/>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6">
        <v>-2.107672</v>
      </c>
      <c r="W55" s="9">
        <v>106.092901</v>
      </c>
      <c r="X55" s="53"/>
      <c r="Y55" s="27"/>
      <c r="Z55" s="43"/>
      <c r="AA55" s="81"/>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6">
        <v>-2.1058629999999998</v>
      </c>
      <c r="W56" s="9">
        <v>106.089313</v>
      </c>
      <c r="X56" s="53"/>
      <c r="Y56" s="27"/>
      <c r="Z56" s="43"/>
      <c r="AA56" s="81"/>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6">
        <v>-2.1422300000000001</v>
      </c>
      <c r="W57" s="9">
        <v>106.135379</v>
      </c>
      <c r="X57" s="53"/>
      <c r="Y57" s="27"/>
      <c r="Z57" s="43"/>
      <c r="AA57" s="81"/>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6">
        <v>-2.1050179999999998</v>
      </c>
      <c r="W58" s="9">
        <v>106.089422</v>
      </c>
      <c r="X58" s="53"/>
      <c r="Y58" s="27"/>
      <c r="Z58" s="43"/>
      <c r="AA58" s="81"/>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6">
        <v>-2.1097991</v>
      </c>
      <c r="W59" s="9">
        <v>106.0891817</v>
      </c>
      <c r="X59" s="53"/>
      <c r="Y59" s="27"/>
      <c r="Z59" s="43"/>
      <c r="AA59" s="81"/>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6">
        <v>-2.11145</v>
      </c>
      <c r="W60" s="9">
        <v>106.088959</v>
      </c>
      <c r="X60" s="53"/>
      <c r="Y60" s="27"/>
      <c r="Z60" s="43"/>
      <c r="AA60" s="81"/>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6">
        <v>-2.1020436</v>
      </c>
      <c r="W61" s="9">
        <v>106.04731630000001</v>
      </c>
      <c r="X61" s="53"/>
      <c r="Y61" s="27"/>
      <c r="Z61" s="43"/>
      <c r="AA61" s="81"/>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6">
        <v>-2.1020436</v>
      </c>
      <c r="W62" s="9">
        <v>106.0473164</v>
      </c>
      <c r="X62" s="53"/>
      <c r="Y62" s="27"/>
      <c r="Z62" s="43"/>
      <c r="AA62" s="81"/>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6"/>
      <c r="W63" s="9"/>
      <c r="X63" s="53"/>
      <c r="Y63" s="27"/>
      <c r="Z63" s="43"/>
      <c r="AA63" s="81"/>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6">
        <v>-2.1043018</v>
      </c>
      <c r="W64" s="9">
        <v>106.0806498</v>
      </c>
      <c r="X64" s="53"/>
      <c r="Y64" s="27"/>
      <c r="Z64" s="43"/>
      <c r="AA64" s="81"/>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6">
        <v>-2.0780973399999998</v>
      </c>
      <c r="W65" s="9">
        <v>106.1239751</v>
      </c>
      <c r="X65" s="53"/>
      <c r="Y65" s="27"/>
      <c r="Z65" s="43"/>
      <c r="AA65" s="81"/>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6">
        <v>-2.0876017</v>
      </c>
      <c r="W66" s="9">
        <v>106.12235029999999</v>
      </c>
      <c r="X66" s="53"/>
      <c r="Y66" s="27"/>
      <c r="Z66" s="43"/>
      <c r="AA66" s="81"/>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6">
        <v>-2.1467825</v>
      </c>
      <c r="W67" s="9">
        <v>106.16664129999999</v>
      </c>
      <c r="X67" s="53"/>
      <c r="Y67" s="27"/>
      <c r="Z67" s="43"/>
      <c r="AA67" s="81"/>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6">
        <v>-2.107863</v>
      </c>
      <c r="W68" s="9">
        <v>106.084007</v>
      </c>
      <c r="X68" s="53"/>
      <c r="Y68" s="27"/>
      <c r="Z68" s="43"/>
      <c r="AA68" s="81"/>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6">
        <v>-2.0983489999999998</v>
      </c>
      <c r="W69" s="9">
        <v>106.080001</v>
      </c>
      <c r="X69" s="53"/>
      <c r="Y69" s="27"/>
      <c r="Z69" s="43"/>
      <c r="AA69" s="81"/>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6">
        <v>-2.0990563</v>
      </c>
      <c r="W70" s="9">
        <v>106.0800362</v>
      </c>
      <c r="X70" s="53"/>
      <c r="Y70" s="27"/>
      <c r="Z70" s="43"/>
      <c r="AA70" s="81"/>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6">
        <v>-2.099672</v>
      </c>
      <c r="W71" s="9">
        <v>106.080805</v>
      </c>
      <c r="X71" s="53"/>
      <c r="Y71" s="27"/>
      <c r="Z71" s="43"/>
      <c r="AA71" s="81"/>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6">
        <v>-2.1105010000000002</v>
      </c>
      <c r="W72" s="9">
        <v>106.088167</v>
      </c>
      <c r="X72" s="53"/>
      <c r="Y72" s="27"/>
      <c r="Z72" s="43"/>
      <c r="AA72" s="81"/>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6">
        <v>-2.1059435</v>
      </c>
      <c r="W73" s="9">
        <v>106.0873139</v>
      </c>
      <c r="X73" s="53"/>
      <c r="Y73" s="27"/>
      <c r="Z73" s="43"/>
      <c r="AA73" s="81"/>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6">
        <v>-2.1110685</v>
      </c>
      <c r="W74" s="9">
        <v>106.0932651</v>
      </c>
      <c r="X74" s="53"/>
      <c r="Y74" s="27"/>
      <c r="Z74" s="43"/>
      <c r="AA74" s="81"/>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6">
        <v>-2.094849</v>
      </c>
      <c r="W75" s="9">
        <v>106.098916</v>
      </c>
      <c r="X75" s="53"/>
      <c r="Y75" s="27"/>
      <c r="Z75" s="43"/>
      <c r="AA75" s="81"/>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6">
        <v>-2.1015929999999998</v>
      </c>
      <c r="W76" s="9">
        <v>106.096616</v>
      </c>
      <c r="X76" s="53"/>
      <c r="Y76" s="27"/>
      <c r="Z76" s="43"/>
      <c r="AA76" s="81"/>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6">
        <v>-2.1018757099999998</v>
      </c>
      <c r="W77" s="9">
        <v>106.0948856</v>
      </c>
      <c r="X77" s="53"/>
      <c r="Y77" s="27"/>
      <c r="Z77" s="43"/>
      <c r="AA77" s="81"/>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6">
        <v>-2.1027453999999999</v>
      </c>
      <c r="W78" s="9">
        <v>106.08195600000001</v>
      </c>
      <c r="X78" s="53"/>
      <c r="Y78" s="27"/>
      <c r="Z78" s="43"/>
      <c r="AA78" s="81"/>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6">
        <v>-2.0908709999999999</v>
      </c>
      <c r="W79" s="9">
        <v>106.095277</v>
      </c>
      <c r="X79" s="53"/>
      <c r="Y79" s="27"/>
      <c r="Z79" s="43"/>
      <c r="AA79" s="81"/>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6">
        <v>-2.091539</v>
      </c>
      <c r="W80" s="9">
        <v>106.094336</v>
      </c>
      <c r="X80" s="53"/>
      <c r="Y80" s="27"/>
      <c r="Z80" s="43"/>
      <c r="AA80" s="81"/>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6">
        <v>-2.1189081000000001</v>
      </c>
      <c r="W81" s="9">
        <v>106.08377350000001</v>
      </c>
      <c r="X81" s="53"/>
      <c r="Y81" s="27"/>
      <c r="Z81" s="43"/>
      <c r="AA81" s="81"/>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6">
        <v>-2.1064370000000001</v>
      </c>
      <c r="W82" s="9">
        <v>106.083372</v>
      </c>
      <c r="X82" s="53"/>
      <c r="Y82" s="27"/>
      <c r="Z82" s="43"/>
      <c r="AA82" s="81"/>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6">
        <v>-2.0986220000000002</v>
      </c>
      <c r="W83" s="9">
        <v>106.08407010000001</v>
      </c>
      <c r="X83" s="53"/>
      <c r="Y83" s="27"/>
      <c r="Z83" s="43"/>
      <c r="AA83" s="81"/>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6">
        <v>-2.0963539999999998</v>
      </c>
      <c r="W84" s="9">
        <v>106.08517500000001</v>
      </c>
      <c r="X84" s="53"/>
      <c r="Y84" s="27"/>
      <c r="Z84" s="43"/>
      <c r="AA84" s="81"/>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6">
        <v>-2.1202122999999999</v>
      </c>
      <c r="W85" s="9">
        <v>106.0750427</v>
      </c>
      <c r="X85" s="53"/>
      <c r="Y85" s="27"/>
      <c r="Z85" s="43"/>
      <c r="AA85" s="81"/>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6">
        <v>-2.0932569999999999</v>
      </c>
      <c r="W86" s="9">
        <v>106.09328499999999</v>
      </c>
      <c r="X86" s="53"/>
      <c r="Y86" s="27"/>
      <c r="Z86" s="43"/>
      <c r="AA86" s="81"/>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6">
        <v>-2.0918890000000001</v>
      </c>
      <c r="W87" s="9">
        <v>106.09471600000001</v>
      </c>
      <c r="X87" s="53"/>
      <c r="Y87" s="27"/>
      <c r="Z87" s="43"/>
      <c r="AA87" s="81"/>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6"/>
      <c r="W88" s="9"/>
      <c r="X88" s="53"/>
      <c r="Y88" s="27"/>
      <c r="Z88" s="43"/>
      <c r="AA88" s="81"/>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6">
        <v>-2.106166</v>
      </c>
      <c r="W89" s="9">
        <v>106.092079</v>
      </c>
      <c r="X89" s="53"/>
      <c r="Y89" s="27"/>
      <c r="Z89" s="43"/>
      <c r="AA89" s="81"/>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6">
        <v>-2.1276793999999999</v>
      </c>
      <c r="W90" s="9">
        <v>106.1520824</v>
      </c>
      <c r="X90" s="53"/>
      <c r="Y90" s="27"/>
      <c r="Z90" s="43"/>
      <c r="AA90" s="81"/>
      <c r="AB90" s="46"/>
      <c r="AC90">
        <f t="shared" si="4"/>
        <v>0.70501474926253682</v>
      </c>
      <c r="AD90">
        <f t="shared" si="5"/>
        <v>0.56066945606694563</v>
      </c>
    </row>
    <row r="91" spans="1:30">
      <c r="A91" s="30">
        <v>86</v>
      </c>
      <c r="B91" s="9" t="s">
        <v>1906</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6">
        <v>-2.1150597000000002</v>
      </c>
      <c r="W91" s="9">
        <v>106.08923830000001</v>
      </c>
      <c r="X91" s="53"/>
      <c r="Y91" s="27"/>
      <c r="Z91" s="43"/>
      <c r="AA91" s="81"/>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6">
        <v>-2.1409722000000002</v>
      </c>
      <c r="W92" s="9">
        <v>106.1375556</v>
      </c>
      <c r="X92" s="53"/>
      <c r="Y92" s="27"/>
      <c r="Z92" s="43"/>
      <c r="AA92" s="81"/>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6">
        <v>-2.1399853000000002</v>
      </c>
      <c r="W93" s="9">
        <v>106.165569</v>
      </c>
      <c r="X93" s="53"/>
      <c r="Y93" s="27"/>
      <c r="Z93" s="43"/>
      <c r="AA93" s="81"/>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6">
        <v>-2.1399853000000002</v>
      </c>
      <c r="W94" s="9">
        <v>106.1655691</v>
      </c>
      <c r="X94" s="53"/>
      <c r="Y94" s="27"/>
      <c r="Z94" s="43"/>
      <c r="AA94" s="81"/>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6">
        <v>-2.0881560000000001</v>
      </c>
      <c r="W95" s="9">
        <v>106.11421300000001</v>
      </c>
      <c r="X95" s="53"/>
      <c r="Y95" s="27"/>
      <c r="Z95" s="43"/>
      <c r="AA95" s="81"/>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6">
        <v>-2.0873370000000002</v>
      </c>
      <c r="W96" s="9">
        <v>106.115123</v>
      </c>
      <c r="X96" s="53"/>
      <c r="Y96" s="27"/>
      <c r="Z96" s="43"/>
      <c r="AA96" s="81"/>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6">
        <v>-2.1327805999999998</v>
      </c>
      <c r="W97" s="9">
        <v>106.16383949999999</v>
      </c>
      <c r="X97" s="53"/>
      <c r="Y97" s="27"/>
      <c r="Z97" s="43"/>
      <c r="AA97" s="81"/>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6">
        <v>-2.1327805999999998</v>
      </c>
      <c r="W98" s="9">
        <v>106.1638396</v>
      </c>
      <c r="X98" s="53"/>
      <c r="Y98" s="27"/>
      <c r="Z98" s="43"/>
      <c r="AA98" s="81"/>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6">
        <v>-2.099383</v>
      </c>
      <c r="W99" s="9">
        <v>106.0753648</v>
      </c>
      <c r="X99" s="53"/>
      <c r="Y99" s="27"/>
      <c r="Z99" s="43"/>
      <c r="AA99" s="81"/>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6">
        <v>-2.0993406999999999</v>
      </c>
      <c r="W100" s="9">
        <v>106.07502890000001</v>
      </c>
      <c r="X100" s="53"/>
      <c r="Y100" s="27"/>
      <c r="Z100" s="43"/>
      <c r="AA100" s="81"/>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6">
        <v>-2.1267033</v>
      </c>
      <c r="W101" s="9">
        <v>106.1668955</v>
      </c>
      <c r="X101" s="53"/>
      <c r="Y101" s="27"/>
      <c r="Z101" s="43"/>
      <c r="AA101" s="81"/>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6">
        <v>-2.1267033</v>
      </c>
      <c r="W102" s="9">
        <v>106.1668955</v>
      </c>
      <c r="X102" s="53"/>
      <c r="Y102" s="27"/>
      <c r="Z102" s="43"/>
      <c r="AA102" s="81"/>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6">
        <v>-2.1219239000000001</v>
      </c>
      <c r="W103" s="9">
        <v>106.07392950000001</v>
      </c>
      <c r="X103" s="53"/>
      <c r="Y103" s="27"/>
      <c r="Z103" s="43"/>
      <c r="AA103" s="81"/>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6">
        <v>-2.1249530000000001</v>
      </c>
      <c r="W104" s="9">
        <v>106.07577000000001</v>
      </c>
      <c r="X104" s="53"/>
      <c r="Y104" s="27"/>
      <c r="Z104" s="43"/>
      <c r="AA104" s="81"/>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6">
        <v>-2.1245880000000001</v>
      </c>
      <c r="W105" s="9">
        <v>106.07570800000001</v>
      </c>
      <c r="X105" s="53"/>
      <c r="Y105" s="27"/>
      <c r="Z105" s="43"/>
      <c r="AA105" s="81"/>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6">
        <v>-2.101267</v>
      </c>
      <c r="W106" s="9">
        <v>106.093493</v>
      </c>
      <c r="X106" s="53"/>
      <c r="Y106" s="27"/>
      <c r="Z106" s="43"/>
      <c r="AA106" s="81"/>
      <c r="AB106" s="46"/>
      <c r="AC106">
        <f t="shared" si="4"/>
        <v>1</v>
      </c>
      <c r="AD106">
        <f t="shared" si="5"/>
        <v>0.94</v>
      </c>
    </row>
    <row r="107" spans="1:30">
      <c r="A107" s="30">
        <v>102</v>
      </c>
      <c r="B107" s="9" t="s">
        <v>1910</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6">
        <v>-2.1226183000000001</v>
      </c>
      <c r="W107" s="9">
        <v>106.1419678</v>
      </c>
      <c r="X107" s="53"/>
      <c r="Y107" s="27"/>
      <c r="Z107" s="43"/>
      <c r="AA107" s="81"/>
      <c r="AB107" s="46"/>
      <c r="AC107">
        <f t="shared" si="4"/>
        <v>0.20588235294117646</v>
      </c>
      <c r="AD107">
        <f t="shared" si="5"/>
        <v>1</v>
      </c>
    </row>
    <row r="108" spans="1:30">
      <c r="A108" s="29">
        <v>103</v>
      </c>
      <c r="B108" s="9" t="s">
        <v>1883</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6">
        <v>-2.1023329999999998</v>
      </c>
      <c r="W108" s="9">
        <v>106.073194</v>
      </c>
      <c r="X108" s="53"/>
      <c r="Y108" s="65"/>
      <c r="Z108" s="43"/>
      <c r="AA108" s="81"/>
      <c r="AB108" s="74"/>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6">
        <v>-2.1398174999999999</v>
      </c>
      <c r="W109" s="9">
        <v>106.1503439</v>
      </c>
      <c r="X109" s="53"/>
      <c r="Y109" s="27"/>
      <c r="Z109" s="43"/>
      <c r="AA109" s="81"/>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6">
        <v>-2.0840390000000002</v>
      </c>
      <c r="W110" s="9">
        <v>106.09747900000001</v>
      </c>
      <c r="X110" s="53"/>
      <c r="Y110" s="27"/>
      <c r="Z110" s="43"/>
      <c r="AA110" s="81"/>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6">
        <v>-2.113772</v>
      </c>
      <c r="W111" s="9">
        <v>106.083653</v>
      </c>
      <c r="X111" s="53"/>
      <c r="Y111" s="27"/>
      <c r="Z111" s="43"/>
      <c r="AA111" s="81"/>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6">
        <v>-2.1185415999999999</v>
      </c>
      <c r="W112" s="9">
        <v>106.0965628</v>
      </c>
      <c r="X112" s="53"/>
      <c r="Y112" s="27"/>
      <c r="Z112" s="43"/>
      <c r="AA112" s="81"/>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6">
        <v>-2.151332</v>
      </c>
      <c r="W113" s="9">
        <v>106.10645599999999</v>
      </c>
      <c r="X113" s="53"/>
      <c r="Y113" s="27"/>
      <c r="Z113" s="43"/>
      <c r="AA113" s="81"/>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6">
        <v>-2.0939874000000001</v>
      </c>
      <c r="W114" s="9">
        <v>106.08669140000001</v>
      </c>
      <c r="X114" s="53"/>
      <c r="Y114" s="27"/>
      <c r="Z114" s="43"/>
      <c r="AA114" s="81"/>
      <c r="AB114" s="46"/>
      <c r="AC114">
        <f t="shared" si="6"/>
        <v>0.89830508474576276</v>
      </c>
      <c r="AD114">
        <f t="shared" si="7"/>
        <v>1</v>
      </c>
    </row>
    <row r="115" spans="1:30">
      <c r="A115" s="30">
        <v>110</v>
      </c>
      <c r="B115" s="9" t="s">
        <v>1892</v>
      </c>
      <c r="C115" s="5" t="s">
        <v>34</v>
      </c>
      <c r="D115" s="9" t="s">
        <v>81</v>
      </c>
      <c r="E115" s="9" t="s">
        <v>122</v>
      </c>
      <c r="F115" s="5" t="s">
        <v>325</v>
      </c>
      <c r="G115" s="5" t="s">
        <v>1893</v>
      </c>
      <c r="H115" s="15" t="s">
        <v>310</v>
      </c>
      <c r="I115" s="15" t="s">
        <v>86</v>
      </c>
      <c r="J115" s="5">
        <v>2026</v>
      </c>
      <c r="K115" s="15">
        <v>59</v>
      </c>
      <c r="L115" s="9">
        <v>0</v>
      </c>
      <c r="M115" s="15">
        <v>0</v>
      </c>
      <c r="N115" s="15" t="s">
        <v>41</v>
      </c>
      <c r="O115" s="5" t="s">
        <v>42</v>
      </c>
      <c r="P115" s="5"/>
      <c r="Q115" s="21" t="s">
        <v>72</v>
      </c>
      <c r="R115" s="21" t="s">
        <v>88</v>
      </c>
      <c r="S115" s="18"/>
      <c r="T115" s="9"/>
      <c r="U115" s="9"/>
      <c r="V115" s="76"/>
      <c r="W115" s="9"/>
      <c r="X115" s="53"/>
      <c r="Y115" s="65"/>
      <c r="Z115" s="43"/>
      <c r="AA115" s="81"/>
      <c r="AB115" s="74"/>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6">
        <v>-2.0956190000000001</v>
      </c>
      <c r="W116" s="9">
        <v>106.118709</v>
      </c>
      <c r="X116" s="53"/>
      <c r="Y116" s="27"/>
      <c r="Z116" s="43"/>
      <c r="AA116" s="81"/>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6">
        <v>-2.0956190000000001</v>
      </c>
      <c r="W117" s="9">
        <v>106.118709</v>
      </c>
      <c r="X117" s="53"/>
      <c r="Y117" s="27"/>
      <c r="Z117" s="43"/>
      <c r="AA117" s="81"/>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6">
        <v>-2.1175193999999999</v>
      </c>
      <c r="W118" s="9">
        <v>106.0815047</v>
      </c>
      <c r="X118" s="53"/>
      <c r="Y118" s="27"/>
      <c r="Z118" s="43"/>
      <c r="AA118" s="81"/>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6">
        <v>-2.1119620000000001</v>
      </c>
      <c r="W119" s="9">
        <v>106.0839</v>
      </c>
      <c r="X119" s="53"/>
      <c r="Y119" s="27"/>
      <c r="Z119" s="43"/>
      <c r="AA119" s="81"/>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6">
        <v>-2.1443800999999998</v>
      </c>
      <c r="W120" s="9">
        <v>106.1543704</v>
      </c>
      <c r="X120" s="53"/>
      <c r="Y120" s="27"/>
      <c r="Z120" s="43"/>
      <c r="AA120" s="81"/>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6">
        <v>-2.1311974</v>
      </c>
      <c r="W121" s="9">
        <v>106.1576383</v>
      </c>
      <c r="X121" s="53"/>
      <c r="Y121" s="27"/>
      <c r="Z121" s="43"/>
      <c r="AA121" s="81"/>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6">
        <v>-2.1098919999999999</v>
      </c>
      <c r="W122" s="9">
        <v>106.085612</v>
      </c>
      <c r="X122" s="53"/>
      <c r="Y122" s="27"/>
      <c r="Z122" s="43"/>
      <c r="AA122" s="81"/>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6">
        <v>-2.1166429999999998</v>
      </c>
      <c r="W123" s="9">
        <v>106.080567</v>
      </c>
      <c r="X123" s="53"/>
      <c r="Y123" s="27"/>
      <c r="Z123" s="43"/>
      <c r="AA123" s="81"/>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6">
        <v>-2.1169730000000002</v>
      </c>
      <c r="W124" s="9">
        <v>106.090628</v>
      </c>
      <c r="X124" s="53"/>
      <c r="Y124" s="27"/>
      <c r="Z124" s="43"/>
      <c r="AA124" s="81"/>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6">
        <v>-2.1247167</v>
      </c>
      <c r="W125" s="9">
        <v>106.07904379999999</v>
      </c>
      <c r="X125" s="53"/>
      <c r="Y125" s="27"/>
      <c r="Z125" s="43"/>
      <c r="AA125" s="81"/>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6">
        <v>-2.0988720000000001</v>
      </c>
      <c r="W126" s="9">
        <v>106.086156</v>
      </c>
      <c r="X126" s="53"/>
      <c r="Y126" s="27"/>
      <c r="Z126" s="43"/>
      <c r="AA126" s="81"/>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6">
        <v>-2.1160036999999998</v>
      </c>
      <c r="W127" s="9">
        <v>106.0764578</v>
      </c>
      <c r="X127" s="53"/>
      <c r="Y127" s="27"/>
      <c r="Z127" s="43"/>
      <c r="AA127" s="81"/>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6"/>
      <c r="W128" s="9"/>
      <c r="X128" s="53"/>
      <c r="Y128" s="27"/>
      <c r="Z128" s="43"/>
      <c r="AA128" s="81"/>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6">
        <v>-2.1040464000000001</v>
      </c>
      <c r="W129" s="9">
        <v>106.0873765</v>
      </c>
      <c r="X129" s="53"/>
      <c r="Y129" s="27"/>
      <c r="Z129" s="43"/>
      <c r="AA129" s="81"/>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6">
        <v>-2.1243243999999999</v>
      </c>
      <c r="W130" s="9">
        <v>106.07832500000001</v>
      </c>
      <c r="X130" s="53"/>
      <c r="Y130" s="27"/>
      <c r="Z130" s="43"/>
      <c r="AA130" s="81"/>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6">
        <v>-2.1169406</v>
      </c>
      <c r="W131" s="9">
        <v>106.0747703</v>
      </c>
      <c r="X131" s="53"/>
      <c r="Y131" s="27"/>
      <c r="Z131" s="43"/>
      <c r="AA131" s="81"/>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6">
        <v>-2.0889850000000001</v>
      </c>
      <c r="W132" s="9">
        <v>106.096946</v>
      </c>
      <c r="X132" s="53"/>
      <c r="Y132" s="27"/>
      <c r="Z132" s="43"/>
      <c r="AA132" s="81"/>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6">
        <v>-2.1208572000000001</v>
      </c>
      <c r="W133" s="9">
        <v>106.0729011</v>
      </c>
      <c r="X133" s="53"/>
      <c r="Y133" s="27"/>
      <c r="Z133" s="43"/>
      <c r="AA133" s="81"/>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6">
        <v>-2.1191513</v>
      </c>
      <c r="W134" s="9">
        <v>106.0727887</v>
      </c>
      <c r="X134" s="53"/>
      <c r="Y134" s="27"/>
      <c r="Z134" s="43"/>
      <c r="AA134" s="81"/>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6"/>
      <c r="W135" s="9"/>
      <c r="X135" s="53"/>
      <c r="Y135" s="27"/>
      <c r="Z135" s="43"/>
      <c r="AA135" s="81"/>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6">
        <v>-2.098071</v>
      </c>
      <c r="W136" s="9">
        <v>106.116671</v>
      </c>
      <c r="X136" s="53"/>
      <c r="Y136" s="27"/>
      <c r="Z136" s="43"/>
      <c r="AA136" s="81"/>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6">
        <v>-2.101518</v>
      </c>
      <c r="W137" s="9">
        <v>106.11780299999999</v>
      </c>
      <c r="X137" s="53"/>
      <c r="Y137" s="27"/>
      <c r="Z137" s="43"/>
      <c r="AA137" s="81"/>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6">
        <v>-2.0988720000000001</v>
      </c>
      <c r="W138" s="9">
        <v>106.0761523</v>
      </c>
      <c r="X138" s="53"/>
      <c r="Y138" s="27"/>
      <c r="Z138" s="43"/>
      <c r="AA138" s="81"/>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6">
        <v>-2.0975619999999999</v>
      </c>
      <c r="W139" s="9">
        <v>106.07432350000001</v>
      </c>
      <c r="X139" s="53"/>
      <c r="Y139" s="27"/>
      <c r="Z139" s="43"/>
      <c r="AA139" s="81"/>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6">
        <v>-2.097502</v>
      </c>
      <c r="W140" s="9">
        <v>106.092822</v>
      </c>
      <c r="X140" s="53"/>
      <c r="Y140" s="27"/>
      <c r="Z140" s="43"/>
      <c r="AA140" s="81"/>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6">
        <v>-2.1229969999999998</v>
      </c>
      <c r="W141" s="9">
        <v>106.159896</v>
      </c>
      <c r="X141" s="53"/>
      <c r="Y141" s="27"/>
      <c r="Z141" s="43"/>
      <c r="AA141" s="81"/>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6">
        <v>-2.1229969999999998</v>
      </c>
      <c r="W142" s="9">
        <v>106.159896</v>
      </c>
      <c r="X142" s="53"/>
      <c r="Y142" s="27"/>
      <c r="Z142" s="43"/>
      <c r="AA142" s="81"/>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6">
        <v>-2.1278800000000002</v>
      </c>
      <c r="W143" s="9">
        <v>106.15365199999999</v>
      </c>
      <c r="X143" s="53"/>
      <c r="Y143" s="27"/>
      <c r="Z143" s="43"/>
      <c r="AA143" s="81"/>
      <c r="AB143" s="46"/>
      <c r="AC143">
        <f t="shared" ref="AC143:AC144" si="10">IF(A143="","",IFERROR(L143/K143,0))</f>
        <v>0.13761467889908258</v>
      </c>
      <c r="AD143">
        <f t="shared" ref="AD143:AD144" si="11">IF(A143="","",IFERROR(M143/L143,0))</f>
        <v>0.4</v>
      </c>
    </row>
    <row r="144" spans="1:30">
      <c r="A144" s="29">
        <v>139</v>
      </c>
      <c r="B144" s="9" t="s">
        <v>1884</v>
      </c>
      <c r="C144" s="5" t="s">
        <v>34</v>
      </c>
      <c r="D144" s="9" t="s">
        <v>81</v>
      </c>
      <c r="E144" s="9" t="s">
        <v>122</v>
      </c>
      <c r="F144" s="5" t="s">
        <v>1885</v>
      </c>
      <c r="G144" s="5" t="s">
        <v>1886</v>
      </c>
      <c r="H144" s="15" t="s">
        <v>1887</v>
      </c>
      <c r="I144" s="15" t="s">
        <v>42</v>
      </c>
      <c r="J144" s="5">
        <v>2025</v>
      </c>
      <c r="K144" s="15">
        <v>60</v>
      </c>
      <c r="L144" s="9">
        <v>28</v>
      </c>
      <c r="M144" s="15">
        <v>20</v>
      </c>
      <c r="N144" s="15" t="s">
        <v>41</v>
      </c>
      <c r="O144" s="5" t="s">
        <v>42</v>
      </c>
      <c r="P144" s="5"/>
      <c r="Q144" s="21" t="s">
        <v>72</v>
      </c>
      <c r="R144" s="21" t="s">
        <v>88</v>
      </c>
      <c r="S144" s="18"/>
      <c r="T144" s="9"/>
      <c r="U144" s="9"/>
      <c r="V144" s="76"/>
      <c r="W144" s="9"/>
      <c r="X144" s="53"/>
      <c r="Y144" s="65"/>
      <c r="Z144" s="43"/>
      <c r="AA144" s="81"/>
      <c r="AB144" s="74"/>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6">
        <v>-2.1073993999999998</v>
      </c>
      <c r="W145" s="9">
        <v>106.0614738</v>
      </c>
      <c r="X145" s="53"/>
      <c r="Y145" s="27"/>
      <c r="Z145" s="43"/>
      <c r="AA145" s="81"/>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6">
        <v>-2.0824609999999999</v>
      </c>
      <c r="W146" s="9">
        <v>106.11130199999999</v>
      </c>
      <c r="X146" s="53"/>
      <c r="Y146" s="27"/>
      <c r="Z146" s="43"/>
      <c r="AA146" s="81"/>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6"/>
      <c r="W147" s="9"/>
      <c r="X147" s="53"/>
      <c r="Y147" s="27"/>
      <c r="Z147" s="43"/>
      <c r="AA147" s="81"/>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6">
        <v>-2.0997479999999999</v>
      </c>
      <c r="W148" s="9">
        <v>106.078397</v>
      </c>
      <c r="X148" s="53"/>
      <c r="Y148" s="27"/>
      <c r="Z148" s="43"/>
      <c r="AA148" s="81"/>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6">
        <v>-2.084654</v>
      </c>
      <c r="W149" s="9">
        <v>106.113918</v>
      </c>
      <c r="X149" s="53"/>
      <c r="Y149" s="27"/>
      <c r="Z149" s="43"/>
      <c r="AA149" s="81"/>
      <c r="AB149" s="46"/>
      <c r="AC149">
        <f t="shared" si="12"/>
        <v>0.87234042553191493</v>
      </c>
      <c r="AD149">
        <f t="shared" si="13"/>
        <v>1</v>
      </c>
    </row>
    <row r="150" spans="1:30">
      <c r="A150" s="29">
        <v>145</v>
      </c>
      <c r="B150" s="9" t="s">
        <v>1907</v>
      </c>
      <c r="C150" s="5" t="s">
        <v>170</v>
      </c>
      <c r="D150" s="9" t="s">
        <v>60</v>
      </c>
      <c r="E150" s="9" t="s">
        <v>368</v>
      </c>
      <c r="F150" s="5" t="s">
        <v>1908</v>
      </c>
      <c r="G150" s="5" t="s">
        <v>477</v>
      </c>
      <c r="H150" s="15" t="s">
        <v>1896</v>
      </c>
      <c r="I150" s="15"/>
      <c r="J150" s="5" t="s">
        <v>42</v>
      </c>
      <c r="K150" s="15">
        <v>47</v>
      </c>
      <c r="L150" s="9">
        <v>47</v>
      </c>
      <c r="M150" s="15">
        <v>47</v>
      </c>
      <c r="N150" s="15" t="s">
        <v>41</v>
      </c>
      <c r="O150" s="5" t="s">
        <v>42</v>
      </c>
      <c r="P150" s="5"/>
      <c r="Q150" s="21" t="s">
        <v>43</v>
      </c>
      <c r="R150" s="21"/>
      <c r="S150" s="18"/>
      <c r="T150" s="9"/>
      <c r="U150" s="9"/>
      <c r="V150" s="76">
        <v>-2.1046779999999998</v>
      </c>
      <c r="W150" s="9">
        <v>106.115516</v>
      </c>
      <c r="X150" s="53"/>
      <c r="Y150" s="65"/>
      <c r="Z150" s="43"/>
      <c r="AA150" s="81"/>
      <c r="AB150" s="74"/>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6">
        <v>-2.1326553000000001</v>
      </c>
      <c r="W151" s="9">
        <v>106.1247745</v>
      </c>
      <c r="X151" s="53"/>
      <c r="Y151" s="27"/>
      <c r="Z151" s="43"/>
      <c r="AA151" s="81"/>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6">
        <v>-2.1277219999999999</v>
      </c>
      <c r="W152" s="9">
        <v>106.083528</v>
      </c>
      <c r="X152" s="53"/>
      <c r="Y152" s="27"/>
      <c r="Z152" s="43"/>
      <c r="AA152" s="81"/>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6">
        <v>-2.1151049999999998</v>
      </c>
      <c r="W153" s="9">
        <v>106.081965</v>
      </c>
      <c r="X153" s="53"/>
      <c r="Y153" s="27"/>
      <c r="Z153" s="43"/>
      <c r="AA153" s="81"/>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6">
        <v>-2.1158537000000002</v>
      </c>
      <c r="W154" s="9">
        <v>106.0816123</v>
      </c>
      <c r="X154" s="53"/>
      <c r="Y154" s="27"/>
      <c r="Z154" s="43"/>
      <c r="AA154" s="81"/>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6">
        <v>-2.1149426999999998</v>
      </c>
      <c r="W155" s="9">
        <v>106.08137979999999</v>
      </c>
      <c r="X155" s="53"/>
      <c r="Y155" s="27"/>
      <c r="Z155" s="43"/>
      <c r="AA155" s="81"/>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6">
        <v>-2.1373600000000001</v>
      </c>
      <c r="W156" s="9">
        <v>106.157115</v>
      </c>
      <c r="X156" s="53"/>
      <c r="Y156" s="27"/>
      <c r="Z156" s="43"/>
      <c r="AA156" s="81"/>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6">
        <v>-2.1294439999999999</v>
      </c>
      <c r="W157" s="9">
        <v>106.1604487</v>
      </c>
      <c r="X157" s="53"/>
      <c r="Y157" s="27"/>
      <c r="Z157" s="43"/>
      <c r="AA157" s="81"/>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6">
        <v>-2.1298411000000002</v>
      </c>
      <c r="W158" s="9">
        <v>106.15998329999999</v>
      </c>
      <c r="X158" s="53"/>
      <c r="Y158" s="27"/>
      <c r="Z158" s="43"/>
      <c r="AA158" s="81"/>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6">
        <v>-2.130566</v>
      </c>
      <c r="W159" s="9">
        <v>106.16054800000001</v>
      </c>
      <c r="X159" s="53"/>
      <c r="Y159" s="27"/>
      <c r="Z159" s="43"/>
      <c r="AA159" s="81"/>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6">
        <v>-2.1078779999999999</v>
      </c>
      <c r="W160" s="9">
        <v>106.06042100000001</v>
      </c>
      <c r="X160" s="53"/>
      <c r="Y160" s="27"/>
      <c r="Z160" s="43"/>
      <c r="AA160" s="81"/>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6">
        <v>-2.1125147000000002</v>
      </c>
      <c r="W161" s="9">
        <v>106.07043590000001</v>
      </c>
      <c r="X161" s="53"/>
      <c r="Y161" s="27"/>
      <c r="Z161" s="43"/>
      <c r="AA161" s="81"/>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6">
        <v>-2.1084619999999998</v>
      </c>
      <c r="W162" s="9">
        <v>106.062211</v>
      </c>
      <c r="X162" s="53"/>
      <c r="Y162" s="27"/>
      <c r="Z162" s="43"/>
      <c r="AA162" s="81"/>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6">
        <v>-2.0945735000000001</v>
      </c>
      <c r="W163" s="9">
        <v>106.113224</v>
      </c>
      <c r="X163" s="53"/>
      <c r="Y163" s="27"/>
      <c r="Z163" s="43"/>
      <c r="AA163" s="81"/>
      <c r="AB163" s="46"/>
      <c r="AC163">
        <f t="shared" si="12"/>
        <v>0.5714285714285714</v>
      </c>
      <c r="AD163">
        <f t="shared" si="13"/>
        <v>1</v>
      </c>
    </row>
    <row r="164" spans="1:30" ht="25">
      <c r="A164" s="29">
        <v>159</v>
      </c>
      <c r="B164" s="9" t="s">
        <v>1894</v>
      </c>
      <c r="C164" s="5" t="s">
        <v>34</v>
      </c>
      <c r="D164" s="9" t="s">
        <v>35</v>
      </c>
      <c r="E164" s="9" t="s">
        <v>36</v>
      </c>
      <c r="F164" s="5" t="s">
        <v>387</v>
      </c>
      <c r="G164" s="5" t="s">
        <v>1895</v>
      </c>
      <c r="H164" s="15" t="s">
        <v>1896</v>
      </c>
      <c r="I164" s="15"/>
      <c r="J164" s="5">
        <v>2026</v>
      </c>
      <c r="K164" s="15">
        <v>31</v>
      </c>
      <c r="L164" s="9">
        <v>0</v>
      </c>
      <c r="M164" s="15">
        <v>0</v>
      </c>
      <c r="N164" s="15" t="s">
        <v>41</v>
      </c>
      <c r="O164" s="5" t="s">
        <v>42</v>
      </c>
      <c r="P164" s="5"/>
      <c r="Q164" s="21" t="s">
        <v>43</v>
      </c>
      <c r="R164" s="21" t="s">
        <v>88</v>
      </c>
      <c r="S164" s="18"/>
      <c r="T164" s="9"/>
      <c r="U164" s="9"/>
      <c r="V164" s="76"/>
      <c r="W164" s="9"/>
      <c r="X164" s="53"/>
      <c r="Y164" s="65"/>
      <c r="Z164" s="43"/>
      <c r="AA164" s="81"/>
      <c r="AB164" s="74"/>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6">
        <v>-2.1185654</v>
      </c>
      <c r="W165" s="9">
        <v>106.0760401</v>
      </c>
      <c r="X165" s="53"/>
      <c r="Y165" s="27"/>
      <c r="Z165" s="43"/>
      <c r="AA165" s="81"/>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6"/>
      <c r="W166" s="9"/>
      <c r="X166" s="53"/>
      <c r="Y166" s="27"/>
      <c r="Z166" s="43"/>
      <c r="AA166" s="81"/>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6">
        <v>-2.1512880999999999</v>
      </c>
      <c r="W167" s="9">
        <v>106.1042964</v>
      </c>
      <c r="X167" s="53"/>
      <c r="Y167" s="27"/>
      <c r="Z167" s="43"/>
      <c r="AA167" s="81"/>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6">
        <v>-2.1308129999999998</v>
      </c>
      <c r="W168" s="9">
        <v>106.162803</v>
      </c>
      <c r="X168" s="53"/>
      <c r="Y168" s="27"/>
      <c r="Z168" s="43"/>
      <c r="AA168" s="81"/>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6">
        <v>-2.0915680000000001</v>
      </c>
      <c r="W169" s="9">
        <v>106.118658</v>
      </c>
      <c r="X169" s="53"/>
      <c r="Y169" s="27"/>
      <c r="Z169" s="43"/>
      <c r="AA169" s="81"/>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6">
        <v>-2.1000770000000002</v>
      </c>
      <c r="W170" s="9">
        <v>106.07646699999999</v>
      </c>
      <c r="X170" s="53"/>
      <c r="Y170" s="27"/>
      <c r="Z170" s="43"/>
      <c r="AA170" s="81"/>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6">
        <v>-2.0998857000000002</v>
      </c>
      <c r="W171" s="9">
        <v>106.07139979999999</v>
      </c>
      <c r="X171" s="53"/>
      <c r="Y171" s="27"/>
      <c r="Z171" s="43"/>
      <c r="AA171" s="81"/>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6">
        <v>-2.0903510000000001</v>
      </c>
      <c r="W172" s="9">
        <v>106.11813600000001</v>
      </c>
      <c r="X172" s="53"/>
      <c r="Y172" s="27"/>
      <c r="Z172" s="43"/>
      <c r="AA172" s="81"/>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6">
        <v>-2.1180140000000001</v>
      </c>
      <c r="W173" s="9">
        <v>106.078672</v>
      </c>
      <c r="X173" s="53"/>
      <c r="Y173" s="27"/>
      <c r="Z173" s="43"/>
      <c r="AA173" s="81"/>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6">
        <v>-2.1573333319999999</v>
      </c>
      <c r="W174" s="9">
        <v>106.15588889999999</v>
      </c>
      <c r="X174" s="53"/>
      <c r="Y174" s="27"/>
      <c r="Z174" s="43"/>
      <c r="AA174" s="81"/>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6">
        <v>-2.0841970000000001</v>
      </c>
      <c r="W175" s="9">
        <v>106.096322</v>
      </c>
      <c r="X175" s="53"/>
      <c r="Y175" s="27"/>
      <c r="Z175" s="43"/>
      <c r="AA175" s="81"/>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6">
        <v>-2.1393496999999999</v>
      </c>
      <c r="W176" s="9">
        <v>106.1528338</v>
      </c>
      <c r="X176" s="53"/>
      <c r="Y176" s="27"/>
      <c r="Z176" s="43"/>
      <c r="AA176" s="81"/>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6">
        <v>-2.0889690000000001</v>
      </c>
      <c r="W177" s="9">
        <v>106.116389</v>
      </c>
      <c r="X177" s="53"/>
      <c r="Y177" s="27"/>
      <c r="Z177" s="43"/>
      <c r="AA177" s="81"/>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6">
        <v>-2.0892409999999999</v>
      </c>
      <c r="W178" s="9">
        <v>106.096075</v>
      </c>
      <c r="X178" s="53"/>
      <c r="Y178" s="27"/>
      <c r="Z178" s="43"/>
      <c r="AA178" s="81"/>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6">
        <v>-2.090052</v>
      </c>
      <c r="W179" s="9">
        <v>106.094559</v>
      </c>
      <c r="X179" s="53"/>
      <c r="Y179" s="27"/>
      <c r="Z179" s="43"/>
      <c r="AA179" s="81"/>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6">
        <v>-2.0964974999999999</v>
      </c>
      <c r="W180" s="9">
        <v>106.1040895</v>
      </c>
      <c r="X180" s="53"/>
      <c r="Y180" s="27"/>
      <c r="Z180" s="43"/>
      <c r="AA180" s="81"/>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6">
        <v>-2.0814569999999999</v>
      </c>
      <c r="W181" s="9">
        <v>106.12316300000001</v>
      </c>
      <c r="X181" s="53"/>
      <c r="Y181" s="27"/>
      <c r="Z181" s="43"/>
      <c r="AA181" s="81"/>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6">
        <v>-2.0943870000000002</v>
      </c>
      <c r="W182" s="9">
        <v>106.117035</v>
      </c>
      <c r="X182" s="53"/>
      <c r="Y182" s="27"/>
      <c r="Z182" s="43"/>
      <c r="AA182" s="81"/>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6">
        <v>-2.0900346999999999</v>
      </c>
      <c r="W183" s="9">
        <v>106.0923793</v>
      </c>
      <c r="X183" s="53"/>
      <c r="Y183" s="27"/>
      <c r="Z183" s="43"/>
      <c r="AA183" s="81"/>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6">
        <v>-2.1382370000000002</v>
      </c>
      <c r="W184" s="9">
        <v>106.1508</v>
      </c>
      <c r="X184" s="53"/>
      <c r="Y184" s="27"/>
      <c r="Z184" s="43"/>
      <c r="AA184" s="81"/>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6">
        <v>-2.099604555</v>
      </c>
      <c r="W185" s="9">
        <v>106.1074424</v>
      </c>
      <c r="X185" s="53"/>
      <c r="Y185" s="27"/>
      <c r="Z185" s="43"/>
      <c r="AA185" s="81"/>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6">
        <v>-2.0878000000000001</v>
      </c>
      <c r="W186" s="9">
        <v>106.0942</v>
      </c>
      <c r="X186" s="53"/>
      <c r="Y186" s="27"/>
      <c r="Z186" s="43"/>
      <c r="AA186" s="81"/>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6">
        <v>-2.101111</v>
      </c>
      <c r="W187" s="9">
        <v>106.0888344</v>
      </c>
      <c r="X187" s="53"/>
      <c r="Y187" s="27"/>
      <c r="Z187" s="43"/>
      <c r="AA187" s="81"/>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6">
        <v>-2.0900110000000001</v>
      </c>
      <c r="W188" s="9">
        <v>106.10247200000001</v>
      </c>
      <c r="X188" s="53"/>
      <c r="Y188" s="27"/>
      <c r="Z188" s="43"/>
      <c r="AA188" s="81"/>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6">
        <v>-2.0885655999999999</v>
      </c>
      <c r="W189" s="9">
        <v>106.09792659999999</v>
      </c>
      <c r="X189" s="53"/>
      <c r="Y189" s="27"/>
      <c r="Z189" s="43"/>
      <c r="AA189" s="81"/>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6">
        <v>-2.1283569999999998</v>
      </c>
      <c r="W190" s="9">
        <v>106.13170340000001</v>
      </c>
      <c r="X190" s="53"/>
      <c r="Y190" s="27"/>
      <c r="Z190" s="43"/>
      <c r="AA190" s="81"/>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6">
        <v>-2.1216097</v>
      </c>
      <c r="W191" s="9">
        <v>106.0862723</v>
      </c>
      <c r="X191" s="53"/>
      <c r="Y191" s="27"/>
      <c r="Z191" s="43"/>
      <c r="AA191" s="81"/>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6">
        <v>-2.0946505000000002</v>
      </c>
      <c r="W192" s="9">
        <v>106.091736</v>
      </c>
      <c r="X192" s="53"/>
      <c r="Y192" s="27"/>
      <c r="Z192" s="43"/>
      <c r="AA192" s="81"/>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6">
        <v>-2.0952259999999998</v>
      </c>
      <c r="W193" s="9">
        <v>106.0856861</v>
      </c>
      <c r="X193" s="53"/>
      <c r="Y193" s="27"/>
      <c r="Z193" s="43"/>
      <c r="AA193" s="81"/>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6">
        <v>-2.0995051</v>
      </c>
      <c r="W194" s="9">
        <v>106.0848124</v>
      </c>
      <c r="X194" s="53"/>
      <c r="Y194" s="27"/>
      <c r="Z194" s="43"/>
      <c r="AA194" s="81"/>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6">
        <v>-2.106506</v>
      </c>
      <c r="W195" s="9">
        <v>106.090225</v>
      </c>
      <c r="X195" s="53"/>
      <c r="Y195" s="27"/>
      <c r="Z195" s="43"/>
      <c r="AA195" s="81"/>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6">
        <v>-2.1166117</v>
      </c>
      <c r="W196" s="9">
        <v>106.0875205</v>
      </c>
      <c r="X196" s="53"/>
      <c r="Y196" s="27"/>
      <c r="Z196" s="43"/>
      <c r="AA196" s="81"/>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6">
        <v>-2.101629</v>
      </c>
      <c r="W197" s="9">
        <v>106.0795565</v>
      </c>
      <c r="X197" s="53"/>
      <c r="Y197" s="27"/>
      <c r="Z197" s="43"/>
      <c r="AA197" s="81"/>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6">
        <v>-2.0903659999999999</v>
      </c>
      <c r="W198" s="9">
        <v>106.103634</v>
      </c>
      <c r="X198" s="53"/>
      <c r="Y198" s="27"/>
      <c r="Z198" s="43"/>
      <c r="AA198" s="81"/>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6">
        <v>-2.0896349999999999</v>
      </c>
      <c r="W199" s="9">
        <v>106.10897799999999</v>
      </c>
      <c r="X199" s="53"/>
      <c r="Y199" s="27"/>
      <c r="Z199" s="43"/>
      <c r="AA199" s="81"/>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6">
        <v>-2.1338387000000001</v>
      </c>
      <c r="W200" s="9">
        <v>106.15800900000001</v>
      </c>
      <c r="X200" s="53"/>
      <c r="Y200" s="27"/>
      <c r="Z200" s="43"/>
      <c r="AA200" s="81"/>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6"/>
      <c r="W201" s="9"/>
      <c r="X201" s="53"/>
      <c r="Y201" s="27"/>
      <c r="Z201" s="43"/>
      <c r="AA201" s="81"/>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6"/>
      <c r="W202" s="9"/>
      <c r="X202" s="53"/>
      <c r="Y202" s="27"/>
      <c r="Z202" s="43"/>
      <c r="AA202" s="81"/>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6">
        <v>-2.1338387000000001</v>
      </c>
      <c r="W203" s="9">
        <v>106.15800900000001</v>
      </c>
      <c r="X203" s="53"/>
      <c r="Y203" s="27"/>
      <c r="Z203" s="43"/>
      <c r="AA203" s="81"/>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6">
        <v>-2.1337893999999999</v>
      </c>
      <c r="W204" s="9">
        <v>106.1568065</v>
      </c>
      <c r="X204" s="53"/>
      <c r="Y204" s="27"/>
      <c r="Z204" s="43"/>
      <c r="AA204" s="81"/>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6">
        <v>-2.1030367000000001</v>
      </c>
      <c r="W205" s="9">
        <v>106.09867819999999</v>
      </c>
      <c r="X205" s="53"/>
      <c r="Y205" s="27"/>
      <c r="Z205" s="43"/>
      <c r="AA205" s="81"/>
      <c r="AB205" s="46"/>
      <c r="AC205">
        <f t="shared" si="14"/>
        <v>1</v>
      </c>
      <c r="AD205">
        <f t="shared" si="15"/>
        <v>1</v>
      </c>
    </row>
    <row r="206" spans="1:30" ht="25">
      <c r="A206" s="29">
        <v>201</v>
      </c>
      <c r="B206" s="9" t="s">
        <v>1897</v>
      </c>
      <c r="C206" s="5" t="s">
        <v>34</v>
      </c>
      <c r="D206" s="9" t="s">
        <v>35</v>
      </c>
      <c r="E206" s="9" t="s">
        <v>46</v>
      </c>
      <c r="F206" s="5" t="s">
        <v>1898</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6"/>
      <c r="W206" s="9"/>
      <c r="X206" s="53"/>
      <c r="Y206" s="65"/>
      <c r="Z206" s="43"/>
      <c r="AA206" s="81"/>
      <c r="AB206" s="74"/>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6">
        <v>-2.0791229000000002</v>
      </c>
      <c r="W207" s="9">
        <v>106.12775739999999</v>
      </c>
      <c r="X207" s="53"/>
      <c r="Y207" s="27"/>
      <c r="Z207" s="43"/>
      <c r="AA207" s="81"/>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6">
        <v>-2.1178539000000001</v>
      </c>
      <c r="W208" s="9">
        <v>106.0945468</v>
      </c>
      <c r="X208" s="53"/>
      <c r="Y208" s="27"/>
      <c r="Z208" s="43"/>
      <c r="AA208" s="81"/>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6">
        <v>-2.1417353000000001</v>
      </c>
      <c r="W209" s="9">
        <v>106.16425479999999</v>
      </c>
      <c r="X209" s="53"/>
      <c r="Y209" s="27"/>
      <c r="Z209" s="43"/>
      <c r="AA209" s="81"/>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6">
        <v>-2.1175589000000001</v>
      </c>
      <c r="W210" s="9">
        <v>106.0662955</v>
      </c>
      <c r="X210" s="53"/>
      <c r="Y210" s="27"/>
      <c r="Z210" s="43"/>
      <c r="AA210" s="81"/>
      <c r="AB210" s="46"/>
      <c r="AC210">
        <f>IF(A210="","",IFERROR(L210/K210,0))</f>
        <v>0.95833333333333337</v>
      </c>
      <c r="AD210">
        <f>IF(A210="","",IFERROR(M210/L210,0))</f>
        <v>1</v>
      </c>
    </row>
    <row r="211" spans="1:30">
      <c r="A211" s="30">
        <v>206</v>
      </c>
      <c r="B211" s="9" t="s">
        <v>1899</v>
      </c>
      <c r="C211" s="5" t="s">
        <v>34</v>
      </c>
      <c r="D211" s="9" t="s">
        <v>60</v>
      </c>
      <c r="E211" s="9" t="s">
        <v>70</v>
      </c>
      <c r="F211" s="5" t="s">
        <v>1900</v>
      </c>
      <c r="G211" s="5" t="s">
        <v>1901</v>
      </c>
      <c r="H211" s="15" t="s">
        <v>1902</v>
      </c>
      <c r="I211" s="15"/>
      <c r="J211" s="5">
        <v>2026</v>
      </c>
      <c r="K211" s="15">
        <v>32</v>
      </c>
      <c r="L211" s="9">
        <v>0</v>
      </c>
      <c r="M211" s="15">
        <v>0</v>
      </c>
      <c r="N211" s="15" t="s">
        <v>41</v>
      </c>
      <c r="O211" s="5" t="s">
        <v>42</v>
      </c>
      <c r="P211" s="5"/>
      <c r="Q211" s="21" t="s">
        <v>43</v>
      </c>
      <c r="R211" s="21" t="s">
        <v>88</v>
      </c>
      <c r="S211" s="18"/>
      <c r="T211" s="9"/>
      <c r="U211" s="9"/>
      <c r="V211" s="76"/>
      <c r="W211" s="9"/>
      <c r="X211" s="53"/>
      <c r="Y211" s="65"/>
      <c r="Z211" s="43"/>
      <c r="AA211" s="81"/>
      <c r="AB211" s="74"/>
    </row>
    <row r="212" spans="1:30">
      <c r="A212" s="29">
        <v>207</v>
      </c>
      <c r="B212" s="9" t="s">
        <v>1903</v>
      </c>
      <c r="C212" s="5" t="s">
        <v>34</v>
      </c>
      <c r="D212" s="9" t="s">
        <v>81</v>
      </c>
      <c r="E212" s="9" t="s">
        <v>82</v>
      </c>
      <c r="F212" s="5" t="s">
        <v>602</v>
      </c>
      <c r="G212" s="5" t="s">
        <v>1901</v>
      </c>
      <c r="H212" s="15" t="s">
        <v>1902</v>
      </c>
      <c r="I212" s="15"/>
      <c r="J212" s="5">
        <v>2026</v>
      </c>
      <c r="K212" s="15">
        <v>36</v>
      </c>
      <c r="L212" s="9">
        <v>0</v>
      </c>
      <c r="M212" s="15">
        <v>0</v>
      </c>
      <c r="N212" s="15" t="s">
        <v>41</v>
      </c>
      <c r="O212" s="5" t="s">
        <v>42</v>
      </c>
      <c r="P212" s="5"/>
      <c r="Q212" s="21" t="s">
        <v>43</v>
      </c>
      <c r="R212" s="21" t="s">
        <v>88</v>
      </c>
      <c r="S212" s="18"/>
      <c r="T212" s="9"/>
      <c r="U212" s="9"/>
      <c r="V212" s="76"/>
      <c r="W212" s="9"/>
      <c r="X212" s="53"/>
      <c r="Y212" s="65"/>
      <c r="Z212" s="43"/>
      <c r="AA212" s="81"/>
      <c r="AB212" s="74"/>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6">
        <v>-2.1016789999999999</v>
      </c>
      <c r="W213" s="9">
        <v>106.092687</v>
      </c>
      <c r="X213" s="53"/>
      <c r="Y213" s="27"/>
      <c r="Z213" s="43"/>
      <c r="AA213" s="81"/>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7">
        <v>-2.1004930000000002</v>
      </c>
      <c r="W214" s="10">
        <v>106.09254</v>
      </c>
      <c r="X214" s="54"/>
      <c r="Y214" s="28"/>
      <c r="Z214" s="43"/>
      <c r="AA214" s="81"/>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8">
        <v>-2.0975090000000001</v>
      </c>
      <c r="W215" s="48">
        <v>106.089961</v>
      </c>
      <c r="X215" s="50"/>
      <c r="Y215" s="50"/>
      <c r="Z215" s="48"/>
      <c r="AA215" s="82"/>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8">
        <v>-2.1016526</v>
      </c>
      <c r="W216" s="48">
        <v>106.08860610000001</v>
      </c>
      <c r="X216" s="50"/>
      <c r="Y216" s="50"/>
      <c r="Z216" s="48"/>
      <c r="AA216" s="82"/>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8">
        <v>-2.1427999999999998</v>
      </c>
      <c r="W217" s="48">
        <v>106.137094</v>
      </c>
      <c r="X217" s="50"/>
      <c r="Y217" s="50"/>
      <c r="Z217" s="48"/>
      <c r="AA217" s="82"/>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8">
        <v>-2.1243370000000001</v>
      </c>
      <c r="W218" s="48">
        <v>106.07397899999999</v>
      </c>
      <c r="X218" s="50"/>
      <c r="Y218" s="50"/>
      <c r="Z218" s="48"/>
      <c r="AA218" s="82"/>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8">
        <v>-2.103507</v>
      </c>
      <c r="W219" s="48">
        <v>106.05775800000001</v>
      </c>
      <c r="X219" s="50"/>
      <c r="Y219" s="50"/>
      <c r="Z219" s="48"/>
      <c r="AA219" s="82"/>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8">
        <v>-2.0895030000000001</v>
      </c>
      <c r="W220" s="48">
        <v>106.106718</v>
      </c>
      <c r="X220" s="50"/>
      <c r="Y220" s="50"/>
      <c r="Z220" s="48"/>
      <c r="AA220" s="82"/>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8">
        <v>-2.1027453999999999</v>
      </c>
      <c r="W221" s="48">
        <v>106.08195600000001</v>
      </c>
      <c r="X221" s="50"/>
      <c r="Y221" s="50"/>
      <c r="Z221" s="48"/>
      <c r="AA221" s="82"/>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8">
        <v>-2.1195455999999999</v>
      </c>
      <c r="W222" s="48">
        <v>106.0841642</v>
      </c>
      <c r="X222" s="50"/>
      <c r="Y222" s="50"/>
      <c r="Z222" s="48"/>
      <c r="AA222" s="82"/>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8">
        <v>-2.0967829999999998</v>
      </c>
      <c r="W223" s="48">
        <v>106.090541</v>
      </c>
      <c r="X223" s="50"/>
      <c r="Y223" s="50"/>
      <c r="Z223" s="48"/>
      <c r="AA223" s="82"/>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8">
        <v>-2.0873235600000002</v>
      </c>
      <c r="W224" s="48">
        <v>106.1073224</v>
      </c>
      <c r="X224" s="50"/>
      <c r="Y224" s="50"/>
      <c r="Z224" s="48"/>
      <c r="AA224" s="82"/>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8">
        <v>-2.080676</v>
      </c>
      <c r="W225" s="48">
        <v>106.124278</v>
      </c>
      <c r="X225" s="50"/>
      <c r="Y225" s="50"/>
      <c r="Z225" s="48"/>
      <c r="AA225" s="82"/>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8">
        <v>-2.1250148000000002</v>
      </c>
      <c r="W226" s="48">
        <v>106.07380209999999</v>
      </c>
      <c r="X226" s="50"/>
      <c r="Y226" s="50"/>
      <c r="Z226" s="48"/>
      <c r="AA226" s="82"/>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8">
        <v>-2.0951469999999999</v>
      </c>
      <c r="W227" s="48">
        <v>106.108746</v>
      </c>
      <c r="X227" s="50"/>
      <c r="Y227" s="50"/>
      <c r="Z227" s="48"/>
      <c r="AA227" s="82"/>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8">
        <v>-2.0951469999999999</v>
      </c>
      <c r="W228" s="48">
        <v>106.108746</v>
      </c>
      <c r="X228" s="50"/>
      <c r="Y228" s="50"/>
      <c r="Z228" s="48"/>
      <c r="AA228" s="82"/>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8">
        <v>-2.1433472</v>
      </c>
      <c r="W229" s="48">
        <v>106.1389238</v>
      </c>
      <c r="X229" s="50"/>
      <c r="Y229" s="50"/>
      <c r="Z229" s="48"/>
      <c r="AA229" s="82"/>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8">
        <v>-2.1330502</v>
      </c>
      <c r="W230" s="48">
        <v>106.14794019999999</v>
      </c>
      <c r="X230" s="50"/>
      <c r="Y230" s="50"/>
      <c r="Z230" s="48"/>
      <c r="AA230" s="82"/>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8">
        <v>-2.1330502</v>
      </c>
      <c r="W231" s="48">
        <v>106.14794019999999</v>
      </c>
      <c r="X231" s="50"/>
      <c r="Y231" s="50"/>
      <c r="Z231" s="48"/>
      <c r="AA231" s="82"/>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8">
        <v>-2.1330502</v>
      </c>
      <c r="W232" s="48">
        <v>106.14794019999999</v>
      </c>
      <c r="X232" s="50"/>
      <c r="Y232" s="50"/>
      <c r="Z232" s="48"/>
      <c r="AA232" s="82"/>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8">
        <v>-2.1330502</v>
      </c>
      <c r="W233" s="48">
        <v>106.14794019999999</v>
      </c>
      <c r="X233" s="50"/>
      <c r="Y233" s="50"/>
      <c r="Z233" s="48"/>
      <c r="AA233" s="82"/>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8"/>
      <c r="W234" s="48"/>
      <c r="X234" s="50"/>
      <c r="Y234" s="50"/>
      <c r="Z234" s="48"/>
      <c r="AA234" s="82"/>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8"/>
      <c r="W235" s="48"/>
      <c r="X235" s="50"/>
      <c r="Y235" s="50"/>
      <c r="Z235" s="48"/>
      <c r="AA235" s="82"/>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8">
        <v>-2.1381644999999998</v>
      </c>
      <c r="W236" s="48">
        <v>106.15515670000001</v>
      </c>
      <c r="X236" s="50"/>
      <c r="Y236" s="50"/>
      <c r="Z236" s="48"/>
      <c r="AA236" s="82"/>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8">
        <v>-2.1346430999999999</v>
      </c>
      <c r="W237" s="48">
        <v>106.1342334</v>
      </c>
      <c r="X237" s="50"/>
      <c r="Y237" s="50"/>
      <c r="Z237" s="48"/>
      <c r="AA237" s="82"/>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8">
        <v>-2.1351254000000002</v>
      </c>
      <c r="W238" s="48">
        <v>106.1331278</v>
      </c>
      <c r="X238" s="50"/>
      <c r="Y238" s="50"/>
      <c r="Z238" s="48"/>
      <c r="AA238" s="82"/>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8">
        <v>-2.1201880000000002</v>
      </c>
      <c r="W239" s="48">
        <v>106.07431099999999</v>
      </c>
      <c r="X239" s="50"/>
      <c r="Y239" s="50"/>
      <c r="Z239" s="48"/>
      <c r="AA239" s="82"/>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8">
        <v>-2.1146593</v>
      </c>
      <c r="W240" s="48">
        <v>106.0722858</v>
      </c>
      <c r="X240" s="50"/>
      <c r="Y240" s="50"/>
      <c r="Z240" s="48"/>
      <c r="AA240" s="82"/>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8">
        <v>-2.1018940000000002</v>
      </c>
      <c r="W241" s="48">
        <v>106.081547</v>
      </c>
      <c r="X241" s="50"/>
      <c r="Y241" s="50"/>
      <c r="Z241" s="48"/>
      <c r="AA241" s="82"/>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8">
        <v>-2.0981193999999999</v>
      </c>
      <c r="W242" s="48">
        <v>106.0837946</v>
      </c>
      <c r="X242" s="50"/>
      <c r="Y242" s="50"/>
      <c r="Z242" s="48"/>
      <c r="AA242" s="82"/>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8">
        <v>-2.0944850000000002</v>
      </c>
      <c r="W243" s="48">
        <v>106.09107</v>
      </c>
      <c r="X243" s="50"/>
      <c r="Y243" s="50"/>
      <c r="Z243" s="48"/>
      <c r="AA243" s="82"/>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8">
        <v>-2.0975541999999998</v>
      </c>
      <c r="W244" s="48">
        <v>106.0794709</v>
      </c>
      <c r="X244" s="50"/>
      <c r="Y244" s="50"/>
      <c r="Z244" s="48"/>
      <c r="AA244" s="82"/>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8">
        <v>-2.0942904000000002</v>
      </c>
      <c r="W245" s="48">
        <v>106.0779465</v>
      </c>
      <c r="X245" s="50"/>
      <c r="Y245" s="50"/>
      <c r="Z245" s="48"/>
      <c r="AA245" s="82"/>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8">
        <v>-2.095885</v>
      </c>
      <c r="W246" s="48">
        <v>106.084112</v>
      </c>
      <c r="X246" s="50"/>
      <c r="Y246" s="50"/>
      <c r="Z246" s="48"/>
      <c r="AA246" s="82"/>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8">
        <v>-2.1235791000000002</v>
      </c>
      <c r="W247" s="48">
        <v>106.0763937</v>
      </c>
      <c r="X247" s="50"/>
      <c r="Y247" s="50"/>
      <c r="Z247" s="48"/>
      <c r="AA247" s="82"/>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8">
        <v>-2.078166</v>
      </c>
      <c r="W248" s="48">
        <v>106.12220499999999</v>
      </c>
      <c r="X248" s="50"/>
      <c r="Y248" s="50"/>
      <c r="Z248" s="48"/>
      <c r="AA248" s="82"/>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8">
        <v>-2.1486339999999999</v>
      </c>
      <c r="W249" s="48">
        <v>106.145662</v>
      </c>
      <c r="X249" s="50"/>
      <c r="Y249" s="50"/>
      <c r="Z249" s="48"/>
      <c r="AA249" s="82"/>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8">
        <v>-2.1294618000000001</v>
      </c>
      <c r="W250" s="48">
        <v>106.16116599999999</v>
      </c>
      <c r="X250" s="50"/>
      <c r="Y250" s="50"/>
      <c r="Z250" s="48"/>
      <c r="AA250" s="82"/>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8">
        <v>-2.150156</v>
      </c>
      <c r="W251" s="48">
        <v>106.10794970000001</v>
      </c>
      <c r="X251" s="50"/>
      <c r="Y251" s="50"/>
      <c r="Z251" s="48"/>
      <c r="AA251" s="82"/>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8">
        <v>-2.1502162</v>
      </c>
      <c r="W252" s="48">
        <v>106.1080668</v>
      </c>
      <c r="X252" s="50"/>
      <c r="Y252" s="50"/>
      <c r="Z252" s="48"/>
      <c r="AA252" s="82"/>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8">
        <v>-2.1475719999999998</v>
      </c>
      <c r="W253" s="48">
        <v>106.12103399999999</v>
      </c>
      <c r="X253" s="50"/>
      <c r="Y253" s="50"/>
      <c r="Z253" s="48"/>
      <c r="AA253" s="82"/>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8">
        <v>-2.1529470000000002</v>
      </c>
      <c r="W254" s="48">
        <v>106.109098</v>
      </c>
      <c r="X254" s="50"/>
      <c r="Y254" s="50"/>
      <c r="Z254" s="48"/>
      <c r="AA254" s="82"/>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8">
        <v>-2.0908703499999999</v>
      </c>
      <c r="W255" s="48">
        <v>106.10865029999999</v>
      </c>
      <c r="X255" s="50"/>
      <c r="Y255" s="50"/>
      <c r="Z255" s="48"/>
      <c r="AA255" s="82"/>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8">
        <v>-2.1266164000000001</v>
      </c>
      <c r="W256" s="48">
        <v>106.08298000000001</v>
      </c>
      <c r="X256" s="50"/>
      <c r="Y256" s="50"/>
      <c r="Z256" s="48"/>
      <c r="AA256" s="82"/>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8">
        <v>-2.0969370000000001</v>
      </c>
      <c r="W257" s="48">
        <v>106.07986</v>
      </c>
      <c r="X257" s="50"/>
      <c r="Y257" s="50"/>
      <c r="Z257" s="48"/>
      <c r="AA257" s="82"/>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8">
        <v>-2.09375</v>
      </c>
      <c r="W258" s="48">
        <v>106.07987799999999</v>
      </c>
      <c r="X258" s="50"/>
      <c r="Y258" s="50"/>
      <c r="Z258" s="48"/>
      <c r="AA258" s="82"/>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8">
        <v>-2.1240772300000001</v>
      </c>
      <c r="W259" s="48">
        <v>106.0698871</v>
      </c>
      <c r="X259" s="50"/>
      <c r="Y259" s="50"/>
      <c r="Z259" s="48"/>
      <c r="AA259" s="82"/>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8">
        <v>-2.0777771</v>
      </c>
      <c r="W260" s="48">
        <v>106.1188729</v>
      </c>
      <c r="X260" s="50"/>
      <c r="Y260" s="50"/>
      <c r="Z260" s="48"/>
      <c r="AA260" s="82"/>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8">
        <v>-2.1464112000000002</v>
      </c>
      <c r="W261" s="48">
        <v>106.11293240000001</v>
      </c>
      <c r="X261" s="50"/>
      <c r="Y261" s="50"/>
      <c r="Z261" s="48"/>
      <c r="AA261" s="82"/>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8">
        <v>-2.1051739999999999</v>
      </c>
      <c r="W262" s="48">
        <v>106.06204700000001</v>
      </c>
      <c r="X262" s="50"/>
      <c r="Y262" s="50"/>
      <c r="Z262" s="48"/>
      <c r="AA262" s="82"/>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8">
        <v>-2.098738</v>
      </c>
      <c r="W263" s="48">
        <v>106.080535</v>
      </c>
      <c r="X263" s="50"/>
      <c r="Y263" s="50"/>
      <c r="Z263" s="48"/>
      <c r="AA263" s="82"/>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8">
        <v>-2.0909575</v>
      </c>
      <c r="W264" s="48">
        <v>106.120243</v>
      </c>
      <c r="X264" s="50"/>
      <c r="Y264" s="50"/>
      <c r="Z264" s="48"/>
      <c r="AA264" s="82"/>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8">
        <v>-2.076136</v>
      </c>
      <c r="W265" s="48">
        <v>106.1255896</v>
      </c>
      <c r="X265" s="50"/>
      <c r="Y265" s="50"/>
      <c r="Z265" s="48"/>
      <c r="AA265" s="82"/>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8"/>
      <c r="W266" s="48"/>
      <c r="X266" s="50"/>
      <c r="Y266" s="50"/>
      <c r="Z266" s="48"/>
      <c r="AA266" s="82"/>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8">
        <v>-2.0918006</v>
      </c>
      <c r="W267" s="48">
        <v>106.12090499999999</v>
      </c>
      <c r="X267" s="50"/>
      <c r="Y267" s="50"/>
      <c r="Z267" s="48"/>
      <c r="AA267" s="82"/>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8">
        <v>-2.0912660000000001</v>
      </c>
      <c r="W268" s="48">
        <v>106.120482</v>
      </c>
      <c r="X268" s="50"/>
      <c r="Y268" s="50"/>
      <c r="Z268" s="48"/>
      <c r="AA268" s="82"/>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8">
        <v>-2.1379876000000002</v>
      </c>
      <c r="W269" s="48">
        <v>106.168387</v>
      </c>
      <c r="X269" s="50"/>
      <c r="Y269" s="50"/>
      <c r="Z269" s="48"/>
      <c r="AA269" s="82"/>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8">
        <v>-2.1226579000000001</v>
      </c>
      <c r="W270" s="48">
        <v>106.1613675</v>
      </c>
      <c r="X270" s="50"/>
      <c r="Y270" s="50"/>
      <c r="Z270" s="48"/>
      <c r="AA270" s="82"/>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8">
        <v>-2.1379977000000001</v>
      </c>
      <c r="W271" s="48">
        <v>106.17180449999999</v>
      </c>
      <c r="X271" s="50"/>
      <c r="Y271" s="50"/>
      <c r="Z271" s="48"/>
      <c r="AA271" s="82"/>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8">
        <v>-2.1036215</v>
      </c>
      <c r="W272" s="48">
        <v>106.0576501</v>
      </c>
      <c r="X272" s="50"/>
      <c r="Y272" s="50"/>
      <c r="Z272" s="48"/>
      <c r="AA272" s="82"/>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8">
        <v>-2.092371</v>
      </c>
      <c r="W273" s="48">
        <v>106.12151299999999</v>
      </c>
      <c r="X273" s="50"/>
      <c r="Y273" s="50"/>
      <c r="Z273" s="48"/>
      <c r="AA273" s="82"/>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8">
        <v>-2.0902560000000001</v>
      </c>
      <c r="W274" s="48">
        <v>106.12343199999999</v>
      </c>
      <c r="X274" s="50"/>
      <c r="Y274" s="50"/>
      <c r="Z274" s="48"/>
      <c r="AA274" s="82"/>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8">
        <v>-2.1461264999999998</v>
      </c>
      <c r="W275" s="48">
        <v>106.16679739999999</v>
      </c>
      <c r="X275" s="50"/>
      <c r="Y275" s="50"/>
      <c r="Z275" s="48"/>
      <c r="AA275" s="82"/>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8">
        <v>-2.1040605000000001</v>
      </c>
      <c r="W276" s="48">
        <v>106.05412440000001</v>
      </c>
      <c r="X276" s="50"/>
      <c r="Y276" s="50"/>
      <c r="Z276" s="48"/>
      <c r="AA276" s="82"/>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8">
        <v>-2.0974035999999998</v>
      </c>
      <c r="W277" s="48">
        <v>106.08062150000001</v>
      </c>
      <c r="X277" s="50"/>
      <c r="Y277" s="50"/>
      <c r="Z277" s="48"/>
      <c r="AA277" s="82"/>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8">
        <v>-2.0972580000000001</v>
      </c>
      <c r="W278" s="48">
        <v>106.08021100000001</v>
      </c>
      <c r="X278" s="50"/>
      <c r="Y278" s="50"/>
      <c r="Z278" s="48"/>
      <c r="AA278" s="82"/>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8">
        <v>-2.135602</v>
      </c>
      <c r="W279" s="48">
        <v>106.15954600000001</v>
      </c>
      <c r="X279" s="50"/>
      <c r="Y279" s="50"/>
      <c r="Z279" s="48"/>
      <c r="AA279" s="82"/>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8">
        <v>-2.0898496</v>
      </c>
      <c r="W280" s="48">
        <v>106.119711</v>
      </c>
      <c r="X280" s="50"/>
      <c r="Y280" s="50"/>
      <c r="Z280" s="48"/>
      <c r="AA280" s="82"/>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8">
        <v>-2.1179367</v>
      </c>
      <c r="W281" s="48">
        <v>106.0683732</v>
      </c>
      <c r="X281" s="50"/>
      <c r="Y281" s="50"/>
      <c r="Z281" s="48"/>
      <c r="AA281" s="82"/>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8">
        <v>-2.0884529999999999</v>
      </c>
      <c r="W282" s="48">
        <v>106.114867</v>
      </c>
      <c r="X282" s="50"/>
      <c r="Y282" s="50"/>
      <c r="Z282" s="48"/>
      <c r="AA282" s="82"/>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8">
        <v>-2.1372475999999998</v>
      </c>
      <c r="W283" s="48">
        <v>106.128725</v>
      </c>
      <c r="X283" s="50"/>
      <c r="Y283" s="50"/>
      <c r="Z283" s="48"/>
      <c r="AA283" s="82"/>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8">
        <v>-2.1329259999999999</v>
      </c>
      <c r="W284" s="48">
        <v>106.13212729999999</v>
      </c>
      <c r="X284" s="50"/>
      <c r="Y284" s="50"/>
      <c r="Z284" s="48"/>
      <c r="AA284" s="82"/>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8">
        <v>-2.1501418000000001</v>
      </c>
      <c r="W285" s="48">
        <v>106.1112349</v>
      </c>
      <c r="X285" s="50"/>
      <c r="Y285" s="50"/>
      <c r="Z285" s="48"/>
      <c r="AA285" s="82"/>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8"/>
      <c r="W286" s="48"/>
      <c r="X286" s="50"/>
      <c r="Y286" s="50"/>
      <c r="Z286" s="48"/>
      <c r="AA286" s="82"/>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8"/>
      <c r="W287" s="48"/>
      <c r="X287" s="50"/>
      <c r="Y287" s="50"/>
      <c r="Z287" s="48"/>
      <c r="AA287" s="82"/>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8">
        <v>-2.1318961000000001</v>
      </c>
      <c r="W288" s="48">
        <v>106.15831729999999</v>
      </c>
      <c r="X288" s="50"/>
      <c r="Y288" s="50"/>
      <c r="Z288" s="48"/>
      <c r="AA288" s="82"/>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8"/>
      <c r="W289" s="48"/>
      <c r="X289" s="50"/>
      <c r="Y289" s="50"/>
      <c r="Z289" s="48"/>
      <c r="AA289" s="82"/>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8">
        <v>-2.1021866</v>
      </c>
      <c r="W290" s="48">
        <v>106.05145090000001</v>
      </c>
      <c r="X290" s="50"/>
      <c r="Y290" s="50"/>
      <c r="Z290" s="48"/>
      <c r="AA290" s="82"/>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8">
        <v>-2.0845900999999998</v>
      </c>
      <c r="W291" s="48">
        <v>106.0979296</v>
      </c>
      <c r="X291" s="50"/>
      <c r="Y291" s="50"/>
      <c r="Z291" s="48"/>
      <c r="AA291" s="82"/>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8">
        <v>-2.1377009999999999</v>
      </c>
      <c r="W292" s="48">
        <v>106.1489993</v>
      </c>
      <c r="X292" s="50"/>
      <c r="Y292" s="50"/>
      <c r="Z292" s="48"/>
      <c r="AA292" s="82"/>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8">
        <v>-2.1519857</v>
      </c>
      <c r="W293" s="48">
        <v>106.1057045</v>
      </c>
      <c r="X293" s="50"/>
      <c r="Y293" s="50"/>
      <c r="Z293" s="48"/>
      <c r="AA293" s="82"/>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8">
        <v>-2.1526169999999998</v>
      </c>
      <c r="W294" s="48">
        <v>106.104927</v>
      </c>
      <c r="X294" s="50"/>
      <c r="Y294" s="50"/>
      <c r="Z294" s="48"/>
      <c r="AA294" s="82"/>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8">
        <v>-2.117489</v>
      </c>
      <c r="W295" s="48">
        <v>106.077459</v>
      </c>
      <c r="X295" s="50"/>
      <c r="Y295" s="50"/>
      <c r="Z295" s="48"/>
      <c r="AA295" s="82"/>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8">
        <v>-2.0969530000000001</v>
      </c>
      <c r="W296" s="48">
        <v>106.087341</v>
      </c>
      <c r="X296" s="50"/>
      <c r="Y296" s="50"/>
      <c r="Z296" s="48"/>
      <c r="AA296" s="82"/>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8">
        <v>-2.0940059999999998</v>
      </c>
      <c r="W297" s="48">
        <v>106.105633</v>
      </c>
      <c r="X297" s="50"/>
      <c r="Y297" s="50"/>
      <c r="Z297" s="48"/>
      <c r="AA297" s="82"/>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8">
        <v>-2.0972919999999999</v>
      </c>
      <c r="W298" s="48">
        <v>106.10591599999999</v>
      </c>
      <c r="X298" s="50"/>
      <c r="Y298" s="50"/>
      <c r="Z298" s="48"/>
      <c r="AA298" s="82"/>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8">
        <v>-2.0940059999999998</v>
      </c>
      <c r="W299" s="48">
        <v>106.105633</v>
      </c>
      <c r="X299" s="50"/>
      <c r="Y299" s="50"/>
      <c r="Z299" s="48"/>
      <c r="AA299" s="82"/>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8">
        <v>-2.0929440000000001</v>
      </c>
      <c r="W300" s="48">
        <v>106.109611</v>
      </c>
      <c r="X300" s="50"/>
      <c r="Y300" s="50"/>
      <c r="Z300" s="48"/>
      <c r="AA300" s="82"/>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8">
        <v>-2.0958761250000002</v>
      </c>
      <c r="W301" s="48">
        <v>106.113303</v>
      </c>
      <c r="X301" s="50"/>
      <c r="Y301" s="50"/>
      <c r="Z301" s="48"/>
      <c r="AA301" s="82"/>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8">
        <v>-2.1036250000000001</v>
      </c>
      <c r="W302" s="48">
        <v>106.104417</v>
      </c>
      <c r="X302" s="50"/>
      <c r="Y302" s="50"/>
      <c r="Z302" s="48"/>
      <c r="AA302" s="82"/>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8">
        <v>-2.1039151</v>
      </c>
      <c r="W303" s="48">
        <v>106.0908293</v>
      </c>
      <c r="X303" s="50"/>
      <c r="Y303" s="50"/>
      <c r="Z303" s="48"/>
      <c r="AA303" s="82"/>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8">
        <v>-2.1048110000000002</v>
      </c>
      <c r="W304" s="48">
        <v>106.088823</v>
      </c>
      <c r="X304" s="50"/>
      <c r="Y304" s="50"/>
      <c r="Z304" s="48"/>
      <c r="AA304" s="82"/>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8">
        <v>-2.1032679999999999</v>
      </c>
      <c r="W305" s="48">
        <v>106.102847</v>
      </c>
      <c r="X305" s="50"/>
      <c r="Y305" s="50"/>
      <c r="Z305" s="48"/>
      <c r="AA305" s="82"/>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8">
        <v>-2.1212407999999998</v>
      </c>
      <c r="W306" s="48">
        <v>106.07339570000001</v>
      </c>
      <c r="X306" s="50"/>
      <c r="Y306" s="50"/>
      <c r="Z306" s="48"/>
      <c r="AA306" s="82"/>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8">
        <v>-2.0921159999999999</v>
      </c>
      <c r="W307" s="48">
        <v>106.092775</v>
      </c>
      <c r="X307" s="50"/>
      <c r="Y307" s="50"/>
      <c r="Z307" s="48"/>
      <c r="AA307" s="82"/>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8">
        <v>-2.109334</v>
      </c>
      <c r="W308" s="48">
        <v>106.08140899999999</v>
      </c>
      <c r="X308" s="50"/>
      <c r="Y308" s="50"/>
      <c r="Z308" s="48"/>
      <c r="AA308" s="82"/>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8"/>
      <c r="W309" s="48"/>
      <c r="X309" s="50"/>
      <c r="Y309" s="50"/>
      <c r="Z309" s="48"/>
      <c r="AA309" s="82"/>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8">
        <v>-2.1086290000000001</v>
      </c>
      <c r="W310" s="48">
        <v>106.080664</v>
      </c>
      <c r="X310" s="50"/>
      <c r="Y310" s="50"/>
      <c r="Z310" s="48"/>
      <c r="AA310" s="82"/>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8">
        <v>-2.1061350000000001</v>
      </c>
      <c r="W311" s="48">
        <v>106.102529</v>
      </c>
      <c r="X311" s="50"/>
      <c r="Y311" s="50"/>
      <c r="Z311" s="48"/>
      <c r="AA311" s="82"/>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8">
        <v>-2.1097893000000001</v>
      </c>
      <c r="W312" s="48">
        <v>106.0797096</v>
      </c>
      <c r="X312" s="50"/>
      <c r="Y312" s="50"/>
      <c r="Z312" s="48"/>
      <c r="AA312" s="82"/>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8">
        <v>-2.10541</v>
      </c>
      <c r="W313" s="48">
        <v>106.107096</v>
      </c>
      <c r="X313" s="50"/>
      <c r="Y313" s="50"/>
      <c r="Z313" s="48"/>
      <c r="AA313" s="82"/>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8">
        <v>-2.1040869999999998</v>
      </c>
      <c r="W314" s="48">
        <v>106.09254199999999</v>
      </c>
      <c r="X314" s="50"/>
      <c r="Y314" s="50"/>
      <c r="Z314" s="48"/>
      <c r="AA314" s="82"/>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8">
        <v>-2.1046480000000001</v>
      </c>
      <c r="W315" s="48">
        <v>106.093439</v>
      </c>
      <c r="X315" s="50"/>
      <c r="Y315" s="50"/>
      <c r="Z315" s="48"/>
      <c r="AA315" s="82"/>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8"/>
      <c r="W316" s="48"/>
      <c r="X316" s="50"/>
      <c r="Y316" s="50"/>
      <c r="Z316" s="48"/>
      <c r="AA316" s="82"/>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8"/>
      <c r="W317" s="48"/>
      <c r="X317" s="50"/>
      <c r="Y317" s="50"/>
      <c r="Z317" s="48"/>
      <c r="AA317" s="82"/>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8">
        <v>-2.1097419999999998</v>
      </c>
      <c r="W318" s="48">
        <v>106.090282</v>
      </c>
      <c r="X318" s="50"/>
      <c r="Y318" s="50"/>
      <c r="Z318" s="48"/>
      <c r="AA318" s="82"/>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8">
        <v>-2.1087570000000002</v>
      </c>
      <c r="W319" s="48">
        <v>106.08998630000001</v>
      </c>
      <c r="X319" s="50"/>
      <c r="Y319" s="50"/>
      <c r="Z319" s="48"/>
      <c r="AA319" s="82"/>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8">
        <v>-2.1572900000000002</v>
      </c>
      <c r="W320" s="48">
        <v>106.15357899999999</v>
      </c>
      <c r="X320" s="50"/>
      <c r="Y320" s="50"/>
      <c r="Z320" s="48"/>
      <c r="AA320" s="82">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8"/>
      <c r="W321" s="48"/>
      <c r="X321" s="50"/>
      <c r="Y321" s="50"/>
      <c r="Z321" s="48"/>
      <c r="AA321" s="82"/>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8">
        <v>-2.1049924</v>
      </c>
      <c r="W322" s="48">
        <v>106.0809118</v>
      </c>
      <c r="X322" s="50"/>
      <c r="Y322" s="50"/>
      <c r="Z322" s="48"/>
      <c r="AA322" s="82"/>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8"/>
      <c r="W323" s="48"/>
      <c r="X323" s="50"/>
      <c r="Y323" s="50"/>
      <c r="Z323" s="48"/>
      <c r="AA323" s="82"/>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8">
        <v>-2.1483458</v>
      </c>
      <c r="W324" s="48">
        <v>106.1082993</v>
      </c>
      <c r="X324" s="50"/>
      <c r="Y324" s="50"/>
      <c r="Z324" s="48"/>
      <c r="AA324" s="82"/>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8">
        <v>-2.1053109000000001</v>
      </c>
      <c r="W325" s="48">
        <v>106.0879218</v>
      </c>
      <c r="X325" s="50"/>
      <c r="Y325" s="50"/>
      <c r="Z325" s="48"/>
      <c r="AA325" s="82"/>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8">
        <v>-2.1001536000000001</v>
      </c>
      <c r="W326" s="48">
        <v>106.08345679999999</v>
      </c>
      <c r="X326" s="50"/>
      <c r="Y326" s="50"/>
      <c r="Z326" s="48"/>
      <c r="AA326" s="82"/>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8">
        <v>-2.1023559999999999</v>
      </c>
      <c r="W327" s="48">
        <v>106.083191</v>
      </c>
      <c r="X327" s="50"/>
      <c r="Y327" s="50"/>
      <c r="Z327" s="48"/>
      <c r="AA327" s="82"/>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8"/>
      <c r="W328" s="48"/>
      <c r="X328" s="50"/>
      <c r="Y328" s="50"/>
      <c r="Z328" s="48"/>
      <c r="AA328" s="82"/>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8">
        <v>-2.1357955</v>
      </c>
      <c r="W329" s="48">
        <v>106.157904</v>
      </c>
      <c r="X329" s="50"/>
      <c r="Y329" s="50"/>
      <c r="Z329" s="48"/>
      <c r="AA329" s="82"/>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8">
        <v>-2.1391578999999998</v>
      </c>
      <c r="W330" s="48">
        <v>106.162323</v>
      </c>
      <c r="X330" s="50"/>
      <c r="Y330" s="50"/>
      <c r="Z330" s="48"/>
      <c r="AA330" s="82"/>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8"/>
      <c r="W331" s="48"/>
      <c r="X331" s="50"/>
      <c r="Y331" s="50"/>
      <c r="Z331" s="48"/>
      <c r="AA331" s="82"/>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8"/>
      <c r="W332" s="48"/>
      <c r="X332" s="50"/>
      <c r="Y332" s="50"/>
      <c r="Z332" s="48"/>
      <c r="AA332" s="82"/>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8"/>
      <c r="W333" s="48"/>
      <c r="X333" s="50"/>
      <c r="Y333" s="50"/>
      <c r="Z333" s="48"/>
      <c r="AA333" s="82"/>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8">
        <v>-2.0771199999999999</v>
      </c>
      <c r="W334" s="48">
        <v>106.1209532</v>
      </c>
      <c r="X334" s="50"/>
      <c r="Y334" s="50"/>
      <c r="Z334" s="48"/>
      <c r="AA334" s="82"/>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8">
        <v>-2.075809</v>
      </c>
      <c r="W335" s="48">
        <v>106.1217353</v>
      </c>
      <c r="X335" s="50"/>
      <c r="Y335" s="50"/>
      <c r="Z335" s="48"/>
      <c r="AA335" s="82"/>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8"/>
      <c r="W336" s="48"/>
      <c r="X336" s="50"/>
      <c r="Y336" s="50"/>
      <c r="Z336" s="48"/>
      <c r="AA336" s="82"/>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8">
        <v>-2.080425</v>
      </c>
      <c r="W337" s="48">
        <v>106.12715</v>
      </c>
      <c r="X337" s="50"/>
      <c r="Y337" s="50"/>
      <c r="Z337" s="48"/>
      <c r="AA337" s="82"/>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8">
        <v>-2.0804089000000001</v>
      </c>
      <c r="W338" s="48">
        <v>106.1274526</v>
      </c>
      <c r="X338" s="50"/>
      <c r="Y338" s="50"/>
      <c r="Z338" s="48"/>
      <c r="AA338" s="82"/>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8">
        <v>-2.0781331999999999</v>
      </c>
      <c r="W339" s="48">
        <v>106.12577349999999</v>
      </c>
      <c r="X339" s="50"/>
      <c r="Y339" s="50"/>
      <c r="Z339" s="48"/>
      <c r="AA339" s="82"/>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8">
        <v>-2.0850230000000001</v>
      </c>
      <c r="W340" s="48">
        <v>106.10572999999999</v>
      </c>
      <c r="X340" s="50"/>
      <c r="Y340" s="50"/>
      <c r="Z340" s="48"/>
      <c r="AA340" s="82"/>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8">
        <v>-2.128768</v>
      </c>
      <c r="W341" s="48">
        <v>106.160301</v>
      </c>
      <c r="X341" s="50"/>
      <c r="Y341" s="50"/>
      <c r="Z341" s="48"/>
      <c r="AA341" s="82"/>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8">
        <v>-2.1533030000000002</v>
      </c>
      <c r="W342" s="48">
        <v>106.107823</v>
      </c>
      <c r="X342" s="50"/>
      <c r="Y342" s="50"/>
      <c r="Z342" s="48"/>
      <c r="AA342" s="82"/>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8">
        <v>-2.0866501</v>
      </c>
      <c r="W343" s="48">
        <v>106.09902460000001</v>
      </c>
      <c r="X343" s="50"/>
      <c r="Y343" s="50"/>
      <c r="Z343" s="48"/>
      <c r="AA343" s="82"/>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8">
        <v>-2.0910150000000001</v>
      </c>
      <c r="W344" s="48">
        <v>106.092673</v>
      </c>
      <c r="X344" s="50"/>
      <c r="Y344" s="50"/>
      <c r="Z344" s="48"/>
      <c r="AA344" s="82"/>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8"/>
      <c r="W345" s="48"/>
      <c r="X345" s="50"/>
      <c r="Y345" s="50"/>
      <c r="Z345" s="48"/>
      <c r="AA345" s="82"/>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8">
        <v>-2.1389182999999998</v>
      </c>
      <c r="W346" s="48">
        <v>106.16784389999999</v>
      </c>
      <c r="X346" s="50"/>
      <c r="Y346" s="50"/>
      <c r="Z346" s="48"/>
      <c r="AA346" s="82"/>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8">
        <v>-2.1468946</v>
      </c>
      <c r="W347" s="48">
        <v>106.0942438</v>
      </c>
      <c r="X347" s="50"/>
      <c r="Y347" s="50"/>
      <c r="Z347" s="48"/>
      <c r="AA347" s="82"/>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8">
        <v>-2.1261269999999999</v>
      </c>
      <c r="W348" s="48">
        <v>106.14223749999999</v>
      </c>
      <c r="X348" s="50"/>
      <c r="Y348" s="50"/>
      <c r="Z348" s="48"/>
      <c r="AA348" s="82"/>
      <c r="AB348" s="50"/>
      <c r="AC348" s="51">
        <f t="shared" si="24"/>
        <v>0.79411764705882348</v>
      </c>
      <c r="AD348" s="51">
        <f t="shared" si="25"/>
        <v>1</v>
      </c>
    </row>
    <row r="349" spans="1:30" s="49" customFormat="1" ht="12.5">
      <c r="A349" s="30">
        <v>344</v>
      </c>
      <c r="B349" s="48" t="s">
        <v>1904</v>
      </c>
      <c r="C349" s="49" t="s">
        <v>34</v>
      </c>
      <c r="D349" s="48" t="s">
        <v>81</v>
      </c>
      <c r="E349" s="48" t="s">
        <v>289</v>
      </c>
      <c r="F349" s="49" t="s">
        <v>1905</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8"/>
      <c r="W349" s="48"/>
      <c r="X349" s="50"/>
      <c r="Y349" s="50"/>
      <c r="Z349" s="48"/>
      <c r="AA349" s="82"/>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8">
        <v>-2.1123416000000002</v>
      </c>
      <c r="W350" s="48">
        <v>106.06992219999999</v>
      </c>
      <c r="X350" s="50"/>
      <c r="Y350" s="50"/>
      <c r="Z350" s="48"/>
      <c r="AA350" s="82"/>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8">
        <v>-2.1102194000000001</v>
      </c>
      <c r="W351" s="48">
        <v>106.123358</v>
      </c>
      <c r="X351" s="50"/>
      <c r="Y351" s="50"/>
      <c r="Z351" s="48"/>
      <c r="AA351" s="82"/>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8">
        <v>-2.0877240000000001</v>
      </c>
      <c r="W352" s="48">
        <v>106.104771</v>
      </c>
      <c r="X352" s="50"/>
      <c r="Y352" s="50"/>
      <c r="Z352" s="48"/>
      <c r="AA352" s="82"/>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8">
        <v>-2.1144664</v>
      </c>
      <c r="W353" s="48">
        <v>106.07396660000001</v>
      </c>
      <c r="X353" s="50"/>
      <c r="Y353" s="50"/>
      <c r="Z353" s="48"/>
      <c r="AA353" s="82"/>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8">
        <v>-2.0870636999999999</v>
      </c>
      <c r="W354" s="48">
        <v>106.12246279999999</v>
      </c>
      <c r="X354" s="50"/>
      <c r="Y354" s="50"/>
      <c r="Z354" s="48"/>
      <c r="AA354" s="82"/>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8">
        <v>-2.0997509999999999</v>
      </c>
      <c r="W355" s="48">
        <v>106.108549</v>
      </c>
      <c r="X355" s="50"/>
      <c r="Y355" s="50"/>
      <c r="Z355" s="48"/>
      <c r="AA355" s="82"/>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8">
        <v>-2.0913586999999998</v>
      </c>
      <c r="W356" s="48">
        <v>106.0929603</v>
      </c>
      <c r="X356" s="50"/>
      <c r="Y356" s="50"/>
      <c r="Z356" s="48"/>
      <c r="AA356" s="82"/>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8">
        <v>-2.1322789200000001</v>
      </c>
      <c r="W357" s="48">
        <v>106.0984273</v>
      </c>
      <c r="X357" s="50"/>
      <c r="Y357" s="50"/>
      <c r="Z357" s="48"/>
      <c r="AA357" s="82"/>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8">
        <v>-2.0771069999999998</v>
      </c>
      <c r="W358" s="48">
        <v>106.115712</v>
      </c>
      <c r="X358" s="50"/>
      <c r="Y358" s="50"/>
      <c r="Z358" s="48"/>
      <c r="AA358" s="82"/>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8">
        <v>-2.0771069999999998</v>
      </c>
      <c r="W359" s="48">
        <v>106.115712</v>
      </c>
      <c r="X359" s="50"/>
      <c r="Y359" s="50"/>
      <c r="Z359" s="48"/>
      <c r="AA359" s="82"/>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8">
        <v>-2.0771069999999998</v>
      </c>
      <c r="W360" s="48">
        <v>106.115712</v>
      </c>
      <c r="X360" s="50"/>
      <c r="Y360" s="50"/>
      <c r="Z360" s="48"/>
      <c r="AA360" s="82"/>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8">
        <v>-2.0771069999999998</v>
      </c>
      <c r="W361" s="48">
        <v>106.115712</v>
      </c>
      <c r="X361" s="50"/>
      <c r="Y361" s="50"/>
      <c r="Z361" s="48"/>
      <c r="AA361" s="82"/>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47" t="s">
        <v>2056</v>
      </c>
      <c r="B1" s="147"/>
      <c r="C1" s="147"/>
      <c r="D1" s="147"/>
      <c r="E1" s="147"/>
      <c r="F1" s="147"/>
      <c r="G1" s="147"/>
      <c r="H1" s="147"/>
      <c r="I1" s="147"/>
      <c r="J1" s="147"/>
      <c r="K1" s="147"/>
      <c r="L1" s="148"/>
      <c r="M1" s="148"/>
      <c r="N1" s="148"/>
      <c r="O1" s="148"/>
      <c r="P1" s="148"/>
      <c r="Q1" s="148"/>
      <c r="R1" s="148"/>
    </row>
    <row r="2" spans="1:18" ht="14.5" customHeight="1">
      <c r="A2" s="149" t="s">
        <v>2075</v>
      </c>
      <c r="B2" s="149"/>
      <c r="C2" s="149"/>
      <c r="D2" s="149"/>
      <c r="E2" s="149"/>
      <c r="F2" s="149"/>
      <c r="G2" s="149"/>
      <c r="H2" s="149"/>
      <c r="I2" s="149"/>
      <c r="J2" s="149"/>
      <c r="K2" s="149"/>
      <c r="L2" s="150"/>
      <c r="M2" s="150"/>
      <c r="N2" s="150"/>
      <c r="O2" s="150"/>
      <c r="P2" s="150"/>
      <c r="Q2" s="150"/>
      <c r="R2" s="150"/>
    </row>
    <row r="3" spans="1:18" ht="25.4" customHeight="1">
      <c r="A3" s="151" t="s">
        <v>2076</v>
      </c>
      <c r="B3" s="151"/>
      <c r="C3" s="151"/>
      <c r="D3" s="151"/>
      <c r="E3" s="151"/>
      <c r="F3" s="151"/>
      <c r="G3" s="151"/>
      <c r="H3" s="151"/>
      <c r="I3" s="151"/>
      <c r="J3" s="151"/>
      <c r="K3" s="151"/>
      <c r="L3" s="152"/>
      <c r="M3" s="152"/>
      <c r="N3" s="152"/>
      <c r="O3" s="152"/>
      <c r="P3" s="152"/>
      <c r="Q3" s="152"/>
      <c r="R3" s="152"/>
    </row>
    <row r="5" spans="1:18" ht="28">
      <c r="A5" s="91" t="s">
        <v>848</v>
      </c>
      <c r="B5" s="92" t="s">
        <v>849</v>
      </c>
      <c r="C5" s="92" t="s">
        <v>850</v>
      </c>
      <c r="D5" s="92" t="s">
        <v>2057</v>
      </c>
      <c r="E5" s="92" t="s">
        <v>2058</v>
      </c>
      <c r="F5" s="92" t="s">
        <v>2059</v>
      </c>
      <c r="G5" s="92" t="s">
        <v>2060</v>
      </c>
      <c r="H5" s="92" t="s">
        <v>2061</v>
      </c>
      <c r="I5" s="92" t="s">
        <v>2062</v>
      </c>
      <c r="J5" s="92" t="s">
        <v>2063</v>
      </c>
      <c r="K5" s="93" t="s">
        <v>851</v>
      </c>
      <c r="L5" s="94" t="s">
        <v>852</v>
      </c>
      <c r="M5" s="94" t="s">
        <v>26</v>
      </c>
      <c r="N5" s="94" t="s">
        <v>27</v>
      </c>
      <c r="O5" s="94" t="s">
        <v>28</v>
      </c>
      <c r="P5" s="94" t="s">
        <v>29</v>
      </c>
      <c r="Q5" s="94" t="s">
        <v>30</v>
      </c>
      <c r="R5" s="95" t="s">
        <v>853</v>
      </c>
    </row>
    <row r="6" spans="1:18" ht="28">
      <c r="A6" s="96" t="s">
        <v>2064</v>
      </c>
      <c r="B6" s="97" t="s">
        <v>855</v>
      </c>
      <c r="C6" s="97" t="s">
        <v>81</v>
      </c>
      <c r="D6" s="98">
        <v>11467</v>
      </c>
      <c r="E6" s="98">
        <v>8016</v>
      </c>
      <c r="F6" s="98">
        <v>474</v>
      </c>
      <c r="G6" s="98">
        <v>946</v>
      </c>
      <c r="H6" s="98">
        <v>34</v>
      </c>
      <c r="I6" s="98">
        <v>30</v>
      </c>
      <c r="J6" s="99">
        <f t="shared" ref="J6:J12" si="0">SUM(E6:I6)</f>
        <v>9500</v>
      </c>
      <c r="K6" s="100">
        <f t="shared" ref="K6:K12" si="1">SUM(F6:I6)</f>
        <v>1484</v>
      </c>
      <c r="L6" s="101">
        <f t="shared" ref="L6:L12" si="2">D6-SUM(E6,F6,H6)</f>
        <v>2943</v>
      </c>
      <c r="M6" s="102">
        <v>2023</v>
      </c>
      <c r="N6" s="103" t="s">
        <v>2065</v>
      </c>
      <c r="O6" s="103" t="s">
        <v>857</v>
      </c>
      <c r="P6" s="104"/>
      <c r="Q6" s="103"/>
      <c r="R6" s="103"/>
    </row>
    <row r="7" spans="1:18" ht="28">
      <c r="A7" s="105" t="s">
        <v>2066</v>
      </c>
      <c r="B7" s="106" t="s">
        <v>855</v>
      </c>
      <c r="C7" s="106" t="s">
        <v>860</v>
      </c>
      <c r="D7" s="107">
        <v>5264</v>
      </c>
      <c r="E7" s="107">
        <v>3173</v>
      </c>
      <c r="F7" s="107">
        <v>646</v>
      </c>
      <c r="G7" s="107">
        <v>925</v>
      </c>
      <c r="H7" s="107">
        <v>21</v>
      </c>
      <c r="I7" s="107">
        <v>40</v>
      </c>
      <c r="J7" s="108">
        <f t="shared" si="0"/>
        <v>4805</v>
      </c>
      <c r="K7" s="109">
        <f t="shared" si="1"/>
        <v>1632</v>
      </c>
      <c r="L7" s="101">
        <f t="shared" si="2"/>
        <v>1424</v>
      </c>
      <c r="M7" s="102">
        <v>2023</v>
      </c>
      <c r="N7" s="103" t="s">
        <v>2065</v>
      </c>
      <c r="O7" s="103" t="s">
        <v>857</v>
      </c>
      <c r="P7" s="104"/>
      <c r="Q7" s="103"/>
      <c r="R7" s="103"/>
    </row>
    <row r="8" spans="1:18" ht="28">
      <c r="A8" s="105" t="s">
        <v>2067</v>
      </c>
      <c r="B8" s="106" t="s">
        <v>855</v>
      </c>
      <c r="C8" s="106" t="s">
        <v>99</v>
      </c>
      <c r="D8" s="107">
        <v>5982</v>
      </c>
      <c r="E8" s="107">
        <v>4318</v>
      </c>
      <c r="F8" s="107">
        <v>528</v>
      </c>
      <c r="G8" s="107">
        <v>922</v>
      </c>
      <c r="H8" s="107">
        <v>6</v>
      </c>
      <c r="I8" s="107">
        <v>15</v>
      </c>
      <c r="J8" s="108">
        <f t="shared" si="0"/>
        <v>5789</v>
      </c>
      <c r="K8" s="109">
        <f t="shared" si="1"/>
        <v>1471</v>
      </c>
      <c r="L8" s="101">
        <f t="shared" si="2"/>
        <v>1130</v>
      </c>
      <c r="M8" s="102">
        <v>2023</v>
      </c>
      <c r="N8" s="103" t="s">
        <v>2065</v>
      </c>
      <c r="O8" s="103" t="s">
        <v>857</v>
      </c>
      <c r="P8" s="104"/>
      <c r="Q8" s="103"/>
      <c r="R8" s="103"/>
    </row>
    <row r="9" spans="1:18" ht="28">
      <c r="A9" s="105" t="s">
        <v>2068</v>
      </c>
      <c r="B9" s="106" t="s">
        <v>855</v>
      </c>
      <c r="C9" s="106" t="s">
        <v>810</v>
      </c>
      <c r="D9" s="107">
        <v>10299</v>
      </c>
      <c r="E9" s="107">
        <v>6419</v>
      </c>
      <c r="F9" s="107">
        <v>1740</v>
      </c>
      <c r="G9" s="107">
        <v>1344</v>
      </c>
      <c r="H9" s="107">
        <v>100</v>
      </c>
      <c r="I9" s="107">
        <v>76</v>
      </c>
      <c r="J9" s="108">
        <f t="shared" si="0"/>
        <v>9679</v>
      </c>
      <c r="K9" s="109">
        <f t="shared" si="1"/>
        <v>3260</v>
      </c>
      <c r="L9" s="101">
        <f t="shared" si="2"/>
        <v>2040</v>
      </c>
      <c r="M9" s="102">
        <v>2023</v>
      </c>
      <c r="N9" s="103" t="s">
        <v>2065</v>
      </c>
      <c r="O9" s="103" t="s">
        <v>857</v>
      </c>
      <c r="P9" s="104"/>
      <c r="Q9" s="103"/>
      <c r="R9" s="103"/>
    </row>
    <row r="10" spans="1:18" ht="28">
      <c r="A10" s="105" t="s">
        <v>2069</v>
      </c>
      <c r="B10" s="106" t="s">
        <v>855</v>
      </c>
      <c r="C10" s="106" t="s">
        <v>35</v>
      </c>
      <c r="D10" s="107">
        <v>14299</v>
      </c>
      <c r="E10" s="107">
        <v>9897</v>
      </c>
      <c r="F10" s="107">
        <v>848</v>
      </c>
      <c r="G10" s="107">
        <v>1129</v>
      </c>
      <c r="H10" s="107">
        <v>164</v>
      </c>
      <c r="I10" s="107">
        <v>11</v>
      </c>
      <c r="J10" s="108">
        <f t="shared" si="0"/>
        <v>12049</v>
      </c>
      <c r="K10" s="109">
        <f t="shared" si="1"/>
        <v>2152</v>
      </c>
      <c r="L10" s="101">
        <f t="shared" si="2"/>
        <v>3390</v>
      </c>
      <c r="M10" s="102">
        <v>2023</v>
      </c>
      <c r="N10" s="103" t="s">
        <v>2065</v>
      </c>
      <c r="O10" s="103" t="s">
        <v>857</v>
      </c>
      <c r="P10" s="104"/>
      <c r="Q10" s="103"/>
      <c r="R10" s="103"/>
    </row>
    <row r="11" spans="1:18" ht="28">
      <c r="A11" s="105" t="s">
        <v>2070</v>
      </c>
      <c r="B11" s="106" t="s">
        <v>855</v>
      </c>
      <c r="C11" s="106" t="s">
        <v>60</v>
      </c>
      <c r="D11" s="107">
        <v>10084</v>
      </c>
      <c r="E11" s="107">
        <v>7610</v>
      </c>
      <c r="F11" s="107">
        <v>757</v>
      </c>
      <c r="G11" s="107">
        <v>565</v>
      </c>
      <c r="H11" s="107">
        <v>36</v>
      </c>
      <c r="I11" s="107">
        <v>14</v>
      </c>
      <c r="J11" s="108">
        <f t="shared" si="0"/>
        <v>8982</v>
      </c>
      <c r="K11" s="109">
        <f t="shared" si="1"/>
        <v>1372</v>
      </c>
      <c r="L11" s="101">
        <f t="shared" si="2"/>
        <v>1681</v>
      </c>
      <c r="M11" s="102">
        <v>2023</v>
      </c>
      <c r="N11" s="103" t="s">
        <v>2065</v>
      </c>
      <c r="O11" s="103" t="s">
        <v>857</v>
      </c>
      <c r="P11" s="104"/>
      <c r="Q11" s="103"/>
      <c r="R11" s="103"/>
    </row>
    <row r="12" spans="1:18" ht="28.5" thickBot="1">
      <c r="A12" s="105" t="s">
        <v>2071</v>
      </c>
      <c r="B12" s="106" t="s">
        <v>855</v>
      </c>
      <c r="C12" s="106" t="s">
        <v>304</v>
      </c>
      <c r="D12" s="107">
        <v>5115</v>
      </c>
      <c r="E12" s="107">
        <v>3636</v>
      </c>
      <c r="F12" s="107">
        <v>527</v>
      </c>
      <c r="G12" s="107">
        <v>811</v>
      </c>
      <c r="H12" s="107">
        <v>4</v>
      </c>
      <c r="I12" s="107">
        <v>1</v>
      </c>
      <c r="J12" s="108">
        <f t="shared" si="0"/>
        <v>4979</v>
      </c>
      <c r="K12" s="109">
        <f t="shared" si="1"/>
        <v>1343</v>
      </c>
      <c r="L12" s="101">
        <f t="shared" si="2"/>
        <v>948</v>
      </c>
      <c r="M12" s="102">
        <v>2023</v>
      </c>
      <c r="N12" s="103" t="s">
        <v>2065</v>
      </c>
      <c r="O12" s="103" t="s">
        <v>857</v>
      </c>
      <c r="P12" s="104"/>
      <c r="Q12" s="103"/>
      <c r="R12" s="103"/>
    </row>
    <row r="13" spans="1:18" ht="28">
      <c r="A13" s="110" t="s">
        <v>2072</v>
      </c>
      <c r="B13" s="111" t="s">
        <v>866</v>
      </c>
      <c r="C13" s="111" t="s">
        <v>2073</v>
      </c>
      <c r="D13" s="112">
        <f t="shared" ref="D13:L13" si="3">SUM(D6:D12)</f>
        <v>62510</v>
      </c>
      <c r="E13" s="112">
        <f t="shared" si="3"/>
        <v>43069</v>
      </c>
      <c r="F13" s="112">
        <f t="shared" si="3"/>
        <v>5520</v>
      </c>
      <c r="G13" s="112">
        <f t="shared" si="3"/>
        <v>6642</v>
      </c>
      <c r="H13" s="112">
        <f t="shared" si="3"/>
        <v>365</v>
      </c>
      <c r="I13" s="112">
        <f t="shared" si="3"/>
        <v>187</v>
      </c>
      <c r="J13" s="112">
        <f t="shared" si="3"/>
        <v>55783</v>
      </c>
      <c r="K13" s="113">
        <f t="shared" si="3"/>
        <v>12714</v>
      </c>
      <c r="L13" s="114">
        <f t="shared" si="3"/>
        <v>13556</v>
      </c>
      <c r="M13" s="115">
        <v>2023</v>
      </c>
      <c r="N13" s="116" t="s">
        <v>2065</v>
      </c>
      <c r="O13" s="116" t="s">
        <v>857</v>
      </c>
      <c r="P13" s="117"/>
      <c r="Q13" s="116"/>
      <c r="R13" s="116" t="s">
        <v>2074</v>
      </c>
    </row>
    <row r="14" spans="1:18" ht="4.4000000000000004" customHeight="1">
      <c r="A14" s="118"/>
      <c r="B14" s="119"/>
      <c r="C14" s="119"/>
      <c r="D14" s="15"/>
      <c r="E14" s="15"/>
      <c r="F14" s="120"/>
      <c r="G14" s="119"/>
      <c r="H14" s="119"/>
      <c r="I14" s="121"/>
      <c r="J14" s="119"/>
      <c r="K14" s="122"/>
    </row>
    <row r="15" spans="1:18" ht="4.4000000000000004" customHeight="1">
      <c r="A15" s="118"/>
      <c r="B15" s="119"/>
      <c r="C15" s="119"/>
      <c r="D15" s="15"/>
      <c r="E15" s="15"/>
      <c r="F15" s="120"/>
      <c r="G15" s="119"/>
      <c r="H15" s="119"/>
      <c r="I15" s="121"/>
      <c r="J15" s="119"/>
      <c r="K15" s="122"/>
    </row>
    <row r="16" spans="1:18" ht="4.4000000000000004" customHeight="1">
      <c r="A16" s="127"/>
      <c r="B16" s="128"/>
      <c r="C16" s="128"/>
      <c r="D16" s="129"/>
      <c r="E16" s="129"/>
      <c r="F16" s="129"/>
      <c r="G16" s="128"/>
      <c r="H16" s="128"/>
      <c r="I16" s="130"/>
      <c r="J16" s="128"/>
      <c r="K16" s="131"/>
      <c r="L16" s="90"/>
      <c r="M16" s="90"/>
      <c r="N16" s="90"/>
      <c r="O16" s="90"/>
      <c r="P16" s="90"/>
      <c r="Q16" s="90"/>
      <c r="R16" s="90"/>
    </row>
    <row r="17" spans="1:18" ht="4.4000000000000004" customHeight="1">
      <c r="A17" s="118"/>
      <c r="B17" s="119"/>
      <c r="C17" s="119"/>
      <c r="D17" s="15"/>
      <c r="E17" s="15"/>
      <c r="F17" s="120"/>
      <c r="G17" s="119"/>
      <c r="H17" s="119"/>
      <c r="I17" s="121"/>
      <c r="J17" s="119"/>
      <c r="K17" s="122"/>
    </row>
    <row r="18" spans="1:18" ht="20" customHeight="1">
      <c r="A18" s="132"/>
      <c r="B18" s="92"/>
      <c r="C18" s="133"/>
      <c r="D18" s="134"/>
      <c r="E18" s="134"/>
      <c r="F18" s="134"/>
      <c r="G18" s="92"/>
      <c r="H18" s="92"/>
      <c r="I18" s="135"/>
      <c r="J18" s="92"/>
      <c r="K18" s="93"/>
      <c r="L18" s="94"/>
      <c r="M18" s="94"/>
      <c r="N18" s="94"/>
      <c r="O18" s="94"/>
      <c r="P18" s="94"/>
      <c r="Q18" s="94"/>
      <c r="R18" s="95"/>
    </row>
    <row r="19" spans="1:18" ht="34.65" customHeight="1">
      <c r="A19" s="136"/>
      <c r="B19" s="137"/>
      <c r="C19" s="137"/>
      <c r="D19" s="138"/>
      <c r="E19" s="138"/>
      <c r="F19" s="138"/>
      <c r="G19" s="137"/>
      <c r="H19" s="137"/>
      <c r="I19" s="139"/>
      <c r="J19" s="137"/>
      <c r="K19" s="140"/>
      <c r="L19" s="141"/>
      <c r="M19" s="141"/>
      <c r="N19" s="141"/>
      <c r="O19" s="141"/>
      <c r="P19" s="141"/>
      <c r="Q19" s="141"/>
      <c r="R19" s="141"/>
    </row>
    <row r="20" spans="1:18" ht="34.65" customHeight="1">
      <c r="A20" s="136"/>
      <c r="B20" s="137"/>
      <c r="C20" s="137"/>
      <c r="D20" s="138"/>
      <c r="E20" s="138"/>
      <c r="F20" s="138"/>
      <c r="G20" s="137"/>
      <c r="H20" s="137"/>
      <c r="I20" s="139"/>
      <c r="J20" s="137"/>
      <c r="K20" s="140"/>
      <c r="L20" s="141"/>
      <c r="M20" s="141"/>
      <c r="N20" s="141"/>
      <c r="O20" s="141"/>
      <c r="P20" s="141"/>
      <c r="Q20" s="141"/>
      <c r="R20" s="141"/>
    </row>
    <row r="21" spans="1:18" ht="34.65" customHeight="1">
      <c r="A21" s="136"/>
      <c r="B21" s="137"/>
      <c r="C21" s="137"/>
      <c r="D21" s="138"/>
      <c r="E21" s="138"/>
      <c r="F21" s="138"/>
      <c r="G21" s="137"/>
      <c r="H21" s="137"/>
      <c r="I21" s="139"/>
      <c r="J21" s="137"/>
      <c r="K21" s="140"/>
      <c r="L21" s="141"/>
      <c r="M21" s="141"/>
      <c r="N21" s="141"/>
      <c r="O21" s="141"/>
      <c r="P21" s="141"/>
      <c r="Q21" s="141"/>
      <c r="R21" s="141"/>
    </row>
    <row r="22" spans="1:18" ht="34.65" customHeight="1">
      <c r="A22" s="136"/>
      <c r="B22" s="137"/>
      <c r="C22" s="137"/>
      <c r="D22" s="138"/>
      <c r="E22" s="138"/>
      <c r="F22" s="138"/>
      <c r="G22" s="137"/>
      <c r="H22" s="137"/>
      <c r="I22" s="139"/>
      <c r="J22" s="137"/>
      <c r="K22" s="140"/>
      <c r="L22" s="141"/>
      <c r="M22" s="141"/>
      <c r="N22" s="141"/>
      <c r="O22" s="141"/>
      <c r="P22" s="141"/>
      <c r="Q22" s="141"/>
      <c r="R22" s="141"/>
    </row>
    <row r="23" spans="1:18" ht="4.4000000000000004" customHeight="1">
      <c r="A23" s="118"/>
      <c r="B23" s="119"/>
      <c r="C23" s="119"/>
      <c r="D23" s="15"/>
      <c r="E23" s="15"/>
      <c r="F23" s="120"/>
      <c r="G23" s="119"/>
      <c r="H23" s="119"/>
      <c r="I23" s="121"/>
      <c r="J23" s="119"/>
      <c r="K23" s="122"/>
    </row>
    <row r="24" spans="1:18" ht="4.4000000000000004" customHeight="1">
      <c r="A24" s="118"/>
      <c r="B24" s="119"/>
      <c r="C24" s="119"/>
      <c r="D24" s="15"/>
      <c r="E24" s="15"/>
      <c r="F24" s="120"/>
      <c r="G24" s="119"/>
      <c r="H24" s="119"/>
      <c r="I24" s="121"/>
      <c r="J24" s="119"/>
      <c r="K24" s="122"/>
    </row>
    <row r="25" spans="1:18" ht="4.4000000000000004" customHeight="1">
      <c r="A25" s="118"/>
      <c r="B25" s="119"/>
      <c r="C25" s="119"/>
      <c r="D25" s="15"/>
      <c r="E25" s="15"/>
      <c r="F25" s="120"/>
      <c r="G25" s="119"/>
      <c r="H25" s="119"/>
      <c r="I25" s="121"/>
      <c r="J25" s="119"/>
      <c r="K25" s="122"/>
    </row>
    <row r="26" spans="1:18" ht="4.4000000000000004" customHeight="1">
      <c r="A26" s="118"/>
      <c r="B26" s="119"/>
      <c r="C26" s="119"/>
      <c r="D26" s="15"/>
      <c r="E26" s="15"/>
      <c r="F26" s="120"/>
      <c r="G26" s="119"/>
      <c r="H26" s="119"/>
      <c r="I26" s="121"/>
      <c r="J26" s="119"/>
      <c r="K26" s="122"/>
    </row>
    <row r="27" spans="1:18" ht="4.4000000000000004" customHeight="1">
      <c r="A27" s="118"/>
      <c r="B27" s="119"/>
      <c r="C27" s="119"/>
      <c r="D27" s="15"/>
      <c r="E27" s="15"/>
      <c r="F27" s="120"/>
      <c r="G27" s="119"/>
      <c r="H27" s="119"/>
      <c r="I27" s="121"/>
      <c r="J27" s="119"/>
      <c r="K27" s="122"/>
    </row>
    <row r="28" spans="1:18" ht="4.4000000000000004" customHeight="1">
      <c r="A28" s="118"/>
      <c r="B28" s="119"/>
      <c r="C28" s="119"/>
      <c r="D28" s="15"/>
      <c r="E28" s="15"/>
      <c r="F28" s="120"/>
      <c r="G28" s="119"/>
      <c r="H28" s="119"/>
      <c r="I28" s="121"/>
      <c r="J28" s="119"/>
      <c r="K28" s="122"/>
    </row>
    <row r="29" spans="1:18" ht="4.4000000000000004" customHeight="1">
      <c r="A29" s="118"/>
      <c r="B29" s="119"/>
      <c r="C29" s="119"/>
      <c r="D29" s="15"/>
      <c r="E29" s="15"/>
      <c r="F29" s="120"/>
      <c r="G29" s="119"/>
      <c r="H29" s="119"/>
      <c r="I29" s="121"/>
      <c r="J29" s="119"/>
      <c r="K29" s="122"/>
    </row>
    <row r="30" spans="1:18" ht="4.4000000000000004" customHeight="1">
      <c r="A30" s="118"/>
      <c r="B30" s="119"/>
      <c r="C30" s="119"/>
      <c r="D30" s="15"/>
      <c r="E30" s="15"/>
      <c r="F30" s="120"/>
      <c r="G30" s="119"/>
      <c r="H30" s="119"/>
      <c r="I30" s="121"/>
      <c r="J30" s="119"/>
      <c r="K30" s="122"/>
    </row>
    <row r="31" spans="1:18" ht="4.4000000000000004" customHeight="1">
      <c r="A31" s="118"/>
      <c r="B31" s="119"/>
      <c r="C31" s="119"/>
      <c r="D31" s="15"/>
      <c r="E31" s="15"/>
      <c r="F31" s="120"/>
      <c r="G31" s="119"/>
      <c r="H31" s="119"/>
      <c r="I31" s="121"/>
      <c r="J31" s="119"/>
      <c r="K31" s="122"/>
    </row>
    <row r="32" spans="1:18" ht="4.4000000000000004" customHeight="1">
      <c r="A32" s="118"/>
      <c r="B32" s="119"/>
      <c r="C32" s="119"/>
      <c r="D32" s="15"/>
      <c r="E32" s="15"/>
      <c r="F32" s="120"/>
      <c r="G32" s="119"/>
      <c r="H32" s="119"/>
      <c r="I32" s="121"/>
      <c r="J32" s="119"/>
      <c r="K32" s="122"/>
    </row>
    <row r="33" spans="1:11" ht="4.4000000000000004" customHeight="1">
      <c r="A33" s="118"/>
      <c r="B33" s="119"/>
      <c r="C33" s="119"/>
      <c r="D33" s="15"/>
      <c r="E33" s="15"/>
      <c r="F33" s="120"/>
      <c r="G33" s="119"/>
      <c r="H33" s="119"/>
      <c r="I33" s="121"/>
      <c r="J33" s="119"/>
      <c r="K33" s="122"/>
    </row>
    <row r="34" spans="1:11" ht="4.4000000000000004" customHeight="1">
      <c r="A34" s="118"/>
      <c r="B34" s="119"/>
      <c r="C34" s="119"/>
      <c r="D34" s="15"/>
      <c r="E34" s="15"/>
      <c r="F34" s="120"/>
      <c r="G34" s="119"/>
      <c r="H34" s="119"/>
      <c r="I34" s="121"/>
      <c r="J34" s="119"/>
      <c r="K34" s="122"/>
    </row>
    <row r="35" spans="1:11" ht="4.4000000000000004" customHeight="1">
      <c r="A35" s="118"/>
      <c r="B35" s="119"/>
      <c r="C35" s="119"/>
      <c r="D35" s="15"/>
      <c r="E35" s="15"/>
      <c r="F35" s="120"/>
      <c r="G35" s="119"/>
      <c r="H35" s="119"/>
      <c r="I35" s="121"/>
      <c r="J35" s="119"/>
      <c r="K35" s="122"/>
    </row>
    <row r="36" spans="1:11" ht="4.4000000000000004" customHeight="1">
      <c r="A36" s="118"/>
      <c r="B36" s="119"/>
      <c r="C36" s="119"/>
      <c r="D36" s="15"/>
      <c r="E36" s="15"/>
      <c r="F36" s="120"/>
      <c r="G36" s="119"/>
      <c r="H36" s="119"/>
      <c r="I36" s="121"/>
      <c r="J36" s="119"/>
      <c r="K36" s="122"/>
    </row>
    <row r="37" spans="1:11" ht="4.4000000000000004" customHeight="1">
      <c r="A37" s="118"/>
      <c r="B37" s="119"/>
      <c r="C37" s="119"/>
      <c r="D37" s="15"/>
      <c r="E37" s="15"/>
      <c r="F37" s="120"/>
      <c r="G37" s="119"/>
      <c r="H37" s="119"/>
      <c r="I37" s="121"/>
      <c r="J37" s="119"/>
      <c r="K37" s="122"/>
    </row>
    <row r="38" spans="1:11" ht="4.4000000000000004" customHeight="1">
      <c r="A38" s="118"/>
      <c r="B38" s="119"/>
      <c r="C38" s="119"/>
      <c r="D38" s="15"/>
      <c r="E38" s="15"/>
      <c r="F38" s="120"/>
      <c r="G38" s="119"/>
      <c r="H38" s="119"/>
      <c r="I38" s="121"/>
      <c r="J38" s="119"/>
      <c r="K38" s="122"/>
    </row>
    <row r="39" spans="1:11" ht="4.4000000000000004" customHeight="1">
      <c r="A39" s="118"/>
      <c r="B39" s="119"/>
      <c r="C39" s="119"/>
      <c r="D39" s="15"/>
      <c r="E39" s="15"/>
      <c r="F39" s="120"/>
      <c r="G39" s="119"/>
      <c r="H39" s="119"/>
      <c r="I39" s="121"/>
      <c r="J39" s="119"/>
      <c r="K39" s="122"/>
    </row>
    <row r="40" spans="1:11" ht="4.4000000000000004" customHeight="1">
      <c r="A40" s="118"/>
      <c r="B40" s="119"/>
      <c r="C40" s="119"/>
      <c r="D40" s="15"/>
      <c r="E40" s="15"/>
      <c r="F40" s="120"/>
      <c r="G40" s="119"/>
      <c r="H40" s="119"/>
      <c r="I40" s="121"/>
      <c r="J40" s="119"/>
      <c r="K40" s="122"/>
    </row>
    <row r="41" spans="1:11" ht="4.4000000000000004" customHeight="1">
      <c r="A41" s="118"/>
      <c r="B41" s="119"/>
      <c r="C41" s="119"/>
      <c r="D41" s="15"/>
      <c r="E41" s="15"/>
      <c r="F41" s="120"/>
      <c r="G41" s="119"/>
      <c r="H41" s="119"/>
      <c r="I41" s="121"/>
      <c r="J41" s="119"/>
      <c r="K41" s="122"/>
    </row>
    <row r="42" spans="1:11" ht="4.4000000000000004" customHeight="1">
      <c r="A42" s="118"/>
      <c r="B42" s="119"/>
      <c r="C42" s="119"/>
      <c r="D42" s="15"/>
      <c r="E42" s="15"/>
      <c r="F42" s="120"/>
      <c r="G42" s="119"/>
      <c r="H42" s="119"/>
      <c r="I42" s="121"/>
      <c r="J42" s="119"/>
      <c r="K42" s="122"/>
    </row>
    <row r="43" spans="1:11" ht="4.4000000000000004" customHeight="1">
      <c r="A43" s="118"/>
      <c r="B43" s="119"/>
      <c r="C43" s="119"/>
      <c r="D43" s="15"/>
      <c r="E43" s="15"/>
      <c r="F43" s="120"/>
      <c r="G43" s="119"/>
      <c r="H43" s="119"/>
      <c r="I43" s="121"/>
      <c r="J43" s="119"/>
      <c r="K43" s="122"/>
    </row>
    <row r="44" spans="1:11" ht="4.4000000000000004" customHeight="1">
      <c r="A44" s="118"/>
      <c r="B44" s="119"/>
      <c r="C44" s="119"/>
      <c r="D44" s="15"/>
      <c r="E44" s="15"/>
      <c r="F44" s="120"/>
      <c r="G44" s="119"/>
      <c r="H44" s="119"/>
      <c r="I44" s="121"/>
      <c r="J44" s="119"/>
      <c r="K44" s="122"/>
    </row>
    <row r="45" spans="1:11" ht="4.4000000000000004" customHeight="1">
      <c r="A45" s="118"/>
      <c r="B45" s="119"/>
      <c r="C45" s="119"/>
      <c r="D45" s="15"/>
      <c r="E45" s="15"/>
      <c r="F45" s="120"/>
      <c r="G45" s="119"/>
      <c r="H45" s="119"/>
      <c r="I45" s="121"/>
      <c r="J45" s="119"/>
      <c r="K45" s="122"/>
    </row>
    <row r="46" spans="1:11" ht="4.4000000000000004" customHeight="1">
      <c r="A46" s="118"/>
      <c r="B46" s="119"/>
      <c r="C46" s="119"/>
      <c r="D46" s="15"/>
      <c r="E46" s="15"/>
      <c r="F46" s="120"/>
      <c r="G46" s="119"/>
      <c r="H46" s="119"/>
      <c r="I46" s="121"/>
      <c r="J46" s="119"/>
      <c r="K46" s="122"/>
    </row>
    <row r="47" spans="1:11" ht="4.4000000000000004" customHeight="1">
      <c r="A47" s="118"/>
      <c r="B47" s="119"/>
      <c r="C47" s="119"/>
      <c r="D47" s="15"/>
      <c r="E47" s="15"/>
      <c r="F47" s="120"/>
      <c r="G47" s="119"/>
      <c r="H47" s="119"/>
      <c r="I47" s="121"/>
      <c r="J47" s="119"/>
      <c r="K47" s="122"/>
    </row>
    <row r="48" spans="1:11" ht="4.4000000000000004" customHeight="1">
      <c r="A48" s="118"/>
      <c r="B48" s="119"/>
      <c r="C48" s="119"/>
      <c r="D48" s="15"/>
      <c r="E48" s="15"/>
      <c r="F48" s="120"/>
      <c r="G48" s="119"/>
      <c r="H48" s="119"/>
      <c r="I48" s="121"/>
      <c r="J48" s="119"/>
      <c r="K48" s="122"/>
    </row>
    <row r="49" spans="1:11" ht="4.4000000000000004" customHeight="1">
      <c r="A49" s="118"/>
      <c r="B49" s="119"/>
      <c r="C49" s="119"/>
      <c r="D49" s="15"/>
      <c r="E49" s="15"/>
      <c r="F49" s="120"/>
      <c r="G49" s="119"/>
      <c r="H49" s="119"/>
      <c r="I49" s="121"/>
      <c r="J49" s="119"/>
      <c r="K49" s="122"/>
    </row>
    <row r="50" spans="1:11" ht="4.4000000000000004" customHeight="1">
      <c r="A50" s="118"/>
      <c r="B50" s="119"/>
      <c r="C50" s="119"/>
      <c r="D50" s="15"/>
      <c r="E50" s="15"/>
      <c r="F50" s="120"/>
      <c r="G50" s="119"/>
      <c r="H50" s="119"/>
      <c r="I50" s="121"/>
      <c r="J50" s="119"/>
      <c r="K50" s="122"/>
    </row>
    <row r="51" spans="1:11" ht="4.4000000000000004" customHeight="1">
      <c r="A51" s="118"/>
      <c r="B51" s="119"/>
      <c r="C51" s="119"/>
      <c r="D51" s="15"/>
      <c r="E51" s="15"/>
      <c r="F51" s="120"/>
      <c r="G51" s="119"/>
      <c r="H51" s="119"/>
      <c r="I51" s="121"/>
      <c r="J51" s="119"/>
      <c r="K51" s="122"/>
    </row>
    <row r="52" spans="1:11" ht="4.4000000000000004" customHeight="1">
      <c r="A52" s="118"/>
      <c r="B52" s="119"/>
      <c r="C52" s="119"/>
      <c r="D52" s="15"/>
      <c r="E52" s="15"/>
      <c r="F52" s="120"/>
      <c r="G52" s="119"/>
      <c r="H52" s="119"/>
      <c r="I52" s="121"/>
      <c r="J52" s="119"/>
      <c r="K52" s="122"/>
    </row>
    <row r="53" spans="1:11" ht="4.4000000000000004" customHeight="1">
      <c r="A53" s="118"/>
      <c r="B53" s="119"/>
      <c r="C53" s="119"/>
      <c r="D53" s="15"/>
      <c r="E53" s="15"/>
      <c r="F53" s="120"/>
      <c r="G53" s="119"/>
      <c r="H53" s="119"/>
      <c r="I53" s="121"/>
      <c r="J53" s="119"/>
      <c r="K53" s="122"/>
    </row>
    <row r="54" spans="1:11" ht="4.4000000000000004" customHeight="1">
      <c r="A54" s="118"/>
      <c r="B54" s="119"/>
      <c r="C54" s="119"/>
      <c r="D54" s="15"/>
      <c r="E54" s="15"/>
      <c r="F54" s="120"/>
      <c r="G54" s="119"/>
      <c r="H54" s="119"/>
      <c r="I54" s="121"/>
      <c r="J54" s="119"/>
      <c r="K54" s="122"/>
    </row>
    <row r="55" spans="1:11" ht="4.4000000000000004" customHeight="1">
      <c r="A55" s="123"/>
      <c r="B55" s="124"/>
      <c r="C55" s="124"/>
      <c r="D55" s="16"/>
      <c r="E55" s="16"/>
      <c r="F55" s="125"/>
      <c r="G55" s="124"/>
      <c r="H55" s="124"/>
      <c r="I55" s="126"/>
      <c r="J55" s="124"/>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C12" sqref="C12"/>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142" t="s">
        <v>867</v>
      </c>
      <c r="B1" s="142"/>
      <c r="C1" s="142"/>
      <c r="D1" s="142"/>
      <c r="E1" s="142"/>
      <c r="F1" s="142"/>
      <c r="G1" s="142"/>
      <c r="H1" s="142"/>
      <c r="I1" s="142"/>
      <c r="J1" s="142"/>
      <c r="K1" s="142"/>
    </row>
    <row r="2" spans="1:11">
      <c r="A2" s="144" t="s">
        <v>868</v>
      </c>
      <c r="B2" s="144"/>
      <c r="C2" s="144"/>
      <c r="D2" s="144"/>
      <c r="E2" s="144"/>
      <c r="F2" s="144"/>
      <c r="G2" s="144"/>
      <c r="H2" s="144"/>
      <c r="I2" s="144"/>
      <c r="J2" s="144"/>
      <c r="K2" s="144"/>
    </row>
    <row r="3" spans="1:11">
      <c r="A3" s="145" t="s">
        <v>847</v>
      </c>
      <c r="B3" s="145"/>
      <c r="C3" s="145"/>
      <c r="D3" s="145"/>
      <c r="E3" s="145"/>
      <c r="F3" s="145"/>
      <c r="G3" s="145"/>
      <c r="H3" s="145"/>
      <c r="I3" s="145"/>
      <c r="J3" s="145"/>
      <c r="K3" s="14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7">
        <v>424</v>
      </c>
      <c r="E6" s="35">
        <f t="shared" ref="E6:E37" si="0">IF(A6="","",MAX(C6-D6,0))</f>
        <v>11625</v>
      </c>
      <c r="F6" s="23">
        <f t="shared" ref="F6:F37" si="1">IF(A6="","",IFERROR(D6/C6,0))</f>
        <v>3.5189642293966303E-2</v>
      </c>
      <c r="G6" s="17">
        <v>2023</v>
      </c>
      <c r="H6" s="8" t="s">
        <v>856</v>
      </c>
      <c r="I6" s="8" t="s">
        <v>857</v>
      </c>
      <c r="J6" s="11"/>
      <c r="K6" s="32"/>
    </row>
    <row r="7" spans="1:11">
      <c r="A7" s="30" t="s">
        <v>858</v>
      </c>
      <c r="B7" s="9" t="s">
        <v>81</v>
      </c>
      <c r="C7" s="18">
        <v>9500</v>
      </c>
      <c r="D7" s="18">
        <v>655</v>
      </c>
      <c r="E7" s="36">
        <f t="shared" si="0"/>
        <v>8845</v>
      </c>
      <c r="F7" s="24">
        <f t="shared" si="1"/>
        <v>6.8947368421052632E-2</v>
      </c>
      <c r="G7" s="18">
        <v>2023</v>
      </c>
      <c r="H7" s="9" t="s">
        <v>856</v>
      </c>
      <c r="I7" s="9" t="s">
        <v>857</v>
      </c>
      <c r="J7" s="12"/>
      <c r="K7" s="33"/>
    </row>
    <row r="8" spans="1:11">
      <c r="A8" s="30" t="s">
        <v>859</v>
      </c>
      <c r="B8" s="9" t="s">
        <v>860</v>
      </c>
      <c r="C8" s="18">
        <v>4805</v>
      </c>
      <c r="D8" s="18">
        <v>183</v>
      </c>
      <c r="E8" s="36">
        <f t="shared" si="0"/>
        <v>4622</v>
      </c>
      <c r="F8" s="24">
        <f t="shared" si="1"/>
        <v>3.8085327783558796E-2</v>
      </c>
      <c r="G8" s="18">
        <v>2023</v>
      </c>
      <c r="H8" s="9" t="s">
        <v>856</v>
      </c>
      <c r="I8" s="9" t="s">
        <v>857</v>
      </c>
      <c r="J8" s="12"/>
      <c r="K8" s="33"/>
    </row>
    <row r="9" spans="1:11">
      <c r="A9" s="30" t="s">
        <v>861</v>
      </c>
      <c r="B9" s="9" t="s">
        <v>60</v>
      </c>
      <c r="C9" s="18">
        <v>8982</v>
      </c>
      <c r="D9" s="18">
        <v>568</v>
      </c>
      <c r="E9" s="36">
        <f t="shared" si="0"/>
        <v>8414</v>
      </c>
      <c r="F9" s="24">
        <f t="shared" si="1"/>
        <v>6.3237586283678468E-2</v>
      </c>
      <c r="G9" s="18">
        <v>2023</v>
      </c>
      <c r="H9" s="9" t="s">
        <v>856</v>
      </c>
      <c r="I9" s="9" t="s">
        <v>857</v>
      </c>
      <c r="J9" s="12"/>
      <c r="K9" s="33"/>
    </row>
    <row r="10" spans="1:11">
      <c r="A10" s="30" t="s">
        <v>862</v>
      </c>
      <c r="B10" s="9" t="s">
        <v>810</v>
      </c>
      <c r="C10" s="18">
        <v>9679</v>
      </c>
      <c r="D10" s="18">
        <v>362</v>
      </c>
      <c r="E10" s="36">
        <f t="shared" si="0"/>
        <v>9317</v>
      </c>
      <c r="F10" s="24">
        <f t="shared" si="1"/>
        <v>3.7400557908874886E-2</v>
      </c>
      <c r="G10" s="18">
        <v>2023</v>
      </c>
      <c r="H10" s="9" t="s">
        <v>856</v>
      </c>
      <c r="I10" s="9" t="s">
        <v>857</v>
      </c>
      <c r="J10" s="12"/>
      <c r="K10" s="33"/>
    </row>
    <row r="11" spans="1:11">
      <c r="A11" s="30" t="s">
        <v>863</v>
      </c>
      <c r="B11" s="9" t="s">
        <v>99</v>
      </c>
      <c r="C11" s="18">
        <v>5789</v>
      </c>
      <c r="D11" s="18">
        <v>757</v>
      </c>
      <c r="E11" s="36">
        <f t="shared" si="0"/>
        <v>5032</v>
      </c>
      <c r="F11" s="24">
        <f t="shared" si="1"/>
        <v>0.13076524442908966</v>
      </c>
      <c r="G11" s="18">
        <v>2023</v>
      </c>
      <c r="H11" s="9" t="s">
        <v>856</v>
      </c>
      <c r="I11" s="9" t="s">
        <v>857</v>
      </c>
      <c r="J11" s="12"/>
      <c r="K11" s="33"/>
    </row>
    <row r="12" spans="1:11">
      <c r="A12" s="30" t="s">
        <v>864</v>
      </c>
      <c r="B12" s="9" t="s">
        <v>304</v>
      </c>
      <c r="C12" s="18">
        <v>4979</v>
      </c>
      <c r="D12" s="18">
        <v>49</v>
      </c>
      <c r="E12" s="36">
        <f t="shared" si="0"/>
        <v>4930</v>
      </c>
      <c r="F12" s="24">
        <f t="shared" si="1"/>
        <v>9.8413336011247236E-3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99"/>
  <sheetViews>
    <sheetView zoomScaleNormal="100" workbookViewId="0">
      <pane ySplit="5" topLeftCell="A6" activePane="bottomLeft" state="frozen"/>
      <selection pane="bottomLeft" activeCell="F17" sqref="F17"/>
    </sheetView>
  </sheetViews>
  <sheetFormatPr defaultRowHeight="14"/>
  <cols>
    <col min="1" max="1" width="15" customWidth="1"/>
    <col min="2" max="2" width="27.75" customWidth="1"/>
    <col min="3" max="4" width="19" customWidth="1"/>
    <col min="5" max="5" width="34" customWidth="1"/>
    <col min="6" max="7" width="18" customWidth="1"/>
    <col min="8" max="8" width="22" customWidth="1"/>
    <col min="9" max="9" width="42" hidden="1" customWidth="1"/>
    <col min="10" max="10" width="22.41406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16406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41406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148" t="s">
        <v>1162</v>
      </c>
      <c r="B1" s="148"/>
      <c r="C1" s="148"/>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8"/>
      <c r="AL1" s="148"/>
      <c r="AM1" s="148"/>
      <c r="AN1" s="148"/>
      <c r="AO1" s="148"/>
      <c r="AP1" s="148"/>
      <c r="AQ1" s="148"/>
      <c r="AR1" s="148"/>
      <c r="AS1" s="148"/>
      <c r="AT1" s="148"/>
      <c r="AU1" s="148"/>
      <c r="AV1" s="148"/>
      <c r="AW1" s="148"/>
      <c r="AX1" s="148"/>
      <c r="AY1" s="148"/>
      <c r="AZ1" s="148"/>
      <c r="BA1" s="148"/>
      <c r="BB1" s="148"/>
      <c r="BC1" s="148"/>
      <c r="BD1" s="148"/>
      <c r="BE1" s="148"/>
      <c r="BF1" s="148"/>
      <c r="BH1" s="70" t="s">
        <v>1163</v>
      </c>
      <c r="BI1" s="70" t="s">
        <v>1164</v>
      </c>
      <c r="BJ1" s="70" t="s">
        <v>1165</v>
      </c>
      <c r="BK1" s="70" t="s">
        <v>1166</v>
      </c>
      <c r="BL1" s="70" t="s">
        <v>1167</v>
      </c>
      <c r="BM1" s="70" t="s">
        <v>1168</v>
      </c>
      <c r="BN1" s="70" t="s">
        <v>1169</v>
      </c>
      <c r="BO1" s="70" t="s">
        <v>1170</v>
      </c>
      <c r="BP1" s="70" t="s">
        <v>1171</v>
      </c>
      <c r="BQ1" s="70" t="s">
        <v>1172</v>
      </c>
      <c r="BR1" s="70" t="s">
        <v>1173</v>
      </c>
      <c r="BS1" s="70" t="s">
        <v>1174</v>
      </c>
      <c r="BT1" s="70" t="s">
        <v>1175</v>
      </c>
      <c r="BU1" s="70" t="s">
        <v>1176</v>
      </c>
      <c r="BV1" s="70" t="s">
        <v>1177</v>
      </c>
      <c r="BW1" s="70" t="s">
        <v>1178</v>
      </c>
      <c r="BX1" s="70" t="s">
        <v>1179</v>
      </c>
      <c r="BY1" s="70" t="s">
        <v>1180</v>
      </c>
    </row>
    <row r="2" spans="1:77" ht="14.5">
      <c r="A2" s="153" t="s">
        <v>1181</v>
      </c>
      <c r="B2" s="153"/>
      <c r="C2" s="153"/>
      <c r="D2" s="153"/>
      <c r="E2" s="153"/>
      <c r="F2" s="153"/>
      <c r="G2" s="153"/>
      <c r="H2" s="153"/>
      <c r="I2" s="153"/>
      <c r="J2" s="153"/>
      <c r="K2" s="153"/>
      <c r="L2" s="153"/>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H2" t="s">
        <v>81</v>
      </c>
      <c r="BI2" t="s">
        <v>1182</v>
      </c>
      <c r="BJ2" t="s">
        <v>1183</v>
      </c>
      <c r="BK2" t="s">
        <v>1184</v>
      </c>
      <c r="BL2" t="s">
        <v>888</v>
      </c>
      <c r="BM2" t="s">
        <v>1185</v>
      </c>
      <c r="BN2" t="s">
        <v>888</v>
      </c>
      <c r="BO2" t="s">
        <v>1186</v>
      </c>
      <c r="BP2" t="s">
        <v>888</v>
      </c>
      <c r="BQ2" t="s">
        <v>1187</v>
      </c>
      <c r="BR2" t="s">
        <v>1188</v>
      </c>
      <c r="BS2" t="s">
        <v>1189</v>
      </c>
      <c r="BT2" t="s">
        <v>1190</v>
      </c>
      <c r="BU2" t="s">
        <v>927</v>
      </c>
      <c r="BV2" t="s">
        <v>1191</v>
      </c>
      <c r="BW2" t="s">
        <v>1192</v>
      </c>
      <c r="BX2" t="s">
        <v>1193</v>
      </c>
      <c r="BY2" t="s">
        <v>1194</v>
      </c>
    </row>
    <row r="3" spans="1:77">
      <c r="A3" s="154" t="s">
        <v>1195</v>
      </c>
      <c r="B3" s="154"/>
      <c r="C3" s="154"/>
      <c r="D3" s="154"/>
      <c r="E3" s="154"/>
      <c r="F3" s="154"/>
      <c r="G3" s="154"/>
      <c r="H3" s="154"/>
      <c r="I3" s="154"/>
      <c r="J3" s="154"/>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H3" t="s">
        <v>60</v>
      </c>
      <c r="BI3" t="s">
        <v>1196</v>
      </c>
      <c r="BJ3" t="s">
        <v>1197</v>
      </c>
      <c r="BK3" t="s">
        <v>1198</v>
      </c>
      <c r="BL3" t="s">
        <v>891</v>
      </c>
      <c r="BM3" t="s">
        <v>1199</v>
      </c>
      <c r="BN3" t="s">
        <v>891</v>
      </c>
      <c r="BO3" t="s">
        <v>1200</v>
      </c>
      <c r="BP3" t="s">
        <v>891</v>
      </c>
      <c r="BQ3" t="s">
        <v>1201</v>
      </c>
      <c r="BR3" t="s">
        <v>1202</v>
      </c>
      <c r="BS3" t="s">
        <v>1203</v>
      </c>
      <c r="BT3" t="s">
        <v>1204</v>
      </c>
      <c r="BU3" t="s">
        <v>1205</v>
      </c>
      <c r="BV3" t="s">
        <v>1206</v>
      </c>
      <c r="BW3" t="s">
        <v>1207</v>
      </c>
      <c r="BX3" t="s">
        <v>1208</v>
      </c>
      <c r="BY3" t="s">
        <v>1209</v>
      </c>
    </row>
    <row r="4" spans="1:77">
      <c r="BH4" t="s">
        <v>35</v>
      </c>
      <c r="BI4" t="s">
        <v>1210</v>
      </c>
      <c r="BJ4" t="s">
        <v>1211</v>
      </c>
      <c r="BK4" t="s">
        <v>1212</v>
      </c>
      <c r="BL4" t="s">
        <v>905</v>
      </c>
      <c r="BM4" t="s">
        <v>1213</v>
      </c>
      <c r="BN4" t="s">
        <v>905</v>
      </c>
      <c r="BO4" t="s">
        <v>1214</v>
      </c>
      <c r="BP4" t="s">
        <v>905</v>
      </c>
      <c r="BQ4" t="s">
        <v>1215</v>
      </c>
      <c r="BR4" t="s">
        <v>1216</v>
      </c>
      <c r="BS4" t="s">
        <v>1216</v>
      </c>
      <c r="BV4" t="s">
        <v>1217</v>
      </c>
      <c r="BW4" t="s">
        <v>1218</v>
      </c>
      <c r="BX4" t="s">
        <v>1219</v>
      </c>
      <c r="BY4" t="s">
        <v>1220</v>
      </c>
    </row>
    <row r="5" spans="1:77" s="89" customFormat="1" ht="53.5" customHeight="1">
      <c r="A5" s="88" t="s">
        <v>1221</v>
      </c>
      <c r="B5" s="88" t="s">
        <v>1222</v>
      </c>
      <c r="C5" s="88" t="s">
        <v>1223</v>
      </c>
      <c r="D5" s="88" t="s">
        <v>1224</v>
      </c>
      <c r="E5" s="88" t="s">
        <v>1225</v>
      </c>
      <c r="F5" s="88" t="s">
        <v>7</v>
      </c>
      <c r="G5" s="88" t="s">
        <v>6</v>
      </c>
      <c r="H5" s="88" t="s">
        <v>1226</v>
      </c>
      <c r="I5" s="88" t="s">
        <v>1227</v>
      </c>
      <c r="J5" s="88" t="s">
        <v>1228</v>
      </c>
      <c r="K5" s="88" t="s">
        <v>1166</v>
      </c>
      <c r="L5" s="88" t="s">
        <v>1167</v>
      </c>
      <c r="M5" s="88" t="s">
        <v>1168</v>
      </c>
      <c r="N5" s="88" t="s">
        <v>1169</v>
      </c>
      <c r="O5" s="88" t="s">
        <v>1170</v>
      </c>
      <c r="P5" s="88" t="s">
        <v>1171</v>
      </c>
      <c r="Q5" s="88" t="s">
        <v>1229</v>
      </c>
      <c r="R5" s="88" t="s">
        <v>1230</v>
      </c>
      <c r="S5" s="88" t="s">
        <v>1231</v>
      </c>
      <c r="T5" s="88" t="s">
        <v>1232</v>
      </c>
      <c r="U5" s="88" t="s">
        <v>1233</v>
      </c>
      <c r="V5" s="88" t="s">
        <v>1234</v>
      </c>
      <c r="W5" s="88" t="s">
        <v>1235</v>
      </c>
      <c r="X5" s="88" t="s">
        <v>1236</v>
      </c>
      <c r="Y5" s="88" t="s">
        <v>1237</v>
      </c>
      <c r="Z5" s="88" t="s">
        <v>1238</v>
      </c>
      <c r="AA5" s="88" t="s">
        <v>1239</v>
      </c>
      <c r="AB5" s="88" t="s">
        <v>1240</v>
      </c>
      <c r="AC5" s="88" t="s">
        <v>1241</v>
      </c>
      <c r="AD5" s="88" t="s">
        <v>1242</v>
      </c>
      <c r="AE5" s="88" t="s">
        <v>1243</v>
      </c>
      <c r="AF5" s="88" t="s">
        <v>1244</v>
      </c>
      <c r="AG5" s="88" t="s">
        <v>1245</v>
      </c>
      <c r="AH5" s="88" t="s">
        <v>1246</v>
      </c>
      <c r="AI5" s="88" t="s">
        <v>1247</v>
      </c>
      <c r="AJ5" s="88" t="s">
        <v>1248</v>
      </c>
      <c r="AK5" s="88" t="s">
        <v>1249</v>
      </c>
      <c r="AL5" s="88" t="s">
        <v>1250</v>
      </c>
      <c r="AM5" s="88" t="s">
        <v>1174</v>
      </c>
      <c r="AN5" s="88" t="s">
        <v>1251</v>
      </c>
      <c r="AO5" s="88" t="s">
        <v>1252</v>
      </c>
      <c r="AP5" s="88" t="s">
        <v>1253</v>
      </c>
      <c r="AQ5" s="88" t="s">
        <v>1254</v>
      </c>
      <c r="AR5" s="88" t="s">
        <v>1255</v>
      </c>
      <c r="AS5" s="88" t="s">
        <v>1256</v>
      </c>
      <c r="AT5" s="88" t="s">
        <v>1257</v>
      </c>
      <c r="AU5" s="88" t="s">
        <v>1258</v>
      </c>
      <c r="AV5" s="88" t="s">
        <v>28</v>
      </c>
      <c r="AW5" s="88" t="s">
        <v>1259</v>
      </c>
      <c r="AX5" s="88" t="s">
        <v>1178</v>
      </c>
      <c r="AY5" s="88" t="s">
        <v>1260</v>
      </c>
      <c r="AZ5" s="88" t="s">
        <v>1179</v>
      </c>
      <c r="BA5" s="88" t="s">
        <v>1261</v>
      </c>
      <c r="BB5" s="88" t="s">
        <v>1262</v>
      </c>
      <c r="BC5" s="88" t="s">
        <v>26</v>
      </c>
      <c r="BD5" s="88" t="s">
        <v>27</v>
      </c>
      <c r="BE5" s="88" t="s">
        <v>29</v>
      </c>
      <c r="BF5" s="88" t="s">
        <v>30</v>
      </c>
      <c r="BH5" s="89" t="s">
        <v>304</v>
      </c>
      <c r="BI5" s="89" t="s">
        <v>1263</v>
      </c>
      <c r="BJ5" s="89" t="s">
        <v>1264</v>
      </c>
      <c r="BK5" s="89" t="s">
        <v>1265</v>
      </c>
      <c r="BL5" s="89" t="s">
        <v>895</v>
      </c>
      <c r="BM5" s="89" t="s">
        <v>1266</v>
      </c>
      <c r="BN5" s="89" t="s">
        <v>895</v>
      </c>
      <c r="BO5" s="89" t="s">
        <v>1267</v>
      </c>
      <c r="BP5" s="89" t="s">
        <v>895</v>
      </c>
      <c r="BQ5" s="89" t="s">
        <v>1216</v>
      </c>
      <c r="BV5" s="89" t="s">
        <v>1268</v>
      </c>
      <c r="BW5" s="89" t="s">
        <v>1269</v>
      </c>
      <c r="BX5" s="89" t="s">
        <v>1270</v>
      </c>
      <c r="BY5" s="89" t="s">
        <v>1271</v>
      </c>
    </row>
    <row r="6" spans="1:77" ht="24" customHeight="1">
      <c r="A6" s="66" t="s">
        <v>1272</v>
      </c>
      <c r="B6" s="66" t="s">
        <v>1273</v>
      </c>
      <c r="C6" s="66"/>
      <c r="D6" s="66"/>
      <c r="E6" s="66" t="s">
        <v>1274</v>
      </c>
      <c r="F6" s="66" t="s">
        <v>1275</v>
      </c>
      <c r="G6" s="66" t="s">
        <v>1276</v>
      </c>
      <c r="H6" s="66" t="s">
        <v>1182</v>
      </c>
      <c r="I6" s="66" t="s">
        <v>1277</v>
      </c>
      <c r="J6" s="66" t="s">
        <v>1197</v>
      </c>
      <c r="K6" s="66" t="s">
        <v>1212</v>
      </c>
      <c r="L6" s="66" t="s">
        <v>891</v>
      </c>
      <c r="M6" s="66" t="s">
        <v>1309</v>
      </c>
      <c r="N6" s="66" t="s">
        <v>891</v>
      </c>
      <c r="O6" s="66" t="s">
        <v>1214</v>
      </c>
      <c r="P6" s="66" t="s">
        <v>891</v>
      </c>
      <c r="Q6" s="87" t="s">
        <v>1187</v>
      </c>
      <c r="R6" s="87" t="s">
        <v>1202</v>
      </c>
      <c r="S6" s="87" t="s">
        <v>1202</v>
      </c>
      <c r="T6" s="87" t="s">
        <v>1202</v>
      </c>
      <c r="U6" s="87" t="s">
        <v>1202</v>
      </c>
      <c r="V6" s="87" t="s">
        <v>1216</v>
      </c>
      <c r="W6" s="67"/>
      <c r="X6" s="85"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5" t="str">
        <f t="shared" ref="Y6:Y69" si="1">IF(COUNTIF(R6:V6,"Belum Dinilai")&gt;0,"Belum Dinilai",IF(COUNTIF(R6:V6,"Ya")=0,"Tidak Ada Faktor Rentan",IF(COUNTIF(R6:V6,"Ya")=1,"1 Faktor Rentan","2 atau Lebih Faktor Rentan")))</f>
        <v>Belum Dinilai</v>
      </c>
      <c r="Z6" s="86">
        <f t="shared" ref="Z6:Z69" si="2">IF(OR(Q6="",Q6="Belum Dinilai"),"",IF(Q6="Terverifikasi DTKS/P3KE/MBR",10,IF(Q6="Diusulkan, Belum Terverifikasi",5,0)))</f>
        <v>10</v>
      </c>
      <c r="AA6" s="86" t="str">
        <f t="shared" ref="AA6:AA69" si="3">IF(COUNTIF(R6:V6,"Belum Dinilai")&gt;0,"",IF(COUNTIF(R6:V6,"Ya")=0,0,IF(COUNTIF(R6:V6,"Ya")=1,5,10)))</f>
        <v/>
      </c>
      <c r="AB6" s="86" t="str">
        <f>IF(OR(Z6="",AA6=""),"",Z6+AA6)</f>
        <v/>
      </c>
      <c r="AC6" s="68" t="s">
        <v>1202</v>
      </c>
      <c r="AD6" s="68" t="s">
        <v>1202</v>
      </c>
      <c r="AE6" s="68" t="s">
        <v>1202</v>
      </c>
      <c r="AF6" s="68" t="s">
        <v>1202</v>
      </c>
      <c r="AG6" s="68" t="s">
        <v>1202</v>
      </c>
      <c r="AH6" s="68" t="s">
        <v>1188</v>
      </c>
      <c r="AI6" s="68" t="s">
        <v>1188</v>
      </c>
      <c r="AJ6" s="68" t="s">
        <v>1202</v>
      </c>
      <c r="AK6" s="68" t="s">
        <v>1216</v>
      </c>
      <c r="AL6" s="68"/>
      <c r="AM6" s="68" t="s">
        <v>1216</v>
      </c>
      <c r="AN6" s="68" t="str">
        <f t="shared" ref="AN6:AN68" si="4">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68" t="str">
        <f>IF(AR6="","Belum Dinilai",IF(AR6=10,"Risiko Tinggi/Darurat",IF(AR6=5,"Risiko Sedang","Tidak Ada Risiko Khusus")))</f>
        <v>Risiko Tinggi/Darurat</v>
      </c>
      <c r="AP6" s="68"/>
      <c r="AQ6" s="71">
        <f t="shared" ref="AQ6:AQ69" si="5">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IF(OR(AQ6="",AB6="",AR6=""),"",AQ6+AB6+AR6)</f>
        <v/>
      </c>
      <c r="AT6" s="69" t="str">
        <f t="shared" ref="AT6:AT69" si="6">IF(AS6="","Belum Dapat Ditentukan",IF(AS6&gt;=80,"Sangat Tinggi",IF(OR(AO6="Risiko Tinggi/Darurat",(IF(L6="Rusak Berat",1,0)+IF(L6="Tidak Ada/Terbuka",1,0)+IF(N6="Rusak Berat",1,0)+IF(N6="Tidak Ada/Terbuka",1,0)+IF(P6="Rusak Berat",1,0)+IF(P6="Tidak Layak",1,0))&gt;=2),"Tinggi",IF(AS6&gt;=65,"Tinggi",IF(AS6&gt;=50,"Sedang","Rendah")))))</f>
        <v>Belum Dapat Ditentukan</v>
      </c>
      <c r="AU6" s="66" t="s">
        <v>1190</v>
      </c>
      <c r="AV6" s="66" t="s">
        <v>1205</v>
      </c>
      <c r="AW6" s="66" t="s">
        <v>1191</v>
      </c>
      <c r="AX6" s="66"/>
      <c r="AY6" s="66"/>
      <c r="AZ6" s="66" t="s">
        <v>927</v>
      </c>
      <c r="BA6" s="66"/>
      <c r="BB6" s="72"/>
      <c r="BC6" s="73">
        <v>2026</v>
      </c>
      <c r="BD6" s="66"/>
      <c r="BE6" s="72"/>
      <c r="BF6" s="66" t="s">
        <v>1279</v>
      </c>
      <c r="BH6" t="s">
        <v>99</v>
      </c>
      <c r="BK6" t="s">
        <v>1280</v>
      </c>
      <c r="BL6" t="s">
        <v>1281</v>
      </c>
      <c r="BM6" t="s">
        <v>1267</v>
      </c>
      <c r="BN6" t="s">
        <v>1281</v>
      </c>
      <c r="BO6" t="s">
        <v>1282</v>
      </c>
      <c r="BP6" t="s">
        <v>1283</v>
      </c>
      <c r="BW6" t="s">
        <v>1284</v>
      </c>
      <c r="BX6" t="s">
        <v>927</v>
      </c>
      <c r="BY6" t="s">
        <v>1285</v>
      </c>
    </row>
    <row r="7" spans="1:77" ht="28">
      <c r="A7" s="66" t="s">
        <v>1286</v>
      </c>
      <c r="B7" s="66" t="s">
        <v>1287</v>
      </c>
      <c r="C7" s="66"/>
      <c r="D7" s="66"/>
      <c r="E7" s="66" t="s">
        <v>1288</v>
      </c>
      <c r="F7" s="66" t="s">
        <v>1289</v>
      </c>
      <c r="G7" s="66" t="s">
        <v>1290</v>
      </c>
      <c r="H7" s="66" t="s">
        <v>1182</v>
      </c>
      <c r="I7" s="66" t="s">
        <v>1291</v>
      </c>
      <c r="J7" s="66" t="s">
        <v>1211</v>
      </c>
      <c r="K7" s="66" t="s">
        <v>1212</v>
      </c>
      <c r="L7" s="66" t="s">
        <v>891</v>
      </c>
      <c r="M7" s="66" t="s">
        <v>1267</v>
      </c>
      <c r="N7" s="66" t="s">
        <v>891</v>
      </c>
      <c r="O7" s="66" t="s">
        <v>1214</v>
      </c>
      <c r="P7" s="66" t="s">
        <v>891</v>
      </c>
      <c r="Q7" s="87" t="s">
        <v>1187</v>
      </c>
      <c r="R7" s="87" t="s">
        <v>1202</v>
      </c>
      <c r="S7" s="87" t="s">
        <v>1202</v>
      </c>
      <c r="T7" s="87" t="s">
        <v>1202</v>
      </c>
      <c r="U7" s="87" t="s">
        <v>1188</v>
      </c>
      <c r="V7" s="87" t="s">
        <v>1216</v>
      </c>
      <c r="W7" s="67"/>
      <c r="X7" s="85" t="str">
        <f t="shared" si="0"/>
        <v>Belum Dinilai</v>
      </c>
      <c r="Y7" s="85" t="str">
        <f t="shared" si="1"/>
        <v>Belum Dinilai</v>
      </c>
      <c r="Z7" s="86">
        <f t="shared" si="2"/>
        <v>10</v>
      </c>
      <c r="AA7" s="86" t="str">
        <f t="shared" si="3"/>
        <v/>
      </c>
      <c r="AB7" s="86" t="str">
        <f t="shared" ref="AB7:AB69" si="7">IF(OR(Z7="",AA7=""),"",Z7+AA7)</f>
        <v/>
      </c>
      <c r="AC7" s="68" t="s">
        <v>1202</v>
      </c>
      <c r="AD7" s="68" t="s">
        <v>1202</v>
      </c>
      <c r="AE7" s="68" t="s">
        <v>1202</v>
      </c>
      <c r="AF7" s="68" t="s">
        <v>1202</v>
      </c>
      <c r="AG7" s="68" t="s">
        <v>1202</v>
      </c>
      <c r="AH7" s="68" t="s">
        <v>1188</v>
      </c>
      <c r="AI7" s="68" t="s">
        <v>1188</v>
      </c>
      <c r="AJ7" s="68" t="s">
        <v>1202</v>
      </c>
      <c r="AK7" s="68" t="s">
        <v>1202</v>
      </c>
      <c r="AL7" s="68"/>
      <c r="AM7" s="68" t="s">
        <v>1216</v>
      </c>
      <c r="AN7" s="68" t="str">
        <f t="shared" si="4"/>
        <v xml:space="preserve">Instalasi listrik berbahaya; Komponen bangunan lepas atau lapuk; </v>
      </c>
      <c r="AO7" s="68" t="str">
        <f>IF(AR7="","Belum Dinilai",IF(AR7=10,"Risiko Tinggi/Darurat",IF(AR7=5,"Risiko Sedang","Tidak Ada Risiko Khusus")))</f>
        <v>Risiko Tinggi/Darurat</v>
      </c>
      <c r="AP7" s="68"/>
      <c r="AQ7" s="71">
        <f t="shared" si="5"/>
        <v>29</v>
      </c>
      <c r="AR7" s="71">
        <f>IF(
 OR(
  COUNTIF(AC7:AH7,"Ya")&gt;0,
  AND(AL7&lt;&gt;"",AM7="Risiko Tinggi/Darurat"),
  COUNTIF(AI7:AK7,"Ya")+IF(AND(AL7&lt;&gt;"",AM7="Risiko Sedang"),1,0)&gt;=2
 ),
 10,
 IF(
  OR(
   COUNTIF(AC7:AK7,"Belum Dinilai")&gt;0,
   AND(AL7&lt;&gt;"",OR(AM7="",AM7="Belum Dinilai")),
   AND(AL7="",OR(AM7="Risiko Sedang",AM7="Risiko Tinggi/Darurat"))
  ),
  "",
  IF(
   COUNTIF(AI7:AK7,"Ya")+IF(AND(AL7&lt;&gt;"",AM7="Risiko Sedang"),1,0)=1,
   5,
   0
  )
 )
)</f>
        <v>10</v>
      </c>
      <c r="AS7" s="71" t="str">
        <f t="shared" ref="AS7:AS10" si="8">IF(OR(AQ7="",AB7="",AR7=""),"",AQ7+AB7+AR7)</f>
        <v/>
      </c>
      <c r="AT7" s="69" t="str">
        <f t="shared" si="6"/>
        <v>Belum Dapat Ditentukan</v>
      </c>
      <c r="AU7" s="66" t="s">
        <v>1190</v>
      </c>
      <c r="AV7" s="66" t="s">
        <v>1205</v>
      </c>
      <c r="AW7" s="66" t="s">
        <v>1191</v>
      </c>
      <c r="AX7" s="66"/>
      <c r="AY7" s="66"/>
      <c r="AZ7" s="66" t="s">
        <v>927</v>
      </c>
      <c r="BA7" s="66"/>
      <c r="BB7" s="72"/>
      <c r="BC7" s="73">
        <v>2026</v>
      </c>
      <c r="BD7" s="66"/>
      <c r="BE7" s="72"/>
      <c r="BF7" s="66" t="s">
        <v>1279</v>
      </c>
      <c r="BH7" t="s">
        <v>810</v>
      </c>
      <c r="BK7" t="s">
        <v>1292</v>
      </c>
      <c r="BL7" t="s">
        <v>1216</v>
      </c>
      <c r="BM7" t="s">
        <v>1293</v>
      </c>
      <c r="BN7" t="s">
        <v>1216</v>
      </c>
      <c r="BO7" t="s">
        <v>1294</v>
      </c>
      <c r="BP7" t="s">
        <v>1216</v>
      </c>
      <c r="BW7" t="s">
        <v>1295</v>
      </c>
    </row>
    <row r="8" spans="1:77" ht="28">
      <c r="A8" s="66" t="s">
        <v>1296</v>
      </c>
      <c r="B8" s="66" t="s">
        <v>1297</v>
      </c>
      <c r="C8" s="66"/>
      <c r="D8" s="66"/>
      <c r="E8" s="66" t="s">
        <v>1298</v>
      </c>
      <c r="F8" s="66" t="s">
        <v>1289</v>
      </c>
      <c r="G8" s="66" t="s">
        <v>1290</v>
      </c>
      <c r="H8" s="66" t="s">
        <v>1182</v>
      </c>
      <c r="I8" s="66" t="s">
        <v>1299</v>
      </c>
      <c r="J8" s="66" t="s">
        <v>1211</v>
      </c>
      <c r="K8" s="66" t="s">
        <v>1198</v>
      </c>
      <c r="L8" s="66" t="s">
        <v>905</v>
      </c>
      <c r="M8" s="66" t="s">
        <v>1267</v>
      </c>
      <c r="N8" s="66" t="s">
        <v>905</v>
      </c>
      <c r="O8" s="66" t="s">
        <v>1278</v>
      </c>
      <c r="P8" s="66" t="s">
        <v>1216</v>
      </c>
      <c r="Q8" s="87" t="s">
        <v>1216</v>
      </c>
      <c r="R8" s="87" t="s">
        <v>1216</v>
      </c>
      <c r="S8" s="87" t="s">
        <v>1216</v>
      </c>
      <c r="T8" s="87" t="s">
        <v>1216</v>
      </c>
      <c r="U8" s="87" t="s">
        <v>1216</v>
      </c>
      <c r="V8" s="87" t="s">
        <v>1216</v>
      </c>
      <c r="W8" s="67"/>
      <c r="X8" s="85" t="str">
        <f t="shared" si="0"/>
        <v>Belum Dinilai</v>
      </c>
      <c r="Y8" s="85" t="str">
        <f t="shared" si="1"/>
        <v>Belum Dinilai</v>
      </c>
      <c r="Z8" s="86" t="str">
        <f t="shared" si="2"/>
        <v/>
      </c>
      <c r="AA8" s="86" t="str">
        <f t="shared" si="3"/>
        <v/>
      </c>
      <c r="AB8" s="86" t="str">
        <f t="shared" si="7"/>
        <v/>
      </c>
      <c r="AC8" s="68" t="s">
        <v>1216</v>
      </c>
      <c r="AD8" s="68" t="s">
        <v>1216</v>
      </c>
      <c r="AE8" s="68" t="s">
        <v>1216</v>
      </c>
      <c r="AF8" s="68" t="s">
        <v>1216</v>
      </c>
      <c r="AG8" s="68" t="s">
        <v>1216</v>
      </c>
      <c r="AH8" s="68" t="s">
        <v>1216</v>
      </c>
      <c r="AI8" s="68" t="s">
        <v>1216</v>
      </c>
      <c r="AJ8" s="68" t="s">
        <v>1216</v>
      </c>
      <c r="AK8" s="68" t="s">
        <v>1216</v>
      </c>
      <c r="AL8" s="68"/>
      <c r="AM8" s="68" t="s">
        <v>1216</v>
      </c>
      <c r="AN8" s="68" t="str">
        <f t="shared" si="4"/>
        <v>Belum Dinilai</v>
      </c>
      <c r="AO8" s="68" t="str">
        <f t="shared" ref="AO8:AO69" si="9">IF(AR8="","Belum Dinilai",IF(AR8=10,"Risiko Tinggi/Darurat",IF(AR8=5,"Risiko Sedang","Tidak Ada Risiko Khusus")))</f>
        <v>Belum Dinilai</v>
      </c>
      <c r="AP8" s="68"/>
      <c r="AQ8" s="71" t="str">
        <f t="shared" si="5"/>
        <v/>
      </c>
      <c r="AR8" s="71" t="str">
        <f t="shared" ref="AR8:AR71" si="10">IF(
 OR(
  COUNTIF(AC8:AH8,"Ya")&gt;0,
  AND(AL8&lt;&gt;"",AM8="Risiko Tinggi/Darurat"),
  COUNTIF(AI8:AK8,"Ya")+IF(AND(AL8&lt;&gt;"",AM8="Risiko Sedang"),1,0)&gt;=2
 ),
 10,
 IF(
  OR(
   COUNTIF(AC8:AK8,"Belum Dinilai")&gt;0,
   AND(AL8&lt;&gt;"",OR(AM8="",AM8="Belum Dinilai")),
   AND(AL8="",OR(AM8="Risiko Sedang",AM8="Risiko Tinggi/Darurat"))
  ),
  "",
  IF(
   COUNTIF(AI8:AK8,"Ya")+IF(AND(AL8&lt;&gt;"",AM8="Risiko Sedang"),1,0)=1,
   5,
   0
  )
 )
)</f>
        <v/>
      </c>
      <c r="AS8" s="71" t="str">
        <f t="shared" si="8"/>
        <v/>
      </c>
      <c r="AT8" s="69" t="str">
        <f t="shared" si="6"/>
        <v>Belum Dapat Ditentukan</v>
      </c>
      <c r="AU8" s="66" t="s">
        <v>1190</v>
      </c>
      <c r="AV8" s="66" t="s">
        <v>1205</v>
      </c>
      <c r="AW8" s="66" t="s">
        <v>1909</v>
      </c>
      <c r="AX8" s="66" t="s">
        <v>1207</v>
      </c>
      <c r="AY8" s="66">
        <v>2023</v>
      </c>
      <c r="AZ8" s="66" t="s">
        <v>927</v>
      </c>
      <c r="BA8" s="66"/>
      <c r="BB8" s="72"/>
      <c r="BC8" s="73">
        <v>2026</v>
      </c>
      <c r="BD8" s="66"/>
      <c r="BE8" s="72"/>
      <c r="BF8" s="66" t="s">
        <v>1279</v>
      </c>
      <c r="BH8" t="s">
        <v>860</v>
      </c>
      <c r="BK8" t="s">
        <v>1300</v>
      </c>
      <c r="BM8" t="s">
        <v>1198</v>
      </c>
      <c r="BO8" t="s">
        <v>1301</v>
      </c>
      <c r="BW8" t="s">
        <v>1302</v>
      </c>
    </row>
    <row r="9" spans="1:77" ht="28">
      <c r="A9" s="66" t="s">
        <v>1303</v>
      </c>
      <c r="B9" s="66" t="s">
        <v>1304</v>
      </c>
      <c r="C9" s="66"/>
      <c r="D9" s="66"/>
      <c r="E9" s="66" t="s">
        <v>1305</v>
      </c>
      <c r="F9" s="66" t="s">
        <v>1306</v>
      </c>
      <c r="G9" s="66" t="s">
        <v>1276</v>
      </c>
      <c r="H9" s="66" t="s">
        <v>1182</v>
      </c>
      <c r="I9" s="66" t="s">
        <v>1307</v>
      </c>
      <c r="J9" s="66" t="s">
        <v>1197</v>
      </c>
      <c r="K9" s="66" t="s">
        <v>1198</v>
      </c>
      <c r="L9" s="66" t="s">
        <v>891</v>
      </c>
      <c r="M9" s="66" t="s">
        <v>1267</v>
      </c>
      <c r="N9" s="66" t="s">
        <v>891</v>
      </c>
      <c r="O9" s="66" t="s">
        <v>1278</v>
      </c>
      <c r="P9" s="66" t="s">
        <v>1216</v>
      </c>
      <c r="Q9" s="87" t="s">
        <v>1216</v>
      </c>
      <c r="R9" s="87" t="s">
        <v>1216</v>
      </c>
      <c r="S9" s="87" t="s">
        <v>1216</v>
      </c>
      <c r="T9" s="87" t="s">
        <v>1216</v>
      </c>
      <c r="U9" s="87" t="s">
        <v>1216</v>
      </c>
      <c r="V9" s="87" t="s">
        <v>1216</v>
      </c>
      <c r="W9" s="67"/>
      <c r="X9" s="85" t="str">
        <f t="shared" si="0"/>
        <v>Belum Dinilai</v>
      </c>
      <c r="Y9" s="85" t="str">
        <f t="shared" si="1"/>
        <v>Belum Dinilai</v>
      </c>
      <c r="Z9" s="86" t="str">
        <f t="shared" si="2"/>
        <v/>
      </c>
      <c r="AA9" s="86" t="str">
        <f t="shared" si="3"/>
        <v/>
      </c>
      <c r="AB9" s="86" t="str">
        <f t="shared" si="7"/>
        <v/>
      </c>
      <c r="AC9" s="68" t="s">
        <v>1216</v>
      </c>
      <c r="AD9" s="68" t="s">
        <v>1216</v>
      </c>
      <c r="AE9" s="68" t="s">
        <v>1216</v>
      </c>
      <c r="AF9" s="68" t="s">
        <v>1216</v>
      </c>
      <c r="AG9" s="68" t="s">
        <v>1216</v>
      </c>
      <c r="AH9" s="68" t="s">
        <v>1216</v>
      </c>
      <c r="AI9" s="68" t="s">
        <v>1216</v>
      </c>
      <c r="AJ9" s="68" t="s">
        <v>1216</v>
      </c>
      <c r="AK9" s="68" t="s">
        <v>1216</v>
      </c>
      <c r="AL9" s="68"/>
      <c r="AM9" s="68" t="s">
        <v>1216</v>
      </c>
      <c r="AN9" s="68" t="str">
        <f t="shared" si="4"/>
        <v>Belum Dinilai</v>
      </c>
      <c r="AO9" s="68" t="str">
        <f t="shared" si="9"/>
        <v>Belum Dinilai</v>
      </c>
      <c r="AP9" s="68"/>
      <c r="AQ9" s="71" t="str">
        <f t="shared" si="5"/>
        <v/>
      </c>
      <c r="AR9" s="71" t="str">
        <f t="shared" si="10"/>
        <v/>
      </c>
      <c r="AS9" s="71" t="str">
        <f t="shared" si="8"/>
        <v/>
      </c>
      <c r="AT9" s="69" t="str">
        <f t="shared" si="6"/>
        <v>Belum Dapat Ditentukan</v>
      </c>
      <c r="AU9" s="66" t="s">
        <v>1204</v>
      </c>
      <c r="AV9" s="66" t="s">
        <v>1205</v>
      </c>
      <c r="AW9" s="66" t="s">
        <v>1191</v>
      </c>
      <c r="AX9" s="66"/>
      <c r="AY9" s="66"/>
      <c r="AZ9" s="66" t="s">
        <v>927</v>
      </c>
      <c r="BA9" s="66"/>
      <c r="BB9" s="72"/>
      <c r="BC9" s="73">
        <v>2026</v>
      </c>
      <c r="BD9" s="66"/>
      <c r="BE9" s="72"/>
      <c r="BF9" s="66" t="s">
        <v>1279</v>
      </c>
      <c r="BH9" t="s">
        <v>1308</v>
      </c>
      <c r="BK9" t="s">
        <v>1294</v>
      </c>
      <c r="BM9" t="s">
        <v>1309</v>
      </c>
      <c r="BO9" t="s">
        <v>1285</v>
      </c>
      <c r="BW9" t="s">
        <v>1285</v>
      </c>
    </row>
    <row r="10" spans="1:77" ht="42">
      <c r="A10" s="66" t="s">
        <v>1310</v>
      </c>
      <c r="B10" s="66" t="s">
        <v>1311</v>
      </c>
      <c r="C10" s="66"/>
      <c r="D10" s="66"/>
      <c r="E10" s="66" t="s">
        <v>1312</v>
      </c>
      <c r="F10" s="66" t="s">
        <v>1313</v>
      </c>
      <c r="G10" s="66" t="s">
        <v>1314</v>
      </c>
      <c r="H10" s="66" t="s">
        <v>1196</v>
      </c>
      <c r="I10" s="66" t="s">
        <v>1315</v>
      </c>
      <c r="J10" s="66" t="s">
        <v>1183</v>
      </c>
      <c r="K10" s="66" t="s">
        <v>1278</v>
      </c>
      <c r="L10" s="66" t="s">
        <v>1216</v>
      </c>
      <c r="M10" s="66" t="s">
        <v>1266</v>
      </c>
      <c r="N10" s="66" t="s">
        <v>1216</v>
      </c>
      <c r="O10" s="66" t="s">
        <v>1278</v>
      </c>
      <c r="P10" s="66" t="s">
        <v>1216</v>
      </c>
      <c r="Q10" s="87" t="s">
        <v>1216</v>
      </c>
      <c r="R10" s="87" t="s">
        <v>1216</v>
      </c>
      <c r="S10" s="87" t="s">
        <v>1216</v>
      </c>
      <c r="T10" s="87" t="s">
        <v>1216</v>
      </c>
      <c r="U10" s="87" t="s">
        <v>1216</v>
      </c>
      <c r="V10" s="87" t="s">
        <v>1216</v>
      </c>
      <c r="W10" s="67"/>
      <c r="X10" s="85" t="str">
        <f t="shared" si="0"/>
        <v>Belum Dinilai</v>
      </c>
      <c r="Y10" s="85" t="str">
        <f t="shared" si="1"/>
        <v>Belum Dinilai</v>
      </c>
      <c r="Z10" s="86" t="str">
        <f t="shared" si="2"/>
        <v/>
      </c>
      <c r="AA10" s="86" t="str">
        <f t="shared" si="3"/>
        <v/>
      </c>
      <c r="AB10" s="86" t="str">
        <f t="shared" si="7"/>
        <v/>
      </c>
      <c r="AC10" s="68" t="s">
        <v>1216</v>
      </c>
      <c r="AD10" s="68" t="s">
        <v>1216</v>
      </c>
      <c r="AE10" s="68" t="s">
        <v>1216</v>
      </c>
      <c r="AF10" s="68" t="s">
        <v>1216</v>
      </c>
      <c r="AG10" s="68" t="s">
        <v>1216</v>
      </c>
      <c r="AH10" s="68" t="s">
        <v>1216</v>
      </c>
      <c r="AI10" s="68" t="s">
        <v>1216</v>
      </c>
      <c r="AJ10" s="68" t="s">
        <v>1216</v>
      </c>
      <c r="AK10" s="68" t="s">
        <v>1216</v>
      </c>
      <c r="AL10" s="68"/>
      <c r="AM10" s="68" t="s">
        <v>1216</v>
      </c>
      <c r="AN10" s="68" t="str">
        <f t="shared" si="4"/>
        <v>Belum Dinilai</v>
      </c>
      <c r="AO10" s="68" t="str">
        <f t="shared" si="9"/>
        <v>Belum Dinilai</v>
      </c>
      <c r="AP10" s="68"/>
      <c r="AQ10" s="71" t="str">
        <f t="shared" si="5"/>
        <v/>
      </c>
      <c r="AR10" s="71" t="str">
        <f t="shared" si="10"/>
        <v/>
      </c>
      <c r="AS10" s="71" t="str">
        <f t="shared" si="8"/>
        <v/>
      </c>
      <c r="AT10" s="69" t="str">
        <f t="shared" si="6"/>
        <v>Belum Dapat Ditentukan</v>
      </c>
      <c r="AU10" s="66" t="s">
        <v>1190</v>
      </c>
      <c r="AV10" s="66" t="s">
        <v>1205</v>
      </c>
      <c r="AW10" s="66" t="s">
        <v>1191</v>
      </c>
      <c r="AX10" s="66"/>
      <c r="AY10" s="66"/>
      <c r="AZ10" s="66" t="s">
        <v>927</v>
      </c>
      <c r="BA10" s="66"/>
      <c r="BB10" s="72"/>
      <c r="BC10" s="73">
        <v>2026</v>
      </c>
      <c r="BD10" s="66"/>
      <c r="BE10" s="72"/>
      <c r="BF10" s="66" t="s">
        <v>1279</v>
      </c>
      <c r="BK10" t="s">
        <v>1285</v>
      </c>
      <c r="BM10" t="s">
        <v>1301</v>
      </c>
      <c r="BO10" t="s">
        <v>1278</v>
      </c>
    </row>
    <row r="11" spans="1:77" ht="42">
      <c r="A11" s="66" t="s">
        <v>1316</v>
      </c>
      <c r="B11" s="66" t="s">
        <v>1317</v>
      </c>
      <c r="C11" s="66"/>
      <c r="D11" s="66"/>
      <c r="E11" s="66" t="s">
        <v>1318</v>
      </c>
      <c r="F11" s="66" t="s">
        <v>1319</v>
      </c>
      <c r="G11" s="66" t="s">
        <v>1290</v>
      </c>
      <c r="H11" s="66" t="s">
        <v>1182</v>
      </c>
      <c r="I11" s="66" t="s">
        <v>1277</v>
      </c>
      <c r="J11" s="66" t="s">
        <v>1197</v>
      </c>
      <c r="K11" s="66" t="s">
        <v>1212</v>
      </c>
      <c r="L11" s="66" t="s">
        <v>1216</v>
      </c>
      <c r="M11" s="66" t="s">
        <v>1267</v>
      </c>
      <c r="N11" s="66" t="s">
        <v>1216</v>
      </c>
      <c r="O11" s="66" t="s">
        <v>1278</v>
      </c>
      <c r="P11" s="66" t="s">
        <v>1216</v>
      </c>
      <c r="Q11" s="87" t="s">
        <v>1216</v>
      </c>
      <c r="R11" s="87" t="s">
        <v>1216</v>
      </c>
      <c r="S11" s="87" t="s">
        <v>1216</v>
      </c>
      <c r="T11" s="87" t="s">
        <v>1216</v>
      </c>
      <c r="U11" s="87" t="s">
        <v>1216</v>
      </c>
      <c r="V11" s="87" t="s">
        <v>1216</v>
      </c>
      <c r="W11" s="67"/>
      <c r="X11" s="85" t="str">
        <f t="shared" si="0"/>
        <v>Belum Dinilai</v>
      </c>
      <c r="Y11" s="85" t="str">
        <f t="shared" si="1"/>
        <v>Belum Dinilai</v>
      </c>
      <c r="Z11" s="86" t="str">
        <f t="shared" si="2"/>
        <v/>
      </c>
      <c r="AA11" s="86" t="str">
        <f t="shared" si="3"/>
        <v/>
      </c>
      <c r="AB11" s="86" t="str">
        <f t="shared" si="7"/>
        <v/>
      </c>
      <c r="AC11" s="68" t="s">
        <v>1216</v>
      </c>
      <c r="AD11" s="68" t="s">
        <v>1216</v>
      </c>
      <c r="AE11" s="68" t="s">
        <v>1216</v>
      </c>
      <c r="AF11" s="68" t="s">
        <v>1216</v>
      </c>
      <c r="AG11" s="68" t="s">
        <v>1216</v>
      </c>
      <c r="AH11" s="68" t="s">
        <v>1216</v>
      </c>
      <c r="AI11" s="68" t="s">
        <v>1216</v>
      </c>
      <c r="AJ11" s="68" t="s">
        <v>1216</v>
      </c>
      <c r="AK11" s="68" t="s">
        <v>1216</v>
      </c>
      <c r="AL11" s="68"/>
      <c r="AM11" s="68" t="s">
        <v>1216</v>
      </c>
      <c r="AN11" s="68" t="str">
        <f t="shared" si="4"/>
        <v>Belum Dinilai</v>
      </c>
      <c r="AO11" s="68" t="str">
        <f t="shared" si="9"/>
        <v>Belum Dinilai</v>
      </c>
      <c r="AP11" s="68"/>
      <c r="AQ11" s="71" t="str">
        <f t="shared" si="5"/>
        <v/>
      </c>
      <c r="AR11" s="71" t="str">
        <f t="shared" si="10"/>
        <v/>
      </c>
      <c r="AS11" s="71" t="str">
        <f t="shared" ref="AS11:AS73" si="11">IF(OR(AQ11="",AB11="",AR11=""),"",AQ11+AB11+AR11)</f>
        <v/>
      </c>
      <c r="AT11" s="69" t="str">
        <f t="shared" si="6"/>
        <v>Belum Dapat Ditentukan</v>
      </c>
      <c r="AU11" s="66" t="s">
        <v>1190</v>
      </c>
      <c r="AV11" s="66" t="s">
        <v>1205</v>
      </c>
      <c r="AW11" s="66" t="s">
        <v>1909</v>
      </c>
      <c r="AX11" s="66" t="s">
        <v>1207</v>
      </c>
      <c r="AY11" s="66">
        <v>2023</v>
      </c>
      <c r="AZ11" s="66" t="s">
        <v>927</v>
      </c>
      <c r="BA11" s="66"/>
      <c r="BB11" s="72"/>
      <c r="BC11" s="73">
        <v>2026</v>
      </c>
      <c r="BD11" s="66"/>
      <c r="BE11" s="72"/>
      <c r="BF11" s="66" t="s">
        <v>1279</v>
      </c>
      <c r="BK11" t="s">
        <v>1278</v>
      </c>
      <c r="BM11" t="s">
        <v>1285</v>
      </c>
    </row>
    <row r="12" spans="1:77" ht="28">
      <c r="A12" s="66" t="s">
        <v>1320</v>
      </c>
      <c r="B12" s="66" t="s">
        <v>1321</v>
      </c>
      <c r="C12" s="66"/>
      <c r="D12" s="66"/>
      <c r="E12" s="66" t="s">
        <v>1322</v>
      </c>
      <c r="F12" s="66" t="s">
        <v>1323</v>
      </c>
      <c r="G12" s="66" t="s">
        <v>1290</v>
      </c>
      <c r="H12" s="66" t="s">
        <v>1182</v>
      </c>
      <c r="I12" s="66" t="s">
        <v>1324</v>
      </c>
      <c r="J12" s="66" t="s">
        <v>1264</v>
      </c>
      <c r="K12" s="66" t="s">
        <v>1278</v>
      </c>
      <c r="L12" s="66" t="s">
        <v>1216</v>
      </c>
      <c r="M12" s="66" t="s">
        <v>1278</v>
      </c>
      <c r="N12" s="66" t="s">
        <v>1216</v>
      </c>
      <c r="O12" s="66" t="s">
        <v>1278</v>
      </c>
      <c r="P12" s="66" t="s">
        <v>1216</v>
      </c>
      <c r="Q12" s="87" t="s">
        <v>1216</v>
      </c>
      <c r="R12" s="87" t="s">
        <v>1216</v>
      </c>
      <c r="S12" s="87" t="s">
        <v>1216</v>
      </c>
      <c r="T12" s="87" t="s">
        <v>1216</v>
      </c>
      <c r="U12" s="87" t="s">
        <v>1216</v>
      </c>
      <c r="V12" s="87" t="s">
        <v>1216</v>
      </c>
      <c r="W12" s="67"/>
      <c r="X12" s="85" t="str">
        <f t="shared" si="0"/>
        <v>Belum Dinilai</v>
      </c>
      <c r="Y12" s="85" t="str">
        <f t="shared" si="1"/>
        <v>Belum Dinilai</v>
      </c>
      <c r="Z12" s="86" t="str">
        <f t="shared" si="2"/>
        <v/>
      </c>
      <c r="AA12" s="86" t="str">
        <f t="shared" si="3"/>
        <v/>
      </c>
      <c r="AB12" s="86" t="str">
        <f t="shared" si="7"/>
        <v/>
      </c>
      <c r="AC12" s="68" t="s">
        <v>1216</v>
      </c>
      <c r="AD12" s="68" t="s">
        <v>1216</v>
      </c>
      <c r="AE12" s="68" t="s">
        <v>1216</v>
      </c>
      <c r="AF12" s="68" t="s">
        <v>1216</v>
      </c>
      <c r="AG12" s="68" t="s">
        <v>1216</v>
      </c>
      <c r="AH12" s="68" t="s">
        <v>1216</v>
      </c>
      <c r="AI12" s="68" t="s">
        <v>1216</v>
      </c>
      <c r="AJ12" s="68" t="s">
        <v>1216</v>
      </c>
      <c r="AK12" s="68" t="s">
        <v>1216</v>
      </c>
      <c r="AL12" s="68"/>
      <c r="AM12" s="68" t="s">
        <v>1216</v>
      </c>
      <c r="AN12" s="68" t="str">
        <f t="shared" si="4"/>
        <v>Belum Dinilai</v>
      </c>
      <c r="AO12" s="68" t="str">
        <f t="shared" si="9"/>
        <v>Belum Dinilai</v>
      </c>
      <c r="AP12" s="68"/>
      <c r="AQ12" s="71" t="str">
        <f t="shared" si="5"/>
        <v/>
      </c>
      <c r="AR12" s="71" t="str">
        <f t="shared" si="10"/>
        <v/>
      </c>
      <c r="AS12" s="71" t="str">
        <f t="shared" si="11"/>
        <v/>
      </c>
      <c r="AT12" s="69" t="str">
        <f t="shared" si="6"/>
        <v>Belum Dapat Ditentukan</v>
      </c>
      <c r="AU12" s="66" t="s">
        <v>1190</v>
      </c>
      <c r="AV12" s="66" t="s">
        <v>1205</v>
      </c>
      <c r="AW12" s="66" t="s">
        <v>1191</v>
      </c>
      <c r="AX12" s="66"/>
      <c r="AY12" s="66"/>
      <c r="AZ12" s="66" t="s">
        <v>927</v>
      </c>
      <c r="BA12" s="66"/>
      <c r="BB12" s="72"/>
      <c r="BC12" s="73">
        <v>2026</v>
      </c>
      <c r="BD12" s="66"/>
      <c r="BE12" s="72"/>
      <c r="BF12" s="66" t="s">
        <v>1279</v>
      </c>
      <c r="BM12" t="s">
        <v>1278</v>
      </c>
    </row>
    <row r="13" spans="1:77" ht="28">
      <c r="A13" s="66" t="s">
        <v>1325</v>
      </c>
      <c r="B13" s="66" t="s">
        <v>1326</v>
      </c>
      <c r="C13" s="66"/>
      <c r="D13" s="66"/>
      <c r="E13" s="66" t="s">
        <v>1327</v>
      </c>
      <c r="F13" s="66" t="s">
        <v>1328</v>
      </c>
      <c r="G13" s="66" t="s">
        <v>1329</v>
      </c>
      <c r="H13" s="66" t="s">
        <v>1182</v>
      </c>
      <c r="I13" s="66" t="s">
        <v>1330</v>
      </c>
      <c r="J13" s="66" t="s">
        <v>1264</v>
      </c>
      <c r="K13" s="66" t="s">
        <v>1278</v>
      </c>
      <c r="L13" s="66" t="s">
        <v>895</v>
      </c>
      <c r="M13" s="66" t="s">
        <v>1278</v>
      </c>
      <c r="N13" s="66" t="s">
        <v>895</v>
      </c>
      <c r="O13" s="66" t="s">
        <v>1278</v>
      </c>
      <c r="P13" s="66" t="s">
        <v>1216</v>
      </c>
      <c r="Q13" s="87" t="s">
        <v>1216</v>
      </c>
      <c r="R13" s="87" t="s">
        <v>1216</v>
      </c>
      <c r="S13" s="87" t="s">
        <v>1216</v>
      </c>
      <c r="T13" s="87" t="s">
        <v>1216</v>
      </c>
      <c r="U13" s="87" t="s">
        <v>1216</v>
      </c>
      <c r="V13" s="87" t="s">
        <v>1216</v>
      </c>
      <c r="W13" s="67"/>
      <c r="X13" s="85" t="str">
        <f t="shared" si="0"/>
        <v>Belum Dinilai</v>
      </c>
      <c r="Y13" s="85" t="str">
        <f t="shared" si="1"/>
        <v>Belum Dinilai</v>
      </c>
      <c r="Z13" s="86" t="str">
        <f t="shared" si="2"/>
        <v/>
      </c>
      <c r="AA13" s="86" t="str">
        <f t="shared" si="3"/>
        <v/>
      </c>
      <c r="AB13" s="86" t="str">
        <f t="shared" si="7"/>
        <v/>
      </c>
      <c r="AC13" s="68" t="s">
        <v>1216</v>
      </c>
      <c r="AD13" s="68" t="s">
        <v>1216</v>
      </c>
      <c r="AE13" s="68" t="s">
        <v>1216</v>
      </c>
      <c r="AF13" s="68" t="s">
        <v>1216</v>
      </c>
      <c r="AG13" s="68" t="s">
        <v>1216</v>
      </c>
      <c r="AH13" s="68" t="s">
        <v>1216</v>
      </c>
      <c r="AI13" s="68" t="s">
        <v>1216</v>
      </c>
      <c r="AJ13" s="68" t="s">
        <v>1216</v>
      </c>
      <c r="AK13" s="68" t="s">
        <v>1216</v>
      </c>
      <c r="AL13" s="68"/>
      <c r="AM13" s="68" t="s">
        <v>1216</v>
      </c>
      <c r="AN13" s="68" t="str">
        <f t="shared" si="4"/>
        <v>Belum Dinilai</v>
      </c>
      <c r="AO13" s="68" t="str">
        <f t="shared" si="9"/>
        <v>Belum Dinilai</v>
      </c>
      <c r="AP13" s="68"/>
      <c r="AQ13" s="71" t="str">
        <f t="shared" si="5"/>
        <v/>
      </c>
      <c r="AR13" s="71" t="str">
        <f t="shared" si="10"/>
        <v/>
      </c>
      <c r="AS13" s="71" t="str">
        <f t="shared" si="11"/>
        <v/>
      </c>
      <c r="AT13" s="69" t="str">
        <f t="shared" si="6"/>
        <v>Belum Dapat Ditentukan</v>
      </c>
      <c r="AU13" s="66" t="s">
        <v>1190</v>
      </c>
      <c r="AV13" s="66" t="s">
        <v>1205</v>
      </c>
      <c r="AW13" s="66" t="s">
        <v>1191</v>
      </c>
      <c r="AX13" s="66"/>
      <c r="AY13" s="66"/>
      <c r="AZ13" s="66" t="s">
        <v>927</v>
      </c>
      <c r="BA13" s="66"/>
      <c r="BB13" s="72"/>
      <c r="BC13" s="73">
        <v>2026</v>
      </c>
      <c r="BD13" s="66"/>
      <c r="BE13" s="72"/>
      <c r="BF13" s="66" t="s">
        <v>1279</v>
      </c>
    </row>
    <row r="14" spans="1:77" ht="28">
      <c r="A14" s="66" t="s">
        <v>1331</v>
      </c>
      <c r="B14" s="66" t="s">
        <v>1332</v>
      </c>
      <c r="C14" s="66"/>
      <c r="D14" s="66"/>
      <c r="E14" s="66" t="s">
        <v>1333</v>
      </c>
      <c r="F14" s="66" t="s">
        <v>1334</v>
      </c>
      <c r="G14" s="66" t="s">
        <v>1335</v>
      </c>
      <c r="H14" s="66" t="s">
        <v>1182</v>
      </c>
      <c r="I14" s="66" t="s">
        <v>1336</v>
      </c>
      <c r="J14" s="66" t="s">
        <v>1264</v>
      </c>
      <c r="K14" s="66" t="s">
        <v>1278</v>
      </c>
      <c r="L14" s="66" t="s">
        <v>1216</v>
      </c>
      <c r="M14" s="66" t="s">
        <v>1278</v>
      </c>
      <c r="N14" s="66" t="s">
        <v>1216</v>
      </c>
      <c r="O14" s="66" t="s">
        <v>1278</v>
      </c>
      <c r="P14" s="66" t="s">
        <v>1216</v>
      </c>
      <c r="Q14" s="87" t="s">
        <v>1216</v>
      </c>
      <c r="R14" s="87" t="s">
        <v>1216</v>
      </c>
      <c r="S14" s="87" t="s">
        <v>1216</v>
      </c>
      <c r="T14" s="87" t="s">
        <v>1216</v>
      </c>
      <c r="U14" s="87" t="s">
        <v>1216</v>
      </c>
      <c r="V14" s="87" t="s">
        <v>1216</v>
      </c>
      <c r="W14" s="67"/>
      <c r="X14" s="85" t="str">
        <f t="shared" si="0"/>
        <v>Belum Dinilai</v>
      </c>
      <c r="Y14" s="85" t="str">
        <f t="shared" si="1"/>
        <v>Belum Dinilai</v>
      </c>
      <c r="Z14" s="86" t="str">
        <f t="shared" si="2"/>
        <v/>
      </c>
      <c r="AA14" s="86" t="str">
        <f t="shared" si="3"/>
        <v/>
      </c>
      <c r="AB14" s="86" t="str">
        <f t="shared" si="7"/>
        <v/>
      </c>
      <c r="AC14" s="68" t="s">
        <v>1216</v>
      </c>
      <c r="AD14" s="68" t="s">
        <v>1216</v>
      </c>
      <c r="AE14" s="68" t="s">
        <v>1216</v>
      </c>
      <c r="AF14" s="68" t="s">
        <v>1216</v>
      </c>
      <c r="AG14" s="68" t="s">
        <v>1216</v>
      </c>
      <c r="AH14" s="68" t="s">
        <v>1216</v>
      </c>
      <c r="AI14" s="68" t="s">
        <v>1216</v>
      </c>
      <c r="AJ14" s="68" t="s">
        <v>1216</v>
      </c>
      <c r="AK14" s="68" t="s">
        <v>1216</v>
      </c>
      <c r="AL14" s="68"/>
      <c r="AM14" s="68" t="s">
        <v>1216</v>
      </c>
      <c r="AN14" s="68" t="str">
        <f t="shared" si="4"/>
        <v>Belum Dinilai</v>
      </c>
      <c r="AO14" s="68" t="str">
        <f t="shared" si="9"/>
        <v>Belum Dinilai</v>
      </c>
      <c r="AP14" s="68"/>
      <c r="AQ14" s="71" t="str">
        <f t="shared" si="5"/>
        <v/>
      </c>
      <c r="AR14" s="71" t="str">
        <f t="shared" si="10"/>
        <v/>
      </c>
      <c r="AS14" s="71" t="str">
        <f t="shared" si="11"/>
        <v/>
      </c>
      <c r="AT14" s="69" t="str">
        <f t="shared" si="6"/>
        <v>Belum Dapat Ditentukan</v>
      </c>
      <c r="AU14" s="66" t="s">
        <v>1190</v>
      </c>
      <c r="AV14" s="66" t="s">
        <v>1205</v>
      </c>
      <c r="AW14" s="66" t="s">
        <v>1191</v>
      </c>
      <c r="AX14" s="66"/>
      <c r="AY14" s="66"/>
      <c r="AZ14" s="66" t="s">
        <v>927</v>
      </c>
      <c r="BA14" s="66"/>
      <c r="BB14" s="72"/>
      <c r="BC14" s="73">
        <v>2026</v>
      </c>
      <c r="BD14" s="66"/>
      <c r="BE14" s="72"/>
      <c r="BF14" s="66" t="s">
        <v>1279</v>
      </c>
    </row>
    <row r="15" spans="1:77" ht="28">
      <c r="A15" s="66" t="s">
        <v>1337</v>
      </c>
      <c r="B15" s="66" t="s">
        <v>1338</v>
      </c>
      <c r="C15" s="66"/>
      <c r="D15" s="66"/>
      <c r="E15" s="66" t="s">
        <v>1339</v>
      </c>
      <c r="F15" s="66" t="s">
        <v>1340</v>
      </c>
      <c r="G15" s="66" t="s">
        <v>1335</v>
      </c>
      <c r="H15" s="66" t="s">
        <v>1182</v>
      </c>
      <c r="I15" s="66" t="s">
        <v>1341</v>
      </c>
      <c r="J15" s="66" t="s">
        <v>1264</v>
      </c>
      <c r="K15" s="66" t="s">
        <v>1278</v>
      </c>
      <c r="L15" s="66" t="s">
        <v>895</v>
      </c>
      <c r="M15" s="66" t="s">
        <v>1278</v>
      </c>
      <c r="N15" s="66" t="s">
        <v>1216</v>
      </c>
      <c r="O15" s="66" t="s">
        <v>1278</v>
      </c>
      <c r="P15" s="66" t="s">
        <v>1216</v>
      </c>
      <c r="Q15" s="87" t="s">
        <v>1216</v>
      </c>
      <c r="R15" s="87" t="s">
        <v>1216</v>
      </c>
      <c r="S15" s="87" t="s">
        <v>1216</v>
      </c>
      <c r="T15" s="87" t="s">
        <v>1216</v>
      </c>
      <c r="U15" s="87" t="s">
        <v>1216</v>
      </c>
      <c r="V15" s="87" t="s">
        <v>1216</v>
      </c>
      <c r="W15" s="67"/>
      <c r="X15" s="85" t="str">
        <f t="shared" si="0"/>
        <v>Belum Dinilai</v>
      </c>
      <c r="Y15" s="85" t="str">
        <f t="shared" si="1"/>
        <v>Belum Dinilai</v>
      </c>
      <c r="Z15" s="86" t="str">
        <f t="shared" si="2"/>
        <v/>
      </c>
      <c r="AA15" s="86" t="str">
        <f t="shared" si="3"/>
        <v/>
      </c>
      <c r="AB15" s="86" t="str">
        <f t="shared" si="7"/>
        <v/>
      </c>
      <c r="AC15" s="68" t="s">
        <v>1216</v>
      </c>
      <c r="AD15" s="68" t="s">
        <v>1216</v>
      </c>
      <c r="AE15" s="68" t="s">
        <v>1216</v>
      </c>
      <c r="AF15" s="68" t="s">
        <v>1216</v>
      </c>
      <c r="AG15" s="68" t="s">
        <v>1216</v>
      </c>
      <c r="AH15" s="68" t="s">
        <v>1216</v>
      </c>
      <c r="AI15" s="68" t="s">
        <v>1216</v>
      </c>
      <c r="AJ15" s="68" t="s">
        <v>1216</v>
      </c>
      <c r="AK15" s="68" t="s">
        <v>1216</v>
      </c>
      <c r="AL15" s="68"/>
      <c r="AM15" s="68" t="s">
        <v>1216</v>
      </c>
      <c r="AN15" s="68" t="str">
        <f t="shared" si="4"/>
        <v>Belum Dinilai</v>
      </c>
      <c r="AO15" s="68" t="str">
        <f t="shared" si="9"/>
        <v>Belum Dinilai</v>
      </c>
      <c r="AP15" s="68"/>
      <c r="AQ15" s="71" t="str">
        <f t="shared" si="5"/>
        <v/>
      </c>
      <c r="AR15" s="71" t="str">
        <f t="shared" si="10"/>
        <v/>
      </c>
      <c r="AS15" s="71" t="str">
        <f t="shared" si="11"/>
        <v/>
      </c>
      <c r="AT15" s="69" t="str">
        <f t="shared" si="6"/>
        <v>Belum Dapat Ditentukan</v>
      </c>
      <c r="AU15" s="66" t="s">
        <v>1190</v>
      </c>
      <c r="AV15" s="66" t="s">
        <v>1205</v>
      </c>
      <c r="AW15" s="66" t="s">
        <v>1191</v>
      </c>
      <c r="AX15" s="66"/>
      <c r="AY15" s="66"/>
      <c r="AZ15" s="66" t="s">
        <v>927</v>
      </c>
      <c r="BA15" s="66"/>
      <c r="BB15" s="72"/>
      <c r="BC15" s="73">
        <v>2026</v>
      </c>
      <c r="BD15" s="66"/>
      <c r="BE15" s="72"/>
      <c r="BF15" s="66" t="s">
        <v>1279</v>
      </c>
    </row>
    <row r="16" spans="1:77" ht="28">
      <c r="A16" s="66" t="s">
        <v>1342</v>
      </c>
      <c r="B16" s="66" t="s">
        <v>1343</v>
      </c>
      <c r="C16" s="66"/>
      <c r="D16" s="66"/>
      <c r="E16" s="66" t="s">
        <v>1344</v>
      </c>
      <c r="F16" s="66" t="s">
        <v>1345</v>
      </c>
      <c r="G16" s="66" t="s">
        <v>1335</v>
      </c>
      <c r="H16" s="66" t="s">
        <v>1182</v>
      </c>
      <c r="I16" s="66" t="s">
        <v>1346</v>
      </c>
      <c r="J16" s="66" t="s">
        <v>1264</v>
      </c>
      <c r="K16" s="66" t="s">
        <v>1278</v>
      </c>
      <c r="L16" s="66" t="s">
        <v>1216</v>
      </c>
      <c r="M16" s="66" t="s">
        <v>1278</v>
      </c>
      <c r="N16" s="66" t="s">
        <v>1216</v>
      </c>
      <c r="O16" s="66" t="s">
        <v>1278</v>
      </c>
      <c r="P16" s="66" t="s">
        <v>1216</v>
      </c>
      <c r="Q16" s="87" t="s">
        <v>1216</v>
      </c>
      <c r="R16" s="87" t="s">
        <v>1216</v>
      </c>
      <c r="S16" s="87" t="s">
        <v>1216</v>
      </c>
      <c r="T16" s="87" t="s">
        <v>1216</v>
      </c>
      <c r="U16" s="87" t="s">
        <v>1216</v>
      </c>
      <c r="V16" s="87" t="s">
        <v>1216</v>
      </c>
      <c r="W16" s="67"/>
      <c r="X16" s="85" t="str">
        <f t="shared" si="0"/>
        <v>Belum Dinilai</v>
      </c>
      <c r="Y16" s="85" t="str">
        <f t="shared" si="1"/>
        <v>Belum Dinilai</v>
      </c>
      <c r="Z16" s="86" t="str">
        <f t="shared" si="2"/>
        <v/>
      </c>
      <c r="AA16" s="86" t="str">
        <f t="shared" si="3"/>
        <v/>
      </c>
      <c r="AB16" s="86" t="str">
        <f t="shared" si="7"/>
        <v/>
      </c>
      <c r="AC16" s="68" t="s">
        <v>1216</v>
      </c>
      <c r="AD16" s="68" t="s">
        <v>1216</v>
      </c>
      <c r="AE16" s="68" t="s">
        <v>1216</v>
      </c>
      <c r="AF16" s="68" t="s">
        <v>1216</v>
      </c>
      <c r="AG16" s="68" t="s">
        <v>1216</v>
      </c>
      <c r="AH16" s="68" t="s">
        <v>1216</v>
      </c>
      <c r="AI16" s="68" t="s">
        <v>1216</v>
      </c>
      <c r="AJ16" s="68" t="s">
        <v>1216</v>
      </c>
      <c r="AK16" s="68" t="s">
        <v>1216</v>
      </c>
      <c r="AL16" s="68"/>
      <c r="AM16" s="68" t="s">
        <v>1216</v>
      </c>
      <c r="AN16" s="68" t="str">
        <f t="shared" si="4"/>
        <v>Belum Dinilai</v>
      </c>
      <c r="AO16" s="68" t="str">
        <f t="shared" si="9"/>
        <v>Belum Dinilai</v>
      </c>
      <c r="AP16" s="68"/>
      <c r="AQ16" s="71" t="str">
        <f t="shared" si="5"/>
        <v/>
      </c>
      <c r="AR16" s="71" t="str">
        <f t="shared" si="10"/>
        <v/>
      </c>
      <c r="AS16" s="71" t="str">
        <f t="shared" si="11"/>
        <v/>
      </c>
      <c r="AT16" s="69" t="str">
        <f t="shared" si="6"/>
        <v>Belum Dapat Ditentukan</v>
      </c>
      <c r="AU16" s="66" t="s">
        <v>1190</v>
      </c>
      <c r="AV16" s="66" t="s">
        <v>1205</v>
      </c>
      <c r="AW16" s="66" t="s">
        <v>1191</v>
      </c>
      <c r="AX16" s="66"/>
      <c r="AY16" s="66"/>
      <c r="AZ16" s="66" t="s">
        <v>927</v>
      </c>
      <c r="BA16" s="66"/>
      <c r="BB16" s="72"/>
      <c r="BC16" s="73">
        <v>2026</v>
      </c>
      <c r="BD16" s="66"/>
      <c r="BE16" s="72"/>
      <c r="BF16" s="66" t="s">
        <v>1279</v>
      </c>
    </row>
    <row r="17" spans="1:58" ht="28">
      <c r="A17" s="66" t="s">
        <v>1347</v>
      </c>
      <c r="B17" s="66" t="s">
        <v>1348</v>
      </c>
      <c r="C17" s="66"/>
      <c r="D17" s="66"/>
      <c r="E17" s="66" t="s">
        <v>1349</v>
      </c>
      <c r="F17" s="66" t="s">
        <v>1308</v>
      </c>
      <c r="G17" s="66" t="s">
        <v>1329</v>
      </c>
      <c r="H17" s="66" t="s">
        <v>1182</v>
      </c>
      <c r="I17" s="66" t="s">
        <v>1350</v>
      </c>
      <c r="J17" s="66" t="s">
        <v>1264</v>
      </c>
      <c r="K17" s="66" t="s">
        <v>1278</v>
      </c>
      <c r="L17" s="66" t="s">
        <v>895</v>
      </c>
      <c r="M17" s="66" t="s">
        <v>1278</v>
      </c>
      <c r="N17" s="66" t="s">
        <v>895</v>
      </c>
      <c r="O17" s="66" t="s">
        <v>1278</v>
      </c>
      <c r="P17" s="66" t="s">
        <v>1216</v>
      </c>
      <c r="Q17" s="87" t="s">
        <v>1216</v>
      </c>
      <c r="R17" s="87" t="s">
        <v>1216</v>
      </c>
      <c r="S17" s="87" t="s">
        <v>1216</v>
      </c>
      <c r="T17" s="87" t="s">
        <v>1216</v>
      </c>
      <c r="U17" s="87" t="s">
        <v>1216</v>
      </c>
      <c r="V17" s="87" t="s">
        <v>1216</v>
      </c>
      <c r="W17" s="67"/>
      <c r="X17" s="85" t="str">
        <f t="shared" si="0"/>
        <v>Belum Dinilai</v>
      </c>
      <c r="Y17" s="85" t="str">
        <f t="shared" si="1"/>
        <v>Belum Dinilai</v>
      </c>
      <c r="Z17" s="86" t="str">
        <f t="shared" si="2"/>
        <v/>
      </c>
      <c r="AA17" s="86" t="str">
        <f t="shared" si="3"/>
        <v/>
      </c>
      <c r="AB17" s="86" t="str">
        <f t="shared" si="7"/>
        <v/>
      </c>
      <c r="AC17" s="68" t="s">
        <v>1216</v>
      </c>
      <c r="AD17" s="68" t="s">
        <v>1216</v>
      </c>
      <c r="AE17" s="68" t="s">
        <v>1216</v>
      </c>
      <c r="AF17" s="68" t="s">
        <v>1216</v>
      </c>
      <c r="AG17" s="68" t="s">
        <v>1216</v>
      </c>
      <c r="AH17" s="68" t="s">
        <v>1216</v>
      </c>
      <c r="AI17" s="68" t="s">
        <v>1216</v>
      </c>
      <c r="AJ17" s="68" t="s">
        <v>1216</v>
      </c>
      <c r="AK17" s="68" t="s">
        <v>1216</v>
      </c>
      <c r="AL17" s="68"/>
      <c r="AM17" s="68" t="s">
        <v>1216</v>
      </c>
      <c r="AN17" s="68" t="str">
        <f t="shared" si="4"/>
        <v>Belum Dinilai</v>
      </c>
      <c r="AO17" s="68" t="str">
        <f t="shared" si="9"/>
        <v>Belum Dinilai</v>
      </c>
      <c r="AP17" s="68"/>
      <c r="AQ17" s="71" t="str">
        <f t="shared" si="5"/>
        <v/>
      </c>
      <c r="AR17" s="71" t="str">
        <f t="shared" si="10"/>
        <v/>
      </c>
      <c r="AS17" s="71" t="str">
        <f t="shared" si="11"/>
        <v/>
      </c>
      <c r="AT17" s="69" t="str">
        <f t="shared" si="6"/>
        <v>Belum Dapat Ditentukan</v>
      </c>
      <c r="AU17" s="66" t="s">
        <v>1204</v>
      </c>
      <c r="AV17" s="66" t="s">
        <v>1205</v>
      </c>
      <c r="AW17" s="66" t="s">
        <v>1191</v>
      </c>
      <c r="AX17" s="66"/>
      <c r="AY17" s="66"/>
      <c r="AZ17" s="66" t="s">
        <v>927</v>
      </c>
      <c r="BA17" s="66"/>
      <c r="BB17" s="72"/>
      <c r="BC17" s="73">
        <v>2026</v>
      </c>
      <c r="BD17" s="66"/>
      <c r="BE17" s="72"/>
      <c r="BF17" s="66" t="s">
        <v>1279</v>
      </c>
    </row>
    <row r="18" spans="1:58" ht="28">
      <c r="A18" s="66" t="s">
        <v>1351</v>
      </c>
      <c r="B18" s="66" t="s">
        <v>1352</v>
      </c>
      <c r="C18" s="66"/>
      <c r="D18" s="66"/>
      <c r="E18" s="66" t="s">
        <v>1353</v>
      </c>
      <c r="F18" s="66" t="s">
        <v>1354</v>
      </c>
      <c r="G18" s="66" t="s">
        <v>1355</v>
      </c>
      <c r="H18" s="66" t="s">
        <v>1196</v>
      </c>
      <c r="I18" s="66" t="s">
        <v>1356</v>
      </c>
      <c r="J18" s="66" t="s">
        <v>1264</v>
      </c>
      <c r="K18" s="66" t="s">
        <v>1278</v>
      </c>
      <c r="L18" s="66" t="s">
        <v>895</v>
      </c>
      <c r="M18" s="66" t="s">
        <v>1278</v>
      </c>
      <c r="N18" s="66" t="s">
        <v>1216</v>
      </c>
      <c r="O18" s="66" t="s">
        <v>1278</v>
      </c>
      <c r="P18" s="66" t="s">
        <v>1216</v>
      </c>
      <c r="Q18" s="87" t="s">
        <v>1216</v>
      </c>
      <c r="R18" s="87" t="s">
        <v>1216</v>
      </c>
      <c r="S18" s="87" t="s">
        <v>1216</v>
      </c>
      <c r="T18" s="87" t="s">
        <v>1216</v>
      </c>
      <c r="U18" s="87" t="s">
        <v>1216</v>
      </c>
      <c r="V18" s="87" t="s">
        <v>1216</v>
      </c>
      <c r="W18" s="67"/>
      <c r="X18" s="85" t="str">
        <f t="shared" si="0"/>
        <v>Belum Dinilai</v>
      </c>
      <c r="Y18" s="85" t="str">
        <f t="shared" si="1"/>
        <v>Belum Dinilai</v>
      </c>
      <c r="Z18" s="86" t="str">
        <f t="shared" si="2"/>
        <v/>
      </c>
      <c r="AA18" s="86" t="str">
        <f t="shared" si="3"/>
        <v/>
      </c>
      <c r="AB18" s="86" t="str">
        <f t="shared" si="7"/>
        <v/>
      </c>
      <c r="AC18" s="68" t="s">
        <v>1216</v>
      </c>
      <c r="AD18" s="68" t="s">
        <v>1216</v>
      </c>
      <c r="AE18" s="68" t="s">
        <v>1216</v>
      </c>
      <c r="AF18" s="68" t="s">
        <v>1216</v>
      </c>
      <c r="AG18" s="68" t="s">
        <v>1216</v>
      </c>
      <c r="AH18" s="68" t="s">
        <v>1216</v>
      </c>
      <c r="AI18" s="68" t="s">
        <v>1216</v>
      </c>
      <c r="AJ18" s="68" t="s">
        <v>1216</v>
      </c>
      <c r="AK18" s="68" t="s">
        <v>1216</v>
      </c>
      <c r="AL18" s="68"/>
      <c r="AM18" s="68" t="s">
        <v>1216</v>
      </c>
      <c r="AN18" s="68" t="str">
        <f t="shared" si="4"/>
        <v>Belum Dinilai</v>
      </c>
      <c r="AO18" s="68" t="str">
        <f t="shared" si="9"/>
        <v>Belum Dinilai</v>
      </c>
      <c r="AP18" s="68"/>
      <c r="AQ18" s="71" t="str">
        <f t="shared" si="5"/>
        <v/>
      </c>
      <c r="AR18" s="71" t="str">
        <f t="shared" si="10"/>
        <v/>
      </c>
      <c r="AS18" s="71" t="str">
        <f t="shared" si="11"/>
        <v/>
      </c>
      <c r="AT18" s="69" t="str">
        <f t="shared" si="6"/>
        <v>Belum Dapat Ditentukan</v>
      </c>
      <c r="AU18" s="66" t="s">
        <v>1190</v>
      </c>
      <c r="AV18" s="66" t="s">
        <v>1205</v>
      </c>
      <c r="AW18" s="66" t="s">
        <v>1191</v>
      </c>
      <c r="AX18" s="66"/>
      <c r="AY18" s="66"/>
      <c r="AZ18" s="66" t="s">
        <v>927</v>
      </c>
      <c r="BA18" s="66"/>
      <c r="BB18" s="72"/>
      <c r="BC18" s="73">
        <v>2026</v>
      </c>
      <c r="BD18" s="66"/>
      <c r="BE18" s="72"/>
      <c r="BF18" s="66" t="s">
        <v>1279</v>
      </c>
    </row>
    <row r="19" spans="1:58" ht="28">
      <c r="A19" s="66" t="s">
        <v>1944</v>
      </c>
      <c r="B19" s="66" t="s">
        <v>1358</v>
      </c>
      <c r="C19" s="66"/>
      <c r="D19" s="66"/>
      <c r="E19" s="66" t="s">
        <v>1359</v>
      </c>
      <c r="F19" s="66" t="s">
        <v>1360</v>
      </c>
      <c r="G19" s="66" t="s">
        <v>1290</v>
      </c>
      <c r="H19" s="66" t="s">
        <v>1182</v>
      </c>
      <c r="I19" s="66" t="s">
        <v>1291</v>
      </c>
      <c r="J19" s="66" t="s">
        <v>1211</v>
      </c>
      <c r="K19" s="66" t="s">
        <v>1278</v>
      </c>
      <c r="L19" s="66" t="s">
        <v>1216</v>
      </c>
      <c r="M19" s="66" t="s">
        <v>1267</v>
      </c>
      <c r="N19" s="66" t="s">
        <v>1216</v>
      </c>
      <c r="O19" s="66" t="s">
        <v>1278</v>
      </c>
      <c r="P19" s="66" t="s">
        <v>1216</v>
      </c>
      <c r="Q19" s="87" t="s">
        <v>1216</v>
      </c>
      <c r="R19" s="87" t="s">
        <v>1216</v>
      </c>
      <c r="S19" s="87" t="s">
        <v>1216</v>
      </c>
      <c r="T19" s="87" t="s">
        <v>1216</v>
      </c>
      <c r="U19" s="87" t="s">
        <v>1216</v>
      </c>
      <c r="V19" s="87" t="s">
        <v>1216</v>
      </c>
      <c r="W19" s="67"/>
      <c r="X19" s="85" t="str">
        <f t="shared" si="0"/>
        <v>Belum Dinilai</v>
      </c>
      <c r="Y19" s="85" t="str">
        <f t="shared" si="1"/>
        <v>Belum Dinilai</v>
      </c>
      <c r="Z19" s="86" t="str">
        <f t="shared" si="2"/>
        <v/>
      </c>
      <c r="AA19" s="86" t="str">
        <f t="shared" si="3"/>
        <v/>
      </c>
      <c r="AB19" s="86" t="str">
        <f t="shared" si="7"/>
        <v/>
      </c>
      <c r="AC19" s="68" t="s">
        <v>1216</v>
      </c>
      <c r="AD19" s="68" t="s">
        <v>1216</v>
      </c>
      <c r="AE19" s="68" t="s">
        <v>1216</v>
      </c>
      <c r="AF19" s="68" t="s">
        <v>1216</v>
      </c>
      <c r="AG19" s="68" t="s">
        <v>1216</v>
      </c>
      <c r="AH19" s="68" t="s">
        <v>1216</v>
      </c>
      <c r="AI19" s="68" t="s">
        <v>1216</v>
      </c>
      <c r="AJ19" s="68" t="s">
        <v>1216</v>
      </c>
      <c r="AK19" s="68" t="s">
        <v>1216</v>
      </c>
      <c r="AL19" s="68"/>
      <c r="AM19" s="68" t="s">
        <v>1216</v>
      </c>
      <c r="AN19" s="68" t="str">
        <f t="shared" si="4"/>
        <v>Belum Dinilai</v>
      </c>
      <c r="AO19" s="68" t="str">
        <f t="shared" si="9"/>
        <v>Belum Dinilai</v>
      </c>
      <c r="AP19" s="68"/>
      <c r="AQ19" s="71" t="str">
        <f t="shared" si="5"/>
        <v/>
      </c>
      <c r="AR19" s="71" t="str">
        <f t="shared" si="10"/>
        <v/>
      </c>
      <c r="AS19" s="71" t="str">
        <f t="shared" si="11"/>
        <v/>
      </c>
      <c r="AT19" s="69" t="str">
        <f t="shared" si="6"/>
        <v>Belum Dapat Ditentukan</v>
      </c>
      <c r="AU19" s="66" t="s">
        <v>1190</v>
      </c>
      <c r="AV19" s="66" t="s">
        <v>1205</v>
      </c>
      <c r="AW19" s="66" t="s">
        <v>1191</v>
      </c>
      <c r="AX19" s="66"/>
      <c r="AY19" s="66"/>
      <c r="AZ19" s="66" t="s">
        <v>927</v>
      </c>
      <c r="BA19" s="66"/>
      <c r="BB19" s="72"/>
      <c r="BC19" s="73">
        <v>2026</v>
      </c>
      <c r="BD19" s="66"/>
      <c r="BE19" s="72"/>
      <c r="BF19" s="66" t="s">
        <v>1279</v>
      </c>
    </row>
    <row r="20" spans="1:58" ht="28">
      <c r="A20" s="66" t="s">
        <v>1945</v>
      </c>
      <c r="B20" s="66" t="s">
        <v>1362</v>
      </c>
      <c r="C20" s="66"/>
      <c r="D20" s="66"/>
      <c r="E20" s="66" t="s">
        <v>1363</v>
      </c>
      <c r="F20" s="66" t="s">
        <v>1364</v>
      </c>
      <c r="G20" s="66" t="s">
        <v>1365</v>
      </c>
      <c r="H20" s="66" t="s">
        <v>1182</v>
      </c>
      <c r="I20" s="66" t="s">
        <v>1366</v>
      </c>
      <c r="J20" s="66" t="s">
        <v>1211</v>
      </c>
      <c r="K20" s="66" t="s">
        <v>1212</v>
      </c>
      <c r="L20" s="66" t="s">
        <v>1216</v>
      </c>
      <c r="M20" s="66" t="s">
        <v>1267</v>
      </c>
      <c r="N20" s="66" t="s">
        <v>1216</v>
      </c>
      <c r="O20" s="66" t="s">
        <v>1214</v>
      </c>
      <c r="P20" s="66" t="s">
        <v>1216</v>
      </c>
      <c r="Q20" s="87" t="s">
        <v>1216</v>
      </c>
      <c r="R20" s="87" t="s">
        <v>1216</v>
      </c>
      <c r="S20" s="87" t="s">
        <v>1216</v>
      </c>
      <c r="T20" s="87" t="s">
        <v>1216</v>
      </c>
      <c r="U20" s="87" t="s">
        <v>1216</v>
      </c>
      <c r="V20" s="87" t="s">
        <v>1216</v>
      </c>
      <c r="W20" s="67"/>
      <c r="X20" s="85" t="str">
        <f t="shared" si="0"/>
        <v>Belum Dinilai</v>
      </c>
      <c r="Y20" s="85" t="str">
        <f t="shared" si="1"/>
        <v>Belum Dinilai</v>
      </c>
      <c r="Z20" s="86" t="str">
        <f t="shared" si="2"/>
        <v/>
      </c>
      <c r="AA20" s="86" t="str">
        <f t="shared" si="3"/>
        <v/>
      </c>
      <c r="AB20" s="86" t="str">
        <f t="shared" si="7"/>
        <v/>
      </c>
      <c r="AC20" s="68" t="s">
        <v>1216</v>
      </c>
      <c r="AD20" s="68" t="s">
        <v>1216</v>
      </c>
      <c r="AE20" s="68" t="s">
        <v>1216</v>
      </c>
      <c r="AF20" s="68" t="s">
        <v>1216</v>
      </c>
      <c r="AG20" s="68" t="s">
        <v>1216</v>
      </c>
      <c r="AH20" s="68" t="s">
        <v>1216</v>
      </c>
      <c r="AI20" s="68" t="s">
        <v>1216</v>
      </c>
      <c r="AJ20" s="68" t="s">
        <v>1216</v>
      </c>
      <c r="AK20" s="68" t="s">
        <v>1216</v>
      </c>
      <c r="AL20" s="68"/>
      <c r="AM20" s="68" t="s">
        <v>1216</v>
      </c>
      <c r="AN20" s="68" t="str">
        <f t="shared" si="4"/>
        <v>Belum Dinilai</v>
      </c>
      <c r="AO20" s="68" t="str">
        <f t="shared" si="9"/>
        <v>Belum Dinilai</v>
      </c>
      <c r="AP20" s="68"/>
      <c r="AQ20" s="71" t="str">
        <f t="shared" si="5"/>
        <v/>
      </c>
      <c r="AR20" s="71" t="str">
        <f t="shared" si="10"/>
        <v/>
      </c>
      <c r="AS20" s="71" t="str">
        <f t="shared" si="11"/>
        <v/>
      </c>
      <c r="AT20" s="69" t="str">
        <f t="shared" si="6"/>
        <v>Belum Dapat Ditentukan</v>
      </c>
      <c r="AU20" s="66" t="s">
        <v>1204</v>
      </c>
      <c r="AV20" s="66" t="s">
        <v>1205</v>
      </c>
      <c r="AW20" s="66" t="s">
        <v>1909</v>
      </c>
      <c r="AX20" s="66" t="s">
        <v>1269</v>
      </c>
      <c r="AY20" s="66">
        <v>2024</v>
      </c>
      <c r="AZ20" s="66" t="s">
        <v>1193</v>
      </c>
      <c r="BA20" s="66"/>
      <c r="BB20" s="72"/>
      <c r="BC20" s="73">
        <v>2026</v>
      </c>
      <c r="BD20" s="66"/>
      <c r="BE20" s="72"/>
      <c r="BF20" s="66" t="s">
        <v>1279</v>
      </c>
    </row>
    <row r="21" spans="1:58" ht="28">
      <c r="A21" s="66" t="s">
        <v>1357</v>
      </c>
      <c r="B21" s="66" t="s">
        <v>1368</v>
      </c>
      <c r="C21" s="66"/>
      <c r="D21" s="66"/>
      <c r="E21" s="66" t="s">
        <v>1369</v>
      </c>
      <c r="F21" s="66" t="s">
        <v>1370</v>
      </c>
      <c r="G21" s="66" t="s">
        <v>1365</v>
      </c>
      <c r="H21" s="66" t="s">
        <v>1182</v>
      </c>
      <c r="I21" s="66" t="s">
        <v>1371</v>
      </c>
      <c r="J21" s="66" t="s">
        <v>1211</v>
      </c>
      <c r="K21" s="66" t="s">
        <v>1212</v>
      </c>
      <c r="L21" s="66" t="s">
        <v>1216</v>
      </c>
      <c r="M21" s="66" t="s">
        <v>1267</v>
      </c>
      <c r="N21" s="66" t="s">
        <v>1216</v>
      </c>
      <c r="O21" s="66" t="s">
        <v>1278</v>
      </c>
      <c r="P21" s="66" t="s">
        <v>1216</v>
      </c>
      <c r="Q21" s="87" t="s">
        <v>1216</v>
      </c>
      <c r="R21" s="87" t="s">
        <v>1216</v>
      </c>
      <c r="S21" s="87" t="s">
        <v>1216</v>
      </c>
      <c r="T21" s="87" t="s">
        <v>1216</v>
      </c>
      <c r="U21" s="87" t="s">
        <v>1216</v>
      </c>
      <c r="V21" s="87" t="s">
        <v>1216</v>
      </c>
      <c r="W21" s="67"/>
      <c r="X21" s="85" t="str">
        <f t="shared" si="0"/>
        <v>Belum Dinilai</v>
      </c>
      <c r="Y21" s="85" t="str">
        <f t="shared" si="1"/>
        <v>Belum Dinilai</v>
      </c>
      <c r="Z21" s="86" t="str">
        <f t="shared" si="2"/>
        <v/>
      </c>
      <c r="AA21" s="86" t="str">
        <f t="shared" si="3"/>
        <v/>
      </c>
      <c r="AB21" s="86" t="str">
        <f t="shared" si="7"/>
        <v/>
      </c>
      <c r="AC21" s="68" t="s">
        <v>1216</v>
      </c>
      <c r="AD21" s="68" t="s">
        <v>1216</v>
      </c>
      <c r="AE21" s="68" t="s">
        <v>1216</v>
      </c>
      <c r="AF21" s="68" t="s">
        <v>1216</v>
      </c>
      <c r="AG21" s="68" t="s">
        <v>1216</v>
      </c>
      <c r="AH21" s="68" t="s">
        <v>1216</v>
      </c>
      <c r="AI21" s="68" t="s">
        <v>1216</v>
      </c>
      <c r="AJ21" s="68" t="s">
        <v>1216</v>
      </c>
      <c r="AK21" s="68" t="s">
        <v>1216</v>
      </c>
      <c r="AL21" s="68"/>
      <c r="AM21" s="68" t="s">
        <v>1216</v>
      </c>
      <c r="AN21" s="68" t="str">
        <f t="shared" si="4"/>
        <v>Belum Dinilai</v>
      </c>
      <c r="AO21" s="68" t="str">
        <f t="shared" si="9"/>
        <v>Belum Dinilai</v>
      </c>
      <c r="AP21" s="68"/>
      <c r="AQ21" s="71" t="str">
        <f t="shared" si="5"/>
        <v/>
      </c>
      <c r="AR21" s="71" t="str">
        <f t="shared" si="10"/>
        <v/>
      </c>
      <c r="AS21" s="71" t="str">
        <f t="shared" si="11"/>
        <v/>
      </c>
      <c r="AT21" s="69" t="str">
        <f t="shared" si="6"/>
        <v>Belum Dapat Ditentukan</v>
      </c>
      <c r="AU21" s="66" t="s">
        <v>1190</v>
      </c>
      <c r="AV21" s="66" t="s">
        <v>1205</v>
      </c>
      <c r="AW21" s="66" t="s">
        <v>1191</v>
      </c>
      <c r="AX21" s="66"/>
      <c r="AY21" s="66"/>
      <c r="AZ21" s="66" t="s">
        <v>927</v>
      </c>
      <c r="BA21" s="66"/>
      <c r="BB21" s="72"/>
      <c r="BC21" s="73">
        <v>2026</v>
      </c>
      <c r="BD21" s="66"/>
      <c r="BE21" s="72"/>
      <c r="BF21" s="66" t="s">
        <v>1279</v>
      </c>
    </row>
    <row r="22" spans="1:58" ht="56">
      <c r="A22" s="66" t="s">
        <v>1946</v>
      </c>
      <c r="B22" s="66" t="s">
        <v>1373</v>
      </c>
      <c r="C22" s="66"/>
      <c r="D22" s="66"/>
      <c r="E22" s="66" t="s">
        <v>1374</v>
      </c>
      <c r="F22" s="66" t="s">
        <v>1323</v>
      </c>
      <c r="G22" s="66" t="s">
        <v>1290</v>
      </c>
      <c r="H22" s="66" t="s">
        <v>1182</v>
      </c>
      <c r="I22" s="66" t="s">
        <v>1375</v>
      </c>
      <c r="J22" s="66" t="s">
        <v>1211</v>
      </c>
      <c r="K22" s="66" t="s">
        <v>1294</v>
      </c>
      <c r="L22" s="66" t="s">
        <v>1216</v>
      </c>
      <c r="M22" s="66" t="s">
        <v>1267</v>
      </c>
      <c r="N22" s="66" t="s">
        <v>895</v>
      </c>
      <c r="O22" s="66" t="s">
        <v>1214</v>
      </c>
      <c r="P22" s="66" t="s">
        <v>895</v>
      </c>
      <c r="Q22" s="87" t="s">
        <v>1216</v>
      </c>
      <c r="R22" s="87" t="s">
        <v>1216</v>
      </c>
      <c r="S22" s="87" t="s">
        <v>1216</v>
      </c>
      <c r="T22" s="87" t="s">
        <v>1216</v>
      </c>
      <c r="U22" s="87" t="s">
        <v>1216</v>
      </c>
      <c r="V22" s="87" t="s">
        <v>1216</v>
      </c>
      <c r="W22" s="67"/>
      <c r="X22" s="85" t="str">
        <f t="shared" si="0"/>
        <v>Belum Dinilai</v>
      </c>
      <c r="Y22" s="85" t="str">
        <f t="shared" si="1"/>
        <v>Belum Dinilai</v>
      </c>
      <c r="Z22" s="86" t="str">
        <f t="shared" si="2"/>
        <v/>
      </c>
      <c r="AA22" s="86" t="str">
        <f t="shared" si="3"/>
        <v/>
      </c>
      <c r="AB22" s="86" t="str">
        <f t="shared" si="7"/>
        <v/>
      </c>
      <c r="AC22" s="68" t="s">
        <v>1216</v>
      </c>
      <c r="AD22" s="68" t="s">
        <v>1216</v>
      </c>
      <c r="AE22" s="68" t="s">
        <v>1216</v>
      </c>
      <c r="AF22" s="68" t="s">
        <v>1216</v>
      </c>
      <c r="AG22" s="68" t="s">
        <v>1216</v>
      </c>
      <c r="AH22" s="68" t="s">
        <v>1216</v>
      </c>
      <c r="AI22" s="68" t="s">
        <v>1216</v>
      </c>
      <c r="AJ22" s="68" t="s">
        <v>1216</v>
      </c>
      <c r="AK22" s="68" t="s">
        <v>1216</v>
      </c>
      <c r="AL22" s="68"/>
      <c r="AM22" s="68" t="s">
        <v>1216</v>
      </c>
      <c r="AN22" s="68" t="str">
        <f t="shared" si="4"/>
        <v>Belum Dinilai</v>
      </c>
      <c r="AO22" s="68" t="str">
        <f t="shared" si="9"/>
        <v>Belum Dinilai</v>
      </c>
      <c r="AP22" s="68"/>
      <c r="AQ22" s="71" t="str">
        <f t="shared" si="5"/>
        <v/>
      </c>
      <c r="AR22" s="71" t="str">
        <f t="shared" si="10"/>
        <v/>
      </c>
      <c r="AS22" s="71" t="str">
        <f t="shared" si="11"/>
        <v/>
      </c>
      <c r="AT22" s="69" t="str">
        <f t="shared" si="6"/>
        <v>Belum Dapat Ditentukan</v>
      </c>
      <c r="AU22" s="66" t="s">
        <v>1190</v>
      </c>
      <c r="AV22" s="66" t="s">
        <v>1205</v>
      </c>
      <c r="AW22" s="66" t="s">
        <v>1191</v>
      </c>
      <c r="AX22" s="66"/>
      <c r="AY22" s="66"/>
      <c r="AZ22" s="66" t="s">
        <v>927</v>
      </c>
      <c r="BA22" s="66"/>
      <c r="BB22" s="72"/>
      <c r="BC22" s="73">
        <v>2026</v>
      </c>
      <c r="BD22" s="66"/>
      <c r="BE22" s="72"/>
      <c r="BF22" s="66" t="s">
        <v>1279</v>
      </c>
    </row>
    <row r="23" spans="1:58" ht="28">
      <c r="A23" s="66" t="s">
        <v>1361</v>
      </c>
      <c r="B23" s="66" t="s">
        <v>1377</v>
      </c>
      <c r="C23" s="66"/>
      <c r="D23" s="66"/>
      <c r="E23" s="66" t="s">
        <v>1378</v>
      </c>
      <c r="F23" s="66" t="s">
        <v>1360</v>
      </c>
      <c r="G23" s="66" t="s">
        <v>1290</v>
      </c>
      <c r="H23" s="66" t="s">
        <v>1182</v>
      </c>
      <c r="I23" s="66" t="s">
        <v>1379</v>
      </c>
      <c r="J23" s="66" t="s">
        <v>1211</v>
      </c>
      <c r="K23" s="66" t="s">
        <v>1198</v>
      </c>
      <c r="L23" s="66" t="s">
        <v>905</v>
      </c>
      <c r="M23" s="66" t="s">
        <v>1267</v>
      </c>
      <c r="N23" s="66" t="s">
        <v>905</v>
      </c>
      <c r="O23" s="66" t="s">
        <v>1214</v>
      </c>
      <c r="P23" s="66" t="s">
        <v>905</v>
      </c>
      <c r="Q23" s="87" t="s">
        <v>1216</v>
      </c>
      <c r="R23" s="87" t="s">
        <v>1216</v>
      </c>
      <c r="S23" s="87" t="s">
        <v>1216</v>
      </c>
      <c r="T23" s="87" t="s">
        <v>1216</v>
      </c>
      <c r="U23" s="87" t="s">
        <v>1216</v>
      </c>
      <c r="V23" s="87" t="s">
        <v>1216</v>
      </c>
      <c r="W23" s="67"/>
      <c r="X23" s="85" t="str">
        <f t="shared" si="0"/>
        <v>Belum Dinilai</v>
      </c>
      <c r="Y23" s="85" t="str">
        <f t="shared" si="1"/>
        <v>Belum Dinilai</v>
      </c>
      <c r="Z23" s="86" t="str">
        <f t="shared" si="2"/>
        <v/>
      </c>
      <c r="AA23" s="86" t="str">
        <f t="shared" si="3"/>
        <v/>
      </c>
      <c r="AB23" s="86" t="str">
        <f t="shared" si="7"/>
        <v/>
      </c>
      <c r="AC23" s="68" t="s">
        <v>1216</v>
      </c>
      <c r="AD23" s="68" t="s">
        <v>1216</v>
      </c>
      <c r="AE23" s="68" t="s">
        <v>1216</v>
      </c>
      <c r="AF23" s="68" t="s">
        <v>1216</v>
      </c>
      <c r="AG23" s="68" t="s">
        <v>1216</v>
      </c>
      <c r="AH23" s="68" t="s">
        <v>1216</v>
      </c>
      <c r="AI23" s="68" t="s">
        <v>1216</v>
      </c>
      <c r="AJ23" s="68" t="s">
        <v>1216</v>
      </c>
      <c r="AK23" s="68" t="s">
        <v>1216</v>
      </c>
      <c r="AL23" s="68"/>
      <c r="AM23" s="68" t="s">
        <v>1216</v>
      </c>
      <c r="AN23" s="68" t="str">
        <f t="shared" si="4"/>
        <v>Belum Dinilai</v>
      </c>
      <c r="AO23" s="68" t="str">
        <f t="shared" si="9"/>
        <v>Belum Dinilai</v>
      </c>
      <c r="AP23" s="68"/>
      <c r="AQ23" s="71">
        <f t="shared" si="5"/>
        <v>43</v>
      </c>
      <c r="AR23" s="71" t="str">
        <f t="shared" si="10"/>
        <v/>
      </c>
      <c r="AS23" s="71" t="str">
        <f t="shared" si="11"/>
        <v/>
      </c>
      <c r="AT23" s="69" t="str">
        <f t="shared" si="6"/>
        <v>Belum Dapat Ditentukan</v>
      </c>
      <c r="AU23" s="66" t="s">
        <v>1190</v>
      </c>
      <c r="AV23" s="66" t="s">
        <v>1205</v>
      </c>
      <c r="AW23" s="66" t="s">
        <v>1191</v>
      </c>
      <c r="AX23" s="66"/>
      <c r="AY23" s="66"/>
      <c r="AZ23" s="66" t="s">
        <v>927</v>
      </c>
      <c r="BA23" s="66"/>
      <c r="BB23" s="72"/>
      <c r="BC23" s="73">
        <v>2026</v>
      </c>
      <c r="BD23" s="66"/>
      <c r="BE23" s="72"/>
      <c r="BF23" s="66" t="s">
        <v>1279</v>
      </c>
    </row>
    <row r="24" spans="1:58" ht="42">
      <c r="A24" s="66" t="s">
        <v>1367</v>
      </c>
      <c r="B24" s="66" t="s">
        <v>1381</v>
      </c>
      <c r="C24" s="66"/>
      <c r="D24" s="66"/>
      <c r="E24" s="66" t="s">
        <v>1382</v>
      </c>
      <c r="F24" s="66" t="s">
        <v>1383</v>
      </c>
      <c r="G24" s="66" t="s">
        <v>1290</v>
      </c>
      <c r="H24" s="66" t="s">
        <v>1196</v>
      </c>
      <c r="I24" s="66" t="s">
        <v>1384</v>
      </c>
      <c r="J24" s="66" t="s">
        <v>1197</v>
      </c>
      <c r="K24" s="66" t="s">
        <v>1198</v>
      </c>
      <c r="L24" s="66" t="s">
        <v>1216</v>
      </c>
      <c r="M24" s="66" t="s">
        <v>1267</v>
      </c>
      <c r="N24" s="66" t="s">
        <v>1216</v>
      </c>
      <c r="O24" s="66" t="s">
        <v>1278</v>
      </c>
      <c r="P24" s="66" t="s">
        <v>1216</v>
      </c>
      <c r="Q24" s="87" t="s">
        <v>1216</v>
      </c>
      <c r="R24" s="87" t="s">
        <v>1216</v>
      </c>
      <c r="S24" s="87" t="s">
        <v>1216</v>
      </c>
      <c r="T24" s="87" t="s">
        <v>1216</v>
      </c>
      <c r="U24" s="87" t="s">
        <v>1216</v>
      </c>
      <c r="V24" s="87" t="s">
        <v>1216</v>
      </c>
      <c r="W24" s="67"/>
      <c r="X24" s="85" t="str">
        <f t="shared" si="0"/>
        <v>Belum Dinilai</v>
      </c>
      <c r="Y24" s="85" t="str">
        <f t="shared" si="1"/>
        <v>Belum Dinilai</v>
      </c>
      <c r="Z24" s="86" t="str">
        <f t="shared" si="2"/>
        <v/>
      </c>
      <c r="AA24" s="86" t="str">
        <f t="shared" si="3"/>
        <v/>
      </c>
      <c r="AB24" s="86" t="str">
        <f t="shared" si="7"/>
        <v/>
      </c>
      <c r="AC24" s="68" t="s">
        <v>1216</v>
      </c>
      <c r="AD24" s="68" t="s">
        <v>1216</v>
      </c>
      <c r="AE24" s="68" t="s">
        <v>1216</v>
      </c>
      <c r="AF24" s="68" t="s">
        <v>1216</v>
      </c>
      <c r="AG24" s="68" t="s">
        <v>1216</v>
      </c>
      <c r="AH24" s="68" t="s">
        <v>1216</v>
      </c>
      <c r="AI24" s="68" t="s">
        <v>1216</v>
      </c>
      <c r="AJ24" s="68" t="s">
        <v>1216</v>
      </c>
      <c r="AK24" s="68" t="s">
        <v>1216</v>
      </c>
      <c r="AL24" s="68"/>
      <c r="AM24" s="68" t="s">
        <v>1216</v>
      </c>
      <c r="AN24" s="68" t="str">
        <f t="shared" si="4"/>
        <v>Belum Dinilai</v>
      </c>
      <c r="AO24" s="68" t="str">
        <f t="shared" si="9"/>
        <v>Belum Dinilai</v>
      </c>
      <c r="AP24" s="68"/>
      <c r="AQ24" s="71" t="str">
        <f t="shared" si="5"/>
        <v/>
      </c>
      <c r="AR24" s="71" t="str">
        <f t="shared" si="10"/>
        <v/>
      </c>
      <c r="AS24" s="71" t="str">
        <f t="shared" si="11"/>
        <v/>
      </c>
      <c r="AT24" s="69" t="str">
        <f t="shared" si="6"/>
        <v>Belum Dapat Ditentukan</v>
      </c>
      <c r="AU24" s="66" t="s">
        <v>1204</v>
      </c>
      <c r="AV24" s="66" t="s">
        <v>1205</v>
      </c>
      <c r="AW24" s="66" t="s">
        <v>1191</v>
      </c>
      <c r="AX24" s="66"/>
      <c r="AY24" s="66"/>
      <c r="AZ24" s="66" t="s">
        <v>927</v>
      </c>
      <c r="BA24" s="66"/>
      <c r="BB24" s="72"/>
      <c r="BC24" s="73">
        <v>2026</v>
      </c>
      <c r="BD24" s="66"/>
      <c r="BE24" s="72"/>
      <c r="BF24" s="66" t="s">
        <v>1279</v>
      </c>
    </row>
    <row r="25" spans="1:58" ht="28">
      <c r="A25" s="66" t="s">
        <v>1372</v>
      </c>
      <c r="B25" s="66" t="s">
        <v>1386</v>
      </c>
      <c r="C25" s="66"/>
      <c r="D25" s="66"/>
      <c r="E25" s="66" t="s">
        <v>1387</v>
      </c>
      <c r="F25" s="66" t="s">
        <v>1388</v>
      </c>
      <c r="G25" s="66" t="s">
        <v>1276</v>
      </c>
      <c r="H25" s="66" t="s">
        <v>1196</v>
      </c>
      <c r="I25" s="66" t="s">
        <v>1389</v>
      </c>
      <c r="J25" s="66" t="s">
        <v>1183</v>
      </c>
      <c r="K25" s="66" t="s">
        <v>1278</v>
      </c>
      <c r="L25" s="66" t="s">
        <v>891</v>
      </c>
      <c r="M25" s="66" t="s">
        <v>1266</v>
      </c>
      <c r="N25" s="66" t="s">
        <v>1216</v>
      </c>
      <c r="O25" s="66" t="s">
        <v>1278</v>
      </c>
      <c r="P25" s="66" t="s">
        <v>1216</v>
      </c>
      <c r="Q25" s="87" t="s">
        <v>1216</v>
      </c>
      <c r="R25" s="87" t="s">
        <v>1216</v>
      </c>
      <c r="S25" s="87" t="s">
        <v>1216</v>
      </c>
      <c r="T25" s="87" t="s">
        <v>1216</v>
      </c>
      <c r="U25" s="87" t="s">
        <v>1216</v>
      </c>
      <c r="V25" s="87" t="s">
        <v>1216</v>
      </c>
      <c r="W25" s="67"/>
      <c r="X25" s="85" t="str">
        <f t="shared" si="0"/>
        <v>Belum Dinilai</v>
      </c>
      <c r="Y25" s="85" t="str">
        <f t="shared" si="1"/>
        <v>Belum Dinilai</v>
      </c>
      <c r="Z25" s="86" t="str">
        <f t="shared" si="2"/>
        <v/>
      </c>
      <c r="AA25" s="86" t="str">
        <f t="shared" si="3"/>
        <v/>
      </c>
      <c r="AB25" s="86" t="str">
        <f t="shared" si="7"/>
        <v/>
      </c>
      <c r="AC25" s="68" t="s">
        <v>1216</v>
      </c>
      <c r="AD25" s="68" t="s">
        <v>1216</v>
      </c>
      <c r="AE25" s="68" t="s">
        <v>1216</v>
      </c>
      <c r="AF25" s="68" t="s">
        <v>1216</v>
      </c>
      <c r="AG25" s="68" t="s">
        <v>1216</v>
      </c>
      <c r="AH25" s="68" t="s">
        <v>1216</v>
      </c>
      <c r="AI25" s="68" t="s">
        <v>1216</v>
      </c>
      <c r="AJ25" s="68" t="s">
        <v>1216</v>
      </c>
      <c r="AK25" s="68" t="s">
        <v>1216</v>
      </c>
      <c r="AL25" s="68"/>
      <c r="AM25" s="68" t="s">
        <v>1216</v>
      </c>
      <c r="AN25" s="68" t="str">
        <f t="shared" si="4"/>
        <v>Belum Dinilai</v>
      </c>
      <c r="AO25" s="68" t="str">
        <f t="shared" si="9"/>
        <v>Belum Dinilai</v>
      </c>
      <c r="AP25" s="68"/>
      <c r="AQ25" s="71" t="str">
        <f t="shared" si="5"/>
        <v/>
      </c>
      <c r="AR25" s="71" t="str">
        <f t="shared" si="10"/>
        <v/>
      </c>
      <c r="AS25" s="71" t="str">
        <f t="shared" si="11"/>
        <v/>
      </c>
      <c r="AT25" s="69" t="str">
        <f t="shared" si="6"/>
        <v>Belum Dapat Ditentukan</v>
      </c>
      <c r="AU25" s="66" t="s">
        <v>1204</v>
      </c>
      <c r="AV25" s="66" t="s">
        <v>1205</v>
      </c>
      <c r="AW25" s="66" t="s">
        <v>1191</v>
      </c>
      <c r="AX25" s="66"/>
      <c r="AY25" s="66"/>
      <c r="AZ25" s="66" t="s">
        <v>927</v>
      </c>
      <c r="BA25" s="66"/>
      <c r="BB25" s="72"/>
      <c r="BC25" s="73">
        <v>2026</v>
      </c>
      <c r="BD25" s="66"/>
      <c r="BE25" s="72"/>
      <c r="BF25" s="66" t="s">
        <v>1279</v>
      </c>
    </row>
    <row r="26" spans="1:58" ht="28">
      <c r="A26" s="66" t="s">
        <v>1947</v>
      </c>
      <c r="B26" s="66" t="s">
        <v>1391</v>
      </c>
      <c r="C26" s="66"/>
      <c r="D26" s="66"/>
      <c r="E26" s="66" t="s">
        <v>1392</v>
      </c>
      <c r="F26" s="66" t="s">
        <v>1393</v>
      </c>
      <c r="G26" s="66" t="s">
        <v>1290</v>
      </c>
      <c r="H26" s="66" t="s">
        <v>1196</v>
      </c>
      <c r="I26" s="66" t="s">
        <v>1394</v>
      </c>
      <c r="J26" s="66" t="s">
        <v>1183</v>
      </c>
      <c r="K26" s="66" t="s">
        <v>1278</v>
      </c>
      <c r="L26" s="66" t="s">
        <v>1216</v>
      </c>
      <c r="M26" s="66" t="s">
        <v>1213</v>
      </c>
      <c r="N26" s="66" t="s">
        <v>1216</v>
      </c>
      <c r="O26" s="66" t="s">
        <v>1278</v>
      </c>
      <c r="P26" s="66" t="s">
        <v>1216</v>
      </c>
      <c r="Q26" s="87" t="s">
        <v>1216</v>
      </c>
      <c r="R26" s="87" t="s">
        <v>1216</v>
      </c>
      <c r="S26" s="87" t="s">
        <v>1216</v>
      </c>
      <c r="T26" s="87" t="s">
        <v>1216</v>
      </c>
      <c r="U26" s="87" t="s">
        <v>1216</v>
      </c>
      <c r="V26" s="87" t="s">
        <v>1216</v>
      </c>
      <c r="W26" s="67"/>
      <c r="X26" s="85" t="str">
        <f t="shared" si="0"/>
        <v>Belum Dinilai</v>
      </c>
      <c r="Y26" s="85" t="str">
        <f t="shared" si="1"/>
        <v>Belum Dinilai</v>
      </c>
      <c r="Z26" s="86" t="str">
        <f t="shared" si="2"/>
        <v/>
      </c>
      <c r="AA26" s="86" t="str">
        <f t="shared" si="3"/>
        <v/>
      </c>
      <c r="AB26" s="86" t="str">
        <f t="shared" si="7"/>
        <v/>
      </c>
      <c r="AC26" s="68" t="s">
        <v>1216</v>
      </c>
      <c r="AD26" s="68" t="s">
        <v>1216</v>
      </c>
      <c r="AE26" s="68" t="s">
        <v>1216</v>
      </c>
      <c r="AF26" s="68" t="s">
        <v>1216</v>
      </c>
      <c r="AG26" s="68" t="s">
        <v>1216</v>
      </c>
      <c r="AH26" s="68" t="s">
        <v>1216</v>
      </c>
      <c r="AI26" s="68" t="s">
        <v>1216</v>
      </c>
      <c r="AJ26" s="68" t="s">
        <v>1216</v>
      </c>
      <c r="AK26" s="68" t="s">
        <v>1216</v>
      </c>
      <c r="AL26" s="68"/>
      <c r="AM26" s="68" t="s">
        <v>1216</v>
      </c>
      <c r="AN26" s="68" t="str">
        <f t="shared" si="4"/>
        <v>Belum Dinilai</v>
      </c>
      <c r="AO26" s="68" t="str">
        <f t="shared" si="9"/>
        <v>Belum Dinilai</v>
      </c>
      <c r="AP26" s="68"/>
      <c r="AQ26" s="71" t="str">
        <f t="shared" si="5"/>
        <v/>
      </c>
      <c r="AR26" s="71" t="str">
        <f t="shared" si="10"/>
        <v/>
      </c>
      <c r="AS26" s="71" t="str">
        <f t="shared" si="11"/>
        <v/>
      </c>
      <c r="AT26" s="69" t="str">
        <f t="shared" si="6"/>
        <v>Belum Dapat Ditentukan</v>
      </c>
      <c r="AU26" s="66" t="s">
        <v>1190</v>
      </c>
      <c r="AV26" s="66" t="s">
        <v>1205</v>
      </c>
      <c r="AW26" s="66" t="s">
        <v>1191</v>
      </c>
      <c r="AX26" s="66"/>
      <c r="AY26" s="66"/>
      <c r="AZ26" s="66" t="s">
        <v>927</v>
      </c>
      <c r="BA26" s="66"/>
      <c r="BB26" s="72"/>
      <c r="BC26" s="73">
        <v>2026</v>
      </c>
      <c r="BD26" s="66"/>
      <c r="BE26" s="72"/>
      <c r="BF26" s="66" t="s">
        <v>1279</v>
      </c>
    </row>
    <row r="27" spans="1:58" ht="28">
      <c r="A27" s="66" t="s">
        <v>1376</v>
      </c>
      <c r="B27" s="66" t="s">
        <v>1373</v>
      </c>
      <c r="C27" s="66"/>
      <c r="D27" s="66"/>
      <c r="E27" s="66" t="s">
        <v>1396</v>
      </c>
      <c r="F27" s="66" t="s">
        <v>1323</v>
      </c>
      <c r="G27" s="66" t="s">
        <v>1290</v>
      </c>
      <c r="H27" s="66" t="s">
        <v>1182</v>
      </c>
      <c r="I27" s="66" t="s">
        <v>1397</v>
      </c>
      <c r="J27" s="66" t="s">
        <v>1211</v>
      </c>
      <c r="K27" s="66" t="s">
        <v>1184</v>
      </c>
      <c r="L27" s="66" t="s">
        <v>1216</v>
      </c>
      <c r="M27" s="66" t="s">
        <v>1267</v>
      </c>
      <c r="N27" s="66" t="s">
        <v>1216</v>
      </c>
      <c r="O27" s="66" t="s">
        <v>1214</v>
      </c>
      <c r="P27" s="66" t="s">
        <v>1216</v>
      </c>
      <c r="Q27" s="87" t="s">
        <v>1216</v>
      </c>
      <c r="R27" s="87" t="s">
        <v>1216</v>
      </c>
      <c r="S27" s="87" t="s">
        <v>1216</v>
      </c>
      <c r="T27" s="87" t="s">
        <v>1216</v>
      </c>
      <c r="U27" s="87" t="s">
        <v>1216</v>
      </c>
      <c r="V27" s="87" t="s">
        <v>1216</v>
      </c>
      <c r="W27" s="67"/>
      <c r="X27" s="85" t="str">
        <f t="shared" si="0"/>
        <v>Belum Dinilai</v>
      </c>
      <c r="Y27" s="85" t="str">
        <f t="shared" si="1"/>
        <v>Belum Dinilai</v>
      </c>
      <c r="Z27" s="86" t="str">
        <f t="shared" si="2"/>
        <v/>
      </c>
      <c r="AA27" s="86" t="str">
        <f t="shared" si="3"/>
        <v/>
      </c>
      <c r="AB27" s="86" t="str">
        <f t="shared" si="7"/>
        <v/>
      </c>
      <c r="AC27" s="68" t="s">
        <v>1216</v>
      </c>
      <c r="AD27" s="68" t="s">
        <v>1216</v>
      </c>
      <c r="AE27" s="68" t="s">
        <v>1216</v>
      </c>
      <c r="AF27" s="68" t="s">
        <v>1216</v>
      </c>
      <c r="AG27" s="68" t="s">
        <v>1216</v>
      </c>
      <c r="AH27" s="68" t="s">
        <v>1216</v>
      </c>
      <c r="AI27" s="68" t="s">
        <v>1216</v>
      </c>
      <c r="AJ27" s="68" t="s">
        <v>1216</v>
      </c>
      <c r="AK27" s="68" t="s">
        <v>1216</v>
      </c>
      <c r="AL27" s="68"/>
      <c r="AM27" s="68" t="s">
        <v>1216</v>
      </c>
      <c r="AN27" s="68" t="str">
        <f t="shared" si="4"/>
        <v>Belum Dinilai</v>
      </c>
      <c r="AO27" s="68" t="str">
        <f t="shared" si="9"/>
        <v>Belum Dinilai</v>
      </c>
      <c r="AP27" s="68"/>
      <c r="AQ27" s="71" t="str">
        <f t="shared" si="5"/>
        <v/>
      </c>
      <c r="AR27" s="71" t="str">
        <f t="shared" si="10"/>
        <v/>
      </c>
      <c r="AS27" s="71" t="str">
        <f t="shared" si="11"/>
        <v/>
      </c>
      <c r="AT27" s="69" t="str">
        <f t="shared" si="6"/>
        <v>Belum Dapat Ditentukan</v>
      </c>
      <c r="AU27" s="66" t="s">
        <v>1190</v>
      </c>
      <c r="AV27" s="66" t="s">
        <v>1205</v>
      </c>
      <c r="AW27" s="66" t="s">
        <v>1191</v>
      </c>
      <c r="AX27" s="66"/>
      <c r="AY27" s="66"/>
      <c r="AZ27" s="66" t="s">
        <v>927</v>
      </c>
      <c r="BA27" s="66"/>
      <c r="BB27" s="72"/>
      <c r="BC27" s="73">
        <v>2026</v>
      </c>
      <c r="BD27" s="66"/>
      <c r="BE27" s="72"/>
      <c r="BF27" s="66" t="s">
        <v>1279</v>
      </c>
    </row>
    <row r="28" spans="1:58" ht="42">
      <c r="A28" s="66" t="s">
        <v>1380</v>
      </c>
      <c r="B28" s="66" t="s">
        <v>1399</v>
      </c>
      <c r="C28" s="66"/>
      <c r="D28" s="66"/>
      <c r="E28" s="66" t="s">
        <v>1400</v>
      </c>
      <c r="F28" s="66" t="s">
        <v>1401</v>
      </c>
      <c r="G28" s="66" t="s">
        <v>1365</v>
      </c>
      <c r="H28" s="66" t="s">
        <v>1182</v>
      </c>
      <c r="I28" s="66" t="s">
        <v>1402</v>
      </c>
      <c r="J28" s="66" t="s">
        <v>1211</v>
      </c>
      <c r="K28" s="66" t="s">
        <v>1198</v>
      </c>
      <c r="L28" s="66" t="s">
        <v>905</v>
      </c>
      <c r="M28" s="66" t="s">
        <v>1267</v>
      </c>
      <c r="N28" s="66" t="s">
        <v>905</v>
      </c>
      <c r="O28" s="66" t="s">
        <v>1214</v>
      </c>
      <c r="P28" s="66" t="s">
        <v>905</v>
      </c>
      <c r="Q28" s="87" t="s">
        <v>1216</v>
      </c>
      <c r="R28" s="87" t="s">
        <v>1216</v>
      </c>
      <c r="S28" s="87" t="s">
        <v>1216</v>
      </c>
      <c r="T28" s="87" t="s">
        <v>1216</v>
      </c>
      <c r="U28" s="87" t="s">
        <v>1216</v>
      </c>
      <c r="V28" s="87" t="s">
        <v>1216</v>
      </c>
      <c r="W28" s="67"/>
      <c r="X28" s="85" t="str">
        <f t="shared" si="0"/>
        <v>Belum Dinilai</v>
      </c>
      <c r="Y28" s="85" t="str">
        <f t="shared" si="1"/>
        <v>Belum Dinilai</v>
      </c>
      <c r="Z28" s="86" t="str">
        <f t="shared" si="2"/>
        <v/>
      </c>
      <c r="AA28" s="86" t="str">
        <f t="shared" si="3"/>
        <v/>
      </c>
      <c r="AB28" s="86" t="str">
        <f t="shared" si="7"/>
        <v/>
      </c>
      <c r="AC28" s="68" t="s">
        <v>1216</v>
      </c>
      <c r="AD28" s="68" t="s">
        <v>1216</v>
      </c>
      <c r="AE28" s="68" t="s">
        <v>1216</v>
      </c>
      <c r="AF28" s="68" t="s">
        <v>1216</v>
      </c>
      <c r="AG28" s="68" t="s">
        <v>1216</v>
      </c>
      <c r="AH28" s="68" t="s">
        <v>1216</v>
      </c>
      <c r="AI28" s="68" t="s">
        <v>1216</v>
      </c>
      <c r="AJ28" s="68" t="s">
        <v>1216</v>
      </c>
      <c r="AK28" s="68" t="s">
        <v>1216</v>
      </c>
      <c r="AL28" s="68"/>
      <c r="AM28" s="68" t="s">
        <v>1216</v>
      </c>
      <c r="AN28" s="68" t="str">
        <f t="shared" si="4"/>
        <v>Belum Dinilai</v>
      </c>
      <c r="AO28" s="68" t="str">
        <f t="shared" si="9"/>
        <v>Belum Dinilai</v>
      </c>
      <c r="AP28" s="68"/>
      <c r="AQ28" s="71">
        <f t="shared" si="5"/>
        <v>43</v>
      </c>
      <c r="AR28" s="71" t="str">
        <f t="shared" si="10"/>
        <v/>
      </c>
      <c r="AS28" s="71" t="str">
        <f t="shared" si="11"/>
        <v/>
      </c>
      <c r="AT28" s="69" t="str">
        <f t="shared" si="6"/>
        <v>Belum Dapat Ditentukan</v>
      </c>
      <c r="AU28" s="66" t="s">
        <v>1190</v>
      </c>
      <c r="AV28" s="66" t="s">
        <v>1205</v>
      </c>
      <c r="AW28" s="66" t="s">
        <v>1191</v>
      </c>
      <c r="AX28" s="66"/>
      <c r="AY28" s="66"/>
      <c r="AZ28" s="66" t="s">
        <v>927</v>
      </c>
      <c r="BA28" s="66"/>
      <c r="BB28" s="72"/>
      <c r="BC28" s="73">
        <v>2026</v>
      </c>
      <c r="BD28" s="66"/>
      <c r="BE28" s="72"/>
      <c r="BF28" s="66" t="s">
        <v>1279</v>
      </c>
    </row>
    <row r="29" spans="1:58" ht="28">
      <c r="A29" s="66" t="s">
        <v>1385</v>
      </c>
      <c r="B29" s="66" t="s">
        <v>1404</v>
      </c>
      <c r="C29" s="66"/>
      <c r="D29" s="66"/>
      <c r="E29" s="66" t="s">
        <v>1405</v>
      </c>
      <c r="F29" s="66" t="s">
        <v>1406</v>
      </c>
      <c r="G29" s="66" t="s">
        <v>1365</v>
      </c>
      <c r="H29" s="66" t="s">
        <v>1196</v>
      </c>
      <c r="I29" s="66" t="s">
        <v>1407</v>
      </c>
      <c r="J29" s="66" t="s">
        <v>1183</v>
      </c>
      <c r="K29" s="66" t="s">
        <v>1278</v>
      </c>
      <c r="L29" s="66" t="s">
        <v>891</v>
      </c>
      <c r="M29" s="66" t="s">
        <v>1266</v>
      </c>
      <c r="N29" s="66" t="s">
        <v>1216</v>
      </c>
      <c r="O29" s="66" t="s">
        <v>1278</v>
      </c>
      <c r="P29" s="66" t="s">
        <v>1216</v>
      </c>
      <c r="Q29" s="87" t="s">
        <v>1216</v>
      </c>
      <c r="R29" s="87" t="s">
        <v>1216</v>
      </c>
      <c r="S29" s="87" t="s">
        <v>1216</v>
      </c>
      <c r="T29" s="87" t="s">
        <v>1216</v>
      </c>
      <c r="U29" s="87" t="s">
        <v>1216</v>
      </c>
      <c r="V29" s="87" t="s">
        <v>1216</v>
      </c>
      <c r="W29" s="67"/>
      <c r="X29" s="85" t="str">
        <f t="shared" si="0"/>
        <v>Belum Dinilai</v>
      </c>
      <c r="Y29" s="85" t="str">
        <f t="shared" si="1"/>
        <v>Belum Dinilai</v>
      </c>
      <c r="Z29" s="86" t="str">
        <f t="shared" si="2"/>
        <v/>
      </c>
      <c r="AA29" s="86" t="str">
        <f t="shared" si="3"/>
        <v/>
      </c>
      <c r="AB29" s="86" t="str">
        <f t="shared" si="7"/>
        <v/>
      </c>
      <c r="AC29" s="68" t="s">
        <v>1216</v>
      </c>
      <c r="AD29" s="68" t="s">
        <v>1216</v>
      </c>
      <c r="AE29" s="68" t="s">
        <v>1216</v>
      </c>
      <c r="AF29" s="68" t="s">
        <v>1216</v>
      </c>
      <c r="AG29" s="68" t="s">
        <v>1216</v>
      </c>
      <c r="AH29" s="68" t="s">
        <v>1216</v>
      </c>
      <c r="AI29" s="68" t="s">
        <v>1216</v>
      </c>
      <c r="AJ29" s="68" t="s">
        <v>1216</v>
      </c>
      <c r="AK29" s="68" t="s">
        <v>1216</v>
      </c>
      <c r="AL29" s="68"/>
      <c r="AM29" s="68" t="s">
        <v>1216</v>
      </c>
      <c r="AN29" s="68" t="str">
        <f t="shared" si="4"/>
        <v>Belum Dinilai</v>
      </c>
      <c r="AO29" s="68" t="str">
        <f t="shared" si="9"/>
        <v>Belum Dinilai</v>
      </c>
      <c r="AP29" s="68"/>
      <c r="AQ29" s="71" t="str">
        <f t="shared" si="5"/>
        <v/>
      </c>
      <c r="AR29" s="71" t="str">
        <f t="shared" si="10"/>
        <v/>
      </c>
      <c r="AS29" s="71" t="str">
        <f t="shared" si="11"/>
        <v/>
      </c>
      <c r="AT29" s="69" t="str">
        <f t="shared" si="6"/>
        <v>Belum Dapat Ditentukan</v>
      </c>
      <c r="AU29" s="66" t="s">
        <v>1190</v>
      </c>
      <c r="AV29" s="66" t="s">
        <v>1205</v>
      </c>
      <c r="AW29" s="66" t="s">
        <v>1191</v>
      </c>
      <c r="AX29" s="66"/>
      <c r="AY29" s="66"/>
      <c r="AZ29" s="66" t="s">
        <v>927</v>
      </c>
      <c r="BA29" s="66"/>
      <c r="BB29" s="72"/>
      <c r="BC29" s="73">
        <v>2026</v>
      </c>
      <c r="BD29" s="66"/>
      <c r="BE29" s="72"/>
      <c r="BF29" s="66" t="s">
        <v>1279</v>
      </c>
    </row>
    <row r="30" spans="1:58" ht="42">
      <c r="A30" s="66" t="s">
        <v>1390</v>
      </c>
      <c r="B30" s="66" t="s">
        <v>1409</v>
      </c>
      <c r="C30" s="66"/>
      <c r="D30" s="66"/>
      <c r="E30" s="66" t="s">
        <v>1410</v>
      </c>
      <c r="F30" s="66" t="s">
        <v>1411</v>
      </c>
      <c r="G30" s="66" t="s">
        <v>1365</v>
      </c>
      <c r="H30" s="66" t="s">
        <v>1182</v>
      </c>
      <c r="I30" s="66" t="s">
        <v>1402</v>
      </c>
      <c r="J30" s="66" t="s">
        <v>1211</v>
      </c>
      <c r="K30" s="66" t="s">
        <v>1198</v>
      </c>
      <c r="L30" s="66" t="s">
        <v>905</v>
      </c>
      <c r="M30" s="66" t="s">
        <v>1267</v>
      </c>
      <c r="N30" s="66" t="s">
        <v>905</v>
      </c>
      <c r="O30" s="66" t="s">
        <v>1214</v>
      </c>
      <c r="P30" s="66" t="s">
        <v>905</v>
      </c>
      <c r="Q30" s="87" t="s">
        <v>1216</v>
      </c>
      <c r="R30" s="87" t="s">
        <v>1216</v>
      </c>
      <c r="S30" s="87" t="s">
        <v>1216</v>
      </c>
      <c r="T30" s="87" t="s">
        <v>1216</v>
      </c>
      <c r="U30" s="87" t="s">
        <v>1216</v>
      </c>
      <c r="V30" s="87" t="s">
        <v>1216</v>
      </c>
      <c r="W30" s="67"/>
      <c r="X30" s="85" t="str">
        <f t="shared" si="0"/>
        <v>Belum Dinilai</v>
      </c>
      <c r="Y30" s="85" t="str">
        <f t="shared" si="1"/>
        <v>Belum Dinilai</v>
      </c>
      <c r="Z30" s="86" t="str">
        <f t="shared" si="2"/>
        <v/>
      </c>
      <c r="AA30" s="86" t="str">
        <f t="shared" si="3"/>
        <v/>
      </c>
      <c r="AB30" s="86" t="str">
        <f t="shared" si="7"/>
        <v/>
      </c>
      <c r="AC30" s="68" t="s">
        <v>1216</v>
      </c>
      <c r="AD30" s="68" t="s">
        <v>1216</v>
      </c>
      <c r="AE30" s="68" t="s">
        <v>1216</v>
      </c>
      <c r="AF30" s="68" t="s">
        <v>1216</v>
      </c>
      <c r="AG30" s="68" t="s">
        <v>1216</v>
      </c>
      <c r="AH30" s="68" t="s">
        <v>1216</v>
      </c>
      <c r="AI30" s="68" t="s">
        <v>1216</v>
      </c>
      <c r="AJ30" s="68" t="s">
        <v>1216</v>
      </c>
      <c r="AK30" s="68" t="s">
        <v>1216</v>
      </c>
      <c r="AL30" s="68"/>
      <c r="AM30" s="68" t="s">
        <v>1216</v>
      </c>
      <c r="AN30" s="68" t="str">
        <f t="shared" si="4"/>
        <v>Belum Dinilai</v>
      </c>
      <c r="AO30" s="68" t="str">
        <f t="shared" si="9"/>
        <v>Belum Dinilai</v>
      </c>
      <c r="AP30" s="68"/>
      <c r="AQ30" s="71">
        <f t="shared" si="5"/>
        <v>43</v>
      </c>
      <c r="AR30" s="71" t="str">
        <f t="shared" si="10"/>
        <v/>
      </c>
      <c r="AS30" s="71" t="str">
        <f t="shared" si="11"/>
        <v/>
      </c>
      <c r="AT30" s="69" t="str">
        <f t="shared" si="6"/>
        <v>Belum Dapat Ditentukan</v>
      </c>
      <c r="AU30" s="66" t="s">
        <v>1190</v>
      </c>
      <c r="AV30" s="66" t="s">
        <v>1205</v>
      </c>
      <c r="AW30" s="66" t="s">
        <v>1191</v>
      </c>
      <c r="AX30" s="66"/>
      <c r="AY30" s="66"/>
      <c r="AZ30" s="66" t="s">
        <v>927</v>
      </c>
      <c r="BA30" s="66"/>
      <c r="BB30" s="72"/>
      <c r="BC30" s="73">
        <v>2026</v>
      </c>
      <c r="BD30" s="66"/>
      <c r="BE30" s="72"/>
      <c r="BF30" s="66" t="s">
        <v>1279</v>
      </c>
    </row>
    <row r="31" spans="1:58" ht="42">
      <c r="A31" s="66" t="s">
        <v>1948</v>
      </c>
      <c r="B31" s="66" t="s">
        <v>1413</v>
      </c>
      <c r="C31" s="66"/>
      <c r="D31" s="66"/>
      <c r="E31" s="66" t="s">
        <v>1414</v>
      </c>
      <c r="F31" s="66" t="s">
        <v>1411</v>
      </c>
      <c r="G31" s="66" t="s">
        <v>1365</v>
      </c>
      <c r="H31" s="66" t="s">
        <v>1182</v>
      </c>
      <c r="I31" s="66" t="s">
        <v>1415</v>
      </c>
      <c r="J31" s="66" t="s">
        <v>1197</v>
      </c>
      <c r="K31" s="66" t="s">
        <v>1212</v>
      </c>
      <c r="L31" s="66" t="s">
        <v>891</v>
      </c>
      <c r="M31" s="66" t="s">
        <v>1267</v>
      </c>
      <c r="N31" s="66" t="s">
        <v>891</v>
      </c>
      <c r="O31" s="66" t="s">
        <v>1214</v>
      </c>
      <c r="P31" s="66" t="s">
        <v>891</v>
      </c>
      <c r="Q31" s="87" t="s">
        <v>1216</v>
      </c>
      <c r="R31" s="87" t="s">
        <v>1216</v>
      </c>
      <c r="S31" s="87" t="s">
        <v>1216</v>
      </c>
      <c r="T31" s="87" t="s">
        <v>1216</v>
      </c>
      <c r="U31" s="87" t="s">
        <v>1216</v>
      </c>
      <c r="V31" s="87" t="s">
        <v>1216</v>
      </c>
      <c r="W31" s="67"/>
      <c r="X31" s="85" t="str">
        <f t="shared" si="0"/>
        <v>Belum Dinilai</v>
      </c>
      <c r="Y31" s="85" t="str">
        <f t="shared" si="1"/>
        <v>Belum Dinilai</v>
      </c>
      <c r="Z31" s="86" t="str">
        <f t="shared" si="2"/>
        <v/>
      </c>
      <c r="AA31" s="86" t="str">
        <f t="shared" si="3"/>
        <v/>
      </c>
      <c r="AB31" s="86" t="str">
        <f t="shared" si="7"/>
        <v/>
      </c>
      <c r="AC31" s="68" t="s">
        <v>1216</v>
      </c>
      <c r="AD31" s="68" t="s">
        <v>1216</v>
      </c>
      <c r="AE31" s="68" t="s">
        <v>1216</v>
      </c>
      <c r="AF31" s="68" t="s">
        <v>1216</v>
      </c>
      <c r="AG31" s="68" t="s">
        <v>1216</v>
      </c>
      <c r="AH31" s="68" t="s">
        <v>1216</v>
      </c>
      <c r="AI31" s="68" t="s">
        <v>1216</v>
      </c>
      <c r="AJ31" s="68" t="s">
        <v>1216</v>
      </c>
      <c r="AK31" s="68" t="s">
        <v>1216</v>
      </c>
      <c r="AL31" s="68"/>
      <c r="AM31" s="68" t="s">
        <v>1216</v>
      </c>
      <c r="AN31" s="68" t="str">
        <f t="shared" si="4"/>
        <v>Belum Dinilai</v>
      </c>
      <c r="AO31" s="68" t="str">
        <f t="shared" si="9"/>
        <v>Belum Dinilai</v>
      </c>
      <c r="AP31" s="68"/>
      <c r="AQ31" s="71">
        <f t="shared" si="5"/>
        <v>22</v>
      </c>
      <c r="AR31" s="71" t="str">
        <f t="shared" si="10"/>
        <v/>
      </c>
      <c r="AS31" s="71" t="str">
        <f t="shared" si="11"/>
        <v/>
      </c>
      <c r="AT31" s="69" t="str">
        <f t="shared" si="6"/>
        <v>Belum Dapat Ditentukan</v>
      </c>
      <c r="AU31" s="66" t="s">
        <v>1190</v>
      </c>
      <c r="AV31" s="66" t="s">
        <v>1205</v>
      </c>
      <c r="AW31" s="66" t="s">
        <v>1191</v>
      </c>
      <c r="AX31" s="66"/>
      <c r="AY31" s="66"/>
      <c r="AZ31" s="66" t="s">
        <v>927</v>
      </c>
      <c r="BA31" s="66"/>
      <c r="BB31" s="72"/>
      <c r="BC31" s="73">
        <v>2026</v>
      </c>
      <c r="BD31" s="66"/>
      <c r="BE31" s="72"/>
      <c r="BF31" s="66" t="s">
        <v>1279</v>
      </c>
    </row>
    <row r="32" spans="1:58" ht="28">
      <c r="A32" s="66" t="s">
        <v>1395</v>
      </c>
      <c r="B32" s="66" t="s">
        <v>1417</v>
      </c>
      <c r="C32" s="66"/>
      <c r="D32" s="66"/>
      <c r="E32" s="66" t="s">
        <v>1418</v>
      </c>
      <c r="F32" s="66" t="s">
        <v>1419</v>
      </c>
      <c r="G32" s="66" t="s">
        <v>1365</v>
      </c>
      <c r="H32" s="66" t="s">
        <v>1196</v>
      </c>
      <c r="I32" s="66" t="s">
        <v>1420</v>
      </c>
      <c r="J32" s="66" t="s">
        <v>1183</v>
      </c>
      <c r="K32" s="66" t="s">
        <v>1278</v>
      </c>
      <c r="L32" s="66" t="s">
        <v>1216</v>
      </c>
      <c r="M32" s="66" t="s">
        <v>1266</v>
      </c>
      <c r="N32" s="66" t="s">
        <v>1216</v>
      </c>
      <c r="O32" s="66" t="s">
        <v>1278</v>
      </c>
      <c r="P32" s="66" t="s">
        <v>1216</v>
      </c>
      <c r="Q32" s="87" t="s">
        <v>1216</v>
      </c>
      <c r="R32" s="87" t="s">
        <v>1216</v>
      </c>
      <c r="S32" s="87" t="s">
        <v>1216</v>
      </c>
      <c r="T32" s="87" t="s">
        <v>1216</v>
      </c>
      <c r="U32" s="87" t="s">
        <v>1216</v>
      </c>
      <c r="V32" s="87" t="s">
        <v>1216</v>
      </c>
      <c r="W32" s="67"/>
      <c r="X32" s="85" t="str">
        <f t="shared" si="0"/>
        <v>Belum Dinilai</v>
      </c>
      <c r="Y32" s="85" t="str">
        <f t="shared" si="1"/>
        <v>Belum Dinilai</v>
      </c>
      <c r="Z32" s="86" t="str">
        <f t="shared" si="2"/>
        <v/>
      </c>
      <c r="AA32" s="86" t="str">
        <f t="shared" si="3"/>
        <v/>
      </c>
      <c r="AB32" s="86" t="str">
        <f t="shared" si="7"/>
        <v/>
      </c>
      <c r="AC32" s="68" t="s">
        <v>1216</v>
      </c>
      <c r="AD32" s="68" t="s">
        <v>1216</v>
      </c>
      <c r="AE32" s="68" t="s">
        <v>1216</v>
      </c>
      <c r="AF32" s="68" t="s">
        <v>1216</v>
      </c>
      <c r="AG32" s="68" t="s">
        <v>1216</v>
      </c>
      <c r="AH32" s="68" t="s">
        <v>1216</v>
      </c>
      <c r="AI32" s="68" t="s">
        <v>1216</v>
      </c>
      <c r="AJ32" s="68" t="s">
        <v>1216</v>
      </c>
      <c r="AK32" s="68" t="s">
        <v>1216</v>
      </c>
      <c r="AL32" s="68"/>
      <c r="AM32" s="68" t="s">
        <v>1216</v>
      </c>
      <c r="AN32" s="68" t="str">
        <f t="shared" si="4"/>
        <v>Belum Dinilai</v>
      </c>
      <c r="AO32" s="68" t="str">
        <f t="shared" si="9"/>
        <v>Belum Dinilai</v>
      </c>
      <c r="AP32" s="68"/>
      <c r="AQ32" s="71" t="str">
        <f t="shared" si="5"/>
        <v/>
      </c>
      <c r="AR32" s="71" t="str">
        <f t="shared" si="10"/>
        <v/>
      </c>
      <c r="AS32" s="71" t="str">
        <f t="shared" si="11"/>
        <v/>
      </c>
      <c r="AT32" s="69" t="str">
        <f t="shared" si="6"/>
        <v>Belum Dapat Ditentukan</v>
      </c>
      <c r="AU32" s="66" t="s">
        <v>1204</v>
      </c>
      <c r="AV32" s="66" t="s">
        <v>1205</v>
      </c>
      <c r="AW32" s="66" t="s">
        <v>1191</v>
      </c>
      <c r="AX32" s="66"/>
      <c r="AY32" s="66"/>
      <c r="AZ32" s="66" t="s">
        <v>927</v>
      </c>
      <c r="BA32" s="66"/>
      <c r="BB32" s="72"/>
      <c r="BC32" s="73">
        <v>2026</v>
      </c>
      <c r="BD32" s="66"/>
      <c r="BE32" s="72"/>
      <c r="BF32" s="66" t="s">
        <v>1279</v>
      </c>
    </row>
    <row r="33" spans="1:58" ht="28">
      <c r="A33" s="66" t="s">
        <v>1949</v>
      </c>
      <c r="B33" s="66" t="s">
        <v>1422</v>
      </c>
      <c r="C33" s="66"/>
      <c r="D33" s="66"/>
      <c r="E33" s="66" t="s">
        <v>1423</v>
      </c>
      <c r="F33" s="66" t="s">
        <v>1419</v>
      </c>
      <c r="G33" s="66" t="s">
        <v>1365</v>
      </c>
      <c r="H33" s="66" t="s">
        <v>1196</v>
      </c>
      <c r="I33" s="66" t="s">
        <v>1420</v>
      </c>
      <c r="J33" s="66" t="s">
        <v>1183</v>
      </c>
      <c r="K33" s="66" t="s">
        <v>1278</v>
      </c>
      <c r="L33" s="66" t="s">
        <v>1216</v>
      </c>
      <c r="M33" s="66" t="s">
        <v>1266</v>
      </c>
      <c r="N33" s="66" t="s">
        <v>1216</v>
      </c>
      <c r="O33" s="66" t="s">
        <v>1278</v>
      </c>
      <c r="P33" s="66" t="s">
        <v>1216</v>
      </c>
      <c r="Q33" s="87" t="s">
        <v>1216</v>
      </c>
      <c r="R33" s="87" t="s">
        <v>1216</v>
      </c>
      <c r="S33" s="87" t="s">
        <v>1216</v>
      </c>
      <c r="T33" s="87" t="s">
        <v>1216</v>
      </c>
      <c r="U33" s="87" t="s">
        <v>1216</v>
      </c>
      <c r="V33" s="87" t="s">
        <v>1216</v>
      </c>
      <c r="W33" s="67"/>
      <c r="X33" s="85" t="str">
        <f t="shared" si="0"/>
        <v>Belum Dinilai</v>
      </c>
      <c r="Y33" s="85" t="str">
        <f t="shared" si="1"/>
        <v>Belum Dinilai</v>
      </c>
      <c r="Z33" s="86" t="str">
        <f t="shared" si="2"/>
        <v/>
      </c>
      <c r="AA33" s="86" t="str">
        <f t="shared" si="3"/>
        <v/>
      </c>
      <c r="AB33" s="86" t="str">
        <f t="shared" si="7"/>
        <v/>
      </c>
      <c r="AC33" s="68" t="s">
        <v>1216</v>
      </c>
      <c r="AD33" s="68" t="s">
        <v>1216</v>
      </c>
      <c r="AE33" s="68" t="s">
        <v>1216</v>
      </c>
      <c r="AF33" s="68" t="s">
        <v>1216</v>
      </c>
      <c r="AG33" s="68" t="s">
        <v>1216</v>
      </c>
      <c r="AH33" s="68" t="s">
        <v>1216</v>
      </c>
      <c r="AI33" s="68" t="s">
        <v>1216</v>
      </c>
      <c r="AJ33" s="68" t="s">
        <v>1216</v>
      </c>
      <c r="AK33" s="68" t="s">
        <v>1216</v>
      </c>
      <c r="AL33" s="68"/>
      <c r="AM33" s="68" t="s">
        <v>1216</v>
      </c>
      <c r="AN33" s="68" t="str">
        <f t="shared" si="4"/>
        <v>Belum Dinilai</v>
      </c>
      <c r="AO33" s="68" t="str">
        <f t="shared" si="9"/>
        <v>Belum Dinilai</v>
      </c>
      <c r="AP33" s="68"/>
      <c r="AQ33" s="71" t="str">
        <f t="shared" si="5"/>
        <v/>
      </c>
      <c r="AR33" s="71" t="str">
        <f t="shared" si="10"/>
        <v/>
      </c>
      <c r="AS33" s="71" t="str">
        <f t="shared" si="11"/>
        <v/>
      </c>
      <c r="AT33" s="69" t="str">
        <f t="shared" si="6"/>
        <v>Belum Dapat Ditentukan</v>
      </c>
      <c r="AU33" s="66" t="s">
        <v>1190</v>
      </c>
      <c r="AV33" s="66" t="s">
        <v>1205</v>
      </c>
      <c r="AW33" s="66" t="s">
        <v>1191</v>
      </c>
      <c r="AX33" s="66"/>
      <c r="AY33" s="66"/>
      <c r="AZ33" s="66" t="s">
        <v>927</v>
      </c>
      <c r="BA33" s="66"/>
      <c r="BB33" s="72"/>
      <c r="BC33" s="73">
        <v>2026</v>
      </c>
      <c r="BD33" s="66"/>
      <c r="BE33" s="72"/>
      <c r="BF33" s="66" t="s">
        <v>1279</v>
      </c>
    </row>
    <row r="34" spans="1:58" ht="42">
      <c r="A34" s="66" t="s">
        <v>1398</v>
      </c>
      <c r="B34" s="66" t="s">
        <v>1425</v>
      </c>
      <c r="C34" s="66"/>
      <c r="D34" s="66"/>
      <c r="E34" s="66" t="s">
        <v>1426</v>
      </c>
      <c r="F34" s="66" t="s">
        <v>1419</v>
      </c>
      <c r="G34" s="66" t="s">
        <v>1365</v>
      </c>
      <c r="H34" s="66" t="s">
        <v>1182</v>
      </c>
      <c r="I34" s="66" t="s">
        <v>1402</v>
      </c>
      <c r="J34" s="66" t="s">
        <v>1211</v>
      </c>
      <c r="K34" s="66" t="s">
        <v>1198</v>
      </c>
      <c r="L34" s="66" t="s">
        <v>905</v>
      </c>
      <c r="M34" s="66" t="s">
        <v>1267</v>
      </c>
      <c r="N34" s="66" t="s">
        <v>905</v>
      </c>
      <c r="O34" s="66" t="s">
        <v>1214</v>
      </c>
      <c r="P34" s="66" t="s">
        <v>905</v>
      </c>
      <c r="Q34" s="87" t="s">
        <v>1216</v>
      </c>
      <c r="R34" s="87" t="s">
        <v>1216</v>
      </c>
      <c r="S34" s="87" t="s">
        <v>1216</v>
      </c>
      <c r="T34" s="87" t="s">
        <v>1216</v>
      </c>
      <c r="U34" s="87" t="s">
        <v>1216</v>
      </c>
      <c r="V34" s="87" t="s">
        <v>1216</v>
      </c>
      <c r="W34" s="67"/>
      <c r="X34" s="85" t="str">
        <f t="shared" si="0"/>
        <v>Belum Dinilai</v>
      </c>
      <c r="Y34" s="85" t="str">
        <f t="shared" si="1"/>
        <v>Belum Dinilai</v>
      </c>
      <c r="Z34" s="86" t="str">
        <f t="shared" si="2"/>
        <v/>
      </c>
      <c r="AA34" s="86" t="str">
        <f t="shared" si="3"/>
        <v/>
      </c>
      <c r="AB34" s="86" t="str">
        <f t="shared" si="7"/>
        <v/>
      </c>
      <c r="AC34" s="68" t="s">
        <v>1216</v>
      </c>
      <c r="AD34" s="68" t="s">
        <v>1216</v>
      </c>
      <c r="AE34" s="68" t="s">
        <v>1216</v>
      </c>
      <c r="AF34" s="68" t="s">
        <v>1216</v>
      </c>
      <c r="AG34" s="68" t="s">
        <v>1216</v>
      </c>
      <c r="AH34" s="68" t="s">
        <v>1216</v>
      </c>
      <c r="AI34" s="68" t="s">
        <v>1216</v>
      </c>
      <c r="AJ34" s="68" t="s">
        <v>1216</v>
      </c>
      <c r="AK34" s="68" t="s">
        <v>1216</v>
      </c>
      <c r="AL34" s="68"/>
      <c r="AM34" s="68" t="s">
        <v>1216</v>
      </c>
      <c r="AN34" s="68" t="str">
        <f t="shared" si="4"/>
        <v>Belum Dinilai</v>
      </c>
      <c r="AO34" s="68" t="str">
        <f t="shared" si="9"/>
        <v>Belum Dinilai</v>
      </c>
      <c r="AP34" s="68"/>
      <c r="AQ34" s="71">
        <f t="shared" si="5"/>
        <v>43</v>
      </c>
      <c r="AR34" s="71" t="str">
        <f t="shared" si="10"/>
        <v/>
      </c>
      <c r="AS34" s="71" t="str">
        <f t="shared" si="11"/>
        <v/>
      </c>
      <c r="AT34" s="69" t="str">
        <f t="shared" si="6"/>
        <v>Belum Dapat Ditentukan</v>
      </c>
      <c r="AU34" s="66" t="s">
        <v>1190</v>
      </c>
      <c r="AV34" s="66" t="s">
        <v>1205</v>
      </c>
      <c r="AW34" s="66" t="s">
        <v>1191</v>
      </c>
      <c r="AX34" s="66"/>
      <c r="AY34" s="66"/>
      <c r="AZ34" s="66" t="s">
        <v>927</v>
      </c>
      <c r="BA34" s="66"/>
      <c r="BB34" s="72"/>
      <c r="BC34" s="73">
        <v>2026</v>
      </c>
      <c r="BD34" s="66"/>
      <c r="BE34" s="72"/>
      <c r="BF34" s="66" t="s">
        <v>1279</v>
      </c>
    </row>
    <row r="35" spans="1:58" ht="42">
      <c r="A35" s="66" t="s">
        <v>1403</v>
      </c>
      <c r="B35" s="66" t="s">
        <v>1428</v>
      </c>
      <c r="C35" s="66"/>
      <c r="D35" s="66"/>
      <c r="E35" s="66" t="s">
        <v>1308</v>
      </c>
      <c r="F35" s="66" t="s">
        <v>1308</v>
      </c>
      <c r="G35" s="66" t="s">
        <v>1308</v>
      </c>
      <c r="H35" s="66" t="s">
        <v>1182</v>
      </c>
      <c r="I35" s="66" t="s">
        <v>1402</v>
      </c>
      <c r="J35" s="66" t="s">
        <v>1211</v>
      </c>
      <c r="K35" s="66" t="s">
        <v>1198</v>
      </c>
      <c r="L35" s="66" t="s">
        <v>905</v>
      </c>
      <c r="M35" s="66" t="s">
        <v>1267</v>
      </c>
      <c r="N35" s="66" t="s">
        <v>905</v>
      </c>
      <c r="O35" s="66" t="s">
        <v>1214</v>
      </c>
      <c r="P35" s="66" t="s">
        <v>905</v>
      </c>
      <c r="Q35" s="87" t="s">
        <v>1216</v>
      </c>
      <c r="R35" s="87" t="s">
        <v>1216</v>
      </c>
      <c r="S35" s="87" t="s">
        <v>1216</v>
      </c>
      <c r="T35" s="87" t="s">
        <v>1216</v>
      </c>
      <c r="U35" s="87" t="s">
        <v>1216</v>
      </c>
      <c r="V35" s="87" t="s">
        <v>1216</v>
      </c>
      <c r="W35" s="67"/>
      <c r="X35" s="85" t="str">
        <f t="shared" si="0"/>
        <v>Belum Dinilai</v>
      </c>
      <c r="Y35" s="85" t="str">
        <f t="shared" si="1"/>
        <v>Belum Dinilai</v>
      </c>
      <c r="Z35" s="86" t="str">
        <f t="shared" si="2"/>
        <v/>
      </c>
      <c r="AA35" s="86" t="str">
        <f t="shared" si="3"/>
        <v/>
      </c>
      <c r="AB35" s="86" t="str">
        <f t="shared" si="7"/>
        <v/>
      </c>
      <c r="AC35" s="68" t="s">
        <v>1216</v>
      </c>
      <c r="AD35" s="68" t="s">
        <v>1216</v>
      </c>
      <c r="AE35" s="68" t="s">
        <v>1216</v>
      </c>
      <c r="AF35" s="68" t="s">
        <v>1216</v>
      </c>
      <c r="AG35" s="68" t="s">
        <v>1216</v>
      </c>
      <c r="AH35" s="68" t="s">
        <v>1216</v>
      </c>
      <c r="AI35" s="68" t="s">
        <v>1216</v>
      </c>
      <c r="AJ35" s="68" t="s">
        <v>1216</v>
      </c>
      <c r="AK35" s="68" t="s">
        <v>1216</v>
      </c>
      <c r="AL35" s="68"/>
      <c r="AM35" s="68" t="s">
        <v>1216</v>
      </c>
      <c r="AN35" s="68" t="str">
        <f t="shared" si="4"/>
        <v>Belum Dinilai</v>
      </c>
      <c r="AO35" s="68" t="str">
        <f t="shared" si="9"/>
        <v>Belum Dinilai</v>
      </c>
      <c r="AP35" s="68"/>
      <c r="AQ35" s="71">
        <f t="shared" si="5"/>
        <v>43</v>
      </c>
      <c r="AR35" s="71" t="str">
        <f t="shared" si="10"/>
        <v/>
      </c>
      <c r="AS35" s="71" t="str">
        <f t="shared" si="11"/>
        <v/>
      </c>
      <c r="AT35" s="69" t="str">
        <f t="shared" si="6"/>
        <v>Belum Dapat Ditentukan</v>
      </c>
      <c r="AU35" s="66" t="s">
        <v>1204</v>
      </c>
      <c r="AV35" s="66" t="s">
        <v>1205</v>
      </c>
      <c r="AW35" s="66" t="s">
        <v>1191</v>
      </c>
      <c r="AX35" s="66"/>
      <c r="AY35" s="66"/>
      <c r="AZ35" s="66" t="s">
        <v>927</v>
      </c>
      <c r="BA35" s="66"/>
      <c r="BB35" s="72"/>
      <c r="BC35" s="73">
        <v>2026</v>
      </c>
      <c r="BD35" s="66"/>
      <c r="BE35" s="72"/>
      <c r="BF35" s="66" t="s">
        <v>1279</v>
      </c>
    </row>
    <row r="36" spans="1:58">
      <c r="A36" s="66" t="s">
        <v>1408</v>
      </c>
      <c r="B36" s="66" t="s">
        <v>1430</v>
      </c>
      <c r="C36" s="84" t="s">
        <v>1915</v>
      </c>
      <c r="D36" s="84" t="s">
        <v>1916</v>
      </c>
      <c r="E36" s="66" t="s">
        <v>1917</v>
      </c>
      <c r="F36" s="66" t="s">
        <v>1431</v>
      </c>
      <c r="G36" s="66" t="s">
        <v>810</v>
      </c>
      <c r="H36" s="66" t="s">
        <v>1182</v>
      </c>
      <c r="I36" s="66"/>
      <c r="J36" s="66" t="s">
        <v>1211</v>
      </c>
      <c r="K36" s="66" t="s">
        <v>1198</v>
      </c>
      <c r="L36" s="66" t="s">
        <v>895</v>
      </c>
      <c r="M36" s="66" t="s">
        <v>1267</v>
      </c>
      <c r="N36" s="66" t="s">
        <v>905</v>
      </c>
      <c r="O36" s="66" t="s">
        <v>1267</v>
      </c>
      <c r="P36" s="66" t="s">
        <v>895</v>
      </c>
      <c r="Q36" s="87" t="s">
        <v>1187</v>
      </c>
      <c r="R36" s="87" t="s">
        <v>1188</v>
      </c>
      <c r="S36" s="87" t="s">
        <v>1202</v>
      </c>
      <c r="T36" s="87" t="s">
        <v>1188</v>
      </c>
      <c r="U36" s="87" t="s">
        <v>1202</v>
      </c>
      <c r="V36" s="87" t="s">
        <v>1216</v>
      </c>
      <c r="W36" s="67"/>
      <c r="X36" s="85" t="str">
        <f t="shared" si="0"/>
        <v>Belum Dinilai</v>
      </c>
      <c r="Y36" s="85" t="str">
        <f t="shared" si="1"/>
        <v>Belum Dinilai</v>
      </c>
      <c r="Z36" s="86">
        <f t="shared" si="2"/>
        <v>10</v>
      </c>
      <c r="AA36" s="86" t="str">
        <f t="shared" si="3"/>
        <v/>
      </c>
      <c r="AB36" s="86" t="str">
        <f>IF(OR(Z36="",AA36=""),"",Z36+AA36)</f>
        <v/>
      </c>
      <c r="AC36" s="68" t="s">
        <v>1216</v>
      </c>
      <c r="AD36" s="68" t="s">
        <v>1202</v>
      </c>
      <c r="AE36" s="68" t="s">
        <v>1216</v>
      </c>
      <c r="AF36" s="68" t="s">
        <v>1216</v>
      </c>
      <c r="AG36" s="68" t="s">
        <v>1216</v>
      </c>
      <c r="AH36" s="68" t="s">
        <v>1188</v>
      </c>
      <c r="AI36" s="68" t="s">
        <v>1188</v>
      </c>
      <c r="AJ36" s="68" t="s">
        <v>1216</v>
      </c>
      <c r="AK36" s="68" t="s">
        <v>1216</v>
      </c>
      <c r="AL36" s="68"/>
      <c r="AM36" s="68" t="s">
        <v>1216</v>
      </c>
      <c r="AN36" s="68" t="str">
        <f>IF(AND(COUNTIF(AC36:AK36,"Ya")=0,AL36=""),IF(COUNTIF(AC36:AK36,"Belum Dinilai")&gt;0,"Belum Dinilai","Tidak ada risiko khusus"),IF(AC36="Ya","Bangunan berpotensi roboh; ","")&amp;IF(AD36="Ya","Bekas kebakaran dan tidak aman dihuni; ","")&amp;IF(AE36="Ya","Atap atau dinding utama hampir runtuh; ","")&amp;IF(AF36="Ya","Genangan yang membahayakan; ","")&amp;IF(AG36="Ya","Struktur rumah tidak stabil; ","")&amp;IF(AH36="Ya","Instalasi listrik berbahaya; ","")&amp;IF(AI36="Ya","Komponen bangunan lepas atau lapuk; ","")&amp;IF(AJ36="Ya","Akses keluar atau evakuasi terbatas; ","")&amp;IF(AK36="Ya","Lokasi rawan bencana; ","")&amp;IF(AL36&lt;&gt;"","Lainnya: "&amp;AL36,""))</f>
        <v xml:space="preserve">Instalasi listrik berbahaya; Komponen bangunan lepas atau lapuk; </v>
      </c>
      <c r="AO36" s="68" t="str">
        <f>IF(AR36="","Belum Dinilai",IF(AR36=10,"Risiko Tinggi/Darurat",IF(AR36=5,"Risiko Sedang","Tidak Ada Risiko Khusus")))</f>
        <v>Risiko Tinggi/Darurat</v>
      </c>
      <c r="AP36" s="68"/>
      <c r="AQ36" s="71">
        <f t="shared" si="5"/>
        <v>52</v>
      </c>
      <c r="AR36" s="71">
        <f t="shared" si="10"/>
        <v>10</v>
      </c>
      <c r="AS36" s="71" t="str">
        <f>IF(OR(AQ36="",AB36="",AR36=""),"",AQ36+AB36+AR36)</f>
        <v/>
      </c>
      <c r="AT36" s="69" t="str">
        <f t="shared" si="6"/>
        <v>Belum Dapat Ditentukan</v>
      </c>
      <c r="AU36" s="66"/>
      <c r="AV36" s="66"/>
      <c r="AW36" s="66" t="s">
        <v>1191</v>
      </c>
      <c r="AX36" s="66"/>
      <c r="AY36" s="66"/>
      <c r="AZ36" s="66" t="s">
        <v>1193</v>
      </c>
      <c r="BA36" s="66"/>
      <c r="BB36" s="72"/>
      <c r="BC36" s="73"/>
      <c r="BD36" s="66"/>
      <c r="BE36" s="72"/>
      <c r="BF36" s="66"/>
    </row>
    <row r="37" spans="1:58" ht="56">
      <c r="A37" s="66" t="s">
        <v>1412</v>
      </c>
      <c r="B37" s="66" t="s">
        <v>1433</v>
      </c>
      <c r="C37" s="66"/>
      <c r="D37" s="66"/>
      <c r="E37" s="66" t="s">
        <v>1434</v>
      </c>
      <c r="F37" s="66" t="s">
        <v>1435</v>
      </c>
      <c r="G37" s="66" t="s">
        <v>1314</v>
      </c>
      <c r="H37" s="66" t="s">
        <v>1182</v>
      </c>
      <c r="I37" s="66" t="s">
        <v>1436</v>
      </c>
      <c r="J37" s="66" t="s">
        <v>1211</v>
      </c>
      <c r="K37" s="66" t="s">
        <v>1198</v>
      </c>
      <c r="L37" s="66" t="s">
        <v>895</v>
      </c>
      <c r="M37" s="66" t="s">
        <v>1267</v>
      </c>
      <c r="N37" s="66" t="s">
        <v>895</v>
      </c>
      <c r="O37" s="66" t="s">
        <v>1267</v>
      </c>
      <c r="P37" s="66" t="s">
        <v>895</v>
      </c>
      <c r="Q37" s="87" t="s">
        <v>1216</v>
      </c>
      <c r="R37" s="87" t="s">
        <v>1216</v>
      </c>
      <c r="S37" s="87" t="s">
        <v>1216</v>
      </c>
      <c r="T37" s="87" t="s">
        <v>1216</v>
      </c>
      <c r="U37" s="87" t="s">
        <v>1216</v>
      </c>
      <c r="V37" s="87" t="s">
        <v>1216</v>
      </c>
      <c r="W37" s="67"/>
      <c r="X37" s="85" t="str">
        <f t="shared" si="0"/>
        <v>Belum Dinilai</v>
      </c>
      <c r="Y37" s="85" t="str">
        <f t="shared" si="1"/>
        <v>Belum Dinilai</v>
      </c>
      <c r="Z37" s="86" t="str">
        <f t="shared" si="2"/>
        <v/>
      </c>
      <c r="AA37" s="86" t="str">
        <f t="shared" si="3"/>
        <v/>
      </c>
      <c r="AB37" s="86" t="str">
        <f t="shared" si="7"/>
        <v/>
      </c>
      <c r="AC37" s="68" t="s">
        <v>1216</v>
      </c>
      <c r="AD37" s="68" t="s">
        <v>1216</v>
      </c>
      <c r="AE37" s="68" t="s">
        <v>1216</v>
      </c>
      <c r="AF37" s="68" t="s">
        <v>1216</v>
      </c>
      <c r="AG37" s="68" t="s">
        <v>1216</v>
      </c>
      <c r="AH37" s="68" t="s">
        <v>1216</v>
      </c>
      <c r="AI37" s="68" t="s">
        <v>1216</v>
      </c>
      <c r="AJ37" s="68" t="s">
        <v>1216</v>
      </c>
      <c r="AK37" s="68" t="s">
        <v>1216</v>
      </c>
      <c r="AL37" s="68"/>
      <c r="AM37" s="68" t="s">
        <v>1216</v>
      </c>
      <c r="AN37" s="68" t="str">
        <f t="shared" si="4"/>
        <v>Belum Dinilai</v>
      </c>
      <c r="AO37" s="68" t="str">
        <f t="shared" si="9"/>
        <v>Belum Dinilai</v>
      </c>
      <c r="AP37" s="68"/>
      <c r="AQ37" s="71">
        <f t="shared" si="5"/>
        <v>57</v>
      </c>
      <c r="AR37" s="71" t="str">
        <f t="shared" si="10"/>
        <v/>
      </c>
      <c r="AS37" s="71" t="str">
        <f t="shared" si="11"/>
        <v/>
      </c>
      <c r="AT37" s="69" t="str">
        <f t="shared" si="6"/>
        <v>Belum Dapat Ditentukan</v>
      </c>
      <c r="AU37" s="66" t="s">
        <v>1190</v>
      </c>
      <c r="AV37" s="66" t="s">
        <v>1205</v>
      </c>
      <c r="AW37" s="66" t="s">
        <v>1909</v>
      </c>
      <c r="AX37" s="66" t="s">
        <v>1207</v>
      </c>
      <c r="AY37" s="66">
        <v>2023</v>
      </c>
      <c r="AZ37" s="66" t="s">
        <v>927</v>
      </c>
      <c r="BA37" s="66"/>
      <c r="BB37" s="72"/>
      <c r="BC37" s="73">
        <v>2026</v>
      </c>
      <c r="BD37" s="66"/>
      <c r="BE37" s="72"/>
      <c r="BF37" s="66" t="s">
        <v>1279</v>
      </c>
    </row>
    <row r="38" spans="1:58" ht="28">
      <c r="A38" s="66" t="s">
        <v>1950</v>
      </c>
      <c r="B38" s="66" t="s">
        <v>1441</v>
      </c>
      <c r="C38" s="66"/>
      <c r="D38" s="66"/>
      <c r="E38" s="66" t="s">
        <v>1308</v>
      </c>
      <c r="F38" s="66" t="s">
        <v>1435</v>
      </c>
      <c r="G38" s="66" t="s">
        <v>1314</v>
      </c>
      <c r="H38" s="66" t="s">
        <v>1182</v>
      </c>
      <c r="I38" s="66" t="s">
        <v>1442</v>
      </c>
      <c r="J38" s="66" t="s">
        <v>1211</v>
      </c>
      <c r="K38" s="66" t="s">
        <v>1212</v>
      </c>
      <c r="L38" s="66" t="s">
        <v>891</v>
      </c>
      <c r="M38" s="66" t="s">
        <v>1267</v>
      </c>
      <c r="N38" s="66" t="s">
        <v>891</v>
      </c>
      <c r="O38" s="66" t="s">
        <v>1214</v>
      </c>
      <c r="P38" s="66" t="s">
        <v>891</v>
      </c>
      <c r="Q38" s="87" t="s">
        <v>1216</v>
      </c>
      <c r="R38" s="87" t="s">
        <v>1216</v>
      </c>
      <c r="S38" s="87" t="s">
        <v>1216</v>
      </c>
      <c r="T38" s="87" t="s">
        <v>1216</v>
      </c>
      <c r="U38" s="87" t="s">
        <v>1216</v>
      </c>
      <c r="V38" s="87" t="s">
        <v>1216</v>
      </c>
      <c r="W38" s="67"/>
      <c r="X38" s="85" t="str">
        <f t="shared" si="0"/>
        <v>Belum Dinilai</v>
      </c>
      <c r="Y38" s="85" t="str">
        <f t="shared" si="1"/>
        <v>Belum Dinilai</v>
      </c>
      <c r="Z38" s="86" t="str">
        <f t="shared" si="2"/>
        <v/>
      </c>
      <c r="AA38" s="86" t="str">
        <f t="shared" si="3"/>
        <v/>
      </c>
      <c r="AB38" s="86" t="str">
        <f t="shared" si="7"/>
        <v/>
      </c>
      <c r="AC38" s="68" t="s">
        <v>1216</v>
      </c>
      <c r="AD38" s="68" t="s">
        <v>1216</v>
      </c>
      <c r="AE38" s="68" t="s">
        <v>1216</v>
      </c>
      <c r="AF38" s="68" t="s">
        <v>1216</v>
      </c>
      <c r="AG38" s="68" t="s">
        <v>1216</v>
      </c>
      <c r="AH38" s="68" t="s">
        <v>1216</v>
      </c>
      <c r="AI38" s="68" t="s">
        <v>1216</v>
      </c>
      <c r="AJ38" s="68" t="s">
        <v>1216</v>
      </c>
      <c r="AK38" s="68" t="s">
        <v>1216</v>
      </c>
      <c r="AL38" s="68"/>
      <c r="AM38" s="68" t="s">
        <v>1216</v>
      </c>
      <c r="AN38" s="68" t="str">
        <f t="shared" si="4"/>
        <v>Belum Dinilai</v>
      </c>
      <c r="AO38" s="68" t="str">
        <f t="shared" si="9"/>
        <v>Belum Dinilai</v>
      </c>
      <c r="AP38" s="68"/>
      <c r="AQ38" s="71">
        <f t="shared" si="5"/>
        <v>29</v>
      </c>
      <c r="AR38" s="71" t="str">
        <f t="shared" si="10"/>
        <v/>
      </c>
      <c r="AS38" s="71" t="str">
        <f t="shared" si="11"/>
        <v/>
      </c>
      <c r="AT38" s="69" t="str">
        <f t="shared" si="6"/>
        <v>Belum Dapat Ditentukan</v>
      </c>
      <c r="AU38" s="66" t="s">
        <v>1204</v>
      </c>
      <c r="AV38" s="66" t="s">
        <v>1205</v>
      </c>
      <c r="AW38" s="66" t="s">
        <v>1191</v>
      </c>
      <c r="AX38" s="66"/>
      <c r="AY38" s="66"/>
      <c r="AZ38" s="66" t="s">
        <v>927</v>
      </c>
      <c r="BA38" s="66"/>
      <c r="BB38" s="72"/>
      <c r="BC38" s="73">
        <v>2026</v>
      </c>
      <c r="BD38" s="66"/>
      <c r="BE38" s="72"/>
      <c r="BF38" s="66" t="s">
        <v>1279</v>
      </c>
    </row>
    <row r="39" spans="1:58" ht="56">
      <c r="A39" s="66" t="s">
        <v>1416</v>
      </c>
      <c r="B39" s="66" t="s">
        <v>1444</v>
      </c>
      <c r="C39" s="66"/>
      <c r="D39" s="66"/>
      <c r="E39" s="66" t="s">
        <v>1445</v>
      </c>
      <c r="F39" s="66" t="s">
        <v>1435</v>
      </c>
      <c r="G39" s="66" t="s">
        <v>1314</v>
      </c>
      <c r="H39" s="66" t="s">
        <v>1182</v>
      </c>
      <c r="I39" s="66" t="s">
        <v>1446</v>
      </c>
      <c r="J39" s="66" t="s">
        <v>1211</v>
      </c>
      <c r="K39" s="66" t="s">
        <v>1198</v>
      </c>
      <c r="L39" s="66" t="s">
        <v>891</v>
      </c>
      <c r="M39" s="66" t="s">
        <v>1267</v>
      </c>
      <c r="N39" s="66" t="s">
        <v>891</v>
      </c>
      <c r="O39" s="66" t="s">
        <v>1214</v>
      </c>
      <c r="P39" s="66" t="s">
        <v>891</v>
      </c>
      <c r="Q39" s="87" t="s">
        <v>1216</v>
      </c>
      <c r="R39" s="87" t="s">
        <v>1216</v>
      </c>
      <c r="S39" s="87" t="s">
        <v>1216</v>
      </c>
      <c r="T39" s="87" t="s">
        <v>1216</v>
      </c>
      <c r="U39" s="87" t="s">
        <v>1216</v>
      </c>
      <c r="V39" s="87" t="s">
        <v>1216</v>
      </c>
      <c r="W39" s="67"/>
      <c r="X39" s="85" t="str">
        <f t="shared" si="0"/>
        <v>Belum Dinilai</v>
      </c>
      <c r="Y39" s="85" t="str">
        <f t="shared" si="1"/>
        <v>Belum Dinilai</v>
      </c>
      <c r="Z39" s="86" t="str">
        <f t="shared" si="2"/>
        <v/>
      </c>
      <c r="AA39" s="86" t="str">
        <f t="shared" si="3"/>
        <v/>
      </c>
      <c r="AB39" s="86" t="str">
        <f t="shared" si="7"/>
        <v/>
      </c>
      <c r="AC39" s="68" t="s">
        <v>1216</v>
      </c>
      <c r="AD39" s="68" t="s">
        <v>1216</v>
      </c>
      <c r="AE39" s="68" t="s">
        <v>1216</v>
      </c>
      <c r="AF39" s="68" t="s">
        <v>1216</v>
      </c>
      <c r="AG39" s="68" t="s">
        <v>1216</v>
      </c>
      <c r="AH39" s="68" t="s">
        <v>1216</v>
      </c>
      <c r="AI39" s="68" t="s">
        <v>1216</v>
      </c>
      <c r="AJ39" s="68" t="s">
        <v>1216</v>
      </c>
      <c r="AK39" s="68" t="s">
        <v>1216</v>
      </c>
      <c r="AL39" s="68"/>
      <c r="AM39" s="68" t="s">
        <v>1216</v>
      </c>
      <c r="AN39" s="68" t="str">
        <f t="shared" si="4"/>
        <v>Belum Dinilai</v>
      </c>
      <c r="AO39" s="68" t="str">
        <f t="shared" si="9"/>
        <v>Belum Dinilai</v>
      </c>
      <c r="AP39" s="68"/>
      <c r="AQ39" s="71">
        <f t="shared" si="5"/>
        <v>29</v>
      </c>
      <c r="AR39" s="71" t="str">
        <f t="shared" si="10"/>
        <v/>
      </c>
      <c r="AS39" s="71" t="str">
        <f t="shared" si="11"/>
        <v/>
      </c>
      <c r="AT39" s="69" t="str">
        <f t="shared" si="6"/>
        <v>Belum Dapat Ditentukan</v>
      </c>
      <c r="AU39" s="66" t="s">
        <v>1190</v>
      </c>
      <c r="AV39" s="66" t="s">
        <v>1205</v>
      </c>
      <c r="AW39" s="66" t="s">
        <v>1909</v>
      </c>
      <c r="AX39" s="66" t="s">
        <v>1269</v>
      </c>
      <c r="AY39" s="66">
        <v>2023</v>
      </c>
      <c r="AZ39" s="66" t="s">
        <v>1208</v>
      </c>
      <c r="BA39" s="66"/>
      <c r="BB39" s="72"/>
      <c r="BC39" s="73">
        <v>2026</v>
      </c>
      <c r="BD39" s="66"/>
      <c r="BE39" s="72"/>
      <c r="BF39" s="66" t="s">
        <v>1279</v>
      </c>
    </row>
    <row r="40" spans="1:58" ht="56">
      <c r="A40" s="66" t="s">
        <v>1421</v>
      </c>
      <c r="B40" s="66" t="s">
        <v>1448</v>
      </c>
      <c r="C40" s="66"/>
      <c r="D40" s="66"/>
      <c r="E40" s="66" t="s">
        <v>1445</v>
      </c>
      <c r="F40" s="66" t="s">
        <v>1435</v>
      </c>
      <c r="G40" s="66" t="s">
        <v>1314</v>
      </c>
      <c r="H40" s="66" t="s">
        <v>1182</v>
      </c>
      <c r="I40" s="66" t="s">
        <v>1446</v>
      </c>
      <c r="J40" s="66" t="s">
        <v>1211</v>
      </c>
      <c r="K40" s="66" t="s">
        <v>1198</v>
      </c>
      <c r="L40" s="66" t="s">
        <v>891</v>
      </c>
      <c r="M40" s="66" t="s">
        <v>1267</v>
      </c>
      <c r="N40" s="66" t="s">
        <v>891</v>
      </c>
      <c r="O40" s="66" t="s">
        <v>1214</v>
      </c>
      <c r="P40" s="66" t="s">
        <v>891</v>
      </c>
      <c r="Q40" s="87" t="s">
        <v>1216</v>
      </c>
      <c r="R40" s="87" t="s">
        <v>1216</v>
      </c>
      <c r="S40" s="87" t="s">
        <v>1216</v>
      </c>
      <c r="T40" s="87" t="s">
        <v>1216</v>
      </c>
      <c r="U40" s="87" t="s">
        <v>1216</v>
      </c>
      <c r="V40" s="87" t="s">
        <v>1216</v>
      </c>
      <c r="W40" s="67"/>
      <c r="X40" s="85" t="str">
        <f t="shared" si="0"/>
        <v>Belum Dinilai</v>
      </c>
      <c r="Y40" s="85" t="str">
        <f t="shared" si="1"/>
        <v>Belum Dinilai</v>
      </c>
      <c r="Z40" s="86" t="str">
        <f t="shared" si="2"/>
        <v/>
      </c>
      <c r="AA40" s="86" t="str">
        <f t="shared" si="3"/>
        <v/>
      </c>
      <c r="AB40" s="86" t="str">
        <f t="shared" si="7"/>
        <v/>
      </c>
      <c r="AC40" s="68" t="s">
        <v>1216</v>
      </c>
      <c r="AD40" s="68" t="s">
        <v>1216</v>
      </c>
      <c r="AE40" s="68" t="s">
        <v>1216</v>
      </c>
      <c r="AF40" s="68" t="s">
        <v>1216</v>
      </c>
      <c r="AG40" s="68" t="s">
        <v>1216</v>
      </c>
      <c r="AH40" s="68" t="s">
        <v>1216</v>
      </c>
      <c r="AI40" s="68" t="s">
        <v>1216</v>
      </c>
      <c r="AJ40" s="68" t="s">
        <v>1216</v>
      </c>
      <c r="AK40" s="68" t="s">
        <v>1216</v>
      </c>
      <c r="AL40" s="68"/>
      <c r="AM40" s="68" t="s">
        <v>1216</v>
      </c>
      <c r="AN40" s="68" t="str">
        <f t="shared" si="4"/>
        <v>Belum Dinilai</v>
      </c>
      <c r="AO40" s="68" t="str">
        <f t="shared" si="9"/>
        <v>Belum Dinilai</v>
      </c>
      <c r="AP40" s="68"/>
      <c r="AQ40" s="71">
        <f t="shared" si="5"/>
        <v>29</v>
      </c>
      <c r="AR40" s="71" t="str">
        <f t="shared" si="10"/>
        <v/>
      </c>
      <c r="AS40" s="71" t="str">
        <f t="shared" si="11"/>
        <v/>
      </c>
      <c r="AT40" s="69" t="str">
        <f t="shared" si="6"/>
        <v>Belum Dapat Ditentukan</v>
      </c>
      <c r="AU40" s="66" t="s">
        <v>1190</v>
      </c>
      <c r="AV40" s="66" t="s">
        <v>1205</v>
      </c>
      <c r="AW40" s="66" t="s">
        <v>1909</v>
      </c>
      <c r="AX40" s="66" t="s">
        <v>1207</v>
      </c>
      <c r="AY40" s="66">
        <v>2024</v>
      </c>
      <c r="AZ40" s="66" t="s">
        <v>1208</v>
      </c>
      <c r="BA40" s="66"/>
      <c r="BB40" s="72"/>
      <c r="BC40" s="73">
        <v>2026</v>
      </c>
      <c r="BD40" s="66"/>
      <c r="BE40" s="72"/>
      <c r="BF40" s="66" t="s">
        <v>1279</v>
      </c>
    </row>
    <row r="41" spans="1:58" ht="42">
      <c r="A41" s="66" t="s">
        <v>1424</v>
      </c>
      <c r="B41" s="66" t="s">
        <v>1450</v>
      </c>
      <c r="C41" s="66"/>
      <c r="D41" s="66"/>
      <c r="E41" s="66" t="s">
        <v>1451</v>
      </c>
      <c r="F41" s="66" t="s">
        <v>1435</v>
      </c>
      <c r="G41" s="66" t="s">
        <v>1314</v>
      </c>
      <c r="H41" s="66" t="s">
        <v>1196</v>
      </c>
      <c r="I41" s="66" t="s">
        <v>1452</v>
      </c>
      <c r="J41" s="66" t="s">
        <v>1197</v>
      </c>
      <c r="K41" s="66" t="s">
        <v>1198</v>
      </c>
      <c r="L41" s="66" t="s">
        <v>905</v>
      </c>
      <c r="M41" s="66" t="s">
        <v>1309</v>
      </c>
      <c r="N41" s="66" t="s">
        <v>905</v>
      </c>
      <c r="O41" s="66" t="s">
        <v>1186</v>
      </c>
      <c r="P41" s="66" t="s">
        <v>905</v>
      </c>
      <c r="Q41" s="87" t="s">
        <v>1216</v>
      </c>
      <c r="R41" s="87" t="s">
        <v>1216</v>
      </c>
      <c r="S41" s="87" t="s">
        <v>1216</v>
      </c>
      <c r="T41" s="87" t="s">
        <v>1216</v>
      </c>
      <c r="U41" s="87" t="s">
        <v>1216</v>
      </c>
      <c r="V41" s="87" t="s">
        <v>1216</v>
      </c>
      <c r="W41" s="67"/>
      <c r="X41" s="85" t="str">
        <f t="shared" si="0"/>
        <v>Belum Dinilai</v>
      </c>
      <c r="Y41" s="85" t="str">
        <f t="shared" si="1"/>
        <v>Belum Dinilai</v>
      </c>
      <c r="Z41" s="86" t="str">
        <f t="shared" si="2"/>
        <v/>
      </c>
      <c r="AA41" s="86" t="str">
        <f t="shared" si="3"/>
        <v/>
      </c>
      <c r="AB41" s="86" t="str">
        <f t="shared" si="7"/>
        <v/>
      </c>
      <c r="AC41" s="68" t="s">
        <v>1216</v>
      </c>
      <c r="AD41" s="68" t="s">
        <v>1216</v>
      </c>
      <c r="AE41" s="68" t="s">
        <v>1216</v>
      </c>
      <c r="AF41" s="68" t="s">
        <v>1216</v>
      </c>
      <c r="AG41" s="68" t="s">
        <v>1216</v>
      </c>
      <c r="AH41" s="68" t="s">
        <v>1216</v>
      </c>
      <c r="AI41" s="68" t="s">
        <v>1216</v>
      </c>
      <c r="AJ41" s="68" t="s">
        <v>1216</v>
      </c>
      <c r="AK41" s="68" t="s">
        <v>1216</v>
      </c>
      <c r="AL41" s="68"/>
      <c r="AM41" s="68" t="s">
        <v>1216</v>
      </c>
      <c r="AN41" s="68" t="str">
        <f t="shared" si="4"/>
        <v>Belum Dinilai</v>
      </c>
      <c r="AO41" s="68" t="str">
        <f t="shared" si="9"/>
        <v>Belum Dinilai</v>
      </c>
      <c r="AP41" s="68"/>
      <c r="AQ41" s="71">
        <f t="shared" si="5"/>
        <v>36</v>
      </c>
      <c r="AR41" s="71" t="str">
        <f t="shared" si="10"/>
        <v/>
      </c>
      <c r="AS41" s="71" t="str">
        <f t="shared" si="11"/>
        <v/>
      </c>
      <c r="AT41" s="69" t="str">
        <f t="shared" si="6"/>
        <v>Belum Dapat Ditentukan</v>
      </c>
      <c r="AU41" s="66" t="s">
        <v>1204</v>
      </c>
      <c r="AV41" s="66" t="s">
        <v>1205</v>
      </c>
      <c r="AW41" s="66" t="s">
        <v>1909</v>
      </c>
      <c r="AX41" s="66" t="s">
        <v>1269</v>
      </c>
      <c r="AY41" s="66">
        <v>2023</v>
      </c>
      <c r="AZ41" s="66" t="s">
        <v>927</v>
      </c>
      <c r="BA41" s="66"/>
      <c r="BB41" s="72"/>
      <c r="BC41" s="73">
        <v>2026</v>
      </c>
      <c r="BD41" s="66"/>
      <c r="BE41" s="72"/>
      <c r="BF41" s="66" t="s">
        <v>1279</v>
      </c>
    </row>
    <row r="42" spans="1:58" ht="42">
      <c r="A42" s="66" t="s">
        <v>1427</v>
      </c>
      <c r="B42" s="66" t="s">
        <v>1454</v>
      </c>
      <c r="C42" s="66"/>
      <c r="D42" s="66"/>
      <c r="E42" s="66" t="s">
        <v>1455</v>
      </c>
      <c r="F42" s="66" t="s">
        <v>1435</v>
      </c>
      <c r="G42" s="66" t="s">
        <v>1314</v>
      </c>
      <c r="H42" s="66" t="s">
        <v>1182</v>
      </c>
      <c r="I42" s="66" t="s">
        <v>1456</v>
      </c>
      <c r="J42" s="66" t="s">
        <v>1197</v>
      </c>
      <c r="K42" s="66" t="s">
        <v>1184</v>
      </c>
      <c r="L42" s="66" t="s">
        <v>895</v>
      </c>
      <c r="M42" s="66" t="s">
        <v>1267</v>
      </c>
      <c r="N42" s="66" t="s">
        <v>895</v>
      </c>
      <c r="O42" s="66" t="s">
        <v>1214</v>
      </c>
      <c r="P42" s="66" t="s">
        <v>895</v>
      </c>
      <c r="Q42" s="87" t="s">
        <v>1216</v>
      </c>
      <c r="R42" s="87" t="s">
        <v>1216</v>
      </c>
      <c r="S42" s="87" t="s">
        <v>1216</v>
      </c>
      <c r="T42" s="87" t="s">
        <v>1216</v>
      </c>
      <c r="U42" s="87" t="s">
        <v>1216</v>
      </c>
      <c r="V42" s="87" t="s">
        <v>1216</v>
      </c>
      <c r="W42" s="67"/>
      <c r="X42" s="85" t="str">
        <f t="shared" si="0"/>
        <v>Belum Dinilai</v>
      </c>
      <c r="Y42" s="85" t="str">
        <f t="shared" si="1"/>
        <v>Belum Dinilai</v>
      </c>
      <c r="Z42" s="86" t="str">
        <f t="shared" si="2"/>
        <v/>
      </c>
      <c r="AA42" s="86" t="str">
        <f t="shared" si="3"/>
        <v/>
      </c>
      <c r="AB42" s="86" t="str">
        <f t="shared" si="7"/>
        <v/>
      </c>
      <c r="AC42" s="68" t="s">
        <v>1216</v>
      </c>
      <c r="AD42" s="68" t="s">
        <v>1216</v>
      </c>
      <c r="AE42" s="68" t="s">
        <v>1216</v>
      </c>
      <c r="AF42" s="68" t="s">
        <v>1216</v>
      </c>
      <c r="AG42" s="68" t="s">
        <v>1216</v>
      </c>
      <c r="AH42" s="68" t="s">
        <v>1216</v>
      </c>
      <c r="AI42" s="68" t="s">
        <v>1216</v>
      </c>
      <c r="AJ42" s="68" t="s">
        <v>1216</v>
      </c>
      <c r="AK42" s="68" t="s">
        <v>1216</v>
      </c>
      <c r="AL42" s="68"/>
      <c r="AM42" s="68" t="s">
        <v>1216</v>
      </c>
      <c r="AN42" s="68" t="str">
        <f t="shared" si="4"/>
        <v>Belum Dinilai</v>
      </c>
      <c r="AO42" s="68" t="str">
        <f t="shared" si="9"/>
        <v>Belum Dinilai</v>
      </c>
      <c r="AP42" s="68"/>
      <c r="AQ42" s="71">
        <f t="shared" si="5"/>
        <v>50</v>
      </c>
      <c r="AR42" s="71" t="str">
        <f t="shared" si="10"/>
        <v/>
      </c>
      <c r="AS42" s="71" t="str">
        <f t="shared" si="11"/>
        <v/>
      </c>
      <c r="AT42" s="69" t="str">
        <f t="shared" si="6"/>
        <v>Belum Dapat Ditentukan</v>
      </c>
      <c r="AU42" s="66" t="s">
        <v>1204</v>
      </c>
      <c r="AV42" s="66" t="s">
        <v>1205</v>
      </c>
      <c r="AW42" s="66" t="s">
        <v>1909</v>
      </c>
      <c r="AX42" s="66" t="s">
        <v>1269</v>
      </c>
      <c r="AY42" s="66">
        <v>2023</v>
      </c>
      <c r="AZ42" s="66" t="s">
        <v>927</v>
      </c>
      <c r="BA42" s="66"/>
      <c r="BB42" s="72"/>
      <c r="BC42" s="73">
        <v>2026</v>
      </c>
      <c r="BD42" s="66"/>
      <c r="BE42" s="72"/>
      <c r="BF42" s="66" t="s">
        <v>1279</v>
      </c>
    </row>
    <row r="43" spans="1:58" ht="42">
      <c r="A43" s="66" t="s">
        <v>1429</v>
      </c>
      <c r="B43" s="66" t="s">
        <v>1458</v>
      </c>
      <c r="C43" s="66"/>
      <c r="D43" s="66"/>
      <c r="E43" s="66" t="s">
        <v>1459</v>
      </c>
      <c r="F43" s="66" t="s">
        <v>1431</v>
      </c>
      <c r="G43" s="66" t="s">
        <v>1314</v>
      </c>
      <c r="H43" s="66" t="s">
        <v>1196</v>
      </c>
      <c r="I43" s="66" t="s">
        <v>1460</v>
      </c>
      <c r="J43" s="66" t="s">
        <v>1183</v>
      </c>
      <c r="K43" s="66" t="s">
        <v>1198</v>
      </c>
      <c r="L43" s="66" t="s">
        <v>1216</v>
      </c>
      <c r="M43" s="66" t="s">
        <v>1266</v>
      </c>
      <c r="N43" s="66" t="s">
        <v>1216</v>
      </c>
      <c r="O43" s="66" t="s">
        <v>1214</v>
      </c>
      <c r="P43" s="66" t="s">
        <v>1216</v>
      </c>
      <c r="Q43" s="87" t="s">
        <v>1216</v>
      </c>
      <c r="R43" s="87" t="s">
        <v>1216</v>
      </c>
      <c r="S43" s="87" t="s">
        <v>1216</v>
      </c>
      <c r="T43" s="87" t="s">
        <v>1216</v>
      </c>
      <c r="U43" s="87" t="s">
        <v>1216</v>
      </c>
      <c r="V43" s="87" t="s">
        <v>1216</v>
      </c>
      <c r="W43" s="67"/>
      <c r="X43" s="85" t="str">
        <f t="shared" si="0"/>
        <v>Belum Dinilai</v>
      </c>
      <c r="Y43" s="85" t="str">
        <f t="shared" si="1"/>
        <v>Belum Dinilai</v>
      </c>
      <c r="Z43" s="86" t="str">
        <f t="shared" si="2"/>
        <v/>
      </c>
      <c r="AA43" s="86" t="str">
        <f t="shared" si="3"/>
        <v/>
      </c>
      <c r="AB43" s="86" t="str">
        <f t="shared" si="7"/>
        <v/>
      </c>
      <c r="AC43" s="68" t="s">
        <v>1216</v>
      </c>
      <c r="AD43" s="68" t="s">
        <v>1216</v>
      </c>
      <c r="AE43" s="68" t="s">
        <v>1216</v>
      </c>
      <c r="AF43" s="68" t="s">
        <v>1216</v>
      </c>
      <c r="AG43" s="68" t="s">
        <v>1216</v>
      </c>
      <c r="AH43" s="68" t="s">
        <v>1216</v>
      </c>
      <c r="AI43" s="68" t="s">
        <v>1216</v>
      </c>
      <c r="AJ43" s="68" t="s">
        <v>1216</v>
      </c>
      <c r="AK43" s="68" t="s">
        <v>1216</v>
      </c>
      <c r="AL43" s="68"/>
      <c r="AM43" s="68" t="s">
        <v>1216</v>
      </c>
      <c r="AN43" s="68" t="str">
        <f t="shared" si="4"/>
        <v>Belum Dinilai</v>
      </c>
      <c r="AO43" s="68" t="str">
        <f t="shared" si="9"/>
        <v>Belum Dinilai</v>
      </c>
      <c r="AP43" s="68"/>
      <c r="AQ43" s="71" t="str">
        <f t="shared" si="5"/>
        <v/>
      </c>
      <c r="AR43" s="71" t="str">
        <f t="shared" si="10"/>
        <v/>
      </c>
      <c r="AS43" s="71" t="str">
        <f t="shared" si="11"/>
        <v/>
      </c>
      <c r="AT43" s="69" t="str">
        <f t="shared" si="6"/>
        <v>Belum Dapat Ditentukan</v>
      </c>
      <c r="AU43" s="66" t="s">
        <v>1190</v>
      </c>
      <c r="AV43" s="66" t="s">
        <v>1205</v>
      </c>
      <c r="AW43" s="66" t="s">
        <v>1909</v>
      </c>
      <c r="AX43" s="66" t="s">
        <v>1269</v>
      </c>
      <c r="AY43" s="66">
        <v>2024</v>
      </c>
      <c r="AZ43" s="66" t="s">
        <v>927</v>
      </c>
      <c r="BA43" s="66"/>
      <c r="BB43" s="72"/>
      <c r="BC43" s="73">
        <v>2026</v>
      </c>
      <c r="BD43" s="66"/>
      <c r="BE43" s="72"/>
      <c r="BF43" s="66" t="s">
        <v>1279</v>
      </c>
    </row>
    <row r="44" spans="1:58" ht="42">
      <c r="A44" s="66" t="s">
        <v>1951</v>
      </c>
      <c r="B44" s="66" t="s">
        <v>1462</v>
      </c>
      <c r="C44" s="66"/>
      <c r="D44" s="66"/>
      <c r="E44" s="66" t="s">
        <v>1463</v>
      </c>
      <c r="F44" s="66" t="s">
        <v>1464</v>
      </c>
      <c r="G44" s="66" t="s">
        <v>1314</v>
      </c>
      <c r="H44" s="66" t="s">
        <v>1182</v>
      </c>
      <c r="I44" s="66" t="s">
        <v>1465</v>
      </c>
      <c r="J44" s="66" t="s">
        <v>1211</v>
      </c>
      <c r="K44" s="66" t="s">
        <v>1184</v>
      </c>
      <c r="L44" s="66" t="s">
        <v>905</v>
      </c>
      <c r="M44" s="66" t="s">
        <v>1267</v>
      </c>
      <c r="N44" s="66" t="s">
        <v>905</v>
      </c>
      <c r="O44" s="66" t="s">
        <v>1278</v>
      </c>
      <c r="P44" s="66" t="s">
        <v>1216</v>
      </c>
      <c r="Q44" s="87" t="s">
        <v>1216</v>
      </c>
      <c r="R44" s="87" t="s">
        <v>1216</v>
      </c>
      <c r="S44" s="87" t="s">
        <v>1216</v>
      </c>
      <c r="T44" s="87" t="s">
        <v>1216</v>
      </c>
      <c r="U44" s="87" t="s">
        <v>1216</v>
      </c>
      <c r="V44" s="87" t="s">
        <v>1216</v>
      </c>
      <c r="W44" s="67"/>
      <c r="X44" s="85" t="str">
        <f t="shared" si="0"/>
        <v>Belum Dinilai</v>
      </c>
      <c r="Y44" s="85" t="str">
        <f t="shared" si="1"/>
        <v>Belum Dinilai</v>
      </c>
      <c r="Z44" s="86" t="str">
        <f t="shared" si="2"/>
        <v/>
      </c>
      <c r="AA44" s="86" t="str">
        <f t="shared" si="3"/>
        <v/>
      </c>
      <c r="AB44" s="86" t="str">
        <f t="shared" si="7"/>
        <v/>
      </c>
      <c r="AC44" s="68" t="s">
        <v>1216</v>
      </c>
      <c r="AD44" s="68" t="s">
        <v>1216</v>
      </c>
      <c r="AE44" s="68" t="s">
        <v>1216</v>
      </c>
      <c r="AF44" s="68" t="s">
        <v>1216</v>
      </c>
      <c r="AG44" s="68" t="s">
        <v>1216</v>
      </c>
      <c r="AH44" s="68" t="s">
        <v>1216</v>
      </c>
      <c r="AI44" s="68" t="s">
        <v>1216</v>
      </c>
      <c r="AJ44" s="68" t="s">
        <v>1216</v>
      </c>
      <c r="AK44" s="68" t="s">
        <v>1216</v>
      </c>
      <c r="AL44" s="68"/>
      <c r="AM44" s="68" t="s">
        <v>1216</v>
      </c>
      <c r="AN44" s="68" t="str">
        <f t="shared" si="4"/>
        <v>Belum Dinilai</v>
      </c>
      <c r="AO44" s="68" t="str">
        <f t="shared" si="9"/>
        <v>Belum Dinilai</v>
      </c>
      <c r="AP44" s="68"/>
      <c r="AQ44" s="71" t="str">
        <f t="shared" si="5"/>
        <v/>
      </c>
      <c r="AR44" s="71" t="str">
        <f t="shared" si="10"/>
        <v/>
      </c>
      <c r="AS44" s="71" t="str">
        <f t="shared" si="11"/>
        <v/>
      </c>
      <c r="AT44" s="69" t="str">
        <f t="shared" si="6"/>
        <v>Belum Dapat Ditentukan</v>
      </c>
      <c r="AU44" s="66" t="s">
        <v>1190</v>
      </c>
      <c r="AV44" s="66" t="s">
        <v>1205</v>
      </c>
      <c r="AW44" s="66" t="s">
        <v>1909</v>
      </c>
      <c r="AX44" s="66" t="s">
        <v>1207</v>
      </c>
      <c r="AY44" s="66">
        <v>2023</v>
      </c>
      <c r="AZ44" s="66" t="s">
        <v>927</v>
      </c>
      <c r="BA44" s="66"/>
      <c r="BB44" s="72"/>
      <c r="BC44" s="73">
        <v>2026</v>
      </c>
      <c r="BD44" s="66"/>
      <c r="BE44" s="72"/>
      <c r="BF44" s="66" t="s">
        <v>1279</v>
      </c>
    </row>
    <row r="45" spans="1:58" ht="42">
      <c r="A45" s="66" t="s">
        <v>1952</v>
      </c>
      <c r="B45" s="66" t="s">
        <v>1467</v>
      </c>
      <c r="C45" s="66"/>
      <c r="D45" s="66"/>
      <c r="E45" s="66" t="s">
        <v>1468</v>
      </c>
      <c r="F45" s="66" t="s">
        <v>1431</v>
      </c>
      <c r="G45" s="66" t="s">
        <v>1314</v>
      </c>
      <c r="H45" s="66" t="s">
        <v>1469</v>
      </c>
      <c r="I45" s="66" t="s">
        <v>1470</v>
      </c>
      <c r="J45" s="66" t="s">
        <v>1197</v>
      </c>
      <c r="K45" s="66" t="s">
        <v>1198</v>
      </c>
      <c r="L45" s="66" t="s">
        <v>891</v>
      </c>
      <c r="M45" s="66" t="s">
        <v>1267</v>
      </c>
      <c r="N45" s="66" t="s">
        <v>891</v>
      </c>
      <c r="O45" s="66" t="s">
        <v>1186</v>
      </c>
      <c r="P45" s="66" t="s">
        <v>891</v>
      </c>
      <c r="Q45" s="87" t="s">
        <v>1216</v>
      </c>
      <c r="R45" s="87" t="s">
        <v>1216</v>
      </c>
      <c r="S45" s="87" t="s">
        <v>1216</v>
      </c>
      <c r="T45" s="87" t="s">
        <v>1216</v>
      </c>
      <c r="U45" s="87" t="s">
        <v>1216</v>
      </c>
      <c r="V45" s="87" t="s">
        <v>1216</v>
      </c>
      <c r="W45" s="67"/>
      <c r="X45" s="85" t="str">
        <f t="shared" si="0"/>
        <v>Belum Dinilai</v>
      </c>
      <c r="Y45" s="85" t="str">
        <f t="shared" si="1"/>
        <v>Belum Dinilai</v>
      </c>
      <c r="Z45" s="86" t="str">
        <f t="shared" si="2"/>
        <v/>
      </c>
      <c r="AA45" s="86" t="str">
        <f t="shared" si="3"/>
        <v/>
      </c>
      <c r="AB45" s="86" t="str">
        <f t="shared" si="7"/>
        <v/>
      </c>
      <c r="AC45" s="68" t="s">
        <v>1216</v>
      </c>
      <c r="AD45" s="68" t="s">
        <v>1216</v>
      </c>
      <c r="AE45" s="68" t="s">
        <v>1216</v>
      </c>
      <c r="AF45" s="68" t="s">
        <v>1216</v>
      </c>
      <c r="AG45" s="68" t="s">
        <v>1216</v>
      </c>
      <c r="AH45" s="68" t="s">
        <v>1216</v>
      </c>
      <c r="AI45" s="68" t="s">
        <v>1216</v>
      </c>
      <c r="AJ45" s="68" t="s">
        <v>1216</v>
      </c>
      <c r="AK45" s="68" t="s">
        <v>1216</v>
      </c>
      <c r="AL45" s="68"/>
      <c r="AM45" s="68" t="s">
        <v>1216</v>
      </c>
      <c r="AN45" s="68" t="str">
        <f t="shared" si="4"/>
        <v>Belum Dinilai</v>
      </c>
      <c r="AO45" s="68" t="str">
        <f t="shared" si="9"/>
        <v>Belum Dinilai</v>
      </c>
      <c r="AP45" s="68"/>
      <c r="AQ45" s="71">
        <f t="shared" si="5"/>
        <v>22</v>
      </c>
      <c r="AR45" s="71" t="str">
        <f t="shared" si="10"/>
        <v/>
      </c>
      <c r="AS45" s="71" t="str">
        <f t="shared" si="11"/>
        <v/>
      </c>
      <c r="AT45" s="69" t="str">
        <f t="shared" si="6"/>
        <v>Belum Dapat Ditentukan</v>
      </c>
      <c r="AU45" s="66" t="s">
        <v>1190</v>
      </c>
      <c r="AV45" s="66" t="s">
        <v>1205</v>
      </c>
      <c r="AW45" s="66" t="s">
        <v>1909</v>
      </c>
      <c r="AX45" s="66" t="s">
        <v>1269</v>
      </c>
      <c r="AY45" s="66">
        <v>2024</v>
      </c>
      <c r="AZ45" s="66" t="s">
        <v>927</v>
      </c>
      <c r="BA45" s="66"/>
      <c r="BB45" s="72"/>
      <c r="BC45" s="73">
        <v>2026</v>
      </c>
      <c r="BD45" s="66"/>
      <c r="BE45" s="72"/>
      <c r="BF45" s="66" t="s">
        <v>1279</v>
      </c>
    </row>
    <row r="46" spans="1:58" ht="28">
      <c r="A46" s="66" t="s">
        <v>1432</v>
      </c>
      <c r="B46" s="66" t="s">
        <v>1472</v>
      </c>
      <c r="C46" s="66"/>
      <c r="D46" s="66"/>
      <c r="E46" s="66" t="s">
        <v>1468</v>
      </c>
      <c r="F46" s="66" t="s">
        <v>1431</v>
      </c>
      <c r="G46" s="66" t="s">
        <v>1314</v>
      </c>
      <c r="H46" s="66" t="s">
        <v>1469</v>
      </c>
      <c r="I46" s="66" t="s">
        <v>1473</v>
      </c>
      <c r="J46" s="66" t="s">
        <v>1183</v>
      </c>
      <c r="K46" s="66" t="s">
        <v>1198</v>
      </c>
      <c r="L46" s="66" t="s">
        <v>1216</v>
      </c>
      <c r="M46" s="66" t="s">
        <v>1266</v>
      </c>
      <c r="N46" s="66" t="s">
        <v>1216</v>
      </c>
      <c r="O46" s="66" t="s">
        <v>1214</v>
      </c>
      <c r="P46" s="66" t="s">
        <v>1216</v>
      </c>
      <c r="Q46" s="87" t="s">
        <v>1216</v>
      </c>
      <c r="R46" s="87" t="s">
        <v>1216</v>
      </c>
      <c r="S46" s="87" t="s">
        <v>1216</v>
      </c>
      <c r="T46" s="87" t="s">
        <v>1216</v>
      </c>
      <c r="U46" s="87" t="s">
        <v>1216</v>
      </c>
      <c r="V46" s="87" t="s">
        <v>1216</v>
      </c>
      <c r="W46" s="67"/>
      <c r="X46" s="85" t="str">
        <f t="shared" si="0"/>
        <v>Belum Dinilai</v>
      </c>
      <c r="Y46" s="85" t="str">
        <f t="shared" si="1"/>
        <v>Belum Dinilai</v>
      </c>
      <c r="Z46" s="86" t="str">
        <f t="shared" si="2"/>
        <v/>
      </c>
      <c r="AA46" s="86" t="str">
        <f t="shared" si="3"/>
        <v/>
      </c>
      <c r="AB46" s="86" t="str">
        <f t="shared" si="7"/>
        <v/>
      </c>
      <c r="AC46" s="68" t="s">
        <v>1216</v>
      </c>
      <c r="AD46" s="68" t="s">
        <v>1216</v>
      </c>
      <c r="AE46" s="68" t="s">
        <v>1216</v>
      </c>
      <c r="AF46" s="68" t="s">
        <v>1216</v>
      </c>
      <c r="AG46" s="68" t="s">
        <v>1216</v>
      </c>
      <c r="AH46" s="68" t="s">
        <v>1216</v>
      </c>
      <c r="AI46" s="68" t="s">
        <v>1216</v>
      </c>
      <c r="AJ46" s="68" t="s">
        <v>1216</v>
      </c>
      <c r="AK46" s="68" t="s">
        <v>1216</v>
      </c>
      <c r="AL46" s="68"/>
      <c r="AM46" s="68" t="s">
        <v>1216</v>
      </c>
      <c r="AN46" s="68" t="str">
        <f t="shared" si="4"/>
        <v>Belum Dinilai</v>
      </c>
      <c r="AO46" s="68" t="str">
        <f t="shared" si="9"/>
        <v>Belum Dinilai</v>
      </c>
      <c r="AP46" s="68"/>
      <c r="AQ46" s="71" t="str">
        <f t="shared" si="5"/>
        <v/>
      </c>
      <c r="AR46" s="71" t="str">
        <f t="shared" si="10"/>
        <v/>
      </c>
      <c r="AS46" s="71" t="str">
        <f t="shared" si="11"/>
        <v/>
      </c>
      <c r="AT46" s="69" t="str">
        <f t="shared" si="6"/>
        <v>Belum Dapat Ditentukan</v>
      </c>
      <c r="AU46" s="66" t="s">
        <v>1190</v>
      </c>
      <c r="AV46" s="66" t="s">
        <v>1205</v>
      </c>
      <c r="AW46" s="66" t="s">
        <v>1191</v>
      </c>
      <c r="AX46" s="66"/>
      <c r="AY46" s="66"/>
      <c r="AZ46" s="66" t="s">
        <v>927</v>
      </c>
      <c r="BA46" s="66"/>
      <c r="BB46" s="72"/>
      <c r="BC46" s="73">
        <v>2026</v>
      </c>
      <c r="BD46" s="66"/>
      <c r="BE46" s="72"/>
      <c r="BF46" s="66" t="s">
        <v>1279</v>
      </c>
    </row>
    <row r="47" spans="1:58" ht="28">
      <c r="A47" s="66" t="s">
        <v>1437</v>
      </c>
      <c r="B47" s="66" t="s">
        <v>1475</v>
      </c>
      <c r="C47" s="66"/>
      <c r="D47" s="66"/>
      <c r="E47" s="66" t="s">
        <v>1308</v>
      </c>
      <c r="F47" s="66" t="s">
        <v>1431</v>
      </c>
      <c r="G47" s="66" t="s">
        <v>1314</v>
      </c>
      <c r="H47" s="66" t="s">
        <v>1182</v>
      </c>
      <c r="I47" s="66" t="s">
        <v>1291</v>
      </c>
      <c r="J47" s="66" t="s">
        <v>1211</v>
      </c>
      <c r="K47" s="66" t="s">
        <v>1278</v>
      </c>
      <c r="L47" s="66" t="s">
        <v>1216</v>
      </c>
      <c r="M47" s="66" t="s">
        <v>1267</v>
      </c>
      <c r="N47" s="66" t="s">
        <v>1216</v>
      </c>
      <c r="O47" s="66" t="s">
        <v>1278</v>
      </c>
      <c r="P47" s="66" t="s">
        <v>1216</v>
      </c>
      <c r="Q47" s="87" t="s">
        <v>1216</v>
      </c>
      <c r="R47" s="87" t="s">
        <v>1216</v>
      </c>
      <c r="S47" s="87" t="s">
        <v>1216</v>
      </c>
      <c r="T47" s="87" t="s">
        <v>1216</v>
      </c>
      <c r="U47" s="87" t="s">
        <v>1216</v>
      </c>
      <c r="V47" s="87" t="s">
        <v>1216</v>
      </c>
      <c r="W47" s="67"/>
      <c r="X47" s="85" t="str">
        <f t="shared" si="0"/>
        <v>Belum Dinilai</v>
      </c>
      <c r="Y47" s="85" t="str">
        <f t="shared" si="1"/>
        <v>Belum Dinilai</v>
      </c>
      <c r="Z47" s="86" t="str">
        <f t="shared" si="2"/>
        <v/>
      </c>
      <c r="AA47" s="86" t="str">
        <f t="shared" si="3"/>
        <v/>
      </c>
      <c r="AB47" s="86" t="str">
        <f t="shared" si="7"/>
        <v/>
      </c>
      <c r="AC47" s="68" t="s">
        <v>1216</v>
      </c>
      <c r="AD47" s="68" t="s">
        <v>1216</v>
      </c>
      <c r="AE47" s="68" t="s">
        <v>1216</v>
      </c>
      <c r="AF47" s="68" t="s">
        <v>1216</v>
      </c>
      <c r="AG47" s="68" t="s">
        <v>1216</v>
      </c>
      <c r="AH47" s="68" t="s">
        <v>1216</v>
      </c>
      <c r="AI47" s="68" t="s">
        <v>1216</v>
      </c>
      <c r="AJ47" s="68" t="s">
        <v>1216</v>
      </c>
      <c r="AK47" s="68" t="s">
        <v>1216</v>
      </c>
      <c r="AL47" s="68"/>
      <c r="AM47" s="68" t="s">
        <v>1216</v>
      </c>
      <c r="AN47" s="68" t="str">
        <f t="shared" si="4"/>
        <v>Belum Dinilai</v>
      </c>
      <c r="AO47" s="68" t="str">
        <f t="shared" si="9"/>
        <v>Belum Dinilai</v>
      </c>
      <c r="AP47" s="68"/>
      <c r="AQ47" s="71" t="str">
        <f t="shared" si="5"/>
        <v/>
      </c>
      <c r="AR47" s="71" t="str">
        <f t="shared" si="10"/>
        <v/>
      </c>
      <c r="AS47" s="71" t="str">
        <f t="shared" si="11"/>
        <v/>
      </c>
      <c r="AT47" s="69" t="str">
        <f t="shared" si="6"/>
        <v>Belum Dapat Ditentukan</v>
      </c>
      <c r="AU47" s="66" t="s">
        <v>1190</v>
      </c>
      <c r="AV47" s="66" t="s">
        <v>1205</v>
      </c>
      <c r="AW47" s="66" t="s">
        <v>1909</v>
      </c>
      <c r="AX47" s="66" t="s">
        <v>1269</v>
      </c>
      <c r="AY47" s="66">
        <v>2024</v>
      </c>
      <c r="AZ47" s="66" t="s">
        <v>927</v>
      </c>
      <c r="BA47" s="66"/>
      <c r="BB47" s="72"/>
      <c r="BC47" s="73">
        <v>2026</v>
      </c>
      <c r="BD47" s="66"/>
      <c r="BE47" s="72"/>
      <c r="BF47" s="66" t="s">
        <v>1279</v>
      </c>
    </row>
    <row r="48" spans="1:58" ht="28">
      <c r="A48" s="66" t="s">
        <v>1440</v>
      </c>
      <c r="B48" s="66" t="s">
        <v>1477</v>
      </c>
      <c r="C48" s="66"/>
      <c r="D48" s="66"/>
      <c r="E48" s="66" t="s">
        <v>1308</v>
      </c>
      <c r="F48" s="66" t="s">
        <v>1431</v>
      </c>
      <c r="G48" s="66" t="s">
        <v>1314</v>
      </c>
      <c r="H48" s="66" t="s">
        <v>1196</v>
      </c>
      <c r="I48" s="66" t="s">
        <v>1478</v>
      </c>
      <c r="J48" s="66" t="s">
        <v>1183</v>
      </c>
      <c r="K48" s="66" t="s">
        <v>1278</v>
      </c>
      <c r="L48" s="66" t="s">
        <v>1216</v>
      </c>
      <c r="M48" s="66" t="s">
        <v>1266</v>
      </c>
      <c r="N48" s="66" t="s">
        <v>1216</v>
      </c>
      <c r="O48" s="66" t="s">
        <v>1278</v>
      </c>
      <c r="P48" s="66" t="s">
        <v>1216</v>
      </c>
      <c r="Q48" s="87" t="s">
        <v>1216</v>
      </c>
      <c r="R48" s="87" t="s">
        <v>1216</v>
      </c>
      <c r="S48" s="87" t="s">
        <v>1216</v>
      </c>
      <c r="T48" s="87" t="s">
        <v>1216</v>
      </c>
      <c r="U48" s="87" t="s">
        <v>1216</v>
      </c>
      <c r="V48" s="87" t="s">
        <v>1216</v>
      </c>
      <c r="W48" s="67"/>
      <c r="X48" s="85" t="str">
        <f t="shared" si="0"/>
        <v>Belum Dinilai</v>
      </c>
      <c r="Y48" s="85" t="str">
        <f t="shared" si="1"/>
        <v>Belum Dinilai</v>
      </c>
      <c r="Z48" s="86" t="str">
        <f t="shared" si="2"/>
        <v/>
      </c>
      <c r="AA48" s="86" t="str">
        <f t="shared" si="3"/>
        <v/>
      </c>
      <c r="AB48" s="86" t="str">
        <f t="shared" si="7"/>
        <v/>
      </c>
      <c r="AC48" s="68" t="s">
        <v>1216</v>
      </c>
      <c r="AD48" s="68" t="s">
        <v>1216</v>
      </c>
      <c r="AE48" s="68" t="s">
        <v>1216</v>
      </c>
      <c r="AF48" s="68" t="s">
        <v>1216</v>
      </c>
      <c r="AG48" s="68" t="s">
        <v>1216</v>
      </c>
      <c r="AH48" s="68" t="s">
        <v>1216</v>
      </c>
      <c r="AI48" s="68" t="s">
        <v>1216</v>
      </c>
      <c r="AJ48" s="68" t="s">
        <v>1216</v>
      </c>
      <c r="AK48" s="68" t="s">
        <v>1216</v>
      </c>
      <c r="AL48" s="68"/>
      <c r="AM48" s="68" t="s">
        <v>1216</v>
      </c>
      <c r="AN48" s="68" t="str">
        <f t="shared" si="4"/>
        <v>Belum Dinilai</v>
      </c>
      <c r="AO48" s="68" t="str">
        <f t="shared" si="9"/>
        <v>Belum Dinilai</v>
      </c>
      <c r="AP48" s="68"/>
      <c r="AQ48" s="71" t="str">
        <f t="shared" si="5"/>
        <v/>
      </c>
      <c r="AR48" s="71" t="str">
        <f t="shared" si="10"/>
        <v/>
      </c>
      <c r="AS48" s="71" t="str">
        <f t="shared" si="11"/>
        <v/>
      </c>
      <c r="AT48" s="69" t="str">
        <f t="shared" si="6"/>
        <v>Belum Dapat Ditentukan</v>
      </c>
      <c r="AU48" s="66" t="s">
        <v>1190</v>
      </c>
      <c r="AV48" s="66" t="s">
        <v>1205</v>
      </c>
      <c r="AW48" s="66" t="s">
        <v>1909</v>
      </c>
      <c r="AX48" s="66" t="s">
        <v>1269</v>
      </c>
      <c r="AY48" s="66">
        <v>2024</v>
      </c>
      <c r="AZ48" s="66" t="s">
        <v>927</v>
      </c>
      <c r="BA48" s="66"/>
      <c r="BB48" s="72"/>
      <c r="BC48" s="73">
        <v>2026</v>
      </c>
      <c r="BD48" s="66"/>
      <c r="BE48" s="72"/>
      <c r="BF48" s="66" t="s">
        <v>1279</v>
      </c>
    </row>
    <row r="49" spans="1:58" ht="42">
      <c r="A49" s="66" t="s">
        <v>1443</v>
      </c>
      <c r="B49" s="66" t="s">
        <v>1480</v>
      </c>
      <c r="C49" s="66"/>
      <c r="D49" s="66"/>
      <c r="E49" s="66" t="s">
        <v>1308</v>
      </c>
      <c r="F49" s="66" t="s">
        <v>1481</v>
      </c>
      <c r="G49" s="66" t="s">
        <v>1314</v>
      </c>
      <c r="H49" s="66" t="s">
        <v>1182</v>
      </c>
      <c r="I49" s="66" t="s">
        <v>1482</v>
      </c>
      <c r="J49" s="66" t="s">
        <v>1211</v>
      </c>
      <c r="K49" s="66" t="s">
        <v>1198</v>
      </c>
      <c r="L49" s="66" t="s">
        <v>895</v>
      </c>
      <c r="M49" s="66" t="s">
        <v>1267</v>
      </c>
      <c r="N49" s="66" t="s">
        <v>895</v>
      </c>
      <c r="O49" s="66" t="s">
        <v>1214</v>
      </c>
      <c r="P49" s="66" t="s">
        <v>895</v>
      </c>
      <c r="Q49" s="87" t="s">
        <v>1216</v>
      </c>
      <c r="R49" s="87" t="s">
        <v>1216</v>
      </c>
      <c r="S49" s="87" t="s">
        <v>1216</v>
      </c>
      <c r="T49" s="87" t="s">
        <v>1216</v>
      </c>
      <c r="U49" s="87" t="s">
        <v>1216</v>
      </c>
      <c r="V49" s="87" t="s">
        <v>1216</v>
      </c>
      <c r="W49" s="67"/>
      <c r="X49" s="85" t="str">
        <f t="shared" si="0"/>
        <v>Belum Dinilai</v>
      </c>
      <c r="Y49" s="85" t="str">
        <f t="shared" si="1"/>
        <v>Belum Dinilai</v>
      </c>
      <c r="Z49" s="86" t="str">
        <f t="shared" si="2"/>
        <v/>
      </c>
      <c r="AA49" s="86" t="str">
        <f t="shared" si="3"/>
        <v/>
      </c>
      <c r="AB49" s="86" t="str">
        <f t="shared" si="7"/>
        <v/>
      </c>
      <c r="AC49" s="68" t="s">
        <v>1216</v>
      </c>
      <c r="AD49" s="68" t="s">
        <v>1216</v>
      </c>
      <c r="AE49" s="68" t="s">
        <v>1216</v>
      </c>
      <c r="AF49" s="68" t="s">
        <v>1216</v>
      </c>
      <c r="AG49" s="68" t="s">
        <v>1216</v>
      </c>
      <c r="AH49" s="68" t="s">
        <v>1216</v>
      </c>
      <c r="AI49" s="68" t="s">
        <v>1216</v>
      </c>
      <c r="AJ49" s="68" t="s">
        <v>1216</v>
      </c>
      <c r="AK49" s="68" t="s">
        <v>1216</v>
      </c>
      <c r="AL49" s="68"/>
      <c r="AM49" s="68" t="s">
        <v>1216</v>
      </c>
      <c r="AN49" s="68" t="str">
        <f t="shared" si="4"/>
        <v>Belum Dinilai</v>
      </c>
      <c r="AO49" s="68" t="str">
        <f t="shared" si="9"/>
        <v>Belum Dinilai</v>
      </c>
      <c r="AP49" s="68"/>
      <c r="AQ49" s="71">
        <f t="shared" si="5"/>
        <v>57</v>
      </c>
      <c r="AR49" s="71" t="str">
        <f t="shared" si="10"/>
        <v/>
      </c>
      <c r="AS49" s="71" t="str">
        <f t="shared" si="11"/>
        <v/>
      </c>
      <c r="AT49" s="69" t="str">
        <f t="shared" si="6"/>
        <v>Belum Dapat Ditentukan</v>
      </c>
      <c r="AU49" s="66" t="s">
        <v>1190</v>
      </c>
      <c r="AV49" s="66" t="s">
        <v>1205</v>
      </c>
      <c r="AW49" s="66" t="s">
        <v>1909</v>
      </c>
      <c r="AX49" s="66" t="s">
        <v>1269</v>
      </c>
      <c r="AY49" s="66">
        <v>2023</v>
      </c>
      <c r="AZ49" s="66" t="s">
        <v>927</v>
      </c>
      <c r="BA49" s="66"/>
      <c r="BB49" s="72"/>
      <c r="BC49" s="73">
        <v>2026</v>
      </c>
      <c r="BD49" s="66"/>
      <c r="BE49" s="72"/>
      <c r="BF49" s="66" t="s">
        <v>1279</v>
      </c>
    </row>
    <row r="50" spans="1:58" ht="56">
      <c r="A50" s="66" t="s">
        <v>1447</v>
      </c>
      <c r="B50" s="66" t="s">
        <v>1484</v>
      </c>
      <c r="C50" s="66"/>
      <c r="D50" s="66"/>
      <c r="E50" s="66" t="s">
        <v>1485</v>
      </c>
      <c r="F50" s="66" t="s">
        <v>1481</v>
      </c>
      <c r="G50" s="66" t="s">
        <v>1314</v>
      </c>
      <c r="H50" s="66" t="s">
        <v>1469</v>
      </c>
      <c r="I50" s="66" t="s">
        <v>1486</v>
      </c>
      <c r="J50" s="66" t="s">
        <v>1197</v>
      </c>
      <c r="K50" s="66" t="s">
        <v>1184</v>
      </c>
      <c r="L50" s="66" t="s">
        <v>1216</v>
      </c>
      <c r="M50" s="66" t="s">
        <v>1309</v>
      </c>
      <c r="N50" s="66" t="s">
        <v>1216</v>
      </c>
      <c r="O50" s="66" t="s">
        <v>1214</v>
      </c>
      <c r="P50" s="66" t="s">
        <v>1216</v>
      </c>
      <c r="Q50" s="87" t="s">
        <v>1216</v>
      </c>
      <c r="R50" s="87" t="s">
        <v>1216</v>
      </c>
      <c r="S50" s="87" t="s">
        <v>1216</v>
      </c>
      <c r="T50" s="87" t="s">
        <v>1216</v>
      </c>
      <c r="U50" s="87" t="s">
        <v>1216</v>
      </c>
      <c r="V50" s="87" t="s">
        <v>1216</v>
      </c>
      <c r="W50" s="67"/>
      <c r="X50" s="85" t="str">
        <f t="shared" si="0"/>
        <v>Belum Dinilai</v>
      </c>
      <c r="Y50" s="85" t="str">
        <f t="shared" si="1"/>
        <v>Belum Dinilai</v>
      </c>
      <c r="Z50" s="86" t="str">
        <f t="shared" si="2"/>
        <v/>
      </c>
      <c r="AA50" s="86" t="str">
        <f t="shared" si="3"/>
        <v/>
      </c>
      <c r="AB50" s="86" t="str">
        <f t="shared" si="7"/>
        <v/>
      </c>
      <c r="AC50" s="68" t="s">
        <v>1216</v>
      </c>
      <c r="AD50" s="68" t="s">
        <v>1216</v>
      </c>
      <c r="AE50" s="68" t="s">
        <v>1216</v>
      </c>
      <c r="AF50" s="68" t="s">
        <v>1216</v>
      </c>
      <c r="AG50" s="68" t="s">
        <v>1216</v>
      </c>
      <c r="AH50" s="68" t="s">
        <v>1216</v>
      </c>
      <c r="AI50" s="68" t="s">
        <v>1216</v>
      </c>
      <c r="AJ50" s="68" t="s">
        <v>1216</v>
      </c>
      <c r="AK50" s="68" t="s">
        <v>1216</v>
      </c>
      <c r="AL50" s="68"/>
      <c r="AM50" s="68" t="s">
        <v>1216</v>
      </c>
      <c r="AN50" s="68" t="str">
        <f t="shared" si="4"/>
        <v>Belum Dinilai</v>
      </c>
      <c r="AO50" s="68" t="str">
        <f t="shared" si="9"/>
        <v>Belum Dinilai</v>
      </c>
      <c r="AP50" s="68"/>
      <c r="AQ50" s="71" t="str">
        <f t="shared" si="5"/>
        <v/>
      </c>
      <c r="AR50" s="71" t="str">
        <f t="shared" si="10"/>
        <v/>
      </c>
      <c r="AS50" s="71" t="str">
        <f t="shared" si="11"/>
        <v/>
      </c>
      <c r="AT50" s="69" t="str">
        <f t="shared" si="6"/>
        <v>Belum Dapat Ditentukan</v>
      </c>
      <c r="AU50" s="66" t="s">
        <v>1190</v>
      </c>
      <c r="AV50" s="66" t="s">
        <v>1205</v>
      </c>
      <c r="AW50" s="66" t="s">
        <v>1909</v>
      </c>
      <c r="AX50" s="66" t="s">
        <v>1218</v>
      </c>
      <c r="AY50" s="66">
        <v>2023</v>
      </c>
      <c r="AZ50" s="66" t="s">
        <v>927</v>
      </c>
      <c r="BA50" s="66"/>
      <c r="BB50" s="72"/>
      <c r="BC50" s="73">
        <v>2026</v>
      </c>
      <c r="BD50" s="66"/>
      <c r="BE50" s="72"/>
      <c r="BF50" s="66" t="s">
        <v>1279</v>
      </c>
    </row>
    <row r="51" spans="1:58" ht="56">
      <c r="A51" s="66" t="s">
        <v>1449</v>
      </c>
      <c r="B51" s="66" t="s">
        <v>1488</v>
      </c>
      <c r="C51" s="66"/>
      <c r="D51" s="66"/>
      <c r="E51" s="66" t="s">
        <v>1489</v>
      </c>
      <c r="F51" s="66" t="s">
        <v>1481</v>
      </c>
      <c r="G51" s="66" t="s">
        <v>1314</v>
      </c>
      <c r="H51" s="66" t="s">
        <v>1182</v>
      </c>
      <c r="I51" s="66" t="s">
        <v>1490</v>
      </c>
      <c r="J51" s="66" t="s">
        <v>1197</v>
      </c>
      <c r="K51" s="66" t="s">
        <v>1212</v>
      </c>
      <c r="L51" s="66" t="s">
        <v>891</v>
      </c>
      <c r="M51" s="66" t="s">
        <v>1267</v>
      </c>
      <c r="N51" s="66" t="s">
        <v>891</v>
      </c>
      <c r="O51" s="66" t="s">
        <v>1214</v>
      </c>
      <c r="P51" s="66" t="s">
        <v>891</v>
      </c>
      <c r="Q51" s="87" t="s">
        <v>1216</v>
      </c>
      <c r="R51" s="87" t="s">
        <v>1216</v>
      </c>
      <c r="S51" s="87" t="s">
        <v>1216</v>
      </c>
      <c r="T51" s="87" t="s">
        <v>1216</v>
      </c>
      <c r="U51" s="87" t="s">
        <v>1216</v>
      </c>
      <c r="V51" s="87" t="s">
        <v>1216</v>
      </c>
      <c r="W51" s="67"/>
      <c r="X51" s="85" t="str">
        <f t="shared" si="0"/>
        <v>Belum Dinilai</v>
      </c>
      <c r="Y51" s="85" t="str">
        <f t="shared" si="1"/>
        <v>Belum Dinilai</v>
      </c>
      <c r="Z51" s="86" t="str">
        <f t="shared" si="2"/>
        <v/>
      </c>
      <c r="AA51" s="86" t="str">
        <f t="shared" si="3"/>
        <v/>
      </c>
      <c r="AB51" s="86" t="str">
        <f t="shared" si="7"/>
        <v/>
      </c>
      <c r="AC51" s="68" t="s">
        <v>1216</v>
      </c>
      <c r="AD51" s="68" t="s">
        <v>1216</v>
      </c>
      <c r="AE51" s="68" t="s">
        <v>1216</v>
      </c>
      <c r="AF51" s="68" t="s">
        <v>1216</v>
      </c>
      <c r="AG51" s="68" t="s">
        <v>1216</v>
      </c>
      <c r="AH51" s="68" t="s">
        <v>1216</v>
      </c>
      <c r="AI51" s="68" t="s">
        <v>1216</v>
      </c>
      <c r="AJ51" s="68" t="s">
        <v>1216</v>
      </c>
      <c r="AK51" s="68" t="s">
        <v>1216</v>
      </c>
      <c r="AL51" s="68"/>
      <c r="AM51" s="68" t="s">
        <v>1216</v>
      </c>
      <c r="AN51" s="68" t="str">
        <f t="shared" si="4"/>
        <v>Belum Dinilai</v>
      </c>
      <c r="AO51" s="68" t="str">
        <f t="shared" si="9"/>
        <v>Belum Dinilai</v>
      </c>
      <c r="AP51" s="68"/>
      <c r="AQ51" s="71">
        <f t="shared" si="5"/>
        <v>22</v>
      </c>
      <c r="AR51" s="71" t="str">
        <f t="shared" si="10"/>
        <v/>
      </c>
      <c r="AS51" s="71" t="str">
        <f t="shared" si="11"/>
        <v/>
      </c>
      <c r="AT51" s="69" t="str">
        <f t="shared" si="6"/>
        <v>Belum Dapat Ditentukan</v>
      </c>
      <c r="AU51" s="66" t="s">
        <v>1190</v>
      </c>
      <c r="AV51" s="66" t="s">
        <v>1205</v>
      </c>
      <c r="AW51" s="66" t="s">
        <v>1909</v>
      </c>
      <c r="AX51" s="66" t="s">
        <v>1207</v>
      </c>
      <c r="AY51" s="66">
        <v>2023</v>
      </c>
      <c r="AZ51" s="66" t="s">
        <v>927</v>
      </c>
      <c r="BA51" s="66"/>
      <c r="BB51" s="72"/>
      <c r="BC51" s="73">
        <v>2026</v>
      </c>
      <c r="BD51" s="66"/>
      <c r="BE51" s="72"/>
      <c r="BF51" s="66" t="s">
        <v>1279</v>
      </c>
    </row>
    <row r="52" spans="1:58" ht="42">
      <c r="A52" s="66" t="s">
        <v>1453</v>
      </c>
      <c r="B52" s="66" t="s">
        <v>1492</v>
      </c>
      <c r="C52" s="66"/>
      <c r="D52" s="66"/>
      <c r="E52" s="66" t="s">
        <v>1493</v>
      </c>
      <c r="F52" s="66" t="s">
        <v>1319</v>
      </c>
      <c r="G52" s="66" t="s">
        <v>1290</v>
      </c>
      <c r="H52" s="66" t="s">
        <v>1182</v>
      </c>
      <c r="I52" s="66" t="s">
        <v>1494</v>
      </c>
      <c r="J52" s="66" t="s">
        <v>1211</v>
      </c>
      <c r="K52" s="66" t="s">
        <v>1184</v>
      </c>
      <c r="L52" s="66" t="s">
        <v>895</v>
      </c>
      <c r="M52" s="66" t="s">
        <v>1267</v>
      </c>
      <c r="N52" s="66" t="s">
        <v>895</v>
      </c>
      <c r="O52" s="66" t="s">
        <v>1214</v>
      </c>
      <c r="P52" s="66" t="s">
        <v>895</v>
      </c>
      <c r="Q52" s="87" t="s">
        <v>1216</v>
      </c>
      <c r="R52" s="87" t="s">
        <v>1216</v>
      </c>
      <c r="S52" s="87" t="s">
        <v>1216</v>
      </c>
      <c r="T52" s="87" t="s">
        <v>1216</v>
      </c>
      <c r="U52" s="87" t="s">
        <v>1216</v>
      </c>
      <c r="V52" s="87" t="s">
        <v>1216</v>
      </c>
      <c r="W52" s="67"/>
      <c r="X52" s="85" t="str">
        <f t="shared" si="0"/>
        <v>Belum Dinilai</v>
      </c>
      <c r="Y52" s="85" t="str">
        <f t="shared" si="1"/>
        <v>Belum Dinilai</v>
      </c>
      <c r="Z52" s="86" t="str">
        <f t="shared" si="2"/>
        <v/>
      </c>
      <c r="AA52" s="86" t="str">
        <f t="shared" si="3"/>
        <v/>
      </c>
      <c r="AB52" s="86" t="str">
        <f t="shared" si="7"/>
        <v/>
      </c>
      <c r="AC52" s="68" t="s">
        <v>1216</v>
      </c>
      <c r="AD52" s="68" t="s">
        <v>1216</v>
      </c>
      <c r="AE52" s="68" t="s">
        <v>1216</v>
      </c>
      <c r="AF52" s="68" t="s">
        <v>1216</v>
      </c>
      <c r="AG52" s="68" t="s">
        <v>1216</v>
      </c>
      <c r="AH52" s="68" t="s">
        <v>1216</v>
      </c>
      <c r="AI52" s="68" t="s">
        <v>1216</v>
      </c>
      <c r="AJ52" s="68" t="s">
        <v>1216</v>
      </c>
      <c r="AK52" s="68" t="s">
        <v>1216</v>
      </c>
      <c r="AL52" s="68"/>
      <c r="AM52" s="68" t="s">
        <v>1216</v>
      </c>
      <c r="AN52" s="68" t="str">
        <f t="shared" si="4"/>
        <v>Belum Dinilai</v>
      </c>
      <c r="AO52" s="68" t="str">
        <f t="shared" si="9"/>
        <v>Belum Dinilai</v>
      </c>
      <c r="AP52" s="68"/>
      <c r="AQ52" s="71">
        <f t="shared" si="5"/>
        <v>57</v>
      </c>
      <c r="AR52" s="71" t="str">
        <f t="shared" si="10"/>
        <v/>
      </c>
      <c r="AS52" s="71" t="str">
        <f t="shared" si="11"/>
        <v/>
      </c>
      <c r="AT52" s="69" t="str">
        <f t="shared" si="6"/>
        <v>Belum Dapat Ditentukan</v>
      </c>
      <c r="AU52" s="66" t="s">
        <v>1190</v>
      </c>
      <c r="AV52" s="66" t="s">
        <v>1205</v>
      </c>
      <c r="AW52" s="66" t="s">
        <v>1909</v>
      </c>
      <c r="AX52" s="66" t="s">
        <v>1218</v>
      </c>
      <c r="AY52" s="66"/>
      <c r="AZ52" s="66" t="s">
        <v>927</v>
      </c>
      <c r="BA52" s="66"/>
      <c r="BB52" s="72"/>
      <c r="BC52" s="73">
        <v>2026</v>
      </c>
      <c r="BD52" s="66"/>
      <c r="BE52" s="72"/>
      <c r="BF52" s="66" t="s">
        <v>1279</v>
      </c>
    </row>
    <row r="53" spans="1:58" ht="28">
      <c r="A53" s="66" t="s">
        <v>1457</v>
      </c>
      <c r="B53" s="66" t="s">
        <v>1496</v>
      </c>
      <c r="C53" s="66"/>
      <c r="D53" s="66"/>
      <c r="E53" s="66" t="s">
        <v>1497</v>
      </c>
      <c r="F53" s="66" t="s">
        <v>1289</v>
      </c>
      <c r="G53" s="66" t="s">
        <v>1290</v>
      </c>
      <c r="H53" s="66" t="s">
        <v>1182</v>
      </c>
      <c r="I53" s="66" t="s">
        <v>1291</v>
      </c>
      <c r="J53" s="66" t="s">
        <v>1211</v>
      </c>
      <c r="K53" s="66" t="s">
        <v>1278</v>
      </c>
      <c r="L53" s="66" t="s">
        <v>1216</v>
      </c>
      <c r="M53" s="66" t="s">
        <v>1267</v>
      </c>
      <c r="N53" s="66" t="s">
        <v>1216</v>
      </c>
      <c r="O53" s="66" t="s">
        <v>1278</v>
      </c>
      <c r="P53" s="66" t="s">
        <v>1216</v>
      </c>
      <c r="Q53" s="87" t="s">
        <v>1216</v>
      </c>
      <c r="R53" s="87" t="s">
        <v>1216</v>
      </c>
      <c r="S53" s="87" t="s">
        <v>1216</v>
      </c>
      <c r="T53" s="87" t="s">
        <v>1216</v>
      </c>
      <c r="U53" s="87" t="s">
        <v>1216</v>
      </c>
      <c r="V53" s="87" t="s">
        <v>1216</v>
      </c>
      <c r="W53" s="67"/>
      <c r="X53" s="85" t="str">
        <f t="shared" si="0"/>
        <v>Belum Dinilai</v>
      </c>
      <c r="Y53" s="85" t="str">
        <f t="shared" si="1"/>
        <v>Belum Dinilai</v>
      </c>
      <c r="Z53" s="86" t="str">
        <f t="shared" si="2"/>
        <v/>
      </c>
      <c r="AA53" s="86" t="str">
        <f t="shared" si="3"/>
        <v/>
      </c>
      <c r="AB53" s="86" t="str">
        <f t="shared" si="7"/>
        <v/>
      </c>
      <c r="AC53" s="68" t="s">
        <v>1216</v>
      </c>
      <c r="AD53" s="68" t="s">
        <v>1216</v>
      </c>
      <c r="AE53" s="68" t="s">
        <v>1216</v>
      </c>
      <c r="AF53" s="68" t="s">
        <v>1216</v>
      </c>
      <c r="AG53" s="68" t="s">
        <v>1216</v>
      </c>
      <c r="AH53" s="68" t="s">
        <v>1216</v>
      </c>
      <c r="AI53" s="68" t="s">
        <v>1216</v>
      </c>
      <c r="AJ53" s="68" t="s">
        <v>1216</v>
      </c>
      <c r="AK53" s="68" t="s">
        <v>1216</v>
      </c>
      <c r="AL53" s="68"/>
      <c r="AM53" s="68" t="s">
        <v>1216</v>
      </c>
      <c r="AN53" s="68" t="str">
        <f t="shared" si="4"/>
        <v>Belum Dinilai</v>
      </c>
      <c r="AO53" s="68" t="str">
        <f t="shared" si="9"/>
        <v>Belum Dinilai</v>
      </c>
      <c r="AP53" s="68"/>
      <c r="AQ53" s="71" t="str">
        <f t="shared" si="5"/>
        <v/>
      </c>
      <c r="AR53" s="71" t="str">
        <f t="shared" si="10"/>
        <v/>
      </c>
      <c r="AS53" s="71" t="str">
        <f t="shared" si="11"/>
        <v/>
      </c>
      <c r="AT53" s="69" t="str">
        <f t="shared" si="6"/>
        <v>Belum Dapat Ditentukan</v>
      </c>
      <c r="AU53" s="66" t="s">
        <v>1190</v>
      </c>
      <c r="AV53" s="66" t="s">
        <v>1205</v>
      </c>
      <c r="AW53" s="66" t="s">
        <v>1909</v>
      </c>
      <c r="AX53" s="66" t="s">
        <v>1207</v>
      </c>
      <c r="AY53" s="66">
        <v>2023</v>
      </c>
      <c r="AZ53" s="66" t="s">
        <v>927</v>
      </c>
      <c r="BA53" s="66"/>
      <c r="BB53" s="72"/>
      <c r="BC53" s="73">
        <v>2026</v>
      </c>
      <c r="BD53" s="66"/>
      <c r="BE53" s="72"/>
      <c r="BF53" s="66" t="s">
        <v>1279</v>
      </c>
    </row>
    <row r="54" spans="1:58" ht="42">
      <c r="A54" s="66" t="s">
        <v>1953</v>
      </c>
      <c r="B54" s="66" t="s">
        <v>1499</v>
      </c>
      <c r="C54" s="66"/>
      <c r="D54" s="66"/>
      <c r="E54" s="66" t="s">
        <v>1500</v>
      </c>
      <c r="F54" s="66" t="s">
        <v>1360</v>
      </c>
      <c r="G54" s="66" t="s">
        <v>1290</v>
      </c>
      <c r="H54" s="66" t="s">
        <v>1182</v>
      </c>
      <c r="I54" s="66" t="s">
        <v>1501</v>
      </c>
      <c r="J54" s="66" t="s">
        <v>1197</v>
      </c>
      <c r="K54" s="66" t="s">
        <v>1212</v>
      </c>
      <c r="L54" s="66" t="s">
        <v>1216</v>
      </c>
      <c r="M54" s="66" t="s">
        <v>1267</v>
      </c>
      <c r="N54" s="66" t="s">
        <v>1216</v>
      </c>
      <c r="O54" s="66" t="s">
        <v>1214</v>
      </c>
      <c r="P54" s="66" t="s">
        <v>1216</v>
      </c>
      <c r="Q54" s="87" t="s">
        <v>1216</v>
      </c>
      <c r="R54" s="87" t="s">
        <v>1216</v>
      </c>
      <c r="S54" s="87" t="s">
        <v>1216</v>
      </c>
      <c r="T54" s="87" t="s">
        <v>1216</v>
      </c>
      <c r="U54" s="87" t="s">
        <v>1216</v>
      </c>
      <c r="V54" s="87" t="s">
        <v>1216</v>
      </c>
      <c r="W54" s="67"/>
      <c r="X54" s="85" t="str">
        <f t="shared" si="0"/>
        <v>Belum Dinilai</v>
      </c>
      <c r="Y54" s="85" t="str">
        <f t="shared" si="1"/>
        <v>Belum Dinilai</v>
      </c>
      <c r="Z54" s="86" t="str">
        <f t="shared" si="2"/>
        <v/>
      </c>
      <c r="AA54" s="86" t="str">
        <f t="shared" si="3"/>
        <v/>
      </c>
      <c r="AB54" s="86" t="str">
        <f t="shared" si="7"/>
        <v/>
      </c>
      <c r="AC54" s="68" t="s">
        <v>1216</v>
      </c>
      <c r="AD54" s="68" t="s">
        <v>1216</v>
      </c>
      <c r="AE54" s="68" t="s">
        <v>1216</v>
      </c>
      <c r="AF54" s="68" t="s">
        <v>1216</v>
      </c>
      <c r="AG54" s="68" t="s">
        <v>1216</v>
      </c>
      <c r="AH54" s="68" t="s">
        <v>1216</v>
      </c>
      <c r="AI54" s="68" t="s">
        <v>1216</v>
      </c>
      <c r="AJ54" s="68" t="s">
        <v>1216</v>
      </c>
      <c r="AK54" s="68" t="s">
        <v>1216</v>
      </c>
      <c r="AL54" s="68"/>
      <c r="AM54" s="68" t="s">
        <v>1216</v>
      </c>
      <c r="AN54" s="68" t="str">
        <f t="shared" si="4"/>
        <v>Belum Dinilai</v>
      </c>
      <c r="AO54" s="68" t="str">
        <f t="shared" si="9"/>
        <v>Belum Dinilai</v>
      </c>
      <c r="AP54" s="68"/>
      <c r="AQ54" s="71" t="str">
        <f t="shared" si="5"/>
        <v/>
      </c>
      <c r="AR54" s="71" t="str">
        <f t="shared" si="10"/>
        <v/>
      </c>
      <c r="AS54" s="71" t="str">
        <f t="shared" si="11"/>
        <v/>
      </c>
      <c r="AT54" s="69" t="str">
        <f t="shared" si="6"/>
        <v>Belum Dapat Ditentukan</v>
      </c>
      <c r="AU54" s="66" t="s">
        <v>1204</v>
      </c>
      <c r="AV54" s="66" t="s">
        <v>1205</v>
      </c>
      <c r="AW54" s="66" t="s">
        <v>1191</v>
      </c>
      <c r="AX54" s="66"/>
      <c r="AY54" s="66"/>
      <c r="AZ54" s="66" t="s">
        <v>927</v>
      </c>
      <c r="BA54" s="66"/>
      <c r="BB54" s="72"/>
      <c r="BC54" s="73">
        <v>2026</v>
      </c>
      <c r="BD54" s="66"/>
      <c r="BE54" s="72"/>
      <c r="BF54" s="66" t="s">
        <v>1279</v>
      </c>
    </row>
    <row r="55" spans="1:58" ht="28">
      <c r="A55" s="66" t="s">
        <v>1461</v>
      </c>
      <c r="B55" s="66" t="s">
        <v>1503</v>
      </c>
      <c r="C55" s="66"/>
      <c r="D55" s="66"/>
      <c r="E55" s="66" t="s">
        <v>1504</v>
      </c>
      <c r="F55" s="66" t="s">
        <v>1360</v>
      </c>
      <c r="G55" s="66" t="s">
        <v>1290</v>
      </c>
      <c r="H55" s="66" t="s">
        <v>1196</v>
      </c>
      <c r="I55" s="66" t="s">
        <v>1505</v>
      </c>
      <c r="J55" s="66" t="s">
        <v>1264</v>
      </c>
      <c r="K55" s="66" t="s">
        <v>1278</v>
      </c>
      <c r="L55" s="66" t="s">
        <v>1216</v>
      </c>
      <c r="M55" s="66" t="s">
        <v>1278</v>
      </c>
      <c r="N55" s="66" t="s">
        <v>1216</v>
      </c>
      <c r="O55" s="66" t="s">
        <v>1278</v>
      </c>
      <c r="P55" s="66" t="s">
        <v>1216</v>
      </c>
      <c r="Q55" s="87" t="s">
        <v>1216</v>
      </c>
      <c r="R55" s="87" t="s">
        <v>1216</v>
      </c>
      <c r="S55" s="87" t="s">
        <v>1216</v>
      </c>
      <c r="T55" s="87" t="s">
        <v>1216</v>
      </c>
      <c r="U55" s="87" t="s">
        <v>1216</v>
      </c>
      <c r="V55" s="87" t="s">
        <v>1216</v>
      </c>
      <c r="W55" s="67"/>
      <c r="X55" s="85" t="str">
        <f t="shared" si="0"/>
        <v>Belum Dinilai</v>
      </c>
      <c r="Y55" s="85" t="str">
        <f t="shared" si="1"/>
        <v>Belum Dinilai</v>
      </c>
      <c r="Z55" s="86" t="str">
        <f t="shared" si="2"/>
        <v/>
      </c>
      <c r="AA55" s="86" t="str">
        <f t="shared" si="3"/>
        <v/>
      </c>
      <c r="AB55" s="86" t="str">
        <f t="shared" si="7"/>
        <v/>
      </c>
      <c r="AC55" s="68" t="s">
        <v>1216</v>
      </c>
      <c r="AD55" s="68" t="s">
        <v>1216</v>
      </c>
      <c r="AE55" s="68" t="s">
        <v>1216</v>
      </c>
      <c r="AF55" s="68" t="s">
        <v>1216</v>
      </c>
      <c r="AG55" s="68" t="s">
        <v>1216</v>
      </c>
      <c r="AH55" s="68" t="s">
        <v>1216</v>
      </c>
      <c r="AI55" s="68" t="s">
        <v>1216</v>
      </c>
      <c r="AJ55" s="68" t="s">
        <v>1216</v>
      </c>
      <c r="AK55" s="68" t="s">
        <v>1216</v>
      </c>
      <c r="AL55" s="68"/>
      <c r="AM55" s="68" t="s">
        <v>1216</v>
      </c>
      <c r="AN55" s="68" t="str">
        <f t="shared" si="4"/>
        <v>Belum Dinilai</v>
      </c>
      <c r="AO55" s="68" t="str">
        <f t="shared" si="9"/>
        <v>Belum Dinilai</v>
      </c>
      <c r="AP55" s="68"/>
      <c r="AQ55" s="71" t="str">
        <f t="shared" si="5"/>
        <v/>
      </c>
      <c r="AR55" s="71" t="str">
        <f t="shared" si="10"/>
        <v/>
      </c>
      <c r="AS55" s="71" t="str">
        <f t="shared" si="11"/>
        <v/>
      </c>
      <c r="AT55" s="69" t="str">
        <f t="shared" si="6"/>
        <v>Belum Dapat Ditentukan</v>
      </c>
      <c r="AU55" s="66" t="s">
        <v>1204</v>
      </c>
      <c r="AV55" s="66" t="s">
        <v>1205</v>
      </c>
      <c r="AW55" s="66" t="s">
        <v>1191</v>
      </c>
      <c r="AX55" s="66"/>
      <c r="AY55" s="66"/>
      <c r="AZ55" s="66" t="s">
        <v>927</v>
      </c>
      <c r="BA55" s="66"/>
      <c r="BB55" s="72"/>
      <c r="BC55" s="73">
        <v>2026</v>
      </c>
      <c r="BD55" s="66"/>
      <c r="BE55" s="72"/>
      <c r="BF55" s="66" t="s">
        <v>1279</v>
      </c>
    </row>
    <row r="56" spans="1:58" ht="28">
      <c r="A56" s="66" t="s">
        <v>1466</v>
      </c>
      <c r="B56" s="66" t="s">
        <v>1507</v>
      </c>
      <c r="C56" s="66"/>
      <c r="D56" s="66"/>
      <c r="E56" s="66" t="s">
        <v>1508</v>
      </c>
      <c r="F56" s="66" t="s">
        <v>1383</v>
      </c>
      <c r="G56" s="66" t="s">
        <v>1290</v>
      </c>
      <c r="H56" s="66" t="s">
        <v>1182</v>
      </c>
      <c r="I56" s="66" t="s">
        <v>1509</v>
      </c>
      <c r="J56" s="66" t="s">
        <v>1264</v>
      </c>
      <c r="K56" s="66" t="s">
        <v>1294</v>
      </c>
      <c r="L56" s="66" t="s">
        <v>1216</v>
      </c>
      <c r="M56" s="66" t="s">
        <v>1278</v>
      </c>
      <c r="N56" s="66" t="s">
        <v>1216</v>
      </c>
      <c r="O56" s="66" t="s">
        <v>1214</v>
      </c>
      <c r="P56" s="66" t="s">
        <v>1216</v>
      </c>
      <c r="Q56" s="87" t="s">
        <v>1216</v>
      </c>
      <c r="R56" s="87" t="s">
        <v>1216</v>
      </c>
      <c r="S56" s="87" t="s">
        <v>1216</v>
      </c>
      <c r="T56" s="87" t="s">
        <v>1216</v>
      </c>
      <c r="U56" s="87" t="s">
        <v>1216</v>
      </c>
      <c r="V56" s="87" t="s">
        <v>1216</v>
      </c>
      <c r="W56" s="67"/>
      <c r="X56" s="85" t="str">
        <f t="shared" si="0"/>
        <v>Belum Dinilai</v>
      </c>
      <c r="Y56" s="85" t="str">
        <f t="shared" si="1"/>
        <v>Belum Dinilai</v>
      </c>
      <c r="Z56" s="86" t="str">
        <f t="shared" si="2"/>
        <v/>
      </c>
      <c r="AA56" s="86" t="str">
        <f t="shared" si="3"/>
        <v/>
      </c>
      <c r="AB56" s="86" t="str">
        <f t="shared" si="7"/>
        <v/>
      </c>
      <c r="AC56" s="68" t="s">
        <v>1216</v>
      </c>
      <c r="AD56" s="68" t="s">
        <v>1216</v>
      </c>
      <c r="AE56" s="68" t="s">
        <v>1216</v>
      </c>
      <c r="AF56" s="68" t="s">
        <v>1216</v>
      </c>
      <c r="AG56" s="68" t="s">
        <v>1216</v>
      </c>
      <c r="AH56" s="68" t="s">
        <v>1216</v>
      </c>
      <c r="AI56" s="68" t="s">
        <v>1216</v>
      </c>
      <c r="AJ56" s="68" t="s">
        <v>1216</v>
      </c>
      <c r="AK56" s="68" t="s">
        <v>1216</v>
      </c>
      <c r="AL56" s="68"/>
      <c r="AM56" s="68" t="s">
        <v>1216</v>
      </c>
      <c r="AN56" s="68" t="str">
        <f t="shared" si="4"/>
        <v>Belum Dinilai</v>
      </c>
      <c r="AO56" s="68" t="str">
        <f t="shared" si="9"/>
        <v>Belum Dinilai</v>
      </c>
      <c r="AP56" s="68"/>
      <c r="AQ56" s="71" t="str">
        <f t="shared" si="5"/>
        <v/>
      </c>
      <c r="AR56" s="71" t="str">
        <f t="shared" si="10"/>
        <v/>
      </c>
      <c r="AS56" s="71" t="str">
        <f t="shared" si="11"/>
        <v/>
      </c>
      <c r="AT56" s="69" t="str">
        <f t="shared" si="6"/>
        <v>Belum Dapat Ditentukan</v>
      </c>
      <c r="AU56" s="66" t="s">
        <v>1204</v>
      </c>
      <c r="AV56" s="66" t="s">
        <v>1205</v>
      </c>
      <c r="AW56" s="66" t="s">
        <v>1191</v>
      </c>
      <c r="AX56" s="66"/>
      <c r="AY56" s="66"/>
      <c r="AZ56" s="66" t="s">
        <v>927</v>
      </c>
      <c r="BA56" s="66"/>
      <c r="BB56" s="72"/>
      <c r="BC56" s="73">
        <v>2026</v>
      </c>
      <c r="BD56" s="66"/>
      <c r="BE56" s="72"/>
      <c r="BF56" s="66" t="s">
        <v>1279</v>
      </c>
    </row>
    <row r="57" spans="1:58" ht="28">
      <c r="A57" s="66" t="s">
        <v>1471</v>
      </c>
      <c r="B57" s="66" t="s">
        <v>1511</v>
      </c>
      <c r="C57" s="66"/>
      <c r="D57" s="66"/>
      <c r="E57" s="66" t="s">
        <v>1512</v>
      </c>
      <c r="F57" s="66" t="s">
        <v>1513</v>
      </c>
      <c r="G57" s="66" t="s">
        <v>1290</v>
      </c>
      <c r="H57" s="66" t="s">
        <v>1196</v>
      </c>
      <c r="I57" s="66" t="s">
        <v>1514</v>
      </c>
      <c r="J57" s="66" t="s">
        <v>1183</v>
      </c>
      <c r="K57" s="66" t="s">
        <v>1278</v>
      </c>
      <c r="L57" s="66" t="s">
        <v>1216</v>
      </c>
      <c r="M57" s="66" t="s">
        <v>1266</v>
      </c>
      <c r="N57" s="66" t="s">
        <v>1216</v>
      </c>
      <c r="O57" s="66" t="s">
        <v>1278</v>
      </c>
      <c r="P57" s="66" t="s">
        <v>1216</v>
      </c>
      <c r="Q57" s="87" t="s">
        <v>1216</v>
      </c>
      <c r="R57" s="87" t="s">
        <v>1216</v>
      </c>
      <c r="S57" s="87" t="s">
        <v>1216</v>
      </c>
      <c r="T57" s="87" t="s">
        <v>1216</v>
      </c>
      <c r="U57" s="87" t="s">
        <v>1216</v>
      </c>
      <c r="V57" s="87" t="s">
        <v>1216</v>
      </c>
      <c r="W57" s="67"/>
      <c r="X57" s="85" t="str">
        <f t="shared" si="0"/>
        <v>Belum Dinilai</v>
      </c>
      <c r="Y57" s="85" t="str">
        <f t="shared" si="1"/>
        <v>Belum Dinilai</v>
      </c>
      <c r="Z57" s="86" t="str">
        <f t="shared" si="2"/>
        <v/>
      </c>
      <c r="AA57" s="86" t="str">
        <f t="shared" si="3"/>
        <v/>
      </c>
      <c r="AB57" s="86" t="str">
        <f t="shared" si="7"/>
        <v/>
      </c>
      <c r="AC57" s="68" t="s">
        <v>1216</v>
      </c>
      <c r="AD57" s="68" t="s">
        <v>1216</v>
      </c>
      <c r="AE57" s="68" t="s">
        <v>1216</v>
      </c>
      <c r="AF57" s="68" t="s">
        <v>1216</v>
      </c>
      <c r="AG57" s="68" t="s">
        <v>1216</v>
      </c>
      <c r="AH57" s="68" t="s">
        <v>1216</v>
      </c>
      <c r="AI57" s="68" t="s">
        <v>1216</v>
      </c>
      <c r="AJ57" s="68" t="s">
        <v>1216</v>
      </c>
      <c r="AK57" s="68" t="s">
        <v>1216</v>
      </c>
      <c r="AL57" s="68"/>
      <c r="AM57" s="68" t="s">
        <v>1216</v>
      </c>
      <c r="AN57" s="68" t="str">
        <f t="shared" si="4"/>
        <v>Belum Dinilai</v>
      </c>
      <c r="AO57" s="68" t="str">
        <f t="shared" si="9"/>
        <v>Belum Dinilai</v>
      </c>
      <c r="AP57" s="68"/>
      <c r="AQ57" s="71" t="str">
        <f t="shared" si="5"/>
        <v/>
      </c>
      <c r="AR57" s="71" t="str">
        <f t="shared" si="10"/>
        <v/>
      </c>
      <c r="AS57" s="71" t="str">
        <f t="shared" si="11"/>
        <v/>
      </c>
      <c r="AT57" s="69" t="str">
        <f t="shared" si="6"/>
        <v>Belum Dapat Ditentukan</v>
      </c>
      <c r="AU57" s="66" t="s">
        <v>1204</v>
      </c>
      <c r="AV57" s="66" t="s">
        <v>1205</v>
      </c>
      <c r="AW57" s="66" t="s">
        <v>1191</v>
      </c>
      <c r="AX57" s="66"/>
      <c r="AY57" s="66"/>
      <c r="AZ57" s="66" t="s">
        <v>927</v>
      </c>
      <c r="BA57" s="66"/>
      <c r="BB57" s="72"/>
      <c r="BC57" s="73">
        <v>2026</v>
      </c>
      <c r="BD57" s="66"/>
      <c r="BE57" s="72"/>
      <c r="BF57" s="66" t="s">
        <v>1279</v>
      </c>
    </row>
    <row r="58" spans="1:58" ht="42">
      <c r="A58" s="66" t="s">
        <v>1474</v>
      </c>
      <c r="B58" s="66" t="s">
        <v>1516</v>
      </c>
      <c r="C58" s="66"/>
      <c r="D58" s="66"/>
      <c r="E58" s="66" t="s">
        <v>1517</v>
      </c>
      <c r="F58" s="66" t="s">
        <v>1513</v>
      </c>
      <c r="G58" s="66" t="s">
        <v>1290</v>
      </c>
      <c r="H58" s="66" t="s">
        <v>1196</v>
      </c>
      <c r="I58" s="66" t="s">
        <v>1518</v>
      </c>
      <c r="J58" s="66" t="s">
        <v>1197</v>
      </c>
      <c r="K58" s="66" t="s">
        <v>1184</v>
      </c>
      <c r="L58" s="66" t="s">
        <v>905</v>
      </c>
      <c r="M58" s="66" t="s">
        <v>1267</v>
      </c>
      <c r="N58" s="66" t="s">
        <v>905</v>
      </c>
      <c r="O58" s="66" t="s">
        <v>1214</v>
      </c>
      <c r="P58" s="66" t="s">
        <v>891</v>
      </c>
      <c r="Q58" s="87" t="s">
        <v>1216</v>
      </c>
      <c r="R58" s="87" t="s">
        <v>1216</v>
      </c>
      <c r="S58" s="87" t="s">
        <v>1216</v>
      </c>
      <c r="T58" s="87" t="s">
        <v>1216</v>
      </c>
      <c r="U58" s="87" t="s">
        <v>1216</v>
      </c>
      <c r="V58" s="87" t="s">
        <v>1216</v>
      </c>
      <c r="W58" s="67"/>
      <c r="X58" s="85" t="str">
        <f t="shared" si="0"/>
        <v>Belum Dinilai</v>
      </c>
      <c r="Y58" s="85" t="str">
        <f t="shared" si="1"/>
        <v>Belum Dinilai</v>
      </c>
      <c r="Z58" s="86" t="str">
        <f t="shared" si="2"/>
        <v/>
      </c>
      <c r="AA58" s="86" t="str">
        <f t="shared" si="3"/>
        <v/>
      </c>
      <c r="AB58" s="86" t="str">
        <f t="shared" si="7"/>
        <v/>
      </c>
      <c r="AC58" s="68" t="s">
        <v>1216</v>
      </c>
      <c r="AD58" s="68" t="s">
        <v>1216</v>
      </c>
      <c r="AE58" s="68" t="s">
        <v>1216</v>
      </c>
      <c r="AF58" s="68" t="s">
        <v>1216</v>
      </c>
      <c r="AG58" s="68" t="s">
        <v>1216</v>
      </c>
      <c r="AH58" s="68" t="s">
        <v>1216</v>
      </c>
      <c r="AI58" s="68" t="s">
        <v>1216</v>
      </c>
      <c r="AJ58" s="68" t="s">
        <v>1216</v>
      </c>
      <c r="AK58" s="68" t="s">
        <v>1216</v>
      </c>
      <c r="AL58" s="68"/>
      <c r="AM58" s="68" t="s">
        <v>1216</v>
      </c>
      <c r="AN58" s="68" t="str">
        <f t="shared" si="4"/>
        <v>Belum Dinilai</v>
      </c>
      <c r="AO58" s="68" t="str">
        <f t="shared" si="9"/>
        <v>Belum Dinilai</v>
      </c>
      <c r="AP58" s="68"/>
      <c r="AQ58" s="71">
        <f t="shared" si="5"/>
        <v>32</v>
      </c>
      <c r="AR58" s="71" t="str">
        <f t="shared" si="10"/>
        <v/>
      </c>
      <c r="AS58" s="71" t="str">
        <f t="shared" si="11"/>
        <v/>
      </c>
      <c r="AT58" s="69" t="str">
        <f t="shared" si="6"/>
        <v>Belum Dapat Ditentukan</v>
      </c>
      <c r="AU58" s="66" t="s">
        <v>1190</v>
      </c>
      <c r="AV58" s="66" t="s">
        <v>1205</v>
      </c>
      <c r="AW58" s="66" t="s">
        <v>1191</v>
      </c>
      <c r="AX58" s="66"/>
      <c r="AY58" s="66"/>
      <c r="AZ58" s="66" t="s">
        <v>927</v>
      </c>
      <c r="BA58" s="66"/>
      <c r="BB58" s="72"/>
      <c r="BC58" s="73">
        <v>2026</v>
      </c>
      <c r="BD58" s="66"/>
      <c r="BE58" s="72"/>
      <c r="BF58" s="66" t="s">
        <v>1279</v>
      </c>
    </row>
    <row r="59" spans="1:58" ht="56">
      <c r="A59" s="66" t="s">
        <v>1476</v>
      </c>
      <c r="B59" s="66" t="s">
        <v>1520</v>
      </c>
      <c r="C59" s="66"/>
      <c r="D59" s="66"/>
      <c r="E59" s="66" t="s">
        <v>1512</v>
      </c>
      <c r="F59" s="66" t="s">
        <v>1513</v>
      </c>
      <c r="G59" s="66" t="s">
        <v>1290</v>
      </c>
      <c r="H59" s="66" t="s">
        <v>1182</v>
      </c>
      <c r="I59" s="66" t="s">
        <v>1521</v>
      </c>
      <c r="J59" s="66" t="s">
        <v>1197</v>
      </c>
      <c r="K59" s="66" t="s">
        <v>1198</v>
      </c>
      <c r="L59" s="66" t="s">
        <v>905</v>
      </c>
      <c r="M59" s="66" t="s">
        <v>1267</v>
      </c>
      <c r="N59" s="66" t="s">
        <v>905</v>
      </c>
      <c r="O59" s="66" t="s">
        <v>1294</v>
      </c>
      <c r="P59" s="66" t="s">
        <v>905</v>
      </c>
      <c r="Q59" s="87" t="s">
        <v>1216</v>
      </c>
      <c r="R59" s="87" t="s">
        <v>1216</v>
      </c>
      <c r="S59" s="87" t="s">
        <v>1216</v>
      </c>
      <c r="T59" s="87" t="s">
        <v>1216</v>
      </c>
      <c r="U59" s="87" t="s">
        <v>1216</v>
      </c>
      <c r="V59" s="87" t="s">
        <v>1216</v>
      </c>
      <c r="W59" s="67"/>
      <c r="X59" s="85" t="str">
        <f t="shared" si="0"/>
        <v>Belum Dinilai</v>
      </c>
      <c r="Y59" s="85" t="str">
        <f t="shared" si="1"/>
        <v>Belum Dinilai</v>
      </c>
      <c r="Z59" s="86" t="str">
        <f t="shared" si="2"/>
        <v/>
      </c>
      <c r="AA59" s="86" t="str">
        <f t="shared" si="3"/>
        <v/>
      </c>
      <c r="AB59" s="86" t="str">
        <f t="shared" si="7"/>
        <v/>
      </c>
      <c r="AC59" s="68" t="s">
        <v>1216</v>
      </c>
      <c r="AD59" s="68" t="s">
        <v>1216</v>
      </c>
      <c r="AE59" s="68" t="s">
        <v>1216</v>
      </c>
      <c r="AF59" s="68" t="s">
        <v>1216</v>
      </c>
      <c r="AG59" s="68" t="s">
        <v>1216</v>
      </c>
      <c r="AH59" s="68" t="s">
        <v>1216</v>
      </c>
      <c r="AI59" s="68" t="s">
        <v>1216</v>
      </c>
      <c r="AJ59" s="68" t="s">
        <v>1216</v>
      </c>
      <c r="AK59" s="68" t="s">
        <v>1216</v>
      </c>
      <c r="AL59" s="68"/>
      <c r="AM59" s="68" t="s">
        <v>1216</v>
      </c>
      <c r="AN59" s="68" t="str">
        <f t="shared" si="4"/>
        <v>Belum Dinilai</v>
      </c>
      <c r="AO59" s="68" t="str">
        <f t="shared" si="9"/>
        <v>Belum Dinilai</v>
      </c>
      <c r="AP59" s="68"/>
      <c r="AQ59" s="71">
        <f t="shared" si="5"/>
        <v>36</v>
      </c>
      <c r="AR59" s="71" t="str">
        <f t="shared" si="10"/>
        <v/>
      </c>
      <c r="AS59" s="71" t="str">
        <f t="shared" si="11"/>
        <v/>
      </c>
      <c r="AT59" s="69" t="str">
        <f t="shared" si="6"/>
        <v>Belum Dapat Ditentukan</v>
      </c>
      <c r="AU59" s="66" t="s">
        <v>1204</v>
      </c>
      <c r="AV59" s="66" t="s">
        <v>1205</v>
      </c>
      <c r="AW59" s="66" t="s">
        <v>1191</v>
      </c>
      <c r="AX59" s="66"/>
      <c r="AY59" s="66"/>
      <c r="AZ59" s="66" t="s">
        <v>927</v>
      </c>
      <c r="BA59" s="66"/>
      <c r="BB59" s="72"/>
      <c r="BC59" s="73">
        <v>2026</v>
      </c>
      <c r="BD59" s="66"/>
      <c r="BE59" s="72"/>
      <c r="BF59" s="66" t="s">
        <v>1279</v>
      </c>
    </row>
    <row r="60" spans="1:58" ht="42">
      <c r="A60" s="66" t="s">
        <v>1479</v>
      </c>
      <c r="B60" s="66" t="s">
        <v>1523</v>
      </c>
      <c r="C60" s="66"/>
      <c r="D60" s="66"/>
      <c r="E60" s="66" t="s">
        <v>1308</v>
      </c>
      <c r="F60" s="66" t="s">
        <v>1513</v>
      </c>
      <c r="G60" s="66" t="s">
        <v>1290</v>
      </c>
      <c r="H60" s="66" t="s">
        <v>1182</v>
      </c>
      <c r="I60" s="66" t="s">
        <v>1524</v>
      </c>
      <c r="J60" s="66" t="s">
        <v>1197</v>
      </c>
      <c r="K60" s="66" t="s">
        <v>1212</v>
      </c>
      <c r="L60" s="66" t="s">
        <v>905</v>
      </c>
      <c r="M60" s="66" t="s">
        <v>1267</v>
      </c>
      <c r="N60" s="66" t="s">
        <v>905</v>
      </c>
      <c r="O60" s="66" t="s">
        <v>1278</v>
      </c>
      <c r="P60" s="66" t="s">
        <v>1216</v>
      </c>
      <c r="Q60" s="87" t="s">
        <v>1216</v>
      </c>
      <c r="R60" s="87" t="s">
        <v>1216</v>
      </c>
      <c r="S60" s="87" t="s">
        <v>1216</v>
      </c>
      <c r="T60" s="87" t="s">
        <v>1216</v>
      </c>
      <c r="U60" s="87" t="s">
        <v>1216</v>
      </c>
      <c r="V60" s="87" t="s">
        <v>1216</v>
      </c>
      <c r="W60" s="67"/>
      <c r="X60" s="85" t="str">
        <f t="shared" si="0"/>
        <v>Belum Dinilai</v>
      </c>
      <c r="Y60" s="85" t="str">
        <f t="shared" si="1"/>
        <v>Belum Dinilai</v>
      </c>
      <c r="Z60" s="86" t="str">
        <f t="shared" si="2"/>
        <v/>
      </c>
      <c r="AA60" s="86" t="str">
        <f t="shared" si="3"/>
        <v/>
      </c>
      <c r="AB60" s="86" t="str">
        <f t="shared" si="7"/>
        <v/>
      </c>
      <c r="AC60" s="68" t="s">
        <v>1216</v>
      </c>
      <c r="AD60" s="68" t="s">
        <v>1216</v>
      </c>
      <c r="AE60" s="68" t="s">
        <v>1216</v>
      </c>
      <c r="AF60" s="68" t="s">
        <v>1216</v>
      </c>
      <c r="AG60" s="68" t="s">
        <v>1216</v>
      </c>
      <c r="AH60" s="68" t="s">
        <v>1216</v>
      </c>
      <c r="AI60" s="68" t="s">
        <v>1216</v>
      </c>
      <c r="AJ60" s="68" t="s">
        <v>1216</v>
      </c>
      <c r="AK60" s="68" t="s">
        <v>1216</v>
      </c>
      <c r="AL60" s="68"/>
      <c r="AM60" s="68" t="s">
        <v>1216</v>
      </c>
      <c r="AN60" s="68" t="str">
        <f t="shared" si="4"/>
        <v>Belum Dinilai</v>
      </c>
      <c r="AO60" s="68" t="str">
        <f t="shared" si="9"/>
        <v>Belum Dinilai</v>
      </c>
      <c r="AP60" s="68"/>
      <c r="AQ60" s="71" t="str">
        <f t="shared" si="5"/>
        <v/>
      </c>
      <c r="AR60" s="71" t="str">
        <f t="shared" si="10"/>
        <v/>
      </c>
      <c r="AS60" s="71" t="str">
        <f t="shared" si="11"/>
        <v/>
      </c>
      <c r="AT60" s="69" t="str">
        <f t="shared" si="6"/>
        <v>Belum Dapat Ditentukan</v>
      </c>
      <c r="AU60" s="66" t="s">
        <v>1204</v>
      </c>
      <c r="AV60" s="66" t="s">
        <v>1205</v>
      </c>
      <c r="AW60" s="66" t="s">
        <v>1191</v>
      </c>
      <c r="AX60" s="66"/>
      <c r="AY60" s="66"/>
      <c r="AZ60" s="66" t="s">
        <v>927</v>
      </c>
      <c r="BA60" s="66"/>
      <c r="BB60" s="72"/>
      <c r="BC60" s="73">
        <v>2026</v>
      </c>
      <c r="BD60" s="66"/>
      <c r="BE60" s="72"/>
      <c r="BF60" s="66" t="s">
        <v>1279</v>
      </c>
    </row>
    <row r="61" spans="1:58" ht="28">
      <c r="A61" s="66" t="s">
        <v>1483</v>
      </c>
      <c r="B61" s="66" t="s">
        <v>1526</v>
      </c>
      <c r="C61" s="66"/>
      <c r="D61" s="66"/>
      <c r="E61" s="66" t="s">
        <v>1527</v>
      </c>
      <c r="F61" s="66" t="s">
        <v>1528</v>
      </c>
      <c r="G61" s="66" t="s">
        <v>1329</v>
      </c>
      <c r="H61" s="66" t="s">
        <v>1196</v>
      </c>
      <c r="I61" s="66" t="s">
        <v>1529</v>
      </c>
      <c r="J61" s="66" t="s">
        <v>1264</v>
      </c>
      <c r="K61" s="66" t="s">
        <v>1212</v>
      </c>
      <c r="L61" s="66" t="s">
        <v>1216</v>
      </c>
      <c r="M61" s="66" t="s">
        <v>1278</v>
      </c>
      <c r="N61" s="66" t="s">
        <v>1216</v>
      </c>
      <c r="O61" s="66" t="s">
        <v>1278</v>
      </c>
      <c r="P61" s="66" t="s">
        <v>1216</v>
      </c>
      <c r="Q61" s="87" t="s">
        <v>1216</v>
      </c>
      <c r="R61" s="87" t="s">
        <v>1216</v>
      </c>
      <c r="S61" s="87" t="s">
        <v>1216</v>
      </c>
      <c r="T61" s="87" t="s">
        <v>1216</v>
      </c>
      <c r="U61" s="87" t="s">
        <v>1216</v>
      </c>
      <c r="V61" s="87" t="s">
        <v>1216</v>
      </c>
      <c r="W61" s="67"/>
      <c r="X61" s="85" t="str">
        <f t="shared" si="0"/>
        <v>Belum Dinilai</v>
      </c>
      <c r="Y61" s="85" t="str">
        <f t="shared" si="1"/>
        <v>Belum Dinilai</v>
      </c>
      <c r="Z61" s="86" t="str">
        <f t="shared" si="2"/>
        <v/>
      </c>
      <c r="AA61" s="86" t="str">
        <f t="shared" si="3"/>
        <v/>
      </c>
      <c r="AB61" s="86" t="str">
        <f t="shared" si="7"/>
        <v/>
      </c>
      <c r="AC61" s="68" t="s">
        <v>1216</v>
      </c>
      <c r="AD61" s="68" t="s">
        <v>1216</v>
      </c>
      <c r="AE61" s="68" t="s">
        <v>1216</v>
      </c>
      <c r="AF61" s="68" t="s">
        <v>1216</v>
      </c>
      <c r="AG61" s="68" t="s">
        <v>1216</v>
      </c>
      <c r="AH61" s="68" t="s">
        <v>1216</v>
      </c>
      <c r="AI61" s="68" t="s">
        <v>1216</v>
      </c>
      <c r="AJ61" s="68" t="s">
        <v>1216</v>
      </c>
      <c r="AK61" s="68" t="s">
        <v>1216</v>
      </c>
      <c r="AL61" s="68"/>
      <c r="AM61" s="68" t="s">
        <v>1216</v>
      </c>
      <c r="AN61" s="68" t="str">
        <f t="shared" si="4"/>
        <v>Belum Dinilai</v>
      </c>
      <c r="AO61" s="68" t="str">
        <f t="shared" si="9"/>
        <v>Belum Dinilai</v>
      </c>
      <c r="AP61" s="68"/>
      <c r="AQ61" s="71" t="str">
        <f t="shared" si="5"/>
        <v/>
      </c>
      <c r="AR61" s="71" t="str">
        <f t="shared" si="10"/>
        <v/>
      </c>
      <c r="AS61" s="71" t="str">
        <f t="shared" si="11"/>
        <v/>
      </c>
      <c r="AT61" s="69" t="str">
        <f t="shared" si="6"/>
        <v>Belum Dapat Ditentukan</v>
      </c>
      <c r="AU61" s="66" t="s">
        <v>1204</v>
      </c>
      <c r="AV61" s="66" t="s">
        <v>1205</v>
      </c>
      <c r="AW61" s="66" t="s">
        <v>1191</v>
      </c>
      <c r="AX61" s="66"/>
      <c r="AY61" s="66"/>
      <c r="AZ61" s="66" t="s">
        <v>927</v>
      </c>
      <c r="BA61" s="66"/>
      <c r="BB61" s="72"/>
      <c r="BC61" s="73">
        <v>2026</v>
      </c>
      <c r="BD61" s="66"/>
      <c r="BE61" s="72"/>
      <c r="BF61" s="66" t="s">
        <v>1279</v>
      </c>
    </row>
    <row r="62" spans="1:58" ht="28">
      <c r="A62" s="66" t="s">
        <v>1487</v>
      </c>
      <c r="B62" s="66" t="s">
        <v>1531</v>
      </c>
      <c r="C62" s="66"/>
      <c r="D62" s="66"/>
      <c r="E62" s="66" t="s">
        <v>1532</v>
      </c>
      <c r="F62" s="66" t="s">
        <v>1419</v>
      </c>
      <c r="G62" s="66" t="s">
        <v>1365</v>
      </c>
      <c r="H62" s="66" t="s">
        <v>1196</v>
      </c>
      <c r="I62" s="66" t="s">
        <v>1533</v>
      </c>
      <c r="J62" s="66" t="s">
        <v>1264</v>
      </c>
      <c r="K62" s="66" t="s">
        <v>1212</v>
      </c>
      <c r="L62" s="66" t="s">
        <v>895</v>
      </c>
      <c r="M62" s="66" t="s">
        <v>1278</v>
      </c>
      <c r="N62" s="66" t="s">
        <v>895</v>
      </c>
      <c r="O62" s="66" t="s">
        <v>1278</v>
      </c>
      <c r="P62" s="66" t="s">
        <v>1216</v>
      </c>
      <c r="Q62" s="87" t="s">
        <v>1216</v>
      </c>
      <c r="R62" s="87" t="s">
        <v>1216</v>
      </c>
      <c r="S62" s="87" t="s">
        <v>1216</v>
      </c>
      <c r="T62" s="87" t="s">
        <v>1216</v>
      </c>
      <c r="U62" s="87" t="s">
        <v>1216</v>
      </c>
      <c r="V62" s="87" t="s">
        <v>1216</v>
      </c>
      <c r="W62" s="67"/>
      <c r="X62" s="85" t="str">
        <f t="shared" si="0"/>
        <v>Belum Dinilai</v>
      </c>
      <c r="Y62" s="85" t="str">
        <f t="shared" si="1"/>
        <v>Belum Dinilai</v>
      </c>
      <c r="Z62" s="86" t="str">
        <f t="shared" si="2"/>
        <v/>
      </c>
      <c r="AA62" s="86" t="str">
        <f t="shared" si="3"/>
        <v/>
      </c>
      <c r="AB62" s="86" t="str">
        <f t="shared" si="7"/>
        <v/>
      </c>
      <c r="AC62" s="68" t="s">
        <v>1216</v>
      </c>
      <c r="AD62" s="68" t="s">
        <v>1216</v>
      </c>
      <c r="AE62" s="68" t="s">
        <v>1216</v>
      </c>
      <c r="AF62" s="68" t="s">
        <v>1216</v>
      </c>
      <c r="AG62" s="68" t="s">
        <v>1216</v>
      </c>
      <c r="AH62" s="68" t="s">
        <v>1216</v>
      </c>
      <c r="AI62" s="68" t="s">
        <v>1216</v>
      </c>
      <c r="AJ62" s="68" t="s">
        <v>1216</v>
      </c>
      <c r="AK62" s="68" t="s">
        <v>1216</v>
      </c>
      <c r="AL62" s="68"/>
      <c r="AM62" s="68" t="s">
        <v>1216</v>
      </c>
      <c r="AN62" s="68" t="str">
        <f t="shared" si="4"/>
        <v>Belum Dinilai</v>
      </c>
      <c r="AO62" s="68" t="str">
        <f t="shared" si="9"/>
        <v>Belum Dinilai</v>
      </c>
      <c r="AP62" s="68"/>
      <c r="AQ62" s="71" t="str">
        <f t="shared" si="5"/>
        <v/>
      </c>
      <c r="AR62" s="71" t="str">
        <f t="shared" si="10"/>
        <v/>
      </c>
      <c r="AS62" s="71" t="str">
        <f t="shared" si="11"/>
        <v/>
      </c>
      <c r="AT62" s="69" t="str">
        <f t="shared" si="6"/>
        <v>Belum Dapat Ditentukan</v>
      </c>
      <c r="AU62" s="66" t="s">
        <v>1204</v>
      </c>
      <c r="AV62" s="66" t="s">
        <v>1205</v>
      </c>
      <c r="AW62" s="66" t="s">
        <v>1909</v>
      </c>
      <c r="AX62" s="66" t="s">
        <v>1207</v>
      </c>
      <c r="AY62" s="66">
        <v>2024</v>
      </c>
      <c r="AZ62" s="66" t="s">
        <v>927</v>
      </c>
      <c r="BA62" s="66"/>
      <c r="BB62" s="72"/>
      <c r="BC62" s="73">
        <v>2026</v>
      </c>
      <c r="BD62" s="66"/>
      <c r="BE62" s="72"/>
      <c r="BF62" s="66" t="s">
        <v>1279</v>
      </c>
    </row>
    <row r="63" spans="1:58" ht="28">
      <c r="A63" s="66" t="s">
        <v>1954</v>
      </c>
      <c r="B63" s="66" t="s">
        <v>1535</v>
      </c>
      <c r="C63" s="66"/>
      <c r="D63" s="66"/>
      <c r="E63" s="66" t="s">
        <v>1536</v>
      </c>
      <c r="F63" s="66" t="s">
        <v>1481</v>
      </c>
      <c r="G63" s="66" t="s">
        <v>1314</v>
      </c>
      <c r="H63" s="66" t="s">
        <v>1182</v>
      </c>
      <c r="I63" s="66" t="s">
        <v>1537</v>
      </c>
      <c r="J63" s="66" t="s">
        <v>1264</v>
      </c>
      <c r="K63" s="66" t="s">
        <v>1294</v>
      </c>
      <c r="L63" s="66" t="s">
        <v>1216</v>
      </c>
      <c r="M63" s="66" t="s">
        <v>1198</v>
      </c>
      <c r="N63" s="66" t="s">
        <v>1216</v>
      </c>
      <c r="O63" s="66" t="s">
        <v>1278</v>
      </c>
      <c r="P63" s="66" t="s">
        <v>1216</v>
      </c>
      <c r="Q63" s="87" t="s">
        <v>1216</v>
      </c>
      <c r="R63" s="87" t="s">
        <v>1216</v>
      </c>
      <c r="S63" s="87" t="s">
        <v>1216</v>
      </c>
      <c r="T63" s="87" t="s">
        <v>1216</v>
      </c>
      <c r="U63" s="87" t="s">
        <v>1216</v>
      </c>
      <c r="V63" s="87" t="s">
        <v>1216</v>
      </c>
      <c r="W63" s="67"/>
      <c r="X63" s="85" t="str">
        <f t="shared" si="0"/>
        <v>Belum Dinilai</v>
      </c>
      <c r="Y63" s="85" t="str">
        <f t="shared" si="1"/>
        <v>Belum Dinilai</v>
      </c>
      <c r="Z63" s="86" t="str">
        <f t="shared" si="2"/>
        <v/>
      </c>
      <c r="AA63" s="86" t="str">
        <f t="shared" si="3"/>
        <v/>
      </c>
      <c r="AB63" s="86" t="str">
        <f t="shared" si="7"/>
        <v/>
      </c>
      <c r="AC63" s="68" t="s">
        <v>1216</v>
      </c>
      <c r="AD63" s="68" t="s">
        <v>1216</v>
      </c>
      <c r="AE63" s="68" t="s">
        <v>1216</v>
      </c>
      <c r="AF63" s="68" t="s">
        <v>1216</v>
      </c>
      <c r="AG63" s="68" t="s">
        <v>1216</v>
      </c>
      <c r="AH63" s="68" t="s">
        <v>1216</v>
      </c>
      <c r="AI63" s="68" t="s">
        <v>1216</v>
      </c>
      <c r="AJ63" s="68" t="s">
        <v>1216</v>
      </c>
      <c r="AK63" s="68" t="s">
        <v>1216</v>
      </c>
      <c r="AL63" s="68"/>
      <c r="AM63" s="68" t="s">
        <v>1216</v>
      </c>
      <c r="AN63" s="68" t="str">
        <f t="shared" si="4"/>
        <v>Belum Dinilai</v>
      </c>
      <c r="AO63" s="68" t="str">
        <f t="shared" si="9"/>
        <v>Belum Dinilai</v>
      </c>
      <c r="AP63" s="68"/>
      <c r="AQ63" s="71" t="str">
        <f t="shared" si="5"/>
        <v/>
      </c>
      <c r="AR63" s="71" t="str">
        <f t="shared" si="10"/>
        <v/>
      </c>
      <c r="AS63" s="71" t="str">
        <f t="shared" si="11"/>
        <v/>
      </c>
      <c r="AT63" s="69" t="str">
        <f t="shared" si="6"/>
        <v>Belum Dapat Ditentukan</v>
      </c>
      <c r="AU63" s="66" t="s">
        <v>1204</v>
      </c>
      <c r="AV63" s="66" t="s">
        <v>1205</v>
      </c>
      <c r="AW63" s="66" t="s">
        <v>1191</v>
      </c>
      <c r="AX63" s="66"/>
      <c r="AY63" s="66"/>
      <c r="AZ63" s="66" t="s">
        <v>927</v>
      </c>
      <c r="BA63" s="66"/>
      <c r="BB63" s="72"/>
      <c r="BC63" s="73">
        <v>2026</v>
      </c>
      <c r="BD63" s="66"/>
      <c r="BE63" s="72"/>
      <c r="BF63" s="66" t="s">
        <v>1279</v>
      </c>
    </row>
    <row r="64" spans="1:58" ht="42">
      <c r="A64" s="66" t="s">
        <v>1955</v>
      </c>
      <c r="B64" s="66" t="s">
        <v>1539</v>
      </c>
      <c r="C64" s="66"/>
      <c r="D64" s="66"/>
      <c r="E64" s="66" t="s">
        <v>1540</v>
      </c>
      <c r="F64" s="66" t="s">
        <v>1289</v>
      </c>
      <c r="G64" s="66" t="s">
        <v>1290</v>
      </c>
      <c r="H64" s="66" t="s">
        <v>1182</v>
      </c>
      <c r="I64" s="66" t="s">
        <v>1541</v>
      </c>
      <c r="J64" s="66" t="s">
        <v>1211</v>
      </c>
      <c r="K64" s="66" t="s">
        <v>1212</v>
      </c>
      <c r="L64" s="66" t="s">
        <v>1216</v>
      </c>
      <c r="M64" s="66" t="s">
        <v>1267</v>
      </c>
      <c r="N64" s="66" t="s">
        <v>1216</v>
      </c>
      <c r="O64" s="66" t="s">
        <v>1214</v>
      </c>
      <c r="P64" s="66" t="s">
        <v>1216</v>
      </c>
      <c r="Q64" s="87" t="s">
        <v>1216</v>
      </c>
      <c r="R64" s="87" t="s">
        <v>1216</v>
      </c>
      <c r="S64" s="87" t="s">
        <v>1216</v>
      </c>
      <c r="T64" s="87" t="s">
        <v>1216</v>
      </c>
      <c r="U64" s="87" t="s">
        <v>1216</v>
      </c>
      <c r="V64" s="87" t="s">
        <v>1216</v>
      </c>
      <c r="W64" s="67"/>
      <c r="X64" s="85" t="str">
        <f t="shared" si="0"/>
        <v>Belum Dinilai</v>
      </c>
      <c r="Y64" s="85" t="str">
        <f t="shared" si="1"/>
        <v>Belum Dinilai</v>
      </c>
      <c r="Z64" s="86" t="str">
        <f t="shared" si="2"/>
        <v/>
      </c>
      <c r="AA64" s="86" t="str">
        <f t="shared" si="3"/>
        <v/>
      </c>
      <c r="AB64" s="86" t="str">
        <f t="shared" si="7"/>
        <v/>
      </c>
      <c r="AC64" s="68" t="s">
        <v>1216</v>
      </c>
      <c r="AD64" s="68" t="s">
        <v>1216</v>
      </c>
      <c r="AE64" s="68" t="s">
        <v>1216</v>
      </c>
      <c r="AF64" s="68" t="s">
        <v>1216</v>
      </c>
      <c r="AG64" s="68" t="s">
        <v>1216</v>
      </c>
      <c r="AH64" s="68" t="s">
        <v>1216</v>
      </c>
      <c r="AI64" s="68" t="s">
        <v>1216</v>
      </c>
      <c r="AJ64" s="68" t="s">
        <v>1216</v>
      </c>
      <c r="AK64" s="68" t="s">
        <v>1216</v>
      </c>
      <c r="AL64" s="68"/>
      <c r="AM64" s="68" t="s">
        <v>1216</v>
      </c>
      <c r="AN64" s="68" t="str">
        <f t="shared" si="4"/>
        <v>Belum Dinilai</v>
      </c>
      <c r="AO64" s="68" t="str">
        <f t="shared" si="9"/>
        <v>Belum Dinilai</v>
      </c>
      <c r="AP64" s="68"/>
      <c r="AQ64" s="71" t="str">
        <f t="shared" si="5"/>
        <v/>
      </c>
      <c r="AR64" s="71" t="str">
        <f t="shared" si="10"/>
        <v/>
      </c>
      <c r="AS64" s="71" t="str">
        <f t="shared" si="11"/>
        <v/>
      </c>
      <c r="AT64" s="69" t="str">
        <f t="shared" si="6"/>
        <v>Belum Dapat Ditentukan</v>
      </c>
      <c r="AU64" s="66" t="s">
        <v>1190</v>
      </c>
      <c r="AV64" s="66" t="s">
        <v>1205</v>
      </c>
      <c r="AW64" s="66" t="s">
        <v>1191</v>
      </c>
      <c r="AX64" s="66"/>
      <c r="AY64" s="66"/>
      <c r="AZ64" s="66" t="s">
        <v>1208</v>
      </c>
      <c r="BA64" s="66"/>
      <c r="BB64" s="72"/>
      <c r="BC64" s="73">
        <v>2026</v>
      </c>
      <c r="BD64" s="66"/>
      <c r="BE64" s="72"/>
      <c r="BF64" s="66" t="s">
        <v>1279</v>
      </c>
    </row>
    <row r="65" spans="1:58" ht="28">
      <c r="A65" s="66" t="s">
        <v>1491</v>
      </c>
      <c r="B65" s="66" t="s">
        <v>1543</v>
      </c>
      <c r="C65" s="66"/>
      <c r="D65" s="66"/>
      <c r="E65" s="66" t="s">
        <v>1544</v>
      </c>
      <c r="F65" s="66" t="s">
        <v>1545</v>
      </c>
      <c r="G65" s="66" t="s">
        <v>1355</v>
      </c>
      <c r="H65" s="66" t="s">
        <v>1196</v>
      </c>
      <c r="I65" s="66" t="s">
        <v>1546</v>
      </c>
      <c r="J65" s="66" t="s">
        <v>1264</v>
      </c>
      <c r="K65" s="66" t="s">
        <v>1278</v>
      </c>
      <c r="L65" s="66" t="s">
        <v>1216</v>
      </c>
      <c r="M65" s="66" t="s">
        <v>1278</v>
      </c>
      <c r="N65" s="66" t="s">
        <v>1216</v>
      </c>
      <c r="O65" s="66" t="s">
        <v>1278</v>
      </c>
      <c r="P65" s="66" t="s">
        <v>1216</v>
      </c>
      <c r="Q65" s="87" t="s">
        <v>1216</v>
      </c>
      <c r="R65" s="87" t="s">
        <v>1216</v>
      </c>
      <c r="S65" s="87" t="s">
        <v>1216</v>
      </c>
      <c r="T65" s="87" t="s">
        <v>1216</v>
      </c>
      <c r="U65" s="87" t="s">
        <v>1216</v>
      </c>
      <c r="V65" s="87" t="s">
        <v>1216</v>
      </c>
      <c r="W65" s="67"/>
      <c r="X65" s="85" t="str">
        <f t="shared" si="0"/>
        <v>Belum Dinilai</v>
      </c>
      <c r="Y65" s="85" t="str">
        <f t="shared" si="1"/>
        <v>Belum Dinilai</v>
      </c>
      <c r="Z65" s="86" t="str">
        <f t="shared" si="2"/>
        <v/>
      </c>
      <c r="AA65" s="86" t="str">
        <f t="shared" si="3"/>
        <v/>
      </c>
      <c r="AB65" s="86" t="str">
        <f t="shared" si="7"/>
        <v/>
      </c>
      <c r="AC65" s="68" t="s">
        <v>1216</v>
      </c>
      <c r="AD65" s="68" t="s">
        <v>1216</v>
      </c>
      <c r="AE65" s="68" t="s">
        <v>1216</v>
      </c>
      <c r="AF65" s="68" t="s">
        <v>1216</v>
      </c>
      <c r="AG65" s="68" t="s">
        <v>1216</v>
      </c>
      <c r="AH65" s="68" t="s">
        <v>1216</v>
      </c>
      <c r="AI65" s="68" t="s">
        <v>1216</v>
      </c>
      <c r="AJ65" s="68" t="s">
        <v>1216</v>
      </c>
      <c r="AK65" s="68" t="s">
        <v>1216</v>
      </c>
      <c r="AL65" s="68"/>
      <c r="AM65" s="68" t="s">
        <v>1216</v>
      </c>
      <c r="AN65" s="68" t="str">
        <f t="shared" si="4"/>
        <v>Belum Dinilai</v>
      </c>
      <c r="AO65" s="68" t="str">
        <f t="shared" si="9"/>
        <v>Belum Dinilai</v>
      </c>
      <c r="AP65" s="68"/>
      <c r="AQ65" s="71" t="str">
        <f t="shared" si="5"/>
        <v/>
      </c>
      <c r="AR65" s="71" t="str">
        <f t="shared" si="10"/>
        <v/>
      </c>
      <c r="AS65" s="71" t="str">
        <f t="shared" si="11"/>
        <v/>
      </c>
      <c r="AT65" s="69" t="str">
        <f t="shared" si="6"/>
        <v>Belum Dapat Ditentukan</v>
      </c>
      <c r="AU65" s="66" t="s">
        <v>1204</v>
      </c>
      <c r="AV65" s="66" t="s">
        <v>1205</v>
      </c>
      <c r="AW65" s="66" t="s">
        <v>1191</v>
      </c>
      <c r="AX65" s="66"/>
      <c r="AY65" s="66"/>
      <c r="AZ65" s="66" t="s">
        <v>927</v>
      </c>
      <c r="BA65" s="66"/>
      <c r="BB65" s="72"/>
      <c r="BC65" s="73">
        <v>2026</v>
      </c>
      <c r="BD65" s="66"/>
      <c r="BE65" s="72"/>
      <c r="BF65" s="66" t="s">
        <v>1279</v>
      </c>
    </row>
    <row r="66" spans="1:58" ht="28">
      <c r="A66" s="66" t="s">
        <v>1956</v>
      </c>
      <c r="B66" s="66" t="s">
        <v>1548</v>
      </c>
      <c r="C66" s="66"/>
      <c r="D66" s="66"/>
      <c r="E66" s="66" t="s">
        <v>1549</v>
      </c>
      <c r="F66" s="66" t="s">
        <v>1550</v>
      </c>
      <c r="G66" s="66" t="s">
        <v>1355</v>
      </c>
      <c r="H66" s="66" t="s">
        <v>1196</v>
      </c>
      <c r="I66" s="66" t="s">
        <v>1546</v>
      </c>
      <c r="J66" s="66" t="s">
        <v>1264</v>
      </c>
      <c r="K66" s="66" t="s">
        <v>1278</v>
      </c>
      <c r="L66" s="66" t="s">
        <v>1216</v>
      </c>
      <c r="M66" s="66" t="s">
        <v>1278</v>
      </c>
      <c r="N66" s="66" t="s">
        <v>1216</v>
      </c>
      <c r="O66" s="66" t="s">
        <v>1278</v>
      </c>
      <c r="P66" s="66" t="s">
        <v>1216</v>
      </c>
      <c r="Q66" s="87" t="s">
        <v>1216</v>
      </c>
      <c r="R66" s="87" t="s">
        <v>1216</v>
      </c>
      <c r="S66" s="87" t="s">
        <v>1216</v>
      </c>
      <c r="T66" s="87" t="s">
        <v>1216</v>
      </c>
      <c r="U66" s="87" t="s">
        <v>1216</v>
      </c>
      <c r="V66" s="87" t="s">
        <v>1216</v>
      </c>
      <c r="W66" s="67"/>
      <c r="X66" s="85" t="str">
        <f t="shared" si="0"/>
        <v>Belum Dinilai</v>
      </c>
      <c r="Y66" s="85" t="str">
        <f t="shared" si="1"/>
        <v>Belum Dinilai</v>
      </c>
      <c r="Z66" s="86" t="str">
        <f t="shared" si="2"/>
        <v/>
      </c>
      <c r="AA66" s="86" t="str">
        <f t="shared" si="3"/>
        <v/>
      </c>
      <c r="AB66" s="86" t="str">
        <f t="shared" si="7"/>
        <v/>
      </c>
      <c r="AC66" s="68" t="s">
        <v>1216</v>
      </c>
      <c r="AD66" s="68" t="s">
        <v>1216</v>
      </c>
      <c r="AE66" s="68" t="s">
        <v>1216</v>
      </c>
      <c r="AF66" s="68" t="s">
        <v>1216</v>
      </c>
      <c r="AG66" s="68" t="s">
        <v>1216</v>
      </c>
      <c r="AH66" s="68" t="s">
        <v>1216</v>
      </c>
      <c r="AI66" s="68" t="s">
        <v>1216</v>
      </c>
      <c r="AJ66" s="68" t="s">
        <v>1216</v>
      </c>
      <c r="AK66" s="68" t="s">
        <v>1216</v>
      </c>
      <c r="AL66" s="68"/>
      <c r="AM66" s="68" t="s">
        <v>1216</v>
      </c>
      <c r="AN66" s="68" t="str">
        <f t="shared" si="4"/>
        <v>Belum Dinilai</v>
      </c>
      <c r="AO66" s="68" t="str">
        <f t="shared" si="9"/>
        <v>Belum Dinilai</v>
      </c>
      <c r="AP66" s="68"/>
      <c r="AQ66" s="71" t="str">
        <f t="shared" si="5"/>
        <v/>
      </c>
      <c r="AR66" s="71" t="str">
        <f t="shared" si="10"/>
        <v/>
      </c>
      <c r="AS66" s="71" t="str">
        <f t="shared" si="11"/>
        <v/>
      </c>
      <c r="AT66" s="69" t="str">
        <f t="shared" si="6"/>
        <v>Belum Dapat Ditentukan</v>
      </c>
      <c r="AU66" s="66" t="s">
        <v>1204</v>
      </c>
      <c r="AV66" s="66" t="s">
        <v>1205</v>
      </c>
      <c r="AW66" s="66" t="s">
        <v>1191</v>
      </c>
      <c r="AX66" s="66"/>
      <c r="AY66" s="66"/>
      <c r="AZ66" s="66" t="s">
        <v>927</v>
      </c>
      <c r="BA66" s="66"/>
      <c r="BB66" s="72"/>
      <c r="BC66" s="73">
        <v>2026</v>
      </c>
      <c r="BD66" s="66"/>
      <c r="BE66" s="72"/>
      <c r="BF66" s="66" t="s">
        <v>1279</v>
      </c>
    </row>
    <row r="67" spans="1:58" ht="28">
      <c r="A67" s="66" t="s">
        <v>1957</v>
      </c>
      <c r="B67" s="66" t="s">
        <v>1552</v>
      </c>
      <c r="C67" s="66"/>
      <c r="D67" s="66"/>
      <c r="E67" s="66" t="s">
        <v>1549</v>
      </c>
      <c r="F67" s="66" t="s">
        <v>1550</v>
      </c>
      <c r="G67" s="66" t="s">
        <v>1355</v>
      </c>
      <c r="H67" s="66" t="s">
        <v>1196</v>
      </c>
      <c r="I67" s="66" t="s">
        <v>1546</v>
      </c>
      <c r="J67" s="66" t="s">
        <v>1264</v>
      </c>
      <c r="K67" s="66" t="s">
        <v>1278</v>
      </c>
      <c r="L67" s="66" t="s">
        <v>1216</v>
      </c>
      <c r="M67" s="66" t="s">
        <v>1278</v>
      </c>
      <c r="N67" s="66" t="s">
        <v>1216</v>
      </c>
      <c r="O67" s="66" t="s">
        <v>1278</v>
      </c>
      <c r="P67" s="66" t="s">
        <v>1216</v>
      </c>
      <c r="Q67" s="87" t="s">
        <v>1216</v>
      </c>
      <c r="R67" s="87" t="s">
        <v>1216</v>
      </c>
      <c r="S67" s="87" t="s">
        <v>1216</v>
      </c>
      <c r="T67" s="87" t="s">
        <v>1216</v>
      </c>
      <c r="U67" s="87" t="s">
        <v>1216</v>
      </c>
      <c r="V67" s="87" t="s">
        <v>1216</v>
      </c>
      <c r="W67" s="67"/>
      <c r="X67" s="85" t="str">
        <f t="shared" si="0"/>
        <v>Belum Dinilai</v>
      </c>
      <c r="Y67" s="85" t="str">
        <f t="shared" si="1"/>
        <v>Belum Dinilai</v>
      </c>
      <c r="Z67" s="86" t="str">
        <f t="shared" si="2"/>
        <v/>
      </c>
      <c r="AA67" s="86" t="str">
        <f t="shared" si="3"/>
        <v/>
      </c>
      <c r="AB67" s="86" t="str">
        <f t="shared" si="7"/>
        <v/>
      </c>
      <c r="AC67" s="68" t="s">
        <v>1216</v>
      </c>
      <c r="AD67" s="68" t="s">
        <v>1216</v>
      </c>
      <c r="AE67" s="68" t="s">
        <v>1216</v>
      </c>
      <c r="AF67" s="68" t="s">
        <v>1216</v>
      </c>
      <c r="AG67" s="68" t="s">
        <v>1216</v>
      </c>
      <c r="AH67" s="68" t="s">
        <v>1216</v>
      </c>
      <c r="AI67" s="68" t="s">
        <v>1216</v>
      </c>
      <c r="AJ67" s="68" t="s">
        <v>1216</v>
      </c>
      <c r="AK67" s="68" t="s">
        <v>1216</v>
      </c>
      <c r="AL67" s="68"/>
      <c r="AM67" s="68" t="s">
        <v>1216</v>
      </c>
      <c r="AN67" s="68" t="str">
        <f t="shared" si="4"/>
        <v>Belum Dinilai</v>
      </c>
      <c r="AO67" s="68" t="str">
        <f t="shared" si="9"/>
        <v>Belum Dinilai</v>
      </c>
      <c r="AP67" s="68"/>
      <c r="AQ67" s="71" t="str">
        <f t="shared" si="5"/>
        <v/>
      </c>
      <c r="AR67" s="71" t="str">
        <f t="shared" si="10"/>
        <v/>
      </c>
      <c r="AS67" s="71" t="str">
        <f t="shared" si="11"/>
        <v/>
      </c>
      <c r="AT67" s="69" t="str">
        <f t="shared" si="6"/>
        <v>Belum Dapat Ditentukan</v>
      </c>
      <c r="AU67" s="66" t="s">
        <v>1204</v>
      </c>
      <c r="AV67" s="66" t="s">
        <v>1205</v>
      </c>
      <c r="AW67" s="66" t="s">
        <v>1191</v>
      </c>
      <c r="AX67" s="66"/>
      <c r="AY67" s="66"/>
      <c r="AZ67" s="66" t="s">
        <v>927</v>
      </c>
      <c r="BA67" s="66"/>
      <c r="BB67" s="72"/>
      <c r="BC67" s="73">
        <v>2026</v>
      </c>
      <c r="BD67" s="66"/>
      <c r="BE67" s="72"/>
      <c r="BF67" s="66" t="s">
        <v>1279</v>
      </c>
    </row>
    <row r="68" spans="1:58" ht="42">
      <c r="A68" s="66" t="s">
        <v>1495</v>
      </c>
      <c r="B68" s="66" t="s">
        <v>1554</v>
      </c>
      <c r="C68" s="66"/>
      <c r="D68" s="66"/>
      <c r="E68" s="66" t="s">
        <v>1555</v>
      </c>
      <c r="F68" s="66" t="s">
        <v>1328</v>
      </c>
      <c r="G68" s="66" t="s">
        <v>1329</v>
      </c>
      <c r="H68" s="66" t="s">
        <v>1196</v>
      </c>
      <c r="I68" s="66" t="s">
        <v>1556</v>
      </c>
      <c r="J68" s="66" t="s">
        <v>1183</v>
      </c>
      <c r="K68" s="66" t="s">
        <v>1184</v>
      </c>
      <c r="L68" s="66" t="s">
        <v>1216</v>
      </c>
      <c r="M68" s="66" t="s">
        <v>1185</v>
      </c>
      <c r="N68" s="66" t="s">
        <v>1216</v>
      </c>
      <c r="O68" s="66" t="s">
        <v>1278</v>
      </c>
      <c r="P68" s="66" t="s">
        <v>1216</v>
      </c>
      <c r="Q68" s="87" t="s">
        <v>1216</v>
      </c>
      <c r="R68" s="87" t="s">
        <v>1216</v>
      </c>
      <c r="S68" s="87" t="s">
        <v>1216</v>
      </c>
      <c r="T68" s="87" t="s">
        <v>1216</v>
      </c>
      <c r="U68" s="87" t="s">
        <v>1216</v>
      </c>
      <c r="V68" s="87" t="s">
        <v>1216</v>
      </c>
      <c r="W68" s="67"/>
      <c r="X68" s="85" t="str">
        <f t="shared" si="0"/>
        <v>Belum Dinilai</v>
      </c>
      <c r="Y68" s="85" t="str">
        <f t="shared" si="1"/>
        <v>Belum Dinilai</v>
      </c>
      <c r="Z68" s="86" t="str">
        <f t="shared" si="2"/>
        <v/>
      </c>
      <c r="AA68" s="86" t="str">
        <f t="shared" si="3"/>
        <v/>
      </c>
      <c r="AB68" s="86" t="str">
        <f t="shared" si="7"/>
        <v/>
      </c>
      <c r="AC68" s="68" t="s">
        <v>1216</v>
      </c>
      <c r="AD68" s="68" t="s">
        <v>1216</v>
      </c>
      <c r="AE68" s="68" t="s">
        <v>1216</v>
      </c>
      <c r="AF68" s="68" t="s">
        <v>1216</v>
      </c>
      <c r="AG68" s="68" t="s">
        <v>1216</v>
      </c>
      <c r="AH68" s="68" t="s">
        <v>1216</v>
      </c>
      <c r="AI68" s="68" t="s">
        <v>1216</v>
      </c>
      <c r="AJ68" s="68" t="s">
        <v>1216</v>
      </c>
      <c r="AK68" s="68" t="s">
        <v>1216</v>
      </c>
      <c r="AL68" s="68"/>
      <c r="AM68" s="68" t="s">
        <v>1216</v>
      </c>
      <c r="AN68" s="68" t="str">
        <f t="shared" si="4"/>
        <v>Belum Dinilai</v>
      </c>
      <c r="AO68" s="68" t="str">
        <f t="shared" si="9"/>
        <v>Belum Dinilai</v>
      </c>
      <c r="AP68" s="68"/>
      <c r="AQ68" s="71" t="str">
        <f t="shared" si="5"/>
        <v/>
      </c>
      <c r="AR68" s="71" t="str">
        <f t="shared" si="10"/>
        <v/>
      </c>
      <c r="AS68" s="71" t="str">
        <f t="shared" si="11"/>
        <v/>
      </c>
      <c r="AT68" s="69" t="str">
        <f t="shared" si="6"/>
        <v>Belum Dapat Ditentukan</v>
      </c>
      <c r="AU68" s="66" t="s">
        <v>1190</v>
      </c>
      <c r="AV68" s="66" t="s">
        <v>1205</v>
      </c>
      <c r="AW68" s="66" t="s">
        <v>1191</v>
      </c>
      <c r="AX68" s="66"/>
      <c r="AY68" s="66"/>
      <c r="AZ68" s="66" t="s">
        <v>927</v>
      </c>
      <c r="BA68" s="66"/>
      <c r="BB68" s="72"/>
      <c r="BC68" s="73">
        <v>2026</v>
      </c>
      <c r="BD68" s="66"/>
      <c r="BE68" s="72"/>
      <c r="BF68" s="66" t="s">
        <v>1279</v>
      </c>
    </row>
    <row r="69" spans="1:58" ht="28">
      <c r="A69" s="66" t="s">
        <v>1498</v>
      </c>
      <c r="B69" s="66" t="s">
        <v>1558</v>
      </c>
      <c r="C69" s="66"/>
      <c r="D69" s="66"/>
      <c r="E69" s="66" t="s">
        <v>1559</v>
      </c>
      <c r="F69" s="66" t="s">
        <v>1328</v>
      </c>
      <c r="G69" s="66" t="s">
        <v>1329</v>
      </c>
      <c r="H69" s="66" t="s">
        <v>1196</v>
      </c>
      <c r="I69" s="66" t="s">
        <v>1560</v>
      </c>
      <c r="J69" s="66" t="s">
        <v>1183</v>
      </c>
      <c r="K69" s="66" t="s">
        <v>1184</v>
      </c>
      <c r="L69" s="66" t="s">
        <v>1216</v>
      </c>
      <c r="M69" s="66" t="s">
        <v>1185</v>
      </c>
      <c r="N69" s="66" t="s">
        <v>1216</v>
      </c>
      <c r="O69" s="66" t="s">
        <v>1278</v>
      </c>
      <c r="P69" s="66" t="s">
        <v>1216</v>
      </c>
      <c r="Q69" s="87" t="s">
        <v>1216</v>
      </c>
      <c r="R69" s="87" t="s">
        <v>1216</v>
      </c>
      <c r="S69" s="87" t="s">
        <v>1216</v>
      </c>
      <c r="T69" s="87" t="s">
        <v>1216</v>
      </c>
      <c r="U69" s="87" t="s">
        <v>1216</v>
      </c>
      <c r="V69" s="87" t="s">
        <v>1216</v>
      </c>
      <c r="W69" s="67"/>
      <c r="X69" s="85" t="str">
        <f t="shared" si="0"/>
        <v>Belum Dinilai</v>
      </c>
      <c r="Y69" s="85" t="str">
        <f t="shared" si="1"/>
        <v>Belum Dinilai</v>
      </c>
      <c r="Z69" s="86" t="str">
        <f t="shared" si="2"/>
        <v/>
      </c>
      <c r="AA69" s="86" t="str">
        <f t="shared" si="3"/>
        <v/>
      </c>
      <c r="AB69" s="86" t="str">
        <f t="shared" si="7"/>
        <v/>
      </c>
      <c r="AC69" s="68" t="s">
        <v>1216</v>
      </c>
      <c r="AD69" s="68" t="s">
        <v>1216</v>
      </c>
      <c r="AE69" s="68" t="s">
        <v>1216</v>
      </c>
      <c r="AF69" s="68" t="s">
        <v>1216</v>
      </c>
      <c r="AG69" s="68" t="s">
        <v>1216</v>
      </c>
      <c r="AH69" s="68" t="s">
        <v>1216</v>
      </c>
      <c r="AI69" s="68" t="s">
        <v>1216</v>
      </c>
      <c r="AJ69" s="68" t="s">
        <v>1216</v>
      </c>
      <c r="AK69" s="68" t="s">
        <v>1216</v>
      </c>
      <c r="AL69" s="68"/>
      <c r="AM69" s="68" t="s">
        <v>1216</v>
      </c>
      <c r="AN69" s="68" t="str">
        <f t="shared" ref="AN69:AN131" si="12">IF(AND(COUNTIF(AC69:AK69,"Ya")=0,AL69=""),IF(COUNTIF(AC69:AK69,"Belum Dinilai")&gt;0,"Belum Dinilai","Tidak ada risiko khusus"),IF(AC69="Ya","Bangunan berpotensi roboh; ","")&amp;IF(AD69="Ya","Bekas kebakaran dan tidak aman dihuni; ","")&amp;IF(AE69="Ya","Atap atau dinding utama hampir runtuh; ","")&amp;IF(AF69="Ya","Genangan yang membahayakan; ","")&amp;IF(AG69="Ya","Struktur rumah tidak stabil; ","")&amp;IF(AH69="Ya","Instalasi listrik berbahaya; ","")&amp;IF(AI69="Ya","Komponen bangunan lepas atau lapuk; ","")&amp;IF(AJ69="Ya","Akses keluar atau evakuasi terbatas; ","")&amp;IF(AK69="Ya","Lokasi rawan bencana; ","")&amp;IF(AL69&lt;&gt;"","Lainnya: "&amp;AL69,""))</f>
        <v>Belum Dinilai</v>
      </c>
      <c r="AO69" s="68" t="str">
        <f t="shared" si="9"/>
        <v>Belum Dinilai</v>
      </c>
      <c r="AP69" s="68"/>
      <c r="AQ69" s="71" t="str">
        <f t="shared" si="5"/>
        <v/>
      </c>
      <c r="AR69" s="71" t="str">
        <f t="shared" si="10"/>
        <v/>
      </c>
      <c r="AS69" s="71" t="str">
        <f t="shared" si="11"/>
        <v/>
      </c>
      <c r="AT69" s="69" t="str">
        <f t="shared" si="6"/>
        <v>Belum Dapat Ditentukan</v>
      </c>
      <c r="AU69" s="66" t="s">
        <v>1190</v>
      </c>
      <c r="AV69" s="66" t="s">
        <v>1205</v>
      </c>
      <c r="AW69" s="66" t="s">
        <v>1191</v>
      </c>
      <c r="AX69" s="66"/>
      <c r="AY69" s="66"/>
      <c r="AZ69" s="66" t="s">
        <v>927</v>
      </c>
      <c r="BA69" s="66"/>
      <c r="BB69" s="72"/>
      <c r="BC69" s="73">
        <v>2026</v>
      </c>
      <c r="BD69" s="66"/>
      <c r="BE69" s="72"/>
      <c r="BF69" s="66" t="s">
        <v>1279</v>
      </c>
    </row>
    <row r="70" spans="1:58" ht="28">
      <c r="A70" s="66" t="s">
        <v>1502</v>
      </c>
      <c r="B70" s="66" t="s">
        <v>1562</v>
      </c>
      <c r="C70" s="66"/>
      <c r="D70" s="66"/>
      <c r="E70" s="66" t="s">
        <v>1563</v>
      </c>
      <c r="F70" s="66" t="s">
        <v>1564</v>
      </c>
      <c r="G70" s="66" t="s">
        <v>1329</v>
      </c>
      <c r="H70" s="66" t="s">
        <v>1196</v>
      </c>
      <c r="I70" s="66" t="s">
        <v>1565</v>
      </c>
      <c r="J70" s="66" t="s">
        <v>1211</v>
      </c>
      <c r="K70" s="66" t="s">
        <v>1198</v>
      </c>
      <c r="L70" s="66" t="s">
        <v>1216</v>
      </c>
      <c r="M70" s="66" t="s">
        <v>1267</v>
      </c>
      <c r="N70" s="66" t="s">
        <v>905</v>
      </c>
      <c r="O70" s="66" t="s">
        <v>1278</v>
      </c>
      <c r="P70" s="66" t="s">
        <v>905</v>
      </c>
      <c r="Q70" s="87" t="s">
        <v>1216</v>
      </c>
      <c r="R70" s="87" t="s">
        <v>1216</v>
      </c>
      <c r="S70" s="87" t="s">
        <v>1216</v>
      </c>
      <c r="T70" s="87" t="s">
        <v>1216</v>
      </c>
      <c r="U70" s="87" t="s">
        <v>1216</v>
      </c>
      <c r="V70" s="87" t="s">
        <v>1216</v>
      </c>
      <c r="W70" s="67"/>
      <c r="X70" s="85" t="str">
        <f t="shared" ref="X70:X133" si="13">IF(COUNTIF(R70:V70,"Belum Dinilai")&gt;0,"Belum Dinilai",IF(COUNTIF(R70:V70,"Ya")=0,"Tidak ada faktor rentan",IF(R70="Ya","Lansia; ","")&amp;IF(S70="Ya","Penyandang disabilitas; ","")&amp;IF(T70="Ya","Kepala keluarga perempuan; ","")&amp;IF(U70="Ya","Balita; ","")&amp;IF(V70="Ya","Anggota keluarga dengan ketergantungan tinggi; ","")))</f>
        <v>Belum Dinilai</v>
      </c>
      <c r="Y70" s="85" t="str">
        <f t="shared" ref="Y70:Y133" si="14">IF(COUNTIF(R70:V70,"Belum Dinilai")&gt;0,"Belum Dinilai",IF(COUNTIF(R70:V70,"Ya")=0,"Tidak Ada Faktor Rentan",IF(COUNTIF(R70:V70,"Ya")=1,"1 Faktor Rentan","2 atau Lebih Faktor Rentan")))</f>
        <v>Belum Dinilai</v>
      </c>
      <c r="Z70" s="86" t="str">
        <f t="shared" ref="Z70:Z133" si="15">IF(OR(Q70="",Q70="Belum Dinilai"),"",IF(Q70="Terverifikasi DTKS/P3KE/MBR",10,IF(Q70="Diusulkan, Belum Terverifikasi",5,0)))</f>
        <v/>
      </c>
      <c r="AA70" s="86" t="str">
        <f t="shared" ref="AA70:AA133" si="16">IF(COUNTIF(R70:V70,"Belum Dinilai")&gt;0,"",IF(COUNTIF(R70:V70,"Ya")=0,0,IF(COUNTIF(R70:V70,"Ya")=1,5,10)))</f>
        <v/>
      </c>
      <c r="AB70" s="86" t="str">
        <f t="shared" ref="AB70:AB132" si="17">IF(OR(Z70="",AA70=""),"",Z70+AA70)</f>
        <v/>
      </c>
      <c r="AC70" s="68" t="s">
        <v>1216</v>
      </c>
      <c r="AD70" s="68" t="s">
        <v>1216</v>
      </c>
      <c r="AE70" s="68" t="s">
        <v>1216</v>
      </c>
      <c r="AF70" s="68" t="s">
        <v>1216</v>
      </c>
      <c r="AG70" s="68" t="s">
        <v>1216</v>
      </c>
      <c r="AH70" s="68" t="s">
        <v>1216</v>
      </c>
      <c r="AI70" s="68" t="s">
        <v>1216</v>
      </c>
      <c r="AJ70" s="68" t="s">
        <v>1216</v>
      </c>
      <c r="AK70" s="68" t="s">
        <v>1216</v>
      </c>
      <c r="AL70" s="68"/>
      <c r="AM70" s="68" t="s">
        <v>1216</v>
      </c>
      <c r="AN70" s="68" t="str">
        <f t="shared" si="12"/>
        <v>Belum Dinilai</v>
      </c>
      <c r="AO70" s="68" t="str">
        <f t="shared" ref="AO70:AO132" si="18">IF(AR70="","Belum Dinilai",IF(AR70=10,"Risiko Tinggi/Darurat",IF(AR70=5,"Risiko Sedang","Tidak Ada Risiko Khusus")))</f>
        <v>Belum Dinilai</v>
      </c>
      <c r="AP70" s="68"/>
      <c r="AQ70" s="71" t="str">
        <f t="shared" ref="AQ70:AQ133" si="19">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si="10"/>
        <v/>
      </c>
      <c r="AS70" s="71" t="str">
        <f t="shared" si="11"/>
        <v/>
      </c>
      <c r="AT70" s="69" t="str">
        <f t="shared" ref="AT70:AT133" si="20">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1190</v>
      </c>
      <c r="AV70" s="66" t="s">
        <v>1205</v>
      </c>
      <c r="AW70" s="66" t="s">
        <v>1909</v>
      </c>
      <c r="AX70" s="66" t="s">
        <v>1207</v>
      </c>
      <c r="AY70" s="66">
        <v>2024</v>
      </c>
      <c r="AZ70" s="66" t="s">
        <v>927</v>
      </c>
      <c r="BA70" s="66"/>
      <c r="BB70" s="72"/>
      <c r="BC70" s="73">
        <v>2026</v>
      </c>
      <c r="BD70" s="66"/>
      <c r="BE70" s="72"/>
      <c r="BF70" s="66" t="s">
        <v>1279</v>
      </c>
    </row>
    <row r="71" spans="1:58" ht="28">
      <c r="A71" s="66" t="s">
        <v>1506</v>
      </c>
      <c r="B71" s="66" t="s">
        <v>1567</v>
      </c>
      <c r="C71" s="66"/>
      <c r="D71" s="66"/>
      <c r="E71" s="66" t="s">
        <v>1568</v>
      </c>
      <c r="F71" s="66" t="s">
        <v>1354</v>
      </c>
      <c r="G71" s="66" t="s">
        <v>1355</v>
      </c>
      <c r="H71" s="66" t="s">
        <v>1196</v>
      </c>
      <c r="I71" s="66" t="s">
        <v>1569</v>
      </c>
      <c r="J71" s="66" t="s">
        <v>1183</v>
      </c>
      <c r="K71" s="66" t="s">
        <v>1198</v>
      </c>
      <c r="L71" s="66" t="s">
        <v>905</v>
      </c>
      <c r="M71" s="66" t="s">
        <v>1213</v>
      </c>
      <c r="N71" s="66" t="s">
        <v>905</v>
      </c>
      <c r="O71" s="66" t="s">
        <v>1278</v>
      </c>
      <c r="P71" s="66" t="s">
        <v>905</v>
      </c>
      <c r="Q71" s="87" t="s">
        <v>1216</v>
      </c>
      <c r="R71" s="87" t="s">
        <v>1216</v>
      </c>
      <c r="S71" s="87" t="s">
        <v>1216</v>
      </c>
      <c r="T71" s="87" t="s">
        <v>1216</v>
      </c>
      <c r="U71" s="87" t="s">
        <v>1216</v>
      </c>
      <c r="V71" s="87" t="s">
        <v>1216</v>
      </c>
      <c r="W71" s="67"/>
      <c r="X71" s="85" t="str">
        <f t="shared" si="13"/>
        <v>Belum Dinilai</v>
      </c>
      <c r="Y71" s="85" t="str">
        <f t="shared" si="14"/>
        <v>Belum Dinilai</v>
      </c>
      <c r="Z71" s="86" t="str">
        <f t="shared" si="15"/>
        <v/>
      </c>
      <c r="AA71" s="86" t="str">
        <f t="shared" si="16"/>
        <v/>
      </c>
      <c r="AB71" s="86" t="str">
        <f t="shared" si="17"/>
        <v/>
      </c>
      <c r="AC71" s="68" t="s">
        <v>1216</v>
      </c>
      <c r="AD71" s="68" t="s">
        <v>1216</v>
      </c>
      <c r="AE71" s="68" t="s">
        <v>1216</v>
      </c>
      <c r="AF71" s="68" t="s">
        <v>1216</v>
      </c>
      <c r="AG71" s="68" t="s">
        <v>1216</v>
      </c>
      <c r="AH71" s="68" t="s">
        <v>1216</v>
      </c>
      <c r="AI71" s="68" t="s">
        <v>1216</v>
      </c>
      <c r="AJ71" s="68" t="s">
        <v>1216</v>
      </c>
      <c r="AK71" s="68" t="s">
        <v>1216</v>
      </c>
      <c r="AL71" s="68"/>
      <c r="AM71" s="68" t="s">
        <v>1216</v>
      </c>
      <c r="AN71" s="68" t="str">
        <f t="shared" si="12"/>
        <v>Belum Dinilai</v>
      </c>
      <c r="AO71" s="68" t="str">
        <f t="shared" si="18"/>
        <v>Belum Dinilai</v>
      </c>
      <c r="AP71" s="68"/>
      <c r="AQ71" s="71">
        <f t="shared" si="19"/>
        <v>28</v>
      </c>
      <c r="AR71" s="71" t="str">
        <f t="shared" si="10"/>
        <v/>
      </c>
      <c r="AS71" s="71" t="str">
        <f t="shared" si="11"/>
        <v/>
      </c>
      <c r="AT71" s="69" t="str">
        <f t="shared" si="20"/>
        <v>Belum Dapat Ditentukan</v>
      </c>
      <c r="AU71" s="66" t="s">
        <v>1190</v>
      </c>
      <c r="AV71" s="66" t="s">
        <v>1205</v>
      </c>
      <c r="AW71" s="66" t="s">
        <v>1191</v>
      </c>
      <c r="AX71" s="66"/>
      <c r="AY71" s="66"/>
      <c r="AZ71" s="66" t="s">
        <v>927</v>
      </c>
      <c r="BA71" s="66"/>
      <c r="BB71" s="72"/>
      <c r="BC71" s="73">
        <v>2026</v>
      </c>
      <c r="BD71" s="66"/>
      <c r="BE71" s="72"/>
      <c r="BF71" s="66" t="s">
        <v>1279</v>
      </c>
    </row>
    <row r="72" spans="1:58" ht="56">
      <c r="A72" s="66" t="s">
        <v>1510</v>
      </c>
      <c r="B72" s="66" t="s">
        <v>1571</v>
      </c>
      <c r="C72" s="66"/>
      <c r="D72" s="66"/>
      <c r="E72" s="66" t="s">
        <v>1572</v>
      </c>
      <c r="F72" s="66" t="s">
        <v>1573</v>
      </c>
      <c r="G72" s="66" t="s">
        <v>1276</v>
      </c>
      <c r="H72" s="66" t="s">
        <v>1196</v>
      </c>
      <c r="I72" s="66" t="s">
        <v>1574</v>
      </c>
      <c r="J72" s="66" t="s">
        <v>1264</v>
      </c>
      <c r="K72" s="66" t="s">
        <v>1278</v>
      </c>
      <c r="L72" s="66" t="s">
        <v>891</v>
      </c>
      <c r="M72" s="66" t="s">
        <v>1278</v>
      </c>
      <c r="N72" s="66" t="s">
        <v>1216</v>
      </c>
      <c r="O72" s="66" t="s">
        <v>1214</v>
      </c>
      <c r="P72" s="66" t="s">
        <v>1216</v>
      </c>
      <c r="Q72" s="87" t="s">
        <v>1216</v>
      </c>
      <c r="R72" s="87" t="s">
        <v>1216</v>
      </c>
      <c r="S72" s="87" t="s">
        <v>1216</v>
      </c>
      <c r="T72" s="87" t="s">
        <v>1216</v>
      </c>
      <c r="U72" s="87" t="s">
        <v>1216</v>
      </c>
      <c r="V72" s="87" t="s">
        <v>1216</v>
      </c>
      <c r="W72" s="67"/>
      <c r="X72" s="85" t="str">
        <f t="shared" si="13"/>
        <v>Belum Dinilai</v>
      </c>
      <c r="Y72" s="85" t="str">
        <f t="shared" si="14"/>
        <v>Belum Dinilai</v>
      </c>
      <c r="Z72" s="86" t="str">
        <f t="shared" si="15"/>
        <v/>
      </c>
      <c r="AA72" s="86" t="str">
        <f t="shared" si="16"/>
        <v/>
      </c>
      <c r="AB72" s="86" t="str">
        <f t="shared" si="17"/>
        <v/>
      </c>
      <c r="AC72" s="68" t="s">
        <v>1216</v>
      </c>
      <c r="AD72" s="68" t="s">
        <v>1216</v>
      </c>
      <c r="AE72" s="68" t="s">
        <v>1216</v>
      </c>
      <c r="AF72" s="68" t="s">
        <v>1216</v>
      </c>
      <c r="AG72" s="68" t="s">
        <v>1216</v>
      </c>
      <c r="AH72" s="68" t="s">
        <v>1216</v>
      </c>
      <c r="AI72" s="68" t="s">
        <v>1216</v>
      </c>
      <c r="AJ72" s="68" t="s">
        <v>1216</v>
      </c>
      <c r="AK72" s="68" t="s">
        <v>1216</v>
      </c>
      <c r="AL72" s="68"/>
      <c r="AM72" s="68" t="s">
        <v>1216</v>
      </c>
      <c r="AN72" s="68" t="str">
        <f t="shared" si="12"/>
        <v>Belum Dinilai</v>
      </c>
      <c r="AO72" s="68" t="str">
        <f t="shared" si="18"/>
        <v>Belum Dinilai</v>
      </c>
      <c r="AP72" s="68"/>
      <c r="AQ72" s="71" t="str">
        <f t="shared" si="19"/>
        <v/>
      </c>
      <c r="AR72" s="71" t="str">
        <f t="shared" ref="AR72:AR135" si="21">IF(
 OR(
  COUNTIF(AC72:AH72,"Ya")&gt;0,
  AND(AL72&lt;&gt;"",AM72="Risiko Tinggi/Darurat"),
  COUNTIF(AI72:AK72,"Ya")+IF(AND(AL72&lt;&gt;"",AM72="Risiko Sedang"),1,0)&gt;=2
 ),
 10,
 IF(
  OR(
   COUNTIF(AC72:AK72,"Belum Dinilai")&gt;0,
   AND(AL72&lt;&gt;"",OR(AM72="",AM72="Belum Dinilai")),
   AND(AL72="",OR(AM72="Risiko Sedang",AM72="Risiko Tinggi/Darurat"))
  ),
  "",
  IF(
   COUNTIF(AI72:AK72,"Ya")+IF(AND(AL72&lt;&gt;"",AM72="Risiko Sedang"),1,0)=1,
   5,
   0
  )
 )
)</f>
        <v/>
      </c>
      <c r="AS72" s="71" t="str">
        <f t="shared" si="11"/>
        <v/>
      </c>
      <c r="AT72" s="69" t="str">
        <f t="shared" si="20"/>
        <v>Belum Dapat Ditentukan</v>
      </c>
      <c r="AU72" s="66" t="s">
        <v>1190</v>
      </c>
      <c r="AV72" s="66" t="s">
        <v>1205</v>
      </c>
      <c r="AW72" s="66" t="s">
        <v>1191</v>
      </c>
      <c r="AX72" s="66"/>
      <c r="AY72" s="66"/>
      <c r="AZ72" s="66" t="s">
        <v>1208</v>
      </c>
      <c r="BA72" s="66"/>
      <c r="BB72" s="72"/>
      <c r="BC72" s="73">
        <v>2026</v>
      </c>
      <c r="BD72" s="66"/>
      <c r="BE72" s="72"/>
      <c r="BF72" s="66" t="s">
        <v>1279</v>
      </c>
    </row>
    <row r="73" spans="1:58" ht="42">
      <c r="A73" s="66" t="s">
        <v>1958</v>
      </c>
      <c r="B73" s="66" t="s">
        <v>1576</v>
      </c>
      <c r="C73" s="66"/>
      <c r="D73" s="66"/>
      <c r="E73" s="66" t="s">
        <v>1577</v>
      </c>
      <c r="F73" s="66" t="s">
        <v>1275</v>
      </c>
      <c r="G73" s="66" t="s">
        <v>1276</v>
      </c>
      <c r="H73" s="66" t="s">
        <v>1182</v>
      </c>
      <c r="I73" s="66" t="s">
        <v>1578</v>
      </c>
      <c r="J73" s="66" t="s">
        <v>1211</v>
      </c>
      <c r="K73" s="66" t="s">
        <v>1198</v>
      </c>
      <c r="L73" s="66" t="s">
        <v>895</v>
      </c>
      <c r="M73" s="66" t="s">
        <v>1267</v>
      </c>
      <c r="N73" s="66" t="s">
        <v>895</v>
      </c>
      <c r="O73" s="66" t="s">
        <v>1278</v>
      </c>
      <c r="P73" s="66" t="s">
        <v>1216</v>
      </c>
      <c r="Q73" s="87" t="s">
        <v>1216</v>
      </c>
      <c r="R73" s="87" t="s">
        <v>1216</v>
      </c>
      <c r="S73" s="87" t="s">
        <v>1216</v>
      </c>
      <c r="T73" s="87" t="s">
        <v>1216</v>
      </c>
      <c r="U73" s="87" t="s">
        <v>1216</v>
      </c>
      <c r="V73" s="87" t="s">
        <v>1216</v>
      </c>
      <c r="W73" s="67"/>
      <c r="X73" s="85" t="str">
        <f t="shared" si="13"/>
        <v>Belum Dinilai</v>
      </c>
      <c r="Y73" s="85" t="str">
        <f t="shared" si="14"/>
        <v>Belum Dinilai</v>
      </c>
      <c r="Z73" s="86" t="str">
        <f t="shared" si="15"/>
        <v/>
      </c>
      <c r="AA73" s="86" t="str">
        <f t="shared" si="16"/>
        <v/>
      </c>
      <c r="AB73" s="86" t="str">
        <f t="shared" si="17"/>
        <v/>
      </c>
      <c r="AC73" s="68" t="s">
        <v>1216</v>
      </c>
      <c r="AD73" s="68" t="s">
        <v>1216</v>
      </c>
      <c r="AE73" s="68" t="s">
        <v>1216</v>
      </c>
      <c r="AF73" s="68" t="s">
        <v>1216</v>
      </c>
      <c r="AG73" s="68" t="s">
        <v>1216</v>
      </c>
      <c r="AH73" s="68" t="s">
        <v>1216</v>
      </c>
      <c r="AI73" s="68" t="s">
        <v>1216</v>
      </c>
      <c r="AJ73" s="68" t="s">
        <v>1216</v>
      </c>
      <c r="AK73" s="68" t="s">
        <v>1216</v>
      </c>
      <c r="AL73" s="68"/>
      <c r="AM73" s="68" t="s">
        <v>1216</v>
      </c>
      <c r="AN73" s="68" t="str">
        <f t="shared" si="12"/>
        <v>Belum Dinilai</v>
      </c>
      <c r="AO73" s="68" t="str">
        <f t="shared" si="18"/>
        <v>Belum Dinilai</v>
      </c>
      <c r="AP73" s="68"/>
      <c r="AQ73" s="71" t="str">
        <f t="shared" si="19"/>
        <v/>
      </c>
      <c r="AR73" s="71" t="str">
        <f t="shared" si="21"/>
        <v/>
      </c>
      <c r="AS73" s="71" t="str">
        <f t="shared" si="11"/>
        <v/>
      </c>
      <c r="AT73" s="69" t="str">
        <f t="shared" si="20"/>
        <v>Belum Dapat Ditentukan</v>
      </c>
      <c r="AU73" s="66" t="s">
        <v>1190</v>
      </c>
      <c r="AV73" s="66" t="s">
        <v>1205</v>
      </c>
      <c r="AW73" s="66" t="s">
        <v>1191</v>
      </c>
      <c r="AX73" s="66"/>
      <c r="AY73" s="66"/>
      <c r="AZ73" s="66" t="s">
        <v>1208</v>
      </c>
      <c r="BA73" s="66"/>
      <c r="BB73" s="72"/>
      <c r="BC73" s="73">
        <v>2026</v>
      </c>
      <c r="BD73" s="66"/>
      <c r="BE73" s="72"/>
      <c r="BF73" s="66" t="s">
        <v>1279</v>
      </c>
    </row>
    <row r="74" spans="1:58" ht="56">
      <c r="A74" s="66" t="s">
        <v>1515</v>
      </c>
      <c r="B74" s="66" t="s">
        <v>1580</v>
      </c>
      <c r="C74" s="66"/>
      <c r="D74" s="66"/>
      <c r="E74" s="66" t="s">
        <v>1581</v>
      </c>
      <c r="F74" s="66" t="s">
        <v>1388</v>
      </c>
      <c r="G74" s="66" t="s">
        <v>1276</v>
      </c>
      <c r="H74" s="66" t="s">
        <v>1182</v>
      </c>
      <c r="I74" s="66" t="s">
        <v>1582</v>
      </c>
      <c r="J74" s="66" t="s">
        <v>1197</v>
      </c>
      <c r="K74" s="66" t="s">
        <v>1184</v>
      </c>
      <c r="L74" s="66" t="s">
        <v>905</v>
      </c>
      <c r="M74" s="66" t="s">
        <v>1309</v>
      </c>
      <c r="N74" s="66" t="s">
        <v>1216</v>
      </c>
      <c r="O74" s="66" t="s">
        <v>1214</v>
      </c>
      <c r="P74" s="66" t="s">
        <v>905</v>
      </c>
      <c r="Q74" s="87" t="s">
        <v>1216</v>
      </c>
      <c r="R74" s="87" t="s">
        <v>1216</v>
      </c>
      <c r="S74" s="87" t="s">
        <v>1216</v>
      </c>
      <c r="T74" s="87" t="s">
        <v>1216</v>
      </c>
      <c r="U74" s="87" t="s">
        <v>1216</v>
      </c>
      <c r="V74" s="87" t="s">
        <v>1216</v>
      </c>
      <c r="W74" s="67"/>
      <c r="X74" s="85" t="str">
        <f t="shared" si="13"/>
        <v>Belum Dinilai</v>
      </c>
      <c r="Y74" s="85" t="str">
        <f t="shared" si="14"/>
        <v>Belum Dinilai</v>
      </c>
      <c r="Z74" s="86" t="str">
        <f t="shared" si="15"/>
        <v/>
      </c>
      <c r="AA74" s="86" t="str">
        <f t="shared" si="16"/>
        <v/>
      </c>
      <c r="AB74" s="86" t="str">
        <f t="shared" si="17"/>
        <v/>
      </c>
      <c r="AC74" s="68" t="s">
        <v>1216</v>
      </c>
      <c r="AD74" s="68" t="s">
        <v>1216</v>
      </c>
      <c r="AE74" s="68" t="s">
        <v>1216</v>
      </c>
      <c r="AF74" s="68" t="s">
        <v>1216</v>
      </c>
      <c r="AG74" s="68" t="s">
        <v>1216</v>
      </c>
      <c r="AH74" s="68" t="s">
        <v>1216</v>
      </c>
      <c r="AI74" s="68" t="s">
        <v>1216</v>
      </c>
      <c r="AJ74" s="68" t="s">
        <v>1216</v>
      </c>
      <c r="AK74" s="68" t="s">
        <v>1216</v>
      </c>
      <c r="AL74" s="68"/>
      <c r="AM74" s="68" t="s">
        <v>1216</v>
      </c>
      <c r="AN74" s="68" t="str">
        <f t="shared" si="12"/>
        <v>Belum Dinilai</v>
      </c>
      <c r="AO74" s="68" t="str">
        <f t="shared" si="18"/>
        <v>Belum Dinilai</v>
      </c>
      <c r="AP74" s="68"/>
      <c r="AQ74" s="71" t="str">
        <f t="shared" si="19"/>
        <v/>
      </c>
      <c r="AR74" s="71" t="str">
        <f t="shared" si="21"/>
        <v/>
      </c>
      <c r="AS74" s="71" t="str">
        <f t="shared" ref="AS74:AS136" si="22">IF(OR(AQ74="",AB74="",AR74=""),"",AQ74+AB74+AR74)</f>
        <v/>
      </c>
      <c r="AT74" s="69" t="str">
        <f t="shared" si="20"/>
        <v>Belum Dapat Ditentukan</v>
      </c>
      <c r="AU74" s="66" t="s">
        <v>1190</v>
      </c>
      <c r="AV74" s="66" t="s">
        <v>1205</v>
      </c>
      <c r="AW74" s="66" t="s">
        <v>1191</v>
      </c>
      <c r="AX74" s="66"/>
      <c r="AY74" s="66"/>
      <c r="AZ74" s="66" t="s">
        <v>1208</v>
      </c>
      <c r="BA74" s="66"/>
      <c r="BB74" s="72"/>
      <c r="BC74" s="73">
        <v>2026</v>
      </c>
      <c r="BD74" s="66"/>
      <c r="BE74" s="72"/>
      <c r="BF74" s="66" t="s">
        <v>1279</v>
      </c>
    </row>
    <row r="75" spans="1:58" ht="56">
      <c r="A75" s="66" t="s">
        <v>1519</v>
      </c>
      <c r="B75" s="66" t="s">
        <v>1584</v>
      </c>
      <c r="C75" s="66"/>
      <c r="D75" s="66"/>
      <c r="E75" s="66" t="s">
        <v>1585</v>
      </c>
      <c r="F75" s="66" t="s">
        <v>1388</v>
      </c>
      <c r="G75" s="66" t="s">
        <v>1276</v>
      </c>
      <c r="H75" s="66" t="s">
        <v>1182</v>
      </c>
      <c r="I75" s="66" t="s">
        <v>1582</v>
      </c>
      <c r="J75" s="66" t="s">
        <v>1197</v>
      </c>
      <c r="K75" s="66" t="s">
        <v>1184</v>
      </c>
      <c r="L75" s="66" t="s">
        <v>905</v>
      </c>
      <c r="M75" s="66" t="s">
        <v>1309</v>
      </c>
      <c r="N75" s="66" t="s">
        <v>1216</v>
      </c>
      <c r="O75" s="66" t="s">
        <v>1214</v>
      </c>
      <c r="P75" s="66" t="s">
        <v>905</v>
      </c>
      <c r="Q75" s="87" t="s">
        <v>1216</v>
      </c>
      <c r="R75" s="87" t="s">
        <v>1216</v>
      </c>
      <c r="S75" s="87" t="s">
        <v>1216</v>
      </c>
      <c r="T75" s="87" t="s">
        <v>1216</v>
      </c>
      <c r="U75" s="87" t="s">
        <v>1216</v>
      </c>
      <c r="V75" s="87" t="s">
        <v>1216</v>
      </c>
      <c r="W75" s="67"/>
      <c r="X75" s="85" t="str">
        <f t="shared" si="13"/>
        <v>Belum Dinilai</v>
      </c>
      <c r="Y75" s="85" t="str">
        <f t="shared" si="14"/>
        <v>Belum Dinilai</v>
      </c>
      <c r="Z75" s="86" t="str">
        <f t="shared" si="15"/>
        <v/>
      </c>
      <c r="AA75" s="86" t="str">
        <f t="shared" si="16"/>
        <v/>
      </c>
      <c r="AB75" s="86" t="str">
        <f t="shared" si="17"/>
        <v/>
      </c>
      <c r="AC75" s="68" t="s">
        <v>1216</v>
      </c>
      <c r="AD75" s="68" t="s">
        <v>1216</v>
      </c>
      <c r="AE75" s="68" t="s">
        <v>1216</v>
      </c>
      <c r="AF75" s="68" t="s">
        <v>1216</v>
      </c>
      <c r="AG75" s="68" t="s">
        <v>1216</v>
      </c>
      <c r="AH75" s="68" t="s">
        <v>1216</v>
      </c>
      <c r="AI75" s="68" t="s">
        <v>1216</v>
      </c>
      <c r="AJ75" s="68" t="s">
        <v>1216</v>
      </c>
      <c r="AK75" s="68" t="s">
        <v>1216</v>
      </c>
      <c r="AL75" s="68"/>
      <c r="AM75" s="68" t="s">
        <v>1216</v>
      </c>
      <c r="AN75" s="68" t="str">
        <f t="shared" si="12"/>
        <v>Belum Dinilai</v>
      </c>
      <c r="AO75" s="68" t="str">
        <f t="shared" si="18"/>
        <v>Belum Dinilai</v>
      </c>
      <c r="AP75" s="68"/>
      <c r="AQ75" s="71" t="str">
        <f t="shared" si="19"/>
        <v/>
      </c>
      <c r="AR75" s="71" t="str">
        <f t="shared" si="21"/>
        <v/>
      </c>
      <c r="AS75" s="71" t="str">
        <f t="shared" si="22"/>
        <v/>
      </c>
      <c r="AT75" s="69" t="str">
        <f t="shared" si="20"/>
        <v>Belum Dapat Ditentukan</v>
      </c>
      <c r="AU75" s="66" t="s">
        <v>1190</v>
      </c>
      <c r="AV75" s="66" t="s">
        <v>1205</v>
      </c>
      <c r="AW75" s="66" t="s">
        <v>1909</v>
      </c>
      <c r="AX75" s="66" t="s">
        <v>1207</v>
      </c>
      <c r="AY75" s="66">
        <v>2024</v>
      </c>
      <c r="AZ75" s="66" t="s">
        <v>1208</v>
      </c>
      <c r="BA75" s="66"/>
      <c r="BB75" s="72"/>
      <c r="BC75" s="73">
        <v>2026</v>
      </c>
      <c r="BD75" s="66"/>
      <c r="BE75" s="72"/>
      <c r="BF75" s="66" t="s">
        <v>1279</v>
      </c>
    </row>
    <row r="76" spans="1:58" ht="42">
      <c r="A76" s="66" t="s">
        <v>1522</v>
      </c>
      <c r="B76" s="66" t="s">
        <v>1587</v>
      </c>
      <c r="C76" s="66"/>
      <c r="D76" s="66"/>
      <c r="E76" s="66" t="s">
        <v>1588</v>
      </c>
      <c r="F76" s="66" t="s">
        <v>1275</v>
      </c>
      <c r="G76" s="66" t="s">
        <v>1276</v>
      </c>
      <c r="H76" s="66" t="s">
        <v>1196</v>
      </c>
      <c r="I76" s="66" t="s">
        <v>1589</v>
      </c>
      <c r="J76" s="66" t="s">
        <v>1183</v>
      </c>
      <c r="K76" s="66" t="s">
        <v>1198</v>
      </c>
      <c r="L76" s="66" t="s">
        <v>905</v>
      </c>
      <c r="M76" s="66" t="s">
        <v>1266</v>
      </c>
      <c r="N76" s="66" t="s">
        <v>1216</v>
      </c>
      <c r="O76" s="66" t="s">
        <v>1278</v>
      </c>
      <c r="P76" s="66" t="s">
        <v>905</v>
      </c>
      <c r="Q76" s="87" t="s">
        <v>1216</v>
      </c>
      <c r="R76" s="87" t="s">
        <v>1216</v>
      </c>
      <c r="S76" s="87" t="s">
        <v>1216</v>
      </c>
      <c r="T76" s="87" t="s">
        <v>1216</v>
      </c>
      <c r="U76" s="87" t="s">
        <v>1216</v>
      </c>
      <c r="V76" s="87" t="s">
        <v>1216</v>
      </c>
      <c r="W76" s="67"/>
      <c r="X76" s="85" t="str">
        <f t="shared" si="13"/>
        <v>Belum Dinilai</v>
      </c>
      <c r="Y76" s="85" t="str">
        <f t="shared" si="14"/>
        <v>Belum Dinilai</v>
      </c>
      <c r="Z76" s="86" t="str">
        <f t="shared" si="15"/>
        <v/>
      </c>
      <c r="AA76" s="86" t="str">
        <f t="shared" si="16"/>
        <v/>
      </c>
      <c r="AB76" s="86" t="str">
        <f t="shared" si="17"/>
        <v/>
      </c>
      <c r="AC76" s="68" t="s">
        <v>1216</v>
      </c>
      <c r="AD76" s="68" t="s">
        <v>1216</v>
      </c>
      <c r="AE76" s="68" t="s">
        <v>1216</v>
      </c>
      <c r="AF76" s="68" t="s">
        <v>1216</v>
      </c>
      <c r="AG76" s="68" t="s">
        <v>1216</v>
      </c>
      <c r="AH76" s="68" t="s">
        <v>1216</v>
      </c>
      <c r="AI76" s="68" t="s">
        <v>1216</v>
      </c>
      <c r="AJ76" s="68" t="s">
        <v>1216</v>
      </c>
      <c r="AK76" s="68" t="s">
        <v>1216</v>
      </c>
      <c r="AL76" s="68"/>
      <c r="AM76" s="68" t="s">
        <v>1216</v>
      </c>
      <c r="AN76" s="68" t="str">
        <f t="shared" si="12"/>
        <v>Belum Dinilai</v>
      </c>
      <c r="AO76" s="68" t="str">
        <f t="shared" si="18"/>
        <v>Belum Dinilai</v>
      </c>
      <c r="AP76" s="68"/>
      <c r="AQ76" s="71" t="str">
        <f t="shared" si="19"/>
        <v/>
      </c>
      <c r="AR76" s="71" t="str">
        <f t="shared" si="21"/>
        <v/>
      </c>
      <c r="AS76" s="71" t="str">
        <f t="shared" si="22"/>
        <v/>
      </c>
      <c r="AT76" s="69" t="str">
        <f t="shared" si="20"/>
        <v>Belum Dapat Ditentukan</v>
      </c>
      <c r="AU76" s="66" t="s">
        <v>1190</v>
      </c>
      <c r="AV76" s="66" t="s">
        <v>1205</v>
      </c>
      <c r="AW76" s="66" t="s">
        <v>1191</v>
      </c>
      <c r="AX76" s="66"/>
      <c r="AY76" s="66"/>
      <c r="AZ76" s="66" t="s">
        <v>927</v>
      </c>
      <c r="BA76" s="66"/>
      <c r="BB76" s="72"/>
      <c r="BC76" s="73">
        <v>2026</v>
      </c>
      <c r="BD76" s="66"/>
      <c r="BE76" s="72"/>
      <c r="BF76" s="66" t="s">
        <v>1279</v>
      </c>
    </row>
    <row r="77" spans="1:58" ht="28">
      <c r="A77" s="66" t="s">
        <v>1525</v>
      </c>
      <c r="B77" s="66" t="s">
        <v>1591</v>
      </c>
      <c r="C77" s="66"/>
      <c r="D77" s="66"/>
      <c r="E77" s="66" t="s">
        <v>1592</v>
      </c>
      <c r="F77" s="66" t="s">
        <v>1360</v>
      </c>
      <c r="G77" s="66" t="s">
        <v>1290</v>
      </c>
      <c r="H77" s="66" t="s">
        <v>1196</v>
      </c>
      <c r="I77" s="66" t="s">
        <v>1593</v>
      </c>
      <c r="J77" s="66" t="s">
        <v>1183</v>
      </c>
      <c r="K77" s="66" t="s">
        <v>1278</v>
      </c>
      <c r="L77" s="66" t="s">
        <v>1216</v>
      </c>
      <c r="M77" s="66" t="s">
        <v>1266</v>
      </c>
      <c r="N77" s="66" t="s">
        <v>1216</v>
      </c>
      <c r="O77" s="66" t="s">
        <v>1278</v>
      </c>
      <c r="P77" s="66" t="s">
        <v>1216</v>
      </c>
      <c r="Q77" s="87" t="s">
        <v>1216</v>
      </c>
      <c r="R77" s="87" t="s">
        <v>1216</v>
      </c>
      <c r="S77" s="87" t="s">
        <v>1216</v>
      </c>
      <c r="T77" s="87" t="s">
        <v>1216</v>
      </c>
      <c r="U77" s="87" t="s">
        <v>1216</v>
      </c>
      <c r="V77" s="87" t="s">
        <v>1216</v>
      </c>
      <c r="W77" s="67"/>
      <c r="X77" s="85" t="str">
        <f t="shared" si="13"/>
        <v>Belum Dinilai</v>
      </c>
      <c r="Y77" s="85" t="str">
        <f t="shared" si="14"/>
        <v>Belum Dinilai</v>
      </c>
      <c r="Z77" s="86" t="str">
        <f t="shared" si="15"/>
        <v/>
      </c>
      <c r="AA77" s="86" t="str">
        <f t="shared" si="16"/>
        <v/>
      </c>
      <c r="AB77" s="86" t="str">
        <f t="shared" si="17"/>
        <v/>
      </c>
      <c r="AC77" s="68" t="s">
        <v>1216</v>
      </c>
      <c r="AD77" s="68" t="s">
        <v>1216</v>
      </c>
      <c r="AE77" s="68" t="s">
        <v>1216</v>
      </c>
      <c r="AF77" s="68" t="s">
        <v>1216</v>
      </c>
      <c r="AG77" s="68" t="s">
        <v>1216</v>
      </c>
      <c r="AH77" s="68" t="s">
        <v>1216</v>
      </c>
      <c r="AI77" s="68" t="s">
        <v>1216</v>
      </c>
      <c r="AJ77" s="68" t="s">
        <v>1216</v>
      </c>
      <c r="AK77" s="68" t="s">
        <v>1216</v>
      </c>
      <c r="AL77" s="68"/>
      <c r="AM77" s="68" t="s">
        <v>1216</v>
      </c>
      <c r="AN77" s="68" t="str">
        <f t="shared" si="12"/>
        <v>Belum Dinilai</v>
      </c>
      <c r="AO77" s="68" t="str">
        <f t="shared" si="18"/>
        <v>Belum Dinilai</v>
      </c>
      <c r="AP77" s="68"/>
      <c r="AQ77" s="71" t="str">
        <f t="shared" si="19"/>
        <v/>
      </c>
      <c r="AR77" s="71" t="str">
        <f t="shared" si="21"/>
        <v/>
      </c>
      <c r="AS77" s="71" t="str">
        <f t="shared" si="22"/>
        <v/>
      </c>
      <c r="AT77" s="69" t="str">
        <f t="shared" si="20"/>
        <v>Belum Dapat Ditentukan</v>
      </c>
      <c r="AU77" s="66" t="s">
        <v>1190</v>
      </c>
      <c r="AV77" s="66" t="s">
        <v>1205</v>
      </c>
      <c r="AW77" s="66" t="s">
        <v>1191</v>
      </c>
      <c r="AX77" s="66"/>
      <c r="AY77" s="66"/>
      <c r="AZ77" s="66" t="s">
        <v>927</v>
      </c>
      <c r="BA77" s="66"/>
      <c r="BB77" s="72"/>
      <c r="BC77" s="73">
        <v>2026</v>
      </c>
      <c r="BD77" s="66"/>
      <c r="BE77" s="72"/>
      <c r="BF77" s="66" t="s">
        <v>1279</v>
      </c>
    </row>
    <row r="78" spans="1:58" ht="28">
      <c r="A78" s="66" t="s">
        <v>1530</v>
      </c>
      <c r="B78" s="66" t="s">
        <v>1595</v>
      </c>
      <c r="C78" s="66"/>
      <c r="D78" s="66"/>
      <c r="E78" s="66" t="s">
        <v>1596</v>
      </c>
      <c r="F78" s="66" t="s">
        <v>1360</v>
      </c>
      <c r="G78" s="66" t="s">
        <v>1290</v>
      </c>
      <c r="H78" s="66" t="s">
        <v>1182</v>
      </c>
      <c r="I78" s="66" t="s">
        <v>1597</v>
      </c>
      <c r="J78" s="66" t="s">
        <v>1211</v>
      </c>
      <c r="K78" s="66" t="s">
        <v>1212</v>
      </c>
      <c r="L78" s="66" t="s">
        <v>895</v>
      </c>
      <c r="M78" s="66" t="s">
        <v>1267</v>
      </c>
      <c r="N78" s="66" t="s">
        <v>895</v>
      </c>
      <c r="O78" s="66" t="s">
        <v>1278</v>
      </c>
      <c r="P78" s="66" t="s">
        <v>1216</v>
      </c>
      <c r="Q78" s="87" t="s">
        <v>1216</v>
      </c>
      <c r="R78" s="87" t="s">
        <v>1216</v>
      </c>
      <c r="S78" s="87" t="s">
        <v>1216</v>
      </c>
      <c r="T78" s="87" t="s">
        <v>1216</v>
      </c>
      <c r="U78" s="87" t="s">
        <v>1216</v>
      </c>
      <c r="V78" s="87" t="s">
        <v>1216</v>
      </c>
      <c r="W78" s="67"/>
      <c r="X78" s="85" t="str">
        <f t="shared" si="13"/>
        <v>Belum Dinilai</v>
      </c>
      <c r="Y78" s="85" t="str">
        <f t="shared" si="14"/>
        <v>Belum Dinilai</v>
      </c>
      <c r="Z78" s="86" t="str">
        <f t="shared" si="15"/>
        <v/>
      </c>
      <c r="AA78" s="86" t="str">
        <f t="shared" si="16"/>
        <v/>
      </c>
      <c r="AB78" s="86" t="str">
        <f t="shared" si="17"/>
        <v/>
      </c>
      <c r="AC78" s="68" t="s">
        <v>1216</v>
      </c>
      <c r="AD78" s="68" t="s">
        <v>1216</v>
      </c>
      <c r="AE78" s="68" t="s">
        <v>1216</v>
      </c>
      <c r="AF78" s="68" t="s">
        <v>1216</v>
      </c>
      <c r="AG78" s="68" t="s">
        <v>1216</v>
      </c>
      <c r="AH78" s="68" t="s">
        <v>1216</v>
      </c>
      <c r="AI78" s="68" t="s">
        <v>1216</v>
      </c>
      <c r="AJ78" s="68" t="s">
        <v>1216</v>
      </c>
      <c r="AK78" s="68" t="s">
        <v>1216</v>
      </c>
      <c r="AL78" s="68"/>
      <c r="AM78" s="68" t="s">
        <v>1216</v>
      </c>
      <c r="AN78" s="68" t="str">
        <f t="shared" si="12"/>
        <v>Belum Dinilai</v>
      </c>
      <c r="AO78" s="68" t="str">
        <f t="shared" si="18"/>
        <v>Belum Dinilai</v>
      </c>
      <c r="AP78" s="68"/>
      <c r="AQ78" s="71" t="str">
        <f t="shared" si="19"/>
        <v/>
      </c>
      <c r="AR78" s="71" t="str">
        <f t="shared" si="21"/>
        <v/>
      </c>
      <c r="AS78" s="71" t="str">
        <f t="shared" si="22"/>
        <v/>
      </c>
      <c r="AT78" s="69" t="str">
        <f t="shared" si="20"/>
        <v>Belum Dapat Ditentukan</v>
      </c>
      <c r="AU78" s="66" t="s">
        <v>1190</v>
      </c>
      <c r="AV78" s="66" t="s">
        <v>1205</v>
      </c>
      <c r="AW78" s="66" t="s">
        <v>1191</v>
      </c>
      <c r="AX78" s="66"/>
      <c r="AY78" s="66"/>
      <c r="AZ78" s="66" t="s">
        <v>927</v>
      </c>
      <c r="BA78" s="66"/>
      <c r="BB78" s="72"/>
      <c r="BC78" s="73">
        <v>2026</v>
      </c>
      <c r="BD78" s="66"/>
      <c r="BE78" s="72"/>
      <c r="BF78" s="66" t="s">
        <v>1279</v>
      </c>
    </row>
    <row r="79" spans="1:58" ht="28">
      <c r="A79" s="66" t="s">
        <v>1534</v>
      </c>
      <c r="B79" s="66" t="s">
        <v>1911</v>
      </c>
      <c r="C79" s="84" t="s">
        <v>1912</v>
      </c>
      <c r="D79" s="84" t="s">
        <v>1914</v>
      </c>
      <c r="E79" s="66" t="s">
        <v>1913</v>
      </c>
      <c r="F79" s="66" t="s">
        <v>1360</v>
      </c>
      <c r="G79" s="66" t="s">
        <v>81</v>
      </c>
      <c r="H79" s="66" t="s">
        <v>1182</v>
      </c>
      <c r="I79" s="66"/>
      <c r="J79" s="66" t="s">
        <v>1211</v>
      </c>
      <c r="K79" s="66" t="s">
        <v>1212</v>
      </c>
      <c r="L79" s="66" t="s">
        <v>891</v>
      </c>
      <c r="M79" s="66" t="s">
        <v>1267</v>
      </c>
      <c r="N79" s="66" t="s">
        <v>891</v>
      </c>
      <c r="O79" s="66" t="s">
        <v>1214</v>
      </c>
      <c r="P79" s="66" t="s">
        <v>891</v>
      </c>
      <c r="Q79" s="87" t="s">
        <v>1187</v>
      </c>
      <c r="R79" s="87" t="s">
        <v>1202</v>
      </c>
      <c r="S79" s="87" t="s">
        <v>1202</v>
      </c>
      <c r="T79" s="87" t="s">
        <v>1202</v>
      </c>
      <c r="U79" s="87" t="s">
        <v>1202</v>
      </c>
      <c r="V79" s="87" t="s">
        <v>1216</v>
      </c>
      <c r="W79" s="67"/>
      <c r="X79" s="85" t="str">
        <f t="shared" si="13"/>
        <v>Belum Dinilai</v>
      </c>
      <c r="Y79" s="85" t="str">
        <f t="shared" si="14"/>
        <v>Belum Dinilai</v>
      </c>
      <c r="Z79" s="86">
        <f t="shared" si="15"/>
        <v>10</v>
      </c>
      <c r="AA79" s="86" t="str">
        <f t="shared" si="16"/>
        <v/>
      </c>
      <c r="AB79" s="86" t="str">
        <f t="shared" si="17"/>
        <v/>
      </c>
      <c r="AC79" s="68" t="s">
        <v>1216</v>
      </c>
      <c r="AD79" s="68" t="s">
        <v>1202</v>
      </c>
      <c r="AE79" s="68" t="s">
        <v>1216</v>
      </c>
      <c r="AF79" s="68" t="s">
        <v>1216</v>
      </c>
      <c r="AG79" s="68" t="s">
        <v>1216</v>
      </c>
      <c r="AH79" s="68" t="s">
        <v>1188</v>
      </c>
      <c r="AI79" s="68" t="s">
        <v>1188</v>
      </c>
      <c r="AJ79" s="68" t="s">
        <v>1216</v>
      </c>
      <c r="AK79" s="68" t="s">
        <v>1216</v>
      </c>
      <c r="AL79" s="68"/>
      <c r="AM79" s="68" t="s">
        <v>1216</v>
      </c>
      <c r="AN79" s="68" t="str">
        <f t="shared" si="12"/>
        <v xml:space="preserve">Instalasi listrik berbahaya; Komponen bangunan lepas atau lapuk; </v>
      </c>
      <c r="AO79" s="68" t="str">
        <f t="shared" si="18"/>
        <v>Risiko Tinggi/Darurat</v>
      </c>
      <c r="AP79" s="68"/>
      <c r="AQ79" s="71">
        <f t="shared" si="19"/>
        <v>29</v>
      </c>
      <c r="AR79" s="71">
        <f t="shared" si="21"/>
        <v>10</v>
      </c>
      <c r="AS79" s="71" t="str">
        <f t="shared" si="22"/>
        <v/>
      </c>
      <c r="AT79" s="69" t="str">
        <f t="shared" si="20"/>
        <v>Belum Dapat Ditentukan</v>
      </c>
      <c r="AU79" s="66"/>
      <c r="AV79" s="66"/>
      <c r="AW79" s="66" t="s">
        <v>1191</v>
      </c>
      <c r="AX79" s="66"/>
      <c r="AY79" s="66"/>
      <c r="AZ79" s="66" t="s">
        <v>1193</v>
      </c>
      <c r="BA79" s="66"/>
      <c r="BB79" s="72"/>
      <c r="BC79" s="73"/>
      <c r="BD79" s="66"/>
      <c r="BE79" s="72"/>
      <c r="BF79" s="66"/>
    </row>
    <row r="80" spans="1:58" ht="42">
      <c r="A80" s="66" t="s">
        <v>1538</v>
      </c>
      <c r="B80" s="66" t="s">
        <v>1600</v>
      </c>
      <c r="C80" s="66"/>
      <c r="D80" s="66"/>
      <c r="E80" s="66" t="s">
        <v>1601</v>
      </c>
      <c r="F80" s="66" t="s">
        <v>1545</v>
      </c>
      <c r="G80" s="66" t="s">
        <v>1355</v>
      </c>
      <c r="H80" s="66" t="s">
        <v>1182</v>
      </c>
      <c r="I80" s="66" t="s">
        <v>1602</v>
      </c>
      <c r="J80" s="66" t="s">
        <v>1211</v>
      </c>
      <c r="K80" s="66" t="s">
        <v>1184</v>
      </c>
      <c r="L80" s="66" t="s">
        <v>1216</v>
      </c>
      <c r="M80" s="66" t="s">
        <v>1267</v>
      </c>
      <c r="N80" s="66" t="s">
        <v>1216</v>
      </c>
      <c r="O80" s="66" t="s">
        <v>1214</v>
      </c>
      <c r="P80" s="66" t="s">
        <v>905</v>
      </c>
      <c r="Q80" s="87" t="s">
        <v>1216</v>
      </c>
      <c r="R80" s="87" t="s">
        <v>1216</v>
      </c>
      <c r="S80" s="87" t="s">
        <v>1216</v>
      </c>
      <c r="T80" s="87" t="s">
        <v>1216</v>
      </c>
      <c r="U80" s="87" t="s">
        <v>1216</v>
      </c>
      <c r="V80" s="87" t="s">
        <v>1216</v>
      </c>
      <c r="W80" s="67"/>
      <c r="X80" s="85" t="str">
        <f t="shared" si="13"/>
        <v>Belum Dinilai</v>
      </c>
      <c r="Y80" s="85" t="str">
        <f t="shared" si="14"/>
        <v>Belum Dinilai</v>
      </c>
      <c r="Z80" s="86" t="str">
        <f t="shared" si="15"/>
        <v/>
      </c>
      <c r="AA80" s="86" t="str">
        <f t="shared" si="16"/>
        <v/>
      </c>
      <c r="AB80" s="86" t="str">
        <f t="shared" si="17"/>
        <v/>
      </c>
      <c r="AC80" s="68" t="s">
        <v>1216</v>
      </c>
      <c r="AD80" s="68" t="s">
        <v>1216</v>
      </c>
      <c r="AE80" s="68" t="s">
        <v>1216</v>
      </c>
      <c r="AF80" s="68" t="s">
        <v>1216</v>
      </c>
      <c r="AG80" s="68" t="s">
        <v>1216</v>
      </c>
      <c r="AH80" s="68" t="s">
        <v>1216</v>
      </c>
      <c r="AI80" s="68" t="s">
        <v>1216</v>
      </c>
      <c r="AJ80" s="68" t="s">
        <v>1216</v>
      </c>
      <c r="AK80" s="68" t="s">
        <v>1216</v>
      </c>
      <c r="AL80" s="68"/>
      <c r="AM80" s="68" t="s">
        <v>1216</v>
      </c>
      <c r="AN80" s="68" t="str">
        <f t="shared" si="12"/>
        <v>Belum Dinilai</v>
      </c>
      <c r="AO80" s="68" t="str">
        <f t="shared" si="18"/>
        <v>Belum Dinilai</v>
      </c>
      <c r="AP80" s="68"/>
      <c r="AQ80" s="71" t="str">
        <f t="shared" si="19"/>
        <v/>
      </c>
      <c r="AR80" s="71" t="str">
        <f t="shared" si="21"/>
        <v/>
      </c>
      <c r="AS80" s="71" t="str">
        <f t="shared" si="22"/>
        <v/>
      </c>
      <c r="AT80" s="69" t="str">
        <f t="shared" si="20"/>
        <v>Belum Dapat Ditentukan</v>
      </c>
      <c r="AU80" s="66" t="s">
        <v>1190</v>
      </c>
      <c r="AV80" s="66" t="s">
        <v>1205</v>
      </c>
      <c r="AW80" s="66" t="s">
        <v>1191</v>
      </c>
      <c r="AX80" s="66"/>
      <c r="AY80" s="66"/>
      <c r="AZ80" s="66" t="s">
        <v>927</v>
      </c>
      <c r="BA80" s="66"/>
      <c r="BB80" s="72"/>
      <c r="BC80" s="73">
        <v>2026</v>
      </c>
      <c r="BD80" s="66"/>
      <c r="BE80" s="72"/>
      <c r="BF80" s="66" t="s">
        <v>1279</v>
      </c>
    </row>
    <row r="81" spans="1:58" ht="28">
      <c r="A81" s="66" t="s">
        <v>1959</v>
      </c>
      <c r="B81" s="66" t="s">
        <v>1604</v>
      </c>
      <c r="C81" s="84" t="s">
        <v>1918</v>
      </c>
      <c r="D81" s="84" t="s">
        <v>1919</v>
      </c>
      <c r="E81" s="66" t="s">
        <v>1920</v>
      </c>
      <c r="F81" s="66" t="s">
        <v>1606</v>
      </c>
      <c r="G81" s="66" t="s">
        <v>1329</v>
      </c>
      <c r="H81" s="66" t="s">
        <v>1182</v>
      </c>
      <c r="I81" s="66" t="s">
        <v>1607</v>
      </c>
      <c r="J81" s="66" t="s">
        <v>1211</v>
      </c>
      <c r="K81" s="66" t="s">
        <v>1212</v>
      </c>
      <c r="L81" s="66" t="s">
        <v>905</v>
      </c>
      <c r="M81" s="66" t="s">
        <v>1267</v>
      </c>
      <c r="N81" s="66" t="s">
        <v>895</v>
      </c>
      <c r="O81" s="66" t="s">
        <v>1214</v>
      </c>
      <c r="P81" s="66" t="s">
        <v>895</v>
      </c>
      <c r="Q81" s="87" t="s">
        <v>1187</v>
      </c>
      <c r="R81" s="87" t="s">
        <v>1188</v>
      </c>
      <c r="S81" s="87" t="s">
        <v>1202</v>
      </c>
      <c r="T81" s="87" t="s">
        <v>1202</v>
      </c>
      <c r="U81" s="87" t="s">
        <v>1202</v>
      </c>
      <c r="V81" s="87" t="s">
        <v>1216</v>
      </c>
      <c r="W81" s="67"/>
      <c r="X81" s="85" t="str">
        <f t="shared" si="13"/>
        <v>Belum Dinilai</v>
      </c>
      <c r="Y81" s="85" t="str">
        <f t="shared" si="14"/>
        <v>Belum Dinilai</v>
      </c>
      <c r="Z81" s="86">
        <f t="shared" si="15"/>
        <v>10</v>
      </c>
      <c r="AA81" s="86" t="str">
        <f t="shared" si="16"/>
        <v/>
      </c>
      <c r="AB81" s="86" t="str">
        <f t="shared" si="17"/>
        <v/>
      </c>
      <c r="AC81" s="68" t="s">
        <v>1216</v>
      </c>
      <c r="AD81" s="68" t="s">
        <v>1216</v>
      </c>
      <c r="AE81" s="68" t="s">
        <v>1216</v>
      </c>
      <c r="AF81" s="68" t="s">
        <v>1202</v>
      </c>
      <c r="AG81" s="68" t="s">
        <v>1216</v>
      </c>
      <c r="AH81" s="68" t="s">
        <v>1188</v>
      </c>
      <c r="AI81" s="68" t="s">
        <v>1188</v>
      </c>
      <c r="AJ81" s="68" t="s">
        <v>1216</v>
      </c>
      <c r="AK81" s="68" t="s">
        <v>1216</v>
      </c>
      <c r="AL81" s="68"/>
      <c r="AM81" s="68" t="s">
        <v>1216</v>
      </c>
      <c r="AN81" s="68" t="str">
        <f t="shared" si="12"/>
        <v xml:space="preserve">Instalasi listrik berbahaya; Komponen bangunan lepas atau lapuk; </v>
      </c>
      <c r="AO81" s="68" t="str">
        <f t="shared" si="18"/>
        <v>Risiko Tinggi/Darurat</v>
      </c>
      <c r="AP81" s="68"/>
      <c r="AQ81" s="71">
        <f t="shared" si="19"/>
        <v>52</v>
      </c>
      <c r="AR81" s="71">
        <f t="shared" si="21"/>
        <v>10</v>
      </c>
      <c r="AS81" s="71" t="str">
        <f t="shared" si="22"/>
        <v/>
      </c>
      <c r="AT81" s="69" t="str">
        <f t="shared" si="20"/>
        <v>Belum Dapat Ditentukan</v>
      </c>
      <c r="AU81" s="66" t="s">
        <v>1190</v>
      </c>
      <c r="AV81" s="66" t="s">
        <v>1205</v>
      </c>
      <c r="AW81" s="66" t="s">
        <v>1191</v>
      </c>
      <c r="AX81" s="66"/>
      <c r="AY81" s="66"/>
      <c r="AZ81" s="66" t="s">
        <v>927</v>
      </c>
      <c r="BA81" s="66"/>
      <c r="BB81" s="72"/>
      <c r="BC81" s="73">
        <v>2026</v>
      </c>
      <c r="BD81" s="66"/>
      <c r="BE81" s="72"/>
      <c r="BF81" s="66" t="s">
        <v>1279</v>
      </c>
    </row>
    <row r="82" spans="1:58" ht="28">
      <c r="A82" s="66" t="s">
        <v>1960</v>
      </c>
      <c r="B82" s="66" t="s">
        <v>1609</v>
      </c>
      <c r="C82" s="66"/>
      <c r="D82" s="66"/>
      <c r="E82" s="66" t="s">
        <v>1605</v>
      </c>
      <c r="F82" s="66" t="s">
        <v>1606</v>
      </c>
      <c r="G82" s="66" t="s">
        <v>1329</v>
      </c>
      <c r="H82" s="66" t="s">
        <v>1196</v>
      </c>
      <c r="I82" s="66" t="s">
        <v>1610</v>
      </c>
      <c r="J82" s="66" t="s">
        <v>1264</v>
      </c>
      <c r="K82" s="66" t="s">
        <v>1278</v>
      </c>
      <c r="L82" s="66" t="s">
        <v>1216</v>
      </c>
      <c r="M82" s="66" t="s">
        <v>1278</v>
      </c>
      <c r="N82" s="66" t="s">
        <v>1216</v>
      </c>
      <c r="O82" s="66" t="s">
        <v>1278</v>
      </c>
      <c r="P82" s="66" t="s">
        <v>1216</v>
      </c>
      <c r="Q82" s="87" t="s">
        <v>1216</v>
      </c>
      <c r="R82" s="87" t="s">
        <v>1216</v>
      </c>
      <c r="S82" s="87" t="s">
        <v>1216</v>
      </c>
      <c r="T82" s="87" t="s">
        <v>1216</v>
      </c>
      <c r="U82" s="87" t="s">
        <v>1216</v>
      </c>
      <c r="V82" s="87" t="s">
        <v>1216</v>
      </c>
      <c r="W82" s="67"/>
      <c r="X82" s="85" t="str">
        <f t="shared" si="13"/>
        <v>Belum Dinilai</v>
      </c>
      <c r="Y82" s="85" t="str">
        <f t="shared" si="14"/>
        <v>Belum Dinilai</v>
      </c>
      <c r="Z82" s="86" t="str">
        <f t="shared" si="15"/>
        <v/>
      </c>
      <c r="AA82" s="86" t="str">
        <f t="shared" si="16"/>
        <v/>
      </c>
      <c r="AB82" s="86" t="str">
        <f t="shared" si="17"/>
        <v/>
      </c>
      <c r="AC82" s="68" t="s">
        <v>1216</v>
      </c>
      <c r="AD82" s="68" t="s">
        <v>1216</v>
      </c>
      <c r="AE82" s="68" t="s">
        <v>1216</v>
      </c>
      <c r="AF82" s="68" t="s">
        <v>1216</v>
      </c>
      <c r="AG82" s="68" t="s">
        <v>1216</v>
      </c>
      <c r="AH82" s="68" t="s">
        <v>1216</v>
      </c>
      <c r="AI82" s="68" t="s">
        <v>1216</v>
      </c>
      <c r="AJ82" s="68" t="s">
        <v>1216</v>
      </c>
      <c r="AK82" s="68" t="s">
        <v>1216</v>
      </c>
      <c r="AL82" s="68"/>
      <c r="AM82" s="68" t="s">
        <v>1216</v>
      </c>
      <c r="AN82" s="68" t="str">
        <f t="shared" si="12"/>
        <v>Belum Dinilai</v>
      </c>
      <c r="AO82" s="68" t="str">
        <f t="shared" si="18"/>
        <v>Belum Dinilai</v>
      </c>
      <c r="AP82" s="68"/>
      <c r="AQ82" s="71" t="str">
        <f t="shared" si="19"/>
        <v/>
      </c>
      <c r="AR82" s="71" t="str">
        <f t="shared" si="21"/>
        <v/>
      </c>
      <c r="AS82" s="71" t="str">
        <f t="shared" si="22"/>
        <v/>
      </c>
      <c r="AT82" s="69" t="str">
        <f t="shared" si="20"/>
        <v>Belum Dapat Ditentukan</v>
      </c>
      <c r="AU82" s="66" t="s">
        <v>1190</v>
      </c>
      <c r="AV82" s="66" t="s">
        <v>1205</v>
      </c>
      <c r="AW82" s="66" t="s">
        <v>1191</v>
      </c>
      <c r="AX82" s="66"/>
      <c r="AY82" s="66"/>
      <c r="AZ82" s="66" t="s">
        <v>927</v>
      </c>
      <c r="BA82" s="66"/>
      <c r="BB82" s="72"/>
      <c r="BC82" s="73">
        <v>2026</v>
      </c>
      <c r="BD82" s="66"/>
      <c r="BE82" s="72"/>
      <c r="BF82" s="66" t="s">
        <v>1279</v>
      </c>
    </row>
    <row r="83" spans="1:58" ht="28">
      <c r="A83" s="66" t="s">
        <v>1961</v>
      </c>
      <c r="B83" s="66" t="s">
        <v>1612</v>
      </c>
      <c r="C83" s="66"/>
      <c r="D83" s="66"/>
      <c r="E83" s="66" t="s">
        <v>1613</v>
      </c>
      <c r="F83" s="66" t="s">
        <v>1614</v>
      </c>
      <c r="G83" s="66" t="s">
        <v>1329</v>
      </c>
      <c r="H83" s="66" t="s">
        <v>1182</v>
      </c>
      <c r="I83" s="66" t="s">
        <v>1615</v>
      </c>
      <c r="J83" s="66" t="s">
        <v>1264</v>
      </c>
      <c r="K83" s="66" t="s">
        <v>1294</v>
      </c>
      <c r="L83" s="66" t="s">
        <v>1216</v>
      </c>
      <c r="M83" s="66" t="s">
        <v>1278</v>
      </c>
      <c r="N83" s="66" t="s">
        <v>1216</v>
      </c>
      <c r="O83" s="66" t="s">
        <v>1278</v>
      </c>
      <c r="P83" s="66" t="s">
        <v>1216</v>
      </c>
      <c r="Q83" s="87" t="s">
        <v>1216</v>
      </c>
      <c r="R83" s="87" t="s">
        <v>1216</v>
      </c>
      <c r="S83" s="87" t="s">
        <v>1216</v>
      </c>
      <c r="T83" s="87" t="s">
        <v>1216</v>
      </c>
      <c r="U83" s="87" t="s">
        <v>1216</v>
      </c>
      <c r="V83" s="87" t="s">
        <v>1216</v>
      </c>
      <c r="W83" s="67"/>
      <c r="X83" s="85" t="str">
        <f t="shared" si="13"/>
        <v>Belum Dinilai</v>
      </c>
      <c r="Y83" s="85" t="str">
        <f t="shared" si="14"/>
        <v>Belum Dinilai</v>
      </c>
      <c r="Z83" s="86" t="str">
        <f t="shared" si="15"/>
        <v/>
      </c>
      <c r="AA83" s="86" t="str">
        <f t="shared" si="16"/>
        <v/>
      </c>
      <c r="AB83" s="86" t="str">
        <f t="shared" si="17"/>
        <v/>
      </c>
      <c r="AC83" s="68" t="s">
        <v>1216</v>
      </c>
      <c r="AD83" s="68" t="s">
        <v>1216</v>
      </c>
      <c r="AE83" s="68" t="s">
        <v>1216</v>
      </c>
      <c r="AF83" s="68" t="s">
        <v>1216</v>
      </c>
      <c r="AG83" s="68" t="s">
        <v>1216</v>
      </c>
      <c r="AH83" s="68" t="s">
        <v>1216</v>
      </c>
      <c r="AI83" s="68" t="s">
        <v>1216</v>
      </c>
      <c r="AJ83" s="68" t="s">
        <v>1216</v>
      </c>
      <c r="AK83" s="68" t="s">
        <v>1216</v>
      </c>
      <c r="AL83" s="68"/>
      <c r="AM83" s="68" t="s">
        <v>1216</v>
      </c>
      <c r="AN83" s="68" t="str">
        <f t="shared" si="12"/>
        <v>Belum Dinilai</v>
      </c>
      <c r="AO83" s="68" t="str">
        <f t="shared" si="18"/>
        <v>Belum Dinilai</v>
      </c>
      <c r="AP83" s="68"/>
      <c r="AQ83" s="71" t="str">
        <f t="shared" si="19"/>
        <v/>
      </c>
      <c r="AR83" s="71" t="str">
        <f t="shared" si="21"/>
        <v/>
      </c>
      <c r="AS83" s="71" t="str">
        <f t="shared" si="22"/>
        <v/>
      </c>
      <c r="AT83" s="69" t="str">
        <f t="shared" si="20"/>
        <v>Belum Dapat Ditentukan</v>
      </c>
      <c r="AU83" s="66" t="s">
        <v>1204</v>
      </c>
      <c r="AV83" s="66" t="s">
        <v>1205</v>
      </c>
      <c r="AW83" s="66" t="s">
        <v>1909</v>
      </c>
      <c r="AX83" s="66" t="s">
        <v>1284</v>
      </c>
      <c r="AY83" s="66">
        <v>2024</v>
      </c>
      <c r="AZ83" s="66" t="s">
        <v>927</v>
      </c>
      <c r="BA83" s="66"/>
      <c r="BB83" s="72"/>
      <c r="BC83" s="73">
        <v>2026</v>
      </c>
      <c r="BD83" s="66"/>
      <c r="BE83" s="72"/>
      <c r="BF83" s="66" t="s">
        <v>1279</v>
      </c>
    </row>
    <row r="84" spans="1:58" ht="28">
      <c r="A84" s="66" t="s">
        <v>1962</v>
      </c>
      <c r="B84" s="66" t="s">
        <v>1617</v>
      </c>
      <c r="C84" s="66"/>
      <c r="D84" s="66"/>
      <c r="E84" s="66" t="s">
        <v>1536</v>
      </c>
      <c r="F84" s="66" t="s">
        <v>1481</v>
      </c>
      <c r="G84" s="66" t="s">
        <v>1314</v>
      </c>
      <c r="H84" s="66" t="s">
        <v>1196</v>
      </c>
      <c r="I84" s="66" t="s">
        <v>1618</v>
      </c>
      <c r="J84" s="66" t="s">
        <v>1264</v>
      </c>
      <c r="K84" s="66" t="s">
        <v>1278</v>
      </c>
      <c r="L84" s="66" t="s">
        <v>1216</v>
      </c>
      <c r="M84" s="66" t="s">
        <v>1278</v>
      </c>
      <c r="N84" s="66" t="s">
        <v>1216</v>
      </c>
      <c r="O84" s="66" t="s">
        <v>1186</v>
      </c>
      <c r="P84" s="66" t="s">
        <v>1216</v>
      </c>
      <c r="Q84" s="87" t="s">
        <v>1216</v>
      </c>
      <c r="R84" s="87" t="s">
        <v>1216</v>
      </c>
      <c r="S84" s="87" t="s">
        <v>1216</v>
      </c>
      <c r="T84" s="87" t="s">
        <v>1216</v>
      </c>
      <c r="U84" s="87" t="s">
        <v>1216</v>
      </c>
      <c r="V84" s="87" t="s">
        <v>1216</v>
      </c>
      <c r="W84" s="67"/>
      <c r="X84" s="85" t="str">
        <f t="shared" si="13"/>
        <v>Belum Dinilai</v>
      </c>
      <c r="Y84" s="85" t="str">
        <f t="shared" si="14"/>
        <v>Belum Dinilai</v>
      </c>
      <c r="Z84" s="86" t="str">
        <f t="shared" si="15"/>
        <v/>
      </c>
      <c r="AA84" s="86" t="str">
        <f t="shared" si="16"/>
        <v/>
      </c>
      <c r="AB84" s="86" t="str">
        <f t="shared" si="17"/>
        <v/>
      </c>
      <c r="AC84" s="68" t="s">
        <v>1216</v>
      </c>
      <c r="AD84" s="68" t="s">
        <v>1216</v>
      </c>
      <c r="AE84" s="68" t="s">
        <v>1216</v>
      </c>
      <c r="AF84" s="68" t="s">
        <v>1216</v>
      </c>
      <c r="AG84" s="68" t="s">
        <v>1216</v>
      </c>
      <c r="AH84" s="68" t="s">
        <v>1216</v>
      </c>
      <c r="AI84" s="68" t="s">
        <v>1216</v>
      </c>
      <c r="AJ84" s="68" t="s">
        <v>1216</v>
      </c>
      <c r="AK84" s="68" t="s">
        <v>1216</v>
      </c>
      <c r="AL84" s="68"/>
      <c r="AM84" s="68" t="s">
        <v>1216</v>
      </c>
      <c r="AN84" s="68" t="str">
        <f t="shared" si="12"/>
        <v>Belum Dinilai</v>
      </c>
      <c r="AO84" s="68" t="str">
        <f t="shared" si="18"/>
        <v>Belum Dinilai</v>
      </c>
      <c r="AP84" s="68"/>
      <c r="AQ84" s="71" t="str">
        <f t="shared" si="19"/>
        <v/>
      </c>
      <c r="AR84" s="71" t="str">
        <f t="shared" si="21"/>
        <v/>
      </c>
      <c r="AS84" s="71" t="str">
        <f t="shared" si="22"/>
        <v/>
      </c>
      <c r="AT84" s="69" t="str">
        <f t="shared" si="20"/>
        <v>Belum Dapat Ditentukan</v>
      </c>
      <c r="AU84" s="66" t="s">
        <v>1190</v>
      </c>
      <c r="AV84" s="66" t="s">
        <v>1205</v>
      </c>
      <c r="AW84" s="66" t="s">
        <v>1191</v>
      </c>
      <c r="AX84" s="66"/>
      <c r="AY84" s="66"/>
      <c r="AZ84" s="66" t="s">
        <v>927</v>
      </c>
      <c r="BA84" s="66"/>
      <c r="BB84" s="72"/>
      <c r="BC84" s="73">
        <v>2026</v>
      </c>
      <c r="BD84" s="66"/>
      <c r="BE84" s="72"/>
      <c r="BF84" s="66" t="s">
        <v>1279</v>
      </c>
    </row>
    <row r="85" spans="1:58" ht="28">
      <c r="A85" s="66" t="s">
        <v>1963</v>
      </c>
      <c r="B85" s="66" t="s">
        <v>1620</v>
      </c>
      <c r="C85" s="66"/>
      <c r="D85" s="66"/>
      <c r="E85" s="66" t="s">
        <v>1621</v>
      </c>
      <c r="F85" s="66" t="s">
        <v>1481</v>
      </c>
      <c r="G85" s="66" t="s">
        <v>1314</v>
      </c>
      <c r="H85" s="66" t="s">
        <v>1196</v>
      </c>
      <c r="I85" s="66" t="s">
        <v>1622</v>
      </c>
      <c r="J85" s="66" t="s">
        <v>1183</v>
      </c>
      <c r="K85" s="66" t="s">
        <v>1278</v>
      </c>
      <c r="L85" s="66" t="s">
        <v>1216</v>
      </c>
      <c r="M85" s="66" t="s">
        <v>1213</v>
      </c>
      <c r="N85" s="66" t="s">
        <v>1216</v>
      </c>
      <c r="O85" s="66" t="s">
        <v>1214</v>
      </c>
      <c r="P85" s="66" t="s">
        <v>1216</v>
      </c>
      <c r="Q85" s="87" t="s">
        <v>1216</v>
      </c>
      <c r="R85" s="87" t="s">
        <v>1216</v>
      </c>
      <c r="S85" s="87" t="s">
        <v>1216</v>
      </c>
      <c r="T85" s="87" t="s">
        <v>1216</v>
      </c>
      <c r="U85" s="87" t="s">
        <v>1216</v>
      </c>
      <c r="V85" s="87" t="s">
        <v>1216</v>
      </c>
      <c r="W85" s="67"/>
      <c r="X85" s="85" t="str">
        <f t="shared" si="13"/>
        <v>Belum Dinilai</v>
      </c>
      <c r="Y85" s="85" t="str">
        <f t="shared" si="14"/>
        <v>Belum Dinilai</v>
      </c>
      <c r="Z85" s="86" t="str">
        <f t="shared" si="15"/>
        <v/>
      </c>
      <c r="AA85" s="86" t="str">
        <f t="shared" si="16"/>
        <v/>
      </c>
      <c r="AB85" s="86" t="str">
        <f t="shared" si="17"/>
        <v/>
      </c>
      <c r="AC85" s="68" t="s">
        <v>1216</v>
      </c>
      <c r="AD85" s="68" t="s">
        <v>1216</v>
      </c>
      <c r="AE85" s="68" t="s">
        <v>1216</v>
      </c>
      <c r="AF85" s="68" t="s">
        <v>1216</v>
      </c>
      <c r="AG85" s="68" t="s">
        <v>1216</v>
      </c>
      <c r="AH85" s="68" t="s">
        <v>1216</v>
      </c>
      <c r="AI85" s="68" t="s">
        <v>1216</v>
      </c>
      <c r="AJ85" s="68" t="s">
        <v>1216</v>
      </c>
      <c r="AK85" s="68" t="s">
        <v>1216</v>
      </c>
      <c r="AL85" s="68"/>
      <c r="AM85" s="68" t="s">
        <v>1216</v>
      </c>
      <c r="AN85" s="68" t="str">
        <f t="shared" si="12"/>
        <v>Belum Dinilai</v>
      </c>
      <c r="AO85" s="68" t="str">
        <f t="shared" si="18"/>
        <v>Belum Dinilai</v>
      </c>
      <c r="AP85" s="68"/>
      <c r="AQ85" s="71" t="str">
        <f t="shared" si="19"/>
        <v/>
      </c>
      <c r="AR85" s="71" t="str">
        <f t="shared" si="21"/>
        <v/>
      </c>
      <c r="AS85" s="71" t="str">
        <f t="shared" si="22"/>
        <v/>
      </c>
      <c r="AT85" s="69" t="str">
        <f t="shared" si="20"/>
        <v>Belum Dapat Ditentukan</v>
      </c>
      <c r="AU85" s="66" t="s">
        <v>1190</v>
      </c>
      <c r="AV85" s="66" t="s">
        <v>1205</v>
      </c>
      <c r="AW85" s="66" t="s">
        <v>1191</v>
      </c>
      <c r="AX85" s="66"/>
      <c r="AY85" s="66"/>
      <c r="AZ85" s="66" t="s">
        <v>927</v>
      </c>
      <c r="BA85" s="66"/>
      <c r="BB85" s="72"/>
      <c r="BC85" s="73">
        <v>2026</v>
      </c>
      <c r="BD85" s="66"/>
      <c r="BE85" s="72"/>
      <c r="BF85" s="66" t="s">
        <v>1279</v>
      </c>
    </row>
    <row r="86" spans="1:58" ht="28">
      <c r="A86" s="66" t="s">
        <v>1964</v>
      </c>
      <c r="B86" s="66" t="s">
        <v>1368</v>
      </c>
      <c r="C86" s="66"/>
      <c r="D86" s="66"/>
      <c r="E86" s="66" t="s">
        <v>1621</v>
      </c>
      <c r="F86" s="66" t="s">
        <v>1481</v>
      </c>
      <c r="G86" s="66" t="s">
        <v>1314</v>
      </c>
      <c r="H86" s="66" t="s">
        <v>1182</v>
      </c>
      <c r="I86" s="66" t="s">
        <v>1624</v>
      </c>
      <c r="J86" s="66" t="s">
        <v>1211</v>
      </c>
      <c r="K86" s="66" t="s">
        <v>1278</v>
      </c>
      <c r="L86" s="66" t="s">
        <v>895</v>
      </c>
      <c r="M86" s="66" t="s">
        <v>1267</v>
      </c>
      <c r="N86" s="66" t="s">
        <v>895</v>
      </c>
      <c r="O86" s="66" t="s">
        <v>1214</v>
      </c>
      <c r="P86" s="66" t="s">
        <v>895</v>
      </c>
      <c r="Q86" s="87" t="s">
        <v>1216</v>
      </c>
      <c r="R86" s="87" t="s">
        <v>1216</v>
      </c>
      <c r="S86" s="87" t="s">
        <v>1216</v>
      </c>
      <c r="T86" s="87" t="s">
        <v>1216</v>
      </c>
      <c r="U86" s="87" t="s">
        <v>1216</v>
      </c>
      <c r="V86" s="87" t="s">
        <v>1216</v>
      </c>
      <c r="W86" s="67"/>
      <c r="X86" s="85" t="str">
        <f t="shared" si="13"/>
        <v>Belum Dinilai</v>
      </c>
      <c r="Y86" s="85" t="str">
        <f t="shared" si="14"/>
        <v>Belum Dinilai</v>
      </c>
      <c r="Z86" s="86" t="str">
        <f t="shared" si="15"/>
        <v/>
      </c>
      <c r="AA86" s="86" t="str">
        <f t="shared" si="16"/>
        <v/>
      </c>
      <c r="AB86" s="86" t="str">
        <f t="shared" si="17"/>
        <v/>
      </c>
      <c r="AC86" s="68" t="s">
        <v>1216</v>
      </c>
      <c r="AD86" s="68" t="s">
        <v>1216</v>
      </c>
      <c r="AE86" s="68" t="s">
        <v>1216</v>
      </c>
      <c r="AF86" s="68" t="s">
        <v>1216</v>
      </c>
      <c r="AG86" s="68" t="s">
        <v>1216</v>
      </c>
      <c r="AH86" s="68" t="s">
        <v>1216</v>
      </c>
      <c r="AI86" s="68" t="s">
        <v>1216</v>
      </c>
      <c r="AJ86" s="68" t="s">
        <v>1216</v>
      </c>
      <c r="AK86" s="68" t="s">
        <v>1216</v>
      </c>
      <c r="AL86" s="68"/>
      <c r="AM86" s="68" t="s">
        <v>1216</v>
      </c>
      <c r="AN86" s="68" t="str">
        <f t="shared" si="12"/>
        <v>Belum Dinilai</v>
      </c>
      <c r="AO86" s="68" t="str">
        <f t="shared" si="18"/>
        <v>Belum Dinilai</v>
      </c>
      <c r="AP86" s="68"/>
      <c r="AQ86" s="71">
        <f t="shared" si="19"/>
        <v>57</v>
      </c>
      <c r="AR86" s="71" t="str">
        <f t="shared" si="21"/>
        <v/>
      </c>
      <c r="AS86" s="71" t="str">
        <f t="shared" si="22"/>
        <v/>
      </c>
      <c r="AT86" s="69" t="str">
        <f t="shared" si="20"/>
        <v>Belum Dapat Ditentukan</v>
      </c>
      <c r="AU86" s="66" t="s">
        <v>1190</v>
      </c>
      <c r="AV86" s="66" t="s">
        <v>1205</v>
      </c>
      <c r="AW86" s="66" t="s">
        <v>1909</v>
      </c>
      <c r="AX86" s="66" t="s">
        <v>1218</v>
      </c>
      <c r="AY86" s="66">
        <v>2023</v>
      </c>
      <c r="AZ86" s="66" t="s">
        <v>927</v>
      </c>
      <c r="BA86" s="66"/>
      <c r="BB86" s="72"/>
      <c r="BC86" s="73">
        <v>2026</v>
      </c>
      <c r="BD86" s="66"/>
      <c r="BE86" s="72"/>
      <c r="BF86" s="66" t="s">
        <v>1279</v>
      </c>
    </row>
    <row r="87" spans="1:58" ht="28">
      <c r="A87" s="66" t="s">
        <v>1965</v>
      </c>
      <c r="B87" s="66" t="s">
        <v>1626</v>
      </c>
      <c r="C87" s="66"/>
      <c r="D87" s="66"/>
      <c r="E87" s="66" t="s">
        <v>1627</v>
      </c>
      <c r="F87" s="66" t="s">
        <v>1481</v>
      </c>
      <c r="G87" s="66" t="s">
        <v>1314</v>
      </c>
      <c r="H87" s="66" t="s">
        <v>1182</v>
      </c>
      <c r="I87" s="66" t="s">
        <v>1628</v>
      </c>
      <c r="J87" s="66" t="s">
        <v>1211</v>
      </c>
      <c r="K87" s="66" t="s">
        <v>1278</v>
      </c>
      <c r="L87" s="66" t="s">
        <v>1216</v>
      </c>
      <c r="M87" s="66" t="s">
        <v>1267</v>
      </c>
      <c r="N87" s="66" t="s">
        <v>895</v>
      </c>
      <c r="O87" s="66" t="s">
        <v>1214</v>
      </c>
      <c r="P87" s="66" t="s">
        <v>895</v>
      </c>
      <c r="Q87" s="87" t="s">
        <v>1216</v>
      </c>
      <c r="R87" s="87" t="s">
        <v>1216</v>
      </c>
      <c r="S87" s="87" t="s">
        <v>1216</v>
      </c>
      <c r="T87" s="87" t="s">
        <v>1216</v>
      </c>
      <c r="U87" s="87" t="s">
        <v>1216</v>
      </c>
      <c r="V87" s="87" t="s">
        <v>1216</v>
      </c>
      <c r="W87" s="67"/>
      <c r="X87" s="85" t="str">
        <f t="shared" si="13"/>
        <v>Belum Dinilai</v>
      </c>
      <c r="Y87" s="85" t="str">
        <f t="shared" si="14"/>
        <v>Belum Dinilai</v>
      </c>
      <c r="Z87" s="86" t="str">
        <f t="shared" si="15"/>
        <v/>
      </c>
      <c r="AA87" s="86" t="str">
        <f t="shared" si="16"/>
        <v/>
      </c>
      <c r="AB87" s="86" t="str">
        <f t="shared" si="17"/>
        <v/>
      </c>
      <c r="AC87" s="68" t="s">
        <v>1216</v>
      </c>
      <c r="AD87" s="68" t="s">
        <v>1216</v>
      </c>
      <c r="AE87" s="68" t="s">
        <v>1216</v>
      </c>
      <c r="AF87" s="68" t="s">
        <v>1216</v>
      </c>
      <c r="AG87" s="68" t="s">
        <v>1216</v>
      </c>
      <c r="AH87" s="68" t="s">
        <v>1216</v>
      </c>
      <c r="AI87" s="68" t="s">
        <v>1216</v>
      </c>
      <c r="AJ87" s="68" t="s">
        <v>1216</v>
      </c>
      <c r="AK87" s="68" t="s">
        <v>1216</v>
      </c>
      <c r="AL87" s="68"/>
      <c r="AM87" s="68" t="s">
        <v>1216</v>
      </c>
      <c r="AN87" s="68" t="str">
        <f t="shared" si="12"/>
        <v>Belum Dinilai</v>
      </c>
      <c r="AO87" s="68" t="str">
        <f t="shared" si="18"/>
        <v>Belum Dinilai</v>
      </c>
      <c r="AP87" s="68"/>
      <c r="AQ87" s="71" t="str">
        <f t="shared" si="19"/>
        <v/>
      </c>
      <c r="AR87" s="71" t="str">
        <f t="shared" si="21"/>
        <v/>
      </c>
      <c r="AS87" s="71" t="str">
        <f t="shared" si="22"/>
        <v/>
      </c>
      <c r="AT87" s="69" t="str">
        <f t="shared" si="20"/>
        <v>Belum Dapat Ditentukan</v>
      </c>
      <c r="AU87" s="66" t="s">
        <v>1190</v>
      </c>
      <c r="AV87" s="66" t="s">
        <v>1205</v>
      </c>
      <c r="AW87" s="66" t="s">
        <v>1191</v>
      </c>
      <c r="AX87" s="66"/>
      <c r="AY87" s="66"/>
      <c r="AZ87" s="66" t="s">
        <v>927</v>
      </c>
      <c r="BA87" s="66"/>
      <c r="BB87" s="72"/>
      <c r="BC87" s="73">
        <v>2026</v>
      </c>
      <c r="BD87" s="66"/>
      <c r="BE87" s="72"/>
      <c r="BF87" s="66" t="s">
        <v>1279</v>
      </c>
    </row>
    <row r="88" spans="1:58" ht="28">
      <c r="A88" s="66" t="s">
        <v>1542</v>
      </c>
      <c r="B88" s="66" t="s">
        <v>1630</v>
      </c>
      <c r="C88" s="66"/>
      <c r="D88" s="66"/>
      <c r="E88" s="66" t="s">
        <v>1631</v>
      </c>
      <c r="F88" s="66" t="s">
        <v>1632</v>
      </c>
      <c r="G88" s="66" t="s">
        <v>1314</v>
      </c>
      <c r="H88" s="66" t="s">
        <v>1182</v>
      </c>
      <c r="I88" s="66" t="s">
        <v>1628</v>
      </c>
      <c r="J88" s="66" t="s">
        <v>1211</v>
      </c>
      <c r="K88" s="66" t="s">
        <v>1278</v>
      </c>
      <c r="L88" s="66" t="s">
        <v>1216</v>
      </c>
      <c r="M88" s="66" t="s">
        <v>1267</v>
      </c>
      <c r="N88" s="66" t="s">
        <v>895</v>
      </c>
      <c r="O88" s="66" t="s">
        <v>1214</v>
      </c>
      <c r="P88" s="66" t="s">
        <v>895</v>
      </c>
      <c r="Q88" s="87" t="s">
        <v>1216</v>
      </c>
      <c r="R88" s="87" t="s">
        <v>1216</v>
      </c>
      <c r="S88" s="87" t="s">
        <v>1216</v>
      </c>
      <c r="T88" s="87" t="s">
        <v>1216</v>
      </c>
      <c r="U88" s="87" t="s">
        <v>1216</v>
      </c>
      <c r="V88" s="87" t="s">
        <v>1216</v>
      </c>
      <c r="W88" s="67"/>
      <c r="X88" s="85" t="str">
        <f t="shared" si="13"/>
        <v>Belum Dinilai</v>
      </c>
      <c r="Y88" s="85" t="str">
        <f t="shared" si="14"/>
        <v>Belum Dinilai</v>
      </c>
      <c r="Z88" s="86" t="str">
        <f t="shared" si="15"/>
        <v/>
      </c>
      <c r="AA88" s="86" t="str">
        <f t="shared" si="16"/>
        <v/>
      </c>
      <c r="AB88" s="86" t="str">
        <f t="shared" si="17"/>
        <v/>
      </c>
      <c r="AC88" s="68" t="s">
        <v>1216</v>
      </c>
      <c r="AD88" s="68" t="s">
        <v>1216</v>
      </c>
      <c r="AE88" s="68" t="s">
        <v>1216</v>
      </c>
      <c r="AF88" s="68" t="s">
        <v>1216</v>
      </c>
      <c r="AG88" s="68" t="s">
        <v>1216</v>
      </c>
      <c r="AH88" s="68" t="s">
        <v>1216</v>
      </c>
      <c r="AI88" s="68" t="s">
        <v>1216</v>
      </c>
      <c r="AJ88" s="68" t="s">
        <v>1216</v>
      </c>
      <c r="AK88" s="68" t="s">
        <v>1216</v>
      </c>
      <c r="AL88" s="68"/>
      <c r="AM88" s="68" t="s">
        <v>1216</v>
      </c>
      <c r="AN88" s="68" t="str">
        <f t="shared" si="12"/>
        <v>Belum Dinilai</v>
      </c>
      <c r="AO88" s="68" t="str">
        <f t="shared" si="18"/>
        <v>Belum Dinilai</v>
      </c>
      <c r="AP88" s="68"/>
      <c r="AQ88" s="71" t="str">
        <f t="shared" si="19"/>
        <v/>
      </c>
      <c r="AR88" s="71" t="str">
        <f t="shared" si="21"/>
        <v/>
      </c>
      <c r="AS88" s="71" t="str">
        <f t="shared" si="22"/>
        <v/>
      </c>
      <c r="AT88" s="69" t="str">
        <f t="shared" si="20"/>
        <v>Belum Dapat Ditentukan</v>
      </c>
      <c r="AU88" s="66" t="s">
        <v>1190</v>
      </c>
      <c r="AV88" s="66" t="s">
        <v>1205</v>
      </c>
      <c r="AW88" s="66" t="s">
        <v>1909</v>
      </c>
      <c r="AX88" s="66" t="s">
        <v>1207</v>
      </c>
      <c r="AY88" s="66">
        <v>2021</v>
      </c>
      <c r="AZ88" s="66" t="s">
        <v>927</v>
      </c>
      <c r="BA88" s="66"/>
      <c r="BB88" s="72"/>
      <c r="BC88" s="73">
        <v>2026</v>
      </c>
      <c r="BD88" s="66"/>
      <c r="BE88" s="72"/>
      <c r="BF88" s="66" t="s">
        <v>1279</v>
      </c>
    </row>
    <row r="89" spans="1:58" ht="28">
      <c r="A89" s="66" t="s">
        <v>1547</v>
      </c>
      <c r="B89" s="66" t="s">
        <v>1634</v>
      </c>
      <c r="C89" s="66"/>
      <c r="D89" s="66"/>
      <c r="E89" s="66" t="s">
        <v>1635</v>
      </c>
      <c r="F89" s="66" t="s">
        <v>1632</v>
      </c>
      <c r="G89" s="66" t="s">
        <v>1314</v>
      </c>
      <c r="H89" s="66" t="s">
        <v>1182</v>
      </c>
      <c r="I89" s="66" t="s">
        <v>1628</v>
      </c>
      <c r="J89" s="66" t="s">
        <v>1211</v>
      </c>
      <c r="K89" s="66" t="s">
        <v>1278</v>
      </c>
      <c r="L89" s="66" t="s">
        <v>1216</v>
      </c>
      <c r="M89" s="66" t="s">
        <v>1267</v>
      </c>
      <c r="N89" s="66" t="s">
        <v>895</v>
      </c>
      <c r="O89" s="66" t="s">
        <v>1214</v>
      </c>
      <c r="P89" s="66" t="s">
        <v>895</v>
      </c>
      <c r="Q89" s="87" t="s">
        <v>1216</v>
      </c>
      <c r="R89" s="87" t="s">
        <v>1216</v>
      </c>
      <c r="S89" s="87" t="s">
        <v>1216</v>
      </c>
      <c r="T89" s="87" t="s">
        <v>1216</v>
      </c>
      <c r="U89" s="87" t="s">
        <v>1216</v>
      </c>
      <c r="V89" s="87" t="s">
        <v>1216</v>
      </c>
      <c r="W89" s="67"/>
      <c r="X89" s="85" t="str">
        <f t="shared" si="13"/>
        <v>Belum Dinilai</v>
      </c>
      <c r="Y89" s="85" t="str">
        <f t="shared" si="14"/>
        <v>Belum Dinilai</v>
      </c>
      <c r="Z89" s="86" t="str">
        <f t="shared" si="15"/>
        <v/>
      </c>
      <c r="AA89" s="86" t="str">
        <f t="shared" si="16"/>
        <v/>
      </c>
      <c r="AB89" s="86" t="str">
        <f t="shared" si="17"/>
        <v/>
      </c>
      <c r="AC89" s="68" t="s">
        <v>1216</v>
      </c>
      <c r="AD89" s="68" t="s">
        <v>1216</v>
      </c>
      <c r="AE89" s="68" t="s">
        <v>1216</v>
      </c>
      <c r="AF89" s="68" t="s">
        <v>1216</v>
      </c>
      <c r="AG89" s="68" t="s">
        <v>1216</v>
      </c>
      <c r="AH89" s="68" t="s">
        <v>1216</v>
      </c>
      <c r="AI89" s="68" t="s">
        <v>1216</v>
      </c>
      <c r="AJ89" s="68" t="s">
        <v>1216</v>
      </c>
      <c r="AK89" s="68" t="s">
        <v>1216</v>
      </c>
      <c r="AL89" s="68"/>
      <c r="AM89" s="68" t="s">
        <v>1216</v>
      </c>
      <c r="AN89" s="68" t="str">
        <f t="shared" si="12"/>
        <v>Belum Dinilai</v>
      </c>
      <c r="AO89" s="68" t="str">
        <f t="shared" si="18"/>
        <v>Belum Dinilai</v>
      </c>
      <c r="AP89" s="68"/>
      <c r="AQ89" s="71" t="str">
        <f t="shared" si="19"/>
        <v/>
      </c>
      <c r="AR89" s="71" t="str">
        <f t="shared" si="21"/>
        <v/>
      </c>
      <c r="AS89" s="71" t="str">
        <f t="shared" si="22"/>
        <v/>
      </c>
      <c r="AT89" s="69" t="str">
        <f t="shared" si="20"/>
        <v>Belum Dapat Ditentukan</v>
      </c>
      <c r="AU89" s="66" t="s">
        <v>1190</v>
      </c>
      <c r="AV89" s="66" t="s">
        <v>1205</v>
      </c>
      <c r="AW89" s="66" t="s">
        <v>1909</v>
      </c>
      <c r="AX89" s="66" t="s">
        <v>1207</v>
      </c>
      <c r="AY89" s="66">
        <v>2022</v>
      </c>
      <c r="AZ89" s="66" t="s">
        <v>927</v>
      </c>
      <c r="BA89" s="66"/>
      <c r="BB89" s="72"/>
      <c r="BC89" s="73">
        <v>2026</v>
      </c>
      <c r="BD89" s="66"/>
      <c r="BE89" s="72"/>
      <c r="BF89" s="66" t="s">
        <v>1279</v>
      </c>
    </row>
    <row r="90" spans="1:58" ht="28">
      <c r="A90" s="66" t="s">
        <v>1551</v>
      </c>
      <c r="B90" s="66" t="s">
        <v>1637</v>
      </c>
      <c r="C90" s="66"/>
      <c r="D90" s="66"/>
      <c r="E90" s="66" t="s">
        <v>1638</v>
      </c>
      <c r="F90" s="66" t="s">
        <v>1632</v>
      </c>
      <c r="G90" s="66" t="s">
        <v>1314</v>
      </c>
      <c r="H90" s="66" t="s">
        <v>1182</v>
      </c>
      <c r="I90" s="66" t="s">
        <v>1639</v>
      </c>
      <c r="J90" s="66" t="s">
        <v>1211</v>
      </c>
      <c r="K90" s="66" t="s">
        <v>1278</v>
      </c>
      <c r="L90" s="66" t="s">
        <v>1216</v>
      </c>
      <c r="M90" s="66" t="s">
        <v>1267</v>
      </c>
      <c r="N90" s="66" t="s">
        <v>1216</v>
      </c>
      <c r="O90" s="66" t="s">
        <v>1282</v>
      </c>
      <c r="P90" s="66" t="s">
        <v>1283</v>
      </c>
      <c r="Q90" s="87" t="s">
        <v>1216</v>
      </c>
      <c r="R90" s="87" t="s">
        <v>1216</v>
      </c>
      <c r="S90" s="87" t="s">
        <v>1216</v>
      </c>
      <c r="T90" s="87" t="s">
        <v>1216</v>
      </c>
      <c r="U90" s="87" t="s">
        <v>1216</v>
      </c>
      <c r="V90" s="87" t="s">
        <v>1216</v>
      </c>
      <c r="W90" s="67"/>
      <c r="X90" s="85" t="str">
        <f t="shared" si="13"/>
        <v>Belum Dinilai</v>
      </c>
      <c r="Y90" s="85" t="str">
        <f t="shared" si="14"/>
        <v>Belum Dinilai</v>
      </c>
      <c r="Z90" s="86" t="str">
        <f t="shared" si="15"/>
        <v/>
      </c>
      <c r="AA90" s="86" t="str">
        <f t="shared" si="16"/>
        <v/>
      </c>
      <c r="AB90" s="86" t="str">
        <f t="shared" si="17"/>
        <v/>
      </c>
      <c r="AC90" s="68" t="s">
        <v>1216</v>
      </c>
      <c r="AD90" s="68" t="s">
        <v>1216</v>
      </c>
      <c r="AE90" s="68" t="s">
        <v>1216</v>
      </c>
      <c r="AF90" s="68" t="s">
        <v>1216</v>
      </c>
      <c r="AG90" s="68" t="s">
        <v>1216</v>
      </c>
      <c r="AH90" s="68" t="s">
        <v>1216</v>
      </c>
      <c r="AI90" s="68" t="s">
        <v>1216</v>
      </c>
      <c r="AJ90" s="68" t="s">
        <v>1216</v>
      </c>
      <c r="AK90" s="68" t="s">
        <v>1216</v>
      </c>
      <c r="AL90" s="68"/>
      <c r="AM90" s="68" t="s">
        <v>1216</v>
      </c>
      <c r="AN90" s="68" t="str">
        <f t="shared" si="12"/>
        <v>Belum Dinilai</v>
      </c>
      <c r="AO90" s="68" t="str">
        <f t="shared" si="18"/>
        <v>Belum Dinilai</v>
      </c>
      <c r="AP90" s="68"/>
      <c r="AQ90" s="71" t="str">
        <f t="shared" si="19"/>
        <v/>
      </c>
      <c r="AR90" s="71" t="str">
        <f t="shared" si="21"/>
        <v/>
      </c>
      <c r="AS90" s="71" t="str">
        <f t="shared" si="22"/>
        <v/>
      </c>
      <c r="AT90" s="69" t="str">
        <f t="shared" si="20"/>
        <v>Belum Dapat Ditentukan</v>
      </c>
      <c r="AU90" s="66" t="s">
        <v>1190</v>
      </c>
      <c r="AV90" s="66" t="s">
        <v>1205</v>
      </c>
      <c r="AW90" s="66" t="s">
        <v>1909</v>
      </c>
      <c r="AX90" s="66" t="s">
        <v>1207</v>
      </c>
      <c r="AY90" s="66">
        <v>2022</v>
      </c>
      <c r="AZ90" s="66" t="s">
        <v>927</v>
      </c>
      <c r="BA90" s="66"/>
      <c r="BB90" s="72"/>
      <c r="BC90" s="73">
        <v>2026</v>
      </c>
      <c r="BD90" s="66"/>
      <c r="BE90" s="72"/>
      <c r="BF90" s="66" t="s">
        <v>1279</v>
      </c>
    </row>
    <row r="91" spans="1:58" ht="28">
      <c r="A91" s="66" t="s">
        <v>1966</v>
      </c>
      <c r="B91" s="66" t="s">
        <v>1641</v>
      </c>
      <c r="C91" s="66"/>
      <c r="D91" s="66"/>
      <c r="E91" s="66" t="s">
        <v>1642</v>
      </c>
      <c r="F91" s="66" t="s">
        <v>1632</v>
      </c>
      <c r="G91" s="66" t="s">
        <v>1314</v>
      </c>
      <c r="H91" s="66" t="s">
        <v>1182</v>
      </c>
      <c r="I91" s="66" t="s">
        <v>1291</v>
      </c>
      <c r="J91" s="66" t="s">
        <v>1211</v>
      </c>
      <c r="K91" s="66" t="s">
        <v>1278</v>
      </c>
      <c r="L91" s="66" t="s">
        <v>1216</v>
      </c>
      <c r="M91" s="66" t="s">
        <v>1267</v>
      </c>
      <c r="N91" s="66" t="s">
        <v>1216</v>
      </c>
      <c r="O91" s="66" t="s">
        <v>1278</v>
      </c>
      <c r="P91" s="66" t="s">
        <v>1216</v>
      </c>
      <c r="Q91" s="87" t="s">
        <v>1216</v>
      </c>
      <c r="R91" s="87" t="s">
        <v>1216</v>
      </c>
      <c r="S91" s="87" t="s">
        <v>1216</v>
      </c>
      <c r="T91" s="87" t="s">
        <v>1216</v>
      </c>
      <c r="U91" s="87" t="s">
        <v>1216</v>
      </c>
      <c r="V91" s="87" t="s">
        <v>1216</v>
      </c>
      <c r="W91" s="67"/>
      <c r="X91" s="85" t="str">
        <f t="shared" si="13"/>
        <v>Belum Dinilai</v>
      </c>
      <c r="Y91" s="85" t="str">
        <f t="shared" si="14"/>
        <v>Belum Dinilai</v>
      </c>
      <c r="Z91" s="86" t="str">
        <f t="shared" si="15"/>
        <v/>
      </c>
      <c r="AA91" s="86" t="str">
        <f t="shared" si="16"/>
        <v/>
      </c>
      <c r="AB91" s="86" t="str">
        <f t="shared" si="17"/>
        <v/>
      </c>
      <c r="AC91" s="68" t="s">
        <v>1216</v>
      </c>
      <c r="AD91" s="68" t="s">
        <v>1216</v>
      </c>
      <c r="AE91" s="68" t="s">
        <v>1216</v>
      </c>
      <c r="AF91" s="68" t="s">
        <v>1216</v>
      </c>
      <c r="AG91" s="68" t="s">
        <v>1216</v>
      </c>
      <c r="AH91" s="68" t="s">
        <v>1216</v>
      </c>
      <c r="AI91" s="68" t="s">
        <v>1216</v>
      </c>
      <c r="AJ91" s="68" t="s">
        <v>1216</v>
      </c>
      <c r="AK91" s="68" t="s">
        <v>1216</v>
      </c>
      <c r="AL91" s="68"/>
      <c r="AM91" s="68" t="s">
        <v>1216</v>
      </c>
      <c r="AN91" s="68" t="str">
        <f t="shared" si="12"/>
        <v>Belum Dinilai</v>
      </c>
      <c r="AO91" s="68" t="str">
        <f t="shared" si="18"/>
        <v>Belum Dinilai</v>
      </c>
      <c r="AP91" s="68"/>
      <c r="AQ91" s="71" t="str">
        <f t="shared" si="19"/>
        <v/>
      </c>
      <c r="AR91" s="71" t="str">
        <f t="shared" si="21"/>
        <v/>
      </c>
      <c r="AS91" s="71" t="str">
        <f t="shared" si="22"/>
        <v/>
      </c>
      <c r="AT91" s="69" t="str">
        <f t="shared" si="20"/>
        <v>Belum Dapat Ditentukan</v>
      </c>
      <c r="AU91" s="66" t="s">
        <v>1190</v>
      </c>
      <c r="AV91" s="66" t="s">
        <v>1205</v>
      </c>
      <c r="AW91" s="66" t="s">
        <v>1191</v>
      </c>
      <c r="AX91" s="66"/>
      <c r="AY91" s="66"/>
      <c r="AZ91" s="66" t="s">
        <v>927</v>
      </c>
      <c r="BA91" s="66"/>
      <c r="BB91" s="72"/>
      <c r="BC91" s="73">
        <v>2026</v>
      </c>
      <c r="BD91" s="66"/>
      <c r="BE91" s="72"/>
      <c r="BF91" s="66" t="s">
        <v>1279</v>
      </c>
    </row>
    <row r="92" spans="1:58" ht="28">
      <c r="A92" s="66" t="s">
        <v>1967</v>
      </c>
      <c r="B92" s="66" t="s">
        <v>1477</v>
      </c>
      <c r="C92" s="66"/>
      <c r="D92" s="66"/>
      <c r="E92" s="66" t="s">
        <v>1644</v>
      </c>
      <c r="F92" s="66" t="s">
        <v>1431</v>
      </c>
      <c r="G92" s="66" t="s">
        <v>1314</v>
      </c>
      <c r="H92" s="66" t="s">
        <v>1196</v>
      </c>
      <c r="I92" s="66" t="s">
        <v>1645</v>
      </c>
      <c r="J92" s="66" t="s">
        <v>1183</v>
      </c>
      <c r="K92" s="66" t="s">
        <v>1278</v>
      </c>
      <c r="L92" s="66" t="s">
        <v>1216</v>
      </c>
      <c r="M92" s="66" t="s">
        <v>1213</v>
      </c>
      <c r="N92" s="66" t="s">
        <v>1216</v>
      </c>
      <c r="O92" s="66" t="s">
        <v>1278</v>
      </c>
      <c r="P92" s="66" t="s">
        <v>1216</v>
      </c>
      <c r="Q92" s="87" t="s">
        <v>1216</v>
      </c>
      <c r="R92" s="87" t="s">
        <v>1216</v>
      </c>
      <c r="S92" s="87" t="s">
        <v>1216</v>
      </c>
      <c r="T92" s="87" t="s">
        <v>1216</v>
      </c>
      <c r="U92" s="87" t="s">
        <v>1216</v>
      </c>
      <c r="V92" s="87" t="s">
        <v>1216</v>
      </c>
      <c r="W92" s="67"/>
      <c r="X92" s="85" t="str">
        <f t="shared" si="13"/>
        <v>Belum Dinilai</v>
      </c>
      <c r="Y92" s="85" t="str">
        <f t="shared" si="14"/>
        <v>Belum Dinilai</v>
      </c>
      <c r="Z92" s="86" t="str">
        <f t="shared" si="15"/>
        <v/>
      </c>
      <c r="AA92" s="86" t="str">
        <f t="shared" si="16"/>
        <v/>
      </c>
      <c r="AB92" s="86" t="str">
        <f t="shared" si="17"/>
        <v/>
      </c>
      <c r="AC92" s="68" t="s">
        <v>1216</v>
      </c>
      <c r="AD92" s="68" t="s">
        <v>1216</v>
      </c>
      <c r="AE92" s="68" t="s">
        <v>1216</v>
      </c>
      <c r="AF92" s="68" t="s">
        <v>1216</v>
      </c>
      <c r="AG92" s="68" t="s">
        <v>1216</v>
      </c>
      <c r="AH92" s="68" t="s">
        <v>1216</v>
      </c>
      <c r="AI92" s="68" t="s">
        <v>1216</v>
      </c>
      <c r="AJ92" s="68" t="s">
        <v>1216</v>
      </c>
      <c r="AK92" s="68" t="s">
        <v>1216</v>
      </c>
      <c r="AL92" s="68"/>
      <c r="AM92" s="68" t="s">
        <v>1216</v>
      </c>
      <c r="AN92" s="68" t="str">
        <f t="shared" si="12"/>
        <v>Belum Dinilai</v>
      </c>
      <c r="AO92" s="68" t="str">
        <f t="shared" si="18"/>
        <v>Belum Dinilai</v>
      </c>
      <c r="AP92" s="68"/>
      <c r="AQ92" s="71" t="str">
        <f t="shared" si="19"/>
        <v/>
      </c>
      <c r="AR92" s="71" t="str">
        <f t="shared" si="21"/>
        <v/>
      </c>
      <c r="AS92" s="71" t="str">
        <f t="shared" si="22"/>
        <v/>
      </c>
      <c r="AT92" s="69" t="str">
        <f t="shared" si="20"/>
        <v>Belum Dapat Ditentukan</v>
      </c>
      <c r="AU92" s="66" t="s">
        <v>1190</v>
      </c>
      <c r="AV92" s="66" t="s">
        <v>1205</v>
      </c>
      <c r="AW92" s="66" t="s">
        <v>1191</v>
      </c>
      <c r="AX92" s="66"/>
      <c r="AY92" s="66"/>
      <c r="AZ92" s="66" t="s">
        <v>927</v>
      </c>
      <c r="BA92" s="66"/>
      <c r="BB92" s="72"/>
      <c r="BC92" s="73">
        <v>2026</v>
      </c>
      <c r="BD92" s="66"/>
      <c r="BE92" s="72"/>
      <c r="BF92" s="66" t="s">
        <v>1279</v>
      </c>
    </row>
    <row r="93" spans="1:58" ht="42">
      <c r="A93" s="66" t="s">
        <v>1553</v>
      </c>
      <c r="B93" s="66" t="s">
        <v>1647</v>
      </c>
      <c r="C93" s="66"/>
      <c r="D93" s="66"/>
      <c r="E93" s="66" t="s">
        <v>1648</v>
      </c>
      <c r="F93" s="66" t="s">
        <v>1649</v>
      </c>
      <c r="G93" s="66" t="s">
        <v>1276</v>
      </c>
      <c r="H93" s="66" t="s">
        <v>1263</v>
      </c>
      <c r="I93" s="66" t="s">
        <v>1650</v>
      </c>
      <c r="J93" s="66" t="s">
        <v>1264</v>
      </c>
      <c r="K93" s="66" t="s">
        <v>1278</v>
      </c>
      <c r="L93" s="66" t="s">
        <v>1216</v>
      </c>
      <c r="M93" s="66" t="s">
        <v>1278</v>
      </c>
      <c r="N93" s="66" t="s">
        <v>1216</v>
      </c>
      <c r="O93" s="66" t="s">
        <v>1278</v>
      </c>
      <c r="P93" s="66" t="s">
        <v>1216</v>
      </c>
      <c r="Q93" s="87" t="s">
        <v>1216</v>
      </c>
      <c r="R93" s="87" t="s">
        <v>1216</v>
      </c>
      <c r="S93" s="87" t="s">
        <v>1216</v>
      </c>
      <c r="T93" s="87" t="s">
        <v>1216</v>
      </c>
      <c r="U93" s="87" t="s">
        <v>1216</v>
      </c>
      <c r="V93" s="87" t="s">
        <v>1216</v>
      </c>
      <c r="W93" s="67"/>
      <c r="X93" s="85" t="str">
        <f t="shared" si="13"/>
        <v>Belum Dinilai</v>
      </c>
      <c r="Y93" s="85" t="str">
        <f t="shared" si="14"/>
        <v>Belum Dinilai</v>
      </c>
      <c r="Z93" s="86" t="str">
        <f t="shared" si="15"/>
        <v/>
      </c>
      <c r="AA93" s="86" t="str">
        <f t="shared" si="16"/>
        <v/>
      </c>
      <c r="AB93" s="86" t="str">
        <f t="shared" si="17"/>
        <v/>
      </c>
      <c r="AC93" s="68" t="s">
        <v>1216</v>
      </c>
      <c r="AD93" s="68" t="s">
        <v>1216</v>
      </c>
      <c r="AE93" s="68" t="s">
        <v>1216</v>
      </c>
      <c r="AF93" s="68" t="s">
        <v>1216</v>
      </c>
      <c r="AG93" s="68" t="s">
        <v>1216</v>
      </c>
      <c r="AH93" s="68" t="s">
        <v>1216</v>
      </c>
      <c r="AI93" s="68" t="s">
        <v>1216</v>
      </c>
      <c r="AJ93" s="68" t="s">
        <v>1216</v>
      </c>
      <c r="AK93" s="68" t="s">
        <v>1216</v>
      </c>
      <c r="AL93" s="68"/>
      <c r="AM93" s="68" t="s">
        <v>1216</v>
      </c>
      <c r="AN93" s="68" t="str">
        <f t="shared" si="12"/>
        <v>Belum Dinilai</v>
      </c>
      <c r="AO93" s="68" t="str">
        <f t="shared" si="18"/>
        <v>Belum Dinilai</v>
      </c>
      <c r="AP93" s="68"/>
      <c r="AQ93" s="71" t="str">
        <f t="shared" si="19"/>
        <v/>
      </c>
      <c r="AR93" s="71" t="str">
        <f t="shared" si="21"/>
        <v/>
      </c>
      <c r="AS93" s="71" t="str">
        <f t="shared" si="22"/>
        <v/>
      </c>
      <c r="AT93" s="69" t="str">
        <f t="shared" si="20"/>
        <v>Belum Dapat Ditentukan</v>
      </c>
      <c r="AU93" s="66" t="s">
        <v>1190</v>
      </c>
      <c r="AV93" s="66" t="s">
        <v>1205</v>
      </c>
      <c r="AW93" s="66" t="s">
        <v>1191</v>
      </c>
      <c r="AX93" s="66"/>
      <c r="AY93" s="66"/>
      <c r="AZ93" s="66" t="s">
        <v>1219</v>
      </c>
      <c r="BA93" s="66"/>
      <c r="BB93" s="72"/>
      <c r="BC93" s="73">
        <v>2026</v>
      </c>
      <c r="BD93" s="66"/>
      <c r="BE93" s="72"/>
      <c r="BF93" s="66" t="s">
        <v>1279</v>
      </c>
    </row>
    <row r="94" spans="1:58" ht="42">
      <c r="A94" s="66" t="s">
        <v>1557</v>
      </c>
      <c r="B94" s="66" t="s">
        <v>1652</v>
      </c>
      <c r="C94" s="66"/>
      <c r="D94" s="66"/>
      <c r="E94" s="66" t="s">
        <v>1648</v>
      </c>
      <c r="F94" s="66" t="s">
        <v>1649</v>
      </c>
      <c r="G94" s="66" t="s">
        <v>1276</v>
      </c>
      <c r="H94" s="66" t="s">
        <v>1263</v>
      </c>
      <c r="I94" s="66" t="s">
        <v>1653</v>
      </c>
      <c r="J94" s="66" t="s">
        <v>1264</v>
      </c>
      <c r="K94" s="66" t="s">
        <v>1278</v>
      </c>
      <c r="L94" s="66" t="s">
        <v>1216</v>
      </c>
      <c r="M94" s="66" t="s">
        <v>1278</v>
      </c>
      <c r="N94" s="66" t="s">
        <v>1216</v>
      </c>
      <c r="O94" s="66" t="s">
        <v>1278</v>
      </c>
      <c r="P94" s="66" t="s">
        <v>1216</v>
      </c>
      <c r="Q94" s="87" t="s">
        <v>1216</v>
      </c>
      <c r="R94" s="87" t="s">
        <v>1216</v>
      </c>
      <c r="S94" s="87" t="s">
        <v>1216</v>
      </c>
      <c r="T94" s="87" t="s">
        <v>1216</v>
      </c>
      <c r="U94" s="87" t="s">
        <v>1216</v>
      </c>
      <c r="V94" s="87" t="s">
        <v>1216</v>
      </c>
      <c r="W94" s="67"/>
      <c r="X94" s="85" t="str">
        <f t="shared" si="13"/>
        <v>Belum Dinilai</v>
      </c>
      <c r="Y94" s="85" t="str">
        <f t="shared" si="14"/>
        <v>Belum Dinilai</v>
      </c>
      <c r="Z94" s="86" t="str">
        <f t="shared" si="15"/>
        <v/>
      </c>
      <c r="AA94" s="86" t="str">
        <f t="shared" si="16"/>
        <v/>
      </c>
      <c r="AB94" s="86" t="str">
        <f t="shared" si="17"/>
        <v/>
      </c>
      <c r="AC94" s="68" t="s">
        <v>1216</v>
      </c>
      <c r="AD94" s="68" t="s">
        <v>1216</v>
      </c>
      <c r="AE94" s="68" t="s">
        <v>1216</v>
      </c>
      <c r="AF94" s="68" t="s">
        <v>1216</v>
      </c>
      <c r="AG94" s="68" t="s">
        <v>1216</v>
      </c>
      <c r="AH94" s="68" t="s">
        <v>1216</v>
      </c>
      <c r="AI94" s="68" t="s">
        <v>1216</v>
      </c>
      <c r="AJ94" s="68" t="s">
        <v>1216</v>
      </c>
      <c r="AK94" s="68" t="s">
        <v>1216</v>
      </c>
      <c r="AL94" s="68"/>
      <c r="AM94" s="68" t="s">
        <v>1216</v>
      </c>
      <c r="AN94" s="68" t="str">
        <f t="shared" si="12"/>
        <v>Belum Dinilai</v>
      </c>
      <c r="AO94" s="68" t="str">
        <f t="shared" si="18"/>
        <v>Belum Dinilai</v>
      </c>
      <c r="AP94" s="68"/>
      <c r="AQ94" s="71" t="str">
        <f t="shared" si="19"/>
        <v/>
      </c>
      <c r="AR94" s="71" t="str">
        <f t="shared" si="21"/>
        <v/>
      </c>
      <c r="AS94" s="71" t="str">
        <f t="shared" si="22"/>
        <v/>
      </c>
      <c r="AT94" s="69" t="str">
        <f t="shared" si="20"/>
        <v>Belum Dapat Ditentukan</v>
      </c>
      <c r="AU94" s="66" t="s">
        <v>1190</v>
      </c>
      <c r="AV94" s="66" t="s">
        <v>1205</v>
      </c>
      <c r="AW94" s="66" t="s">
        <v>1191</v>
      </c>
      <c r="AX94" s="66"/>
      <c r="AY94" s="66"/>
      <c r="AZ94" s="66" t="s">
        <v>927</v>
      </c>
      <c r="BA94" s="66"/>
      <c r="BB94" s="72"/>
      <c r="BC94" s="73">
        <v>2026</v>
      </c>
      <c r="BD94" s="66"/>
      <c r="BE94" s="72"/>
      <c r="BF94" s="66" t="s">
        <v>1279</v>
      </c>
    </row>
    <row r="95" spans="1:58" ht="28">
      <c r="A95" s="66" t="s">
        <v>1561</v>
      </c>
      <c r="B95" s="66" t="s">
        <v>1655</v>
      </c>
      <c r="C95" s="66"/>
      <c r="D95" s="66"/>
      <c r="E95" s="66" t="s">
        <v>1308</v>
      </c>
      <c r="F95" s="66" t="s">
        <v>1323</v>
      </c>
      <c r="G95" s="66" t="s">
        <v>1290</v>
      </c>
      <c r="H95" s="66" t="s">
        <v>1263</v>
      </c>
      <c r="I95" s="66" t="s">
        <v>1656</v>
      </c>
      <c r="J95" s="66" t="s">
        <v>1264</v>
      </c>
      <c r="K95" s="66" t="s">
        <v>1278</v>
      </c>
      <c r="L95" s="66" t="s">
        <v>1216</v>
      </c>
      <c r="M95" s="66" t="s">
        <v>1278</v>
      </c>
      <c r="N95" s="66" t="s">
        <v>1216</v>
      </c>
      <c r="O95" s="66" t="s">
        <v>1278</v>
      </c>
      <c r="P95" s="66" t="s">
        <v>1216</v>
      </c>
      <c r="Q95" s="87" t="s">
        <v>1216</v>
      </c>
      <c r="R95" s="87" t="s">
        <v>1216</v>
      </c>
      <c r="S95" s="87" t="s">
        <v>1216</v>
      </c>
      <c r="T95" s="87" t="s">
        <v>1216</v>
      </c>
      <c r="U95" s="87" t="s">
        <v>1216</v>
      </c>
      <c r="V95" s="87" t="s">
        <v>1216</v>
      </c>
      <c r="W95" s="67"/>
      <c r="X95" s="85" t="str">
        <f t="shared" si="13"/>
        <v>Belum Dinilai</v>
      </c>
      <c r="Y95" s="85" t="str">
        <f t="shared" si="14"/>
        <v>Belum Dinilai</v>
      </c>
      <c r="Z95" s="86" t="str">
        <f t="shared" si="15"/>
        <v/>
      </c>
      <c r="AA95" s="86" t="str">
        <f t="shared" si="16"/>
        <v/>
      </c>
      <c r="AB95" s="86" t="str">
        <f t="shared" si="17"/>
        <v/>
      </c>
      <c r="AC95" s="68" t="s">
        <v>1216</v>
      </c>
      <c r="AD95" s="68" t="s">
        <v>1216</v>
      </c>
      <c r="AE95" s="68" t="s">
        <v>1216</v>
      </c>
      <c r="AF95" s="68" t="s">
        <v>1216</v>
      </c>
      <c r="AG95" s="68" t="s">
        <v>1216</v>
      </c>
      <c r="AH95" s="68" t="s">
        <v>1216</v>
      </c>
      <c r="AI95" s="68" t="s">
        <v>1216</v>
      </c>
      <c r="AJ95" s="68" t="s">
        <v>1216</v>
      </c>
      <c r="AK95" s="68" t="s">
        <v>1216</v>
      </c>
      <c r="AL95" s="68"/>
      <c r="AM95" s="68" t="s">
        <v>1216</v>
      </c>
      <c r="AN95" s="68" t="str">
        <f t="shared" si="12"/>
        <v>Belum Dinilai</v>
      </c>
      <c r="AO95" s="68" t="str">
        <f t="shared" si="18"/>
        <v>Belum Dinilai</v>
      </c>
      <c r="AP95" s="68"/>
      <c r="AQ95" s="71" t="str">
        <f t="shared" si="19"/>
        <v/>
      </c>
      <c r="AR95" s="71" t="str">
        <f t="shared" si="21"/>
        <v/>
      </c>
      <c r="AS95" s="71" t="str">
        <f t="shared" si="22"/>
        <v/>
      </c>
      <c r="AT95" s="69" t="str">
        <f t="shared" si="20"/>
        <v>Belum Dapat Ditentukan</v>
      </c>
      <c r="AU95" s="66" t="s">
        <v>1190</v>
      </c>
      <c r="AV95" s="66" t="s">
        <v>1205</v>
      </c>
      <c r="AW95" s="66" t="s">
        <v>1191</v>
      </c>
      <c r="AX95" s="66"/>
      <c r="AY95" s="66"/>
      <c r="AZ95" s="66" t="s">
        <v>927</v>
      </c>
      <c r="BA95" s="66"/>
      <c r="BB95" s="72"/>
      <c r="BC95" s="73">
        <v>2026</v>
      </c>
      <c r="BD95" s="66"/>
      <c r="BE95" s="72"/>
      <c r="BF95" s="66" t="s">
        <v>1279</v>
      </c>
    </row>
    <row r="96" spans="1:58" ht="28">
      <c r="A96" s="66" t="s">
        <v>1566</v>
      </c>
      <c r="B96" s="66" t="s">
        <v>1658</v>
      </c>
      <c r="C96" s="66"/>
      <c r="D96" s="66"/>
      <c r="E96" s="66" t="s">
        <v>1659</v>
      </c>
      <c r="F96" s="66" t="s">
        <v>1481</v>
      </c>
      <c r="G96" s="66" t="s">
        <v>1314</v>
      </c>
      <c r="H96" s="66" t="s">
        <v>1263</v>
      </c>
      <c r="I96" s="66" t="s">
        <v>1660</v>
      </c>
      <c r="J96" s="66" t="s">
        <v>1264</v>
      </c>
      <c r="K96" s="66" t="s">
        <v>1278</v>
      </c>
      <c r="L96" s="66" t="s">
        <v>1216</v>
      </c>
      <c r="M96" s="66" t="s">
        <v>1278</v>
      </c>
      <c r="N96" s="66" t="s">
        <v>1216</v>
      </c>
      <c r="O96" s="66" t="s">
        <v>1278</v>
      </c>
      <c r="P96" s="66" t="s">
        <v>1216</v>
      </c>
      <c r="Q96" s="87" t="s">
        <v>1216</v>
      </c>
      <c r="R96" s="87" t="s">
        <v>1216</v>
      </c>
      <c r="S96" s="87" t="s">
        <v>1216</v>
      </c>
      <c r="T96" s="87" t="s">
        <v>1216</v>
      </c>
      <c r="U96" s="87" t="s">
        <v>1216</v>
      </c>
      <c r="V96" s="87" t="s">
        <v>1216</v>
      </c>
      <c r="W96" s="67"/>
      <c r="X96" s="85" t="str">
        <f t="shared" si="13"/>
        <v>Belum Dinilai</v>
      </c>
      <c r="Y96" s="85" t="str">
        <f t="shared" si="14"/>
        <v>Belum Dinilai</v>
      </c>
      <c r="Z96" s="86" t="str">
        <f t="shared" si="15"/>
        <v/>
      </c>
      <c r="AA96" s="86" t="str">
        <f t="shared" si="16"/>
        <v/>
      </c>
      <c r="AB96" s="86" t="str">
        <f t="shared" si="17"/>
        <v/>
      </c>
      <c r="AC96" s="68" t="s">
        <v>1216</v>
      </c>
      <c r="AD96" s="68" t="s">
        <v>1216</v>
      </c>
      <c r="AE96" s="68" t="s">
        <v>1216</v>
      </c>
      <c r="AF96" s="68" t="s">
        <v>1216</v>
      </c>
      <c r="AG96" s="68" t="s">
        <v>1216</v>
      </c>
      <c r="AH96" s="68" t="s">
        <v>1216</v>
      </c>
      <c r="AI96" s="68" t="s">
        <v>1216</v>
      </c>
      <c r="AJ96" s="68" t="s">
        <v>1216</v>
      </c>
      <c r="AK96" s="68" t="s">
        <v>1216</v>
      </c>
      <c r="AL96" s="68"/>
      <c r="AM96" s="68" t="s">
        <v>1216</v>
      </c>
      <c r="AN96" s="68" t="str">
        <f t="shared" si="12"/>
        <v>Belum Dinilai</v>
      </c>
      <c r="AO96" s="68" t="str">
        <f t="shared" si="18"/>
        <v>Belum Dinilai</v>
      </c>
      <c r="AP96" s="68"/>
      <c r="AQ96" s="71" t="str">
        <f t="shared" si="19"/>
        <v/>
      </c>
      <c r="AR96" s="71" t="str">
        <f t="shared" si="21"/>
        <v/>
      </c>
      <c r="AS96" s="71" t="str">
        <f t="shared" si="22"/>
        <v/>
      </c>
      <c r="AT96" s="69" t="str">
        <f t="shared" si="20"/>
        <v>Belum Dapat Ditentukan</v>
      </c>
      <c r="AU96" s="66" t="s">
        <v>1190</v>
      </c>
      <c r="AV96" s="66" t="s">
        <v>1205</v>
      </c>
      <c r="AW96" s="66" t="s">
        <v>1191</v>
      </c>
      <c r="AX96" s="66"/>
      <c r="AY96" s="66"/>
      <c r="AZ96" s="66" t="s">
        <v>1219</v>
      </c>
      <c r="BA96" s="66"/>
      <c r="BB96" s="72"/>
      <c r="BC96" s="73">
        <v>2026</v>
      </c>
      <c r="BD96" s="66"/>
      <c r="BE96" s="72"/>
      <c r="BF96" s="66" t="s">
        <v>1279</v>
      </c>
    </row>
    <row r="97" spans="1:58" ht="42">
      <c r="A97" s="66" t="s">
        <v>1570</v>
      </c>
      <c r="B97" s="66" t="s">
        <v>1662</v>
      </c>
      <c r="C97" s="66"/>
      <c r="D97" s="66"/>
      <c r="E97" s="66" t="s">
        <v>1308</v>
      </c>
      <c r="F97" s="66" t="s">
        <v>1481</v>
      </c>
      <c r="G97" s="66" t="s">
        <v>1314</v>
      </c>
      <c r="H97" s="66" t="s">
        <v>1263</v>
      </c>
      <c r="I97" s="66" t="s">
        <v>1663</v>
      </c>
      <c r="J97" s="66" t="s">
        <v>1211</v>
      </c>
      <c r="K97" s="66" t="s">
        <v>1278</v>
      </c>
      <c r="L97" s="66" t="s">
        <v>895</v>
      </c>
      <c r="M97" s="66" t="s">
        <v>1267</v>
      </c>
      <c r="N97" s="66" t="s">
        <v>895</v>
      </c>
      <c r="O97" s="66" t="s">
        <v>1214</v>
      </c>
      <c r="P97" s="66" t="s">
        <v>895</v>
      </c>
      <c r="Q97" s="87" t="s">
        <v>1216</v>
      </c>
      <c r="R97" s="87" t="s">
        <v>1216</v>
      </c>
      <c r="S97" s="87" t="s">
        <v>1216</v>
      </c>
      <c r="T97" s="87" t="s">
        <v>1216</v>
      </c>
      <c r="U97" s="87" t="s">
        <v>1216</v>
      </c>
      <c r="V97" s="87" t="s">
        <v>1216</v>
      </c>
      <c r="W97" s="67"/>
      <c r="X97" s="85" t="str">
        <f t="shared" si="13"/>
        <v>Belum Dinilai</v>
      </c>
      <c r="Y97" s="85" t="str">
        <f t="shared" si="14"/>
        <v>Belum Dinilai</v>
      </c>
      <c r="Z97" s="86" t="str">
        <f t="shared" si="15"/>
        <v/>
      </c>
      <c r="AA97" s="86" t="str">
        <f t="shared" si="16"/>
        <v/>
      </c>
      <c r="AB97" s="86" t="str">
        <f t="shared" si="17"/>
        <v/>
      </c>
      <c r="AC97" s="68" t="s">
        <v>1216</v>
      </c>
      <c r="AD97" s="68" t="s">
        <v>1216</v>
      </c>
      <c r="AE97" s="68" t="s">
        <v>1216</v>
      </c>
      <c r="AF97" s="68" t="s">
        <v>1216</v>
      </c>
      <c r="AG97" s="68" t="s">
        <v>1216</v>
      </c>
      <c r="AH97" s="68" t="s">
        <v>1216</v>
      </c>
      <c r="AI97" s="68" t="s">
        <v>1216</v>
      </c>
      <c r="AJ97" s="68" t="s">
        <v>1216</v>
      </c>
      <c r="AK97" s="68" t="s">
        <v>1216</v>
      </c>
      <c r="AL97" s="68"/>
      <c r="AM97" s="68" t="s">
        <v>1216</v>
      </c>
      <c r="AN97" s="68" t="str">
        <f t="shared" si="12"/>
        <v>Belum Dinilai</v>
      </c>
      <c r="AO97" s="68" t="str">
        <f t="shared" si="18"/>
        <v>Belum Dinilai</v>
      </c>
      <c r="AP97" s="68"/>
      <c r="AQ97" s="71">
        <f t="shared" si="19"/>
        <v>57</v>
      </c>
      <c r="AR97" s="71" t="str">
        <f t="shared" si="21"/>
        <v/>
      </c>
      <c r="AS97" s="71" t="str">
        <f t="shared" si="22"/>
        <v/>
      </c>
      <c r="AT97" s="69" t="str">
        <f t="shared" si="20"/>
        <v>Belum Dapat Ditentukan</v>
      </c>
      <c r="AU97" s="66" t="s">
        <v>1190</v>
      </c>
      <c r="AV97" s="66" t="s">
        <v>1205</v>
      </c>
      <c r="AW97" s="66" t="s">
        <v>1191</v>
      </c>
      <c r="AX97" s="66"/>
      <c r="AY97" s="66"/>
      <c r="AZ97" s="66" t="s">
        <v>1208</v>
      </c>
      <c r="BA97" s="66"/>
      <c r="BB97" s="72"/>
      <c r="BC97" s="73">
        <v>2026</v>
      </c>
      <c r="BD97" s="66"/>
      <c r="BE97" s="72"/>
      <c r="BF97" s="66" t="s">
        <v>1279</v>
      </c>
    </row>
    <row r="98" spans="1:58" ht="28">
      <c r="A98" s="66" t="s">
        <v>1575</v>
      </c>
      <c r="B98" s="66" t="s">
        <v>1665</v>
      </c>
      <c r="C98" s="66"/>
      <c r="D98" s="66"/>
      <c r="E98" s="66" t="s">
        <v>1666</v>
      </c>
      <c r="F98" s="66" t="s">
        <v>1481</v>
      </c>
      <c r="G98" s="66" t="s">
        <v>1314</v>
      </c>
      <c r="H98" s="66" t="s">
        <v>1182</v>
      </c>
      <c r="I98" s="66" t="s">
        <v>1667</v>
      </c>
      <c r="J98" s="66" t="s">
        <v>1211</v>
      </c>
      <c r="K98" s="66" t="s">
        <v>1278</v>
      </c>
      <c r="L98" s="66" t="s">
        <v>1216</v>
      </c>
      <c r="M98" s="66" t="s">
        <v>1267</v>
      </c>
      <c r="N98" s="66" t="s">
        <v>1216</v>
      </c>
      <c r="O98" s="66" t="s">
        <v>1214</v>
      </c>
      <c r="P98" s="66" t="s">
        <v>1216</v>
      </c>
      <c r="Q98" s="87" t="s">
        <v>1216</v>
      </c>
      <c r="R98" s="87" t="s">
        <v>1216</v>
      </c>
      <c r="S98" s="87" t="s">
        <v>1216</v>
      </c>
      <c r="T98" s="87" t="s">
        <v>1216</v>
      </c>
      <c r="U98" s="87" t="s">
        <v>1216</v>
      </c>
      <c r="V98" s="87" t="s">
        <v>1216</v>
      </c>
      <c r="W98" s="67"/>
      <c r="X98" s="85" t="str">
        <f t="shared" si="13"/>
        <v>Belum Dinilai</v>
      </c>
      <c r="Y98" s="85" t="str">
        <f t="shared" si="14"/>
        <v>Belum Dinilai</v>
      </c>
      <c r="Z98" s="86" t="str">
        <f t="shared" si="15"/>
        <v/>
      </c>
      <c r="AA98" s="86" t="str">
        <f t="shared" si="16"/>
        <v/>
      </c>
      <c r="AB98" s="86" t="str">
        <f t="shared" si="17"/>
        <v/>
      </c>
      <c r="AC98" s="68" t="s">
        <v>1216</v>
      </c>
      <c r="AD98" s="68" t="s">
        <v>1216</v>
      </c>
      <c r="AE98" s="68" t="s">
        <v>1216</v>
      </c>
      <c r="AF98" s="68" t="s">
        <v>1216</v>
      </c>
      <c r="AG98" s="68" t="s">
        <v>1216</v>
      </c>
      <c r="AH98" s="68" t="s">
        <v>1216</v>
      </c>
      <c r="AI98" s="68" t="s">
        <v>1216</v>
      </c>
      <c r="AJ98" s="68" t="s">
        <v>1216</v>
      </c>
      <c r="AK98" s="68" t="s">
        <v>1216</v>
      </c>
      <c r="AL98" s="68"/>
      <c r="AM98" s="68" t="s">
        <v>1216</v>
      </c>
      <c r="AN98" s="68" t="str">
        <f t="shared" si="12"/>
        <v>Belum Dinilai</v>
      </c>
      <c r="AO98" s="68" t="str">
        <f t="shared" si="18"/>
        <v>Belum Dinilai</v>
      </c>
      <c r="AP98" s="68"/>
      <c r="AQ98" s="71" t="str">
        <f t="shared" si="19"/>
        <v/>
      </c>
      <c r="AR98" s="71" t="str">
        <f t="shared" si="21"/>
        <v/>
      </c>
      <c r="AS98" s="71" t="str">
        <f t="shared" si="22"/>
        <v/>
      </c>
      <c r="AT98" s="69" t="str">
        <f t="shared" si="20"/>
        <v>Belum Dapat Ditentukan</v>
      </c>
      <c r="AU98" s="66" t="s">
        <v>1204</v>
      </c>
      <c r="AV98" s="66" t="s">
        <v>1205</v>
      </c>
      <c r="AW98" s="66" t="s">
        <v>1909</v>
      </c>
      <c r="AX98" s="66" t="s">
        <v>1218</v>
      </c>
      <c r="AY98" s="66">
        <v>2023</v>
      </c>
      <c r="AZ98" s="66" t="s">
        <v>927</v>
      </c>
      <c r="BA98" s="66"/>
      <c r="BB98" s="72"/>
      <c r="BC98" s="73">
        <v>2026</v>
      </c>
      <c r="BD98" s="66"/>
      <c r="BE98" s="72"/>
      <c r="BF98" s="66" t="s">
        <v>1279</v>
      </c>
    </row>
    <row r="99" spans="1:58" ht="28">
      <c r="A99" s="66" t="s">
        <v>1579</v>
      </c>
      <c r="B99" s="66" t="s">
        <v>1669</v>
      </c>
      <c r="C99" s="66"/>
      <c r="D99" s="66"/>
      <c r="E99" s="66" t="s">
        <v>1308</v>
      </c>
      <c r="F99" s="66" t="s">
        <v>1481</v>
      </c>
      <c r="G99" s="66" t="s">
        <v>1314</v>
      </c>
      <c r="H99" s="66" t="s">
        <v>1182</v>
      </c>
      <c r="I99" s="66" t="s">
        <v>1670</v>
      </c>
      <c r="J99" s="66" t="s">
        <v>1211</v>
      </c>
      <c r="K99" s="66" t="s">
        <v>1278</v>
      </c>
      <c r="L99" s="66" t="s">
        <v>895</v>
      </c>
      <c r="M99" s="66" t="s">
        <v>1267</v>
      </c>
      <c r="N99" s="66" t="s">
        <v>895</v>
      </c>
      <c r="O99" s="66" t="s">
        <v>1214</v>
      </c>
      <c r="P99" s="66" t="s">
        <v>895</v>
      </c>
      <c r="Q99" s="87" t="s">
        <v>1216</v>
      </c>
      <c r="R99" s="87" t="s">
        <v>1216</v>
      </c>
      <c r="S99" s="87" t="s">
        <v>1216</v>
      </c>
      <c r="T99" s="87" t="s">
        <v>1216</v>
      </c>
      <c r="U99" s="87" t="s">
        <v>1216</v>
      </c>
      <c r="V99" s="87" t="s">
        <v>1216</v>
      </c>
      <c r="W99" s="67"/>
      <c r="X99" s="85" t="str">
        <f t="shared" si="13"/>
        <v>Belum Dinilai</v>
      </c>
      <c r="Y99" s="85" t="str">
        <f t="shared" si="14"/>
        <v>Belum Dinilai</v>
      </c>
      <c r="Z99" s="86" t="str">
        <f t="shared" si="15"/>
        <v/>
      </c>
      <c r="AA99" s="86" t="str">
        <f t="shared" si="16"/>
        <v/>
      </c>
      <c r="AB99" s="86" t="str">
        <f t="shared" si="17"/>
        <v/>
      </c>
      <c r="AC99" s="68" t="s">
        <v>1216</v>
      </c>
      <c r="AD99" s="68" t="s">
        <v>1216</v>
      </c>
      <c r="AE99" s="68" t="s">
        <v>1216</v>
      </c>
      <c r="AF99" s="68" t="s">
        <v>1216</v>
      </c>
      <c r="AG99" s="68" t="s">
        <v>1216</v>
      </c>
      <c r="AH99" s="68" t="s">
        <v>1216</v>
      </c>
      <c r="AI99" s="68" t="s">
        <v>1216</v>
      </c>
      <c r="AJ99" s="68" t="s">
        <v>1216</v>
      </c>
      <c r="AK99" s="68" t="s">
        <v>1216</v>
      </c>
      <c r="AL99" s="68"/>
      <c r="AM99" s="68" t="s">
        <v>1216</v>
      </c>
      <c r="AN99" s="68" t="str">
        <f t="shared" si="12"/>
        <v>Belum Dinilai</v>
      </c>
      <c r="AO99" s="68" t="str">
        <f t="shared" si="18"/>
        <v>Belum Dinilai</v>
      </c>
      <c r="AP99" s="68"/>
      <c r="AQ99" s="71">
        <f t="shared" si="19"/>
        <v>57</v>
      </c>
      <c r="AR99" s="71" t="str">
        <f t="shared" si="21"/>
        <v/>
      </c>
      <c r="AS99" s="71" t="str">
        <f t="shared" si="22"/>
        <v/>
      </c>
      <c r="AT99" s="69" t="str">
        <f t="shared" si="20"/>
        <v>Belum Dapat Ditentukan</v>
      </c>
      <c r="AU99" s="66" t="s">
        <v>1204</v>
      </c>
      <c r="AV99" s="66" t="s">
        <v>1205</v>
      </c>
      <c r="AW99" s="66" t="s">
        <v>1191</v>
      </c>
      <c r="AX99" s="66"/>
      <c r="AY99" s="66"/>
      <c r="AZ99" s="66" t="s">
        <v>927</v>
      </c>
      <c r="BA99" s="66"/>
      <c r="BB99" s="72"/>
      <c r="BC99" s="73">
        <v>2026</v>
      </c>
      <c r="BD99" s="66"/>
      <c r="BE99" s="72"/>
      <c r="BF99" s="66" t="s">
        <v>1279</v>
      </c>
    </row>
    <row r="100" spans="1:58" ht="28">
      <c r="A100" s="66" t="s">
        <v>1583</v>
      </c>
      <c r="B100" s="66" t="s">
        <v>1576</v>
      </c>
      <c r="C100" s="66"/>
      <c r="D100" s="66"/>
      <c r="E100" s="66" t="s">
        <v>1672</v>
      </c>
      <c r="F100" s="66" t="s">
        <v>1360</v>
      </c>
      <c r="G100" s="66" t="s">
        <v>1290</v>
      </c>
      <c r="H100" s="66" t="s">
        <v>1196</v>
      </c>
      <c r="I100" s="66" t="s">
        <v>1673</v>
      </c>
      <c r="J100" s="66" t="s">
        <v>1183</v>
      </c>
      <c r="K100" s="66" t="s">
        <v>1278</v>
      </c>
      <c r="L100" s="66" t="s">
        <v>1216</v>
      </c>
      <c r="M100" s="66" t="s">
        <v>1213</v>
      </c>
      <c r="N100" s="66" t="s">
        <v>1216</v>
      </c>
      <c r="O100" s="66" t="s">
        <v>1214</v>
      </c>
      <c r="P100" s="66" t="s">
        <v>1216</v>
      </c>
      <c r="Q100" s="87" t="s">
        <v>1216</v>
      </c>
      <c r="R100" s="87" t="s">
        <v>1216</v>
      </c>
      <c r="S100" s="87" t="s">
        <v>1216</v>
      </c>
      <c r="T100" s="87" t="s">
        <v>1216</v>
      </c>
      <c r="U100" s="87" t="s">
        <v>1216</v>
      </c>
      <c r="V100" s="87" t="s">
        <v>1216</v>
      </c>
      <c r="W100" s="67"/>
      <c r="X100" s="85" t="str">
        <f t="shared" si="13"/>
        <v>Belum Dinilai</v>
      </c>
      <c r="Y100" s="85" t="str">
        <f t="shared" si="14"/>
        <v>Belum Dinilai</v>
      </c>
      <c r="Z100" s="86" t="str">
        <f t="shared" si="15"/>
        <v/>
      </c>
      <c r="AA100" s="86" t="str">
        <f t="shared" si="16"/>
        <v/>
      </c>
      <c r="AB100" s="86" t="str">
        <f t="shared" si="17"/>
        <v/>
      </c>
      <c r="AC100" s="68" t="s">
        <v>1216</v>
      </c>
      <c r="AD100" s="68" t="s">
        <v>1216</v>
      </c>
      <c r="AE100" s="68" t="s">
        <v>1216</v>
      </c>
      <c r="AF100" s="68" t="s">
        <v>1216</v>
      </c>
      <c r="AG100" s="68" t="s">
        <v>1216</v>
      </c>
      <c r="AH100" s="68" t="s">
        <v>1216</v>
      </c>
      <c r="AI100" s="68" t="s">
        <v>1216</v>
      </c>
      <c r="AJ100" s="68" t="s">
        <v>1216</v>
      </c>
      <c r="AK100" s="68" t="s">
        <v>1216</v>
      </c>
      <c r="AL100" s="68"/>
      <c r="AM100" s="68" t="s">
        <v>1216</v>
      </c>
      <c r="AN100" s="68" t="str">
        <f t="shared" si="12"/>
        <v>Belum Dinilai</v>
      </c>
      <c r="AO100" s="68" t="str">
        <f t="shared" si="18"/>
        <v>Belum Dinilai</v>
      </c>
      <c r="AP100" s="68"/>
      <c r="AQ100" s="71" t="str">
        <f t="shared" si="19"/>
        <v/>
      </c>
      <c r="AR100" s="71" t="str">
        <f t="shared" si="21"/>
        <v/>
      </c>
      <c r="AS100" s="71" t="str">
        <f t="shared" si="22"/>
        <v/>
      </c>
      <c r="AT100" s="69" t="str">
        <f t="shared" si="20"/>
        <v>Belum Dapat Ditentukan</v>
      </c>
      <c r="AU100" s="66" t="s">
        <v>1190</v>
      </c>
      <c r="AV100" s="66" t="s">
        <v>1205</v>
      </c>
      <c r="AW100" s="66" t="s">
        <v>1909</v>
      </c>
      <c r="AX100" s="66" t="s">
        <v>1207</v>
      </c>
      <c r="AY100" s="66">
        <v>2021</v>
      </c>
      <c r="AZ100" s="66" t="s">
        <v>927</v>
      </c>
      <c r="BA100" s="66"/>
      <c r="BB100" s="72"/>
      <c r="BC100" s="73">
        <v>2026</v>
      </c>
      <c r="BD100" s="66"/>
      <c r="BE100" s="72"/>
      <c r="BF100" s="66" t="s">
        <v>1279</v>
      </c>
    </row>
    <row r="101" spans="1:58" ht="28">
      <c r="A101" s="66" t="s">
        <v>1586</v>
      </c>
      <c r="B101" s="66" t="s">
        <v>1675</v>
      </c>
      <c r="C101" s="66"/>
      <c r="D101" s="66"/>
      <c r="E101" s="66" t="s">
        <v>1676</v>
      </c>
      <c r="F101" s="66" t="s">
        <v>1360</v>
      </c>
      <c r="G101" s="66" t="s">
        <v>1290</v>
      </c>
      <c r="H101" s="66" t="s">
        <v>1263</v>
      </c>
      <c r="I101" s="66" t="s">
        <v>1677</v>
      </c>
      <c r="J101" s="66" t="s">
        <v>1211</v>
      </c>
      <c r="K101" s="66" t="s">
        <v>1278</v>
      </c>
      <c r="L101" s="66" t="s">
        <v>1216</v>
      </c>
      <c r="M101" s="66" t="s">
        <v>1267</v>
      </c>
      <c r="N101" s="66" t="s">
        <v>1216</v>
      </c>
      <c r="O101" s="66" t="s">
        <v>1278</v>
      </c>
      <c r="P101" s="66" t="s">
        <v>1216</v>
      </c>
      <c r="Q101" s="87" t="s">
        <v>1216</v>
      </c>
      <c r="R101" s="87" t="s">
        <v>1216</v>
      </c>
      <c r="S101" s="87" t="s">
        <v>1216</v>
      </c>
      <c r="T101" s="87" t="s">
        <v>1216</v>
      </c>
      <c r="U101" s="87" t="s">
        <v>1216</v>
      </c>
      <c r="V101" s="87" t="s">
        <v>1216</v>
      </c>
      <c r="W101" s="67"/>
      <c r="X101" s="85" t="str">
        <f t="shared" si="13"/>
        <v>Belum Dinilai</v>
      </c>
      <c r="Y101" s="85" t="str">
        <f t="shared" si="14"/>
        <v>Belum Dinilai</v>
      </c>
      <c r="Z101" s="86" t="str">
        <f t="shared" si="15"/>
        <v/>
      </c>
      <c r="AA101" s="86" t="str">
        <f t="shared" si="16"/>
        <v/>
      </c>
      <c r="AB101" s="86" t="str">
        <f t="shared" si="17"/>
        <v/>
      </c>
      <c r="AC101" s="68" t="s">
        <v>1216</v>
      </c>
      <c r="AD101" s="68" t="s">
        <v>1216</v>
      </c>
      <c r="AE101" s="68" t="s">
        <v>1216</v>
      </c>
      <c r="AF101" s="68" t="s">
        <v>1216</v>
      </c>
      <c r="AG101" s="68" t="s">
        <v>1216</v>
      </c>
      <c r="AH101" s="68" t="s">
        <v>1216</v>
      </c>
      <c r="AI101" s="68" t="s">
        <v>1216</v>
      </c>
      <c r="AJ101" s="68" t="s">
        <v>1216</v>
      </c>
      <c r="AK101" s="68" t="s">
        <v>1216</v>
      </c>
      <c r="AL101" s="68"/>
      <c r="AM101" s="68" t="s">
        <v>1216</v>
      </c>
      <c r="AN101" s="68" t="str">
        <f t="shared" si="12"/>
        <v>Belum Dinilai</v>
      </c>
      <c r="AO101" s="68" t="str">
        <f t="shared" si="18"/>
        <v>Belum Dinilai</v>
      </c>
      <c r="AP101" s="68"/>
      <c r="AQ101" s="71" t="str">
        <f t="shared" si="19"/>
        <v/>
      </c>
      <c r="AR101" s="71" t="str">
        <f t="shared" si="21"/>
        <v/>
      </c>
      <c r="AS101" s="71" t="str">
        <f t="shared" si="22"/>
        <v/>
      </c>
      <c r="AT101" s="69" t="str">
        <f t="shared" si="20"/>
        <v>Belum Dapat Ditentukan</v>
      </c>
      <c r="AU101" s="66" t="s">
        <v>1204</v>
      </c>
      <c r="AV101" s="66" t="s">
        <v>1205</v>
      </c>
      <c r="AW101" s="66" t="s">
        <v>1191</v>
      </c>
      <c r="AX101" s="66"/>
      <c r="AY101" s="66"/>
      <c r="AZ101" s="66" t="s">
        <v>927</v>
      </c>
      <c r="BA101" s="66"/>
      <c r="BB101" s="72"/>
      <c r="BC101" s="73">
        <v>2026</v>
      </c>
      <c r="BD101" s="66"/>
      <c r="BE101" s="72"/>
      <c r="BF101" s="66" t="s">
        <v>1279</v>
      </c>
    </row>
    <row r="102" spans="1:58" ht="28">
      <c r="A102" s="66" t="s">
        <v>1590</v>
      </c>
      <c r="B102" s="66" t="s">
        <v>1679</v>
      </c>
      <c r="C102" s="66"/>
      <c r="D102" s="66"/>
      <c r="E102" s="66" t="s">
        <v>1672</v>
      </c>
      <c r="F102" s="66" t="s">
        <v>1360</v>
      </c>
      <c r="G102" s="66" t="s">
        <v>1290</v>
      </c>
      <c r="H102" s="66" t="s">
        <v>1182</v>
      </c>
      <c r="I102" s="66" t="s">
        <v>1680</v>
      </c>
      <c r="J102" s="66" t="s">
        <v>1183</v>
      </c>
      <c r="K102" s="66" t="s">
        <v>1278</v>
      </c>
      <c r="L102" s="66" t="s">
        <v>1216</v>
      </c>
      <c r="M102" s="66" t="s">
        <v>1213</v>
      </c>
      <c r="N102" s="66" t="s">
        <v>1216</v>
      </c>
      <c r="O102" s="66" t="s">
        <v>1278</v>
      </c>
      <c r="P102" s="66" t="s">
        <v>1216</v>
      </c>
      <c r="Q102" s="87" t="s">
        <v>1216</v>
      </c>
      <c r="R102" s="87" t="s">
        <v>1216</v>
      </c>
      <c r="S102" s="87" t="s">
        <v>1216</v>
      </c>
      <c r="T102" s="87" t="s">
        <v>1216</v>
      </c>
      <c r="U102" s="87" t="s">
        <v>1216</v>
      </c>
      <c r="V102" s="87" t="s">
        <v>1216</v>
      </c>
      <c r="W102" s="67"/>
      <c r="X102" s="85" t="str">
        <f t="shared" si="13"/>
        <v>Belum Dinilai</v>
      </c>
      <c r="Y102" s="85" t="str">
        <f t="shared" si="14"/>
        <v>Belum Dinilai</v>
      </c>
      <c r="Z102" s="86" t="str">
        <f t="shared" si="15"/>
        <v/>
      </c>
      <c r="AA102" s="86" t="str">
        <f t="shared" si="16"/>
        <v/>
      </c>
      <c r="AB102" s="86" t="str">
        <f t="shared" si="17"/>
        <v/>
      </c>
      <c r="AC102" s="68" t="s">
        <v>1216</v>
      </c>
      <c r="AD102" s="68" t="s">
        <v>1216</v>
      </c>
      <c r="AE102" s="68" t="s">
        <v>1216</v>
      </c>
      <c r="AF102" s="68" t="s">
        <v>1216</v>
      </c>
      <c r="AG102" s="68" t="s">
        <v>1216</v>
      </c>
      <c r="AH102" s="68" t="s">
        <v>1216</v>
      </c>
      <c r="AI102" s="68" t="s">
        <v>1216</v>
      </c>
      <c r="AJ102" s="68" t="s">
        <v>1216</v>
      </c>
      <c r="AK102" s="68" t="s">
        <v>1216</v>
      </c>
      <c r="AL102" s="68"/>
      <c r="AM102" s="68" t="s">
        <v>1216</v>
      </c>
      <c r="AN102" s="68" t="str">
        <f t="shared" si="12"/>
        <v>Belum Dinilai</v>
      </c>
      <c r="AO102" s="68" t="str">
        <f t="shared" si="18"/>
        <v>Belum Dinilai</v>
      </c>
      <c r="AP102" s="68"/>
      <c r="AQ102" s="71" t="str">
        <f t="shared" si="19"/>
        <v/>
      </c>
      <c r="AR102" s="71" t="str">
        <f t="shared" si="21"/>
        <v/>
      </c>
      <c r="AS102" s="71" t="str">
        <f t="shared" si="22"/>
        <v/>
      </c>
      <c r="AT102" s="69" t="str">
        <f t="shared" si="20"/>
        <v>Belum Dapat Ditentukan</v>
      </c>
      <c r="AU102" s="66" t="s">
        <v>1190</v>
      </c>
      <c r="AV102" s="66" t="s">
        <v>1205</v>
      </c>
      <c r="AW102" s="66" t="s">
        <v>1909</v>
      </c>
      <c r="AX102" s="66" t="s">
        <v>1207</v>
      </c>
      <c r="AY102" s="66">
        <v>2021</v>
      </c>
      <c r="AZ102" s="66" t="s">
        <v>927</v>
      </c>
      <c r="BA102" s="66"/>
      <c r="BB102" s="72"/>
      <c r="BC102" s="73">
        <v>2026</v>
      </c>
      <c r="BD102" s="66"/>
      <c r="BE102" s="72"/>
      <c r="BF102" s="66" t="s">
        <v>1279</v>
      </c>
    </row>
    <row r="103" spans="1:58" ht="28">
      <c r="A103" s="66" t="s">
        <v>1594</v>
      </c>
      <c r="B103" s="66" t="s">
        <v>1682</v>
      </c>
      <c r="C103" s="66"/>
      <c r="D103" s="66"/>
      <c r="E103" s="66" t="s">
        <v>1683</v>
      </c>
      <c r="F103" s="66" t="s">
        <v>1360</v>
      </c>
      <c r="G103" s="66" t="s">
        <v>1290</v>
      </c>
      <c r="H103" s="66" t="s">
        <v>1196</v>
      </c>
      <c r="I103" s="66" t="s">
        <v>1677</v>
      </c>
      <c r="J103" s="66" t="s">
        <v>1211</v>
      </c>
      <c r="K103" s="66" t="s">
        <v>1278</v>
      </c>
      <c r="L103" s="66" t="s">
        <v>1216</v>
      </c>
      <c r="M103" s="66" t="s">
        <v>1267</v>
      </c>
      <c r="N103" s="66" t="s">
        <v>1216</v>
      </c>
      <c r="O103" s="66" t="s">
        <v>1278</v>
      </c>
      <c r="P103" s="66" t="s">
        <v>1216</v>
      </c>
      <c r="Q103" s="87" t="s">
        <v>1216</v>
      </c>
      <c r="R103" s="87" t="s">
        <v>1216</v>
      </c>
      <c r="S103" s="87" t="s">
        <v>1216</v>
      </c>
      <c r="T103" s="87" t="s">
        <v>1216</v>
      </c>
      <c r="U103" s="87" t="s">
        <v>1216</v>
      </c>
      <c r="V103" s="87" t="s">
        <v>1216</v>
      </c>
      <c r="W103" s="67"/>
      <c r="X103" s="85" t="str">
        <f t="shared" si="13"/>
        <v>Belum Dinilai</v>
      </c>
      <c r="Y103" s="85" t="str">
        <f t="shared" si="14"/>
        <v>Belum Dinilai</v>
      </c>
      <c r="Z103" s="86" t="str">
        <f t="shared" si="15"/>
        <v/>
      </c>
      <c r="AA103" s="86" t="str">
        <f t="shared" si="16"/>
        <v/>
      </c>
      <c r="AB103" s="86" t="str">
        <f t="shared" si="17"/>
        <v/>
      </c>
      <c r="AC103" s="68" t="s">
        <v>1216</v>
      </c>
      <c r="AD103" s="68" t="s">
        <v>1216</v>
      </c>
      <c r="AE103" s="68" t="s">
        <v>1216</v>
      </c>
      <c r="AF103" s="68" t="s">
        <v>1216</v>
      </c>
      <c r="AG103" s="68" t="s">
        <v>1216</v>
      </c>
      <c r="AH103" s="68" t="s">
        <v>1216</v>
      </c>
      <c r="AI103" s="68" t="s">
        <v>1216</v>
      </c>
      <c r="AJ103" s="68" t="s">
        <v>1216</v>
      </c>
      <c r="AK103" s="68" t="s">
        <v>1216</v>
      </c>
      <c r="AL103" s="68"/>
      <c r="AM103" s="68" t="s">
        <v>1216</v>
      </c>
      <c r="AN103" s="68" t="str">
        <f t="shared" si="12"/>
        <v>Belum Dinilai</v>
      </c>
      <c r="AO103" s="68" t="str">
        <f t="shared" si="18"/>
        <v>Belum Dinilai</v>
      </c>
      <c r="AP103" s="68"/>
      <c r="AQ103" s="71" t="str">
        <f t="shared" si="19"/>
        <v/>
      </c>
      <c r="AR103" s="71" t="str">
        <f t="shared" si="21"/>
        <v/>
      </c>
      <c r="AS103" s="71" t="str">
        <f t="shared" si="22"/>
        <v/>
      </c>
      <c r="AT103" s="69" t="str">
        <f t="shared" si="20"/>
        <v>Belum Dapat Ditentukan</v>
      </c>
      <c r="AU103" s="66" t="s">
        <v>1190</v>
      </c>
      <c r="AV103" s="66" t="s">
        <v>1205</v>
      </c>
      <c r="AW103" s="66" t="s">
        <v>1909</v>
      </c>
      <c r="AX103" s="66" t="s">
        <v>1207</v>
      </c>
      <c r="AY103" s="66">
        <v>2022</v>
      </c>
      <c r="AZ103" s="66" t="s">
        <v>927</v>
      </c>
      <c r="BA103" s="66"/>
      <c r="BB103" s="72"/>
      <c r="BC103" s="73">
        <v>2026</v>
      </c>
      <c r="BD103" s="66"/>
      <c r="BE103" s="72"/>
      <c r="BF103" s="66" t="s">
        <v>1279</v>
      </c>
    </row>
    <row r="104" spans="1:58" ht="28">
      <c r="A104" s="66" t="s">
        <v>1598</v>
      </c>
      <c r="B104" s="66" t="s">
        <v>1685</v>
      </c>
      <c r="C104" s="66"/>
      <c r="D104" s="66"/>
      <c r="E104" s="66" t="s">
        <v>1686</v>
      </c>
      <c r="F104" s="66" t="s">
        <v>1393</v>
      </c>
      <c r="G104" s="66" t="s">
        <v>1290</v>
      </c>
      <c r="H104" s="66" t="s">
        <v>1182</v>
      </c>
      <c r="I104" s="66" t="s">
        <v>1677</v>
      </c>
      <c r="J104" s="66" t="s">
        <v>1211</v>
      </c>
      <c r="K104" s="66" t="s">
        <v>1278</v>
      </c>
      <c r="L104" s="66" t="s">
        <v>1216</v>
      </c>
      <c r="M104" s="66" t="s">
        <v>1267</v>
      </c>
      <c r="N104" s="66" t="s">
        <v>1216</v>
      </c>
      <c r="O104" s="66" t="s">
        <v>1278</v>
      </c>
      <c r="P104" s="66" t="s">
        <v>1216</v>
      </c>
      <c r="Q104" s="87" t="s">
        <v>1216</v>
      </c>
      <c r="R104" s="87" t="s">
        <v>1216</v>
      </c>
      <c r="S104" s="87" t="s">
        <v>1216</v>
      </c>
      <c r="T104" s="87" t="s">
        <v>1216</v>
      </c>
      <c r="U104" s="87" t="s">
        <v>1216</v>
      </c>
      <c r="V104" s="87" t="s">
        <v>1216</v>
      </c>
      <c r="W104" s="67"/>
      <c r="X104" s="85" t="str">
        <f t="shared" si="13"/>
        <v>Belum Dinilai</v>
      </c>
      <c r="Y104" s="85" t="str">
        <f t="shared" si="14"/>
        <v>Belum Dinilai</v>
      </c>
      <c r="Z104" s="86" t="str">
        <f t="shared" si="15"/>
        <v/>
      </c>
      <c r="AA104" s="86" t="str">
        <f t="shared" si="16"/>
        <v/>
      </c>
      <c r="AB104" s="86" t="str">
        <f t="shared" si="17"/>
        <v/>
      </c>
      <c r="AC104" s="68" t="s">
        <v>1216</v>
      </c>
      <c r="AD104" s="68" t="s">
        <v>1216</v>
      </c>
      <c r="AE104" s="68" t="s">
        <v>1216</v>
      </c>
      <c r="AF104" s="68" t="s">
        <v>1216</v>
      </c>
      <c r="AG104" s="68" t="s">
        <v>1216</v>
      </c>
      <c r="AH104" s="68" t="s">
        <v>1216</v>
      </c>
      <c r="AI104" s="68" t="s">
        <v>1216</v>
      </c>
      <c r="AJ104" s="68" t="s">
        <v>1216</v>
      </c>
      <c r="AK104" s="68" t="s">
        <v>1216</v>
      </c>
      <c r="AL104" s="68"/>
      <c r="AM104" s="68" t="s">
        <v>1216</v>
      </c>
      <c r="AN104" s="68" t="str">
        <f t="shared" si="12"/>
        <v>Belum Dinilai</v>
      </c>
      <c r="AO104" s="68" t="str">
        <f t="shared" si="18"/>
        <v>Belum Dinilai</v>
      </c>
      <c r="AP104" s="68"/>
      <c r="AQ104" s="71" t="str">
        <f t="shared" si="19"/>
        <v/>
      </c>
      <c r="AR104" s="71" t="str">
        <f t="shared" si="21"/>
        <v/>
      </c>
      <c r="AS104" s="71" t="str">
        <f t="shared" si="22"/>
        <v/>
      </c>
      <c r="AT104" s="69" t="str">
        <f t="shared" si="20"/>
        <v>Belum Dapat Ditentukan</v>
      </c>
      <c r="AU104" s="66" t="s">
        <v>1190</v>
      </c>
      <c r="AV104" s="66" t="s">
        <v>1205</v>
      </c>
      <c r="AW104" s="66" t="s">
        <v>1909</v>
      </c>
      <c r="AX104" s="66" t="s">
        <v>1207</v>
      </c>
      <c r="AY104" s="66">
        <v>2023</v>
      </c>
      <c r="AZ104" s="66" t="s">
        <v>927</v>
      </c>
      <c r="BA104" s="66"/>
      <c r="BB104" s="72"/>
      <c r="BC104" s="73">
        <v>2026</v>
      </c>
      <c r="BD104" s="66"/>
      <c r="BE104" s="72"/>
      <c r="BF104" s="66" t="s">
        <v>1279</v>
      </c>
    </row>
    <row r="105" spans="1:58" ht="28">
      <c r="A105" s="66" t="s">
        <v>1599</v>
      </c>
      <c r="B105" s="66" t="s">
        <v>1688</v>
      </c>
      <c r="C105" s="66"/>
      <c r="D105" s="66"/>
      <c r="E105" s="66" t="s">
        <v>1689</v>
      </c>
      <c r="F105" s="66" t="s">
        <v>1393</v>
      </c>
      <c r="G105" s="66" t="s">
        <v>1290</v>
      </c>
      <c r="H105" s="66" t="s">
        <v>1196</v>
      </c>
      <c r="I105" s="66" t="s">
        <v>1690</v>
      </c>
      <c r="J105" s="66" t="s">
        <v>1264</v>
      </c>
      <c r="K105" s="66" t="s">
        <v>1278</v>
      </c>
      <c r="L105" s="66" t="s">
        <v>895</v>
      </c>
      <c r="M105" s="66" t="s">
        <v>1278</v>
      </c>
      <c r="N105" s="66" t="s">
        <v>1216</v>
      </c>
      <c r="O105" s="66" t="s">
        <v>1278</v>
      </c>
      <c r="P105" s="66" t="s">
        <v>1216</v>
      </c>
      <c r="Q105" s="87" t="s">
        <v>1216</v>
      </c>
      <c r="R105" s="87" t="s">
        <v>1216</v>
      </c>
      <c r="S105" s="87" t="s">
        <v>1216</v>
      </c>
      <c r="T105" s="87" t="s">
        <v>1216</v>
      </c>
      <c r="U105" s="87" t="s">
        <v>1216</v>
      </c>
      <c r="V105" s="87" t="s">
        <v>1216</v>
      </c>
      <c r="W105" s="67"/>
      <c r="X105" s="85" t="str">
        <f t="shared" si="13"/>
        <v>Belum Dinilai</v>
      </c>
      <c r="Y105" s="85" t="str">
        <f t="shared" si="14"/>
        <v>Belum Dinilai</v>
      </c>
      <c r="Z105" s="86" t="str">
        <f t="shared" si="15"/>
        <v/>
      </c>
      <c r="AA105" s="86" t="str">
        <f t="shared" si="16"/>
        <v/>
      </c>
      <c r="AB105" s="86" t="str">
        <f t="shared" si="17"/>
        <v/>
      </c>
      <c r="AC105" s="68" t="s">
        <v>1216</v>
      </c>
      <c r="AD105" s="68" t="s">
        <v>1216</v>
      </c>
      <c r="AE105" s="68" t="s">
        <v>1216</v>
      </c>
      <c r="AF105" s="68" t="s">
        <v>1216</v>
      </c>
      <c r="AG105" s="68" t="s">
        <v>1216</v>
      </c>
      <c r="AH105" s="68" t="s">
        <v>1216</v>
      </c>
      <c r="AI105" s="68" t="s">
        <v>1216</v>
      </c>
      <c r="AJ105" s="68" t="s">
        <v>1216</v>
      </c>
      <c r="AK105" s="68" t="s">
        <v>1216</v>
      </c>
      <c r="AL105" s="68"/>
      <c r="AM105" s="68" t="s">
        <v>1216</v>
      </c>
      <c r="AN105" s="68" t="str">
        <f t="shared" si="12"/>
        <v>Belum Dinilai</v>
      </c>
      <c r="AO105" s="68" t="str">
        <f t="shared" si="18"/>
        <v>Belum Dinilai</v>
      </c>
      <c r="AP105" s="68"/>
      <c r="AQ105" s="71" t="str">
        <f t="shared" si="19"/>
        <v/>
      </c>
      <c r="AR105" s="71" t="str">
        <f t="shared" si="21"/>
        <v/>
      </c>
      <c r="AS105" s="71" t="str">
        <f t="shared" si="22"/>
        <v/>
      </c>
      <c r="AT105" s="69" t="str">
        <f t="shared" si="20"/>
        <v>Belum Dapat Ditentukan</v>
      </c>
      <c r="AU105" s="66" t="s">
        <v>1204</v>
      </c>
      <c r="AV105" s="66" t="s">
        <v>1205</v>
      </c>
      <c r="AW105" s="66" t="s">
        <v>1191</v>
      </c>
      <c r="AX105" s="66"/>
      <c r="AY105" s="66"/>
      <c r="AZ105" s="66" t="s">
        <v>927</v>
      </c>
      <c r="BA105" s="66"/>
      <c r="BB105" s="72"/>
      <c r="BC105" s="73">
        <v>2026</v>
      </c>
      <c r="BD105" s="66"/>
      <c r="BE105" s="72"/>
      <c r="BF105" s="66" t="s">
        <v>1279</v>
      </c>
    </row>
    <row r="106" spans="1:58" ht="28">
      <c r="A106" s="66" t="s">
        <v>1603</v>
      </c>
      <c r="B106" s="66" t="s">
        <v>1692</v>
      </c>
      <c r="C106" s="66"/>
      <c r="D106" s="66"/>
      <c r="E106" s="66" t="s">
        <v>1308</v>
      </c>
      <c r="F106" s="66" t="s">
        <v>1393</v>
      </c>
      <c r="G106" s="66" t="s">
        <v>1290</v>
      </c>
      <c r="H106" s="66" t="s">
        <v>1263</v>
      </c>
      <c r="I106" s="66" t="s">
        <v>1420</v>
      </c>
      <c r="J106" s="66" t="s">
        <v>1183</v>
      </c>
      <c r="K106" s="66" t="s">
        <v>1278</v>
      </c>
      <c r="L106" s="66" t="s">
        <v>1216</v>
      </c>
      <c r="M106" s="66" t="s">
        <v>1266</v>
      </c>
      <c r="N106" s="66" t="s">
        <v>1216</v>
      </c>
      <c r="O106" s="66" t="s">
        <v>1278</v>
      </c>
      <c r="P106" s="66" t="s">
        <v>1216</v>
      </c>
      <c r="Q106" s="87" t="s">
        <v>1216</v>
      </c>
      <c r="R106" s="87" t="s">
        <v>1216</v>
      </c>
      <c r="S106" s="87" t="s">
        <v>1216</v>
      </c>
      <c r="T106" s="87" t="s">
        <v>1216</v>
      </c>
      <c r="U106" s="87" t="s">
        <v>1216</v>
      </c>
      <c r="V106" s="87" t="s">
        <v>1216</v>
      </c>
      <c r="W106" s="67"/>
      <c r="X106" s="85" t="str">
        <f t="shared" si="13"/>
        <v>Belum Dinilai</v>
      </c>
      <c r="Y106" s="85" t="str">
        <f t="shared" si="14"/>
        <v>Belum Dinilai</v>
      </c>
      <c r="Z106" s="86" t="str">
        <f t="shared" si="15"/>
        <v/>
      </c>
      <c r="AA106" s="86" t="str">
        <f t="shared" si="16"/>
        <v/>
      </c>
      <c r="AB106" s="86" t="str">
        <f t="shared" si="17"/>
        <v/>
      </c>
      <c r="AC106" s="68" t="s">
        <v>1216</v>
      </c>
      <c r="AD106" s="68" t="s">
        <v>1216</v>
      </c>
      <c r="AE106" s="68" t="s">
        <v>1216</v>
      </c>
      <c r="AF106" s="68" t="s">
        <v>1216</v>
      </c>
      <c r="AG106" s="68" t="s">
        <v>1216</v>
      </c>
      <c r="AH106" s="68" t="s">
        <v>1216</v>
      </c>
      <c r="AI106" s="68" t="s">
        <v>1216</v>
      </c>
      <c r="AJ106" s="68" t="s">
        <v>1216</v>
      </c>
      <c r="AK106" s="68" t="s">
        <v>1216</v>
      </c>
      <c r="AL106" s="68"/>
      <c r="AM106" s="68" t="s">
        <v>1216</v>
      </c>
      <c r="AN106" s="68" t="str">
        <f t="shared" si="12"/>
        <v>Belum Dinilai</v>
      </c>
      <c r="AO106" s="68" t="str">
        <f t="shared" si="18"/>
        <v>Belum Dinilai</v>
      </c>
      <c r="AP106" s="68"/>
      <c r="AQ106" s="71" t="str">
        <f t="shared" si="19"/>
        <v/>
      </c>
      <c r="AR106" s="71" t="str">
        <f t="shared" si="21"/>
        <v/>
      </c>
      <c r="AS106" s="71" t="str">
        <f t="shared" si="22"/>
        <v/>
      </c>
      <c r="AT106" s="69" t="str">
        <f t="shared" si="20"/>
        <v>Belum Dapat Ditentukan</v>
      </c>
      <c r="AU106" s="66" t="s">
        <v>1204</v>
      </c>
      <c r="AV106" s="66" t="s">
        <v>1205</v>
      </c>
      <c r="AW106" s="66" t="s">
        <v>1191</v>
      </c>
      <c r="AX106" s="66"/>
      <c r="AY106" s="66"/>
      <c r="AZ106" s="66" t="s">
        <v>927</v>
      </c>
      <c r="BA106" s="66"/>
      <c r="BB106" s="72"/>
      <c r="BC106" s="73">
        <v>2026</v>
      </c>
      <c r="BD106" s="66"/>
      <c r="BE106" s="72"/>
      <c r="BF106" s="66" t="s">
        <v>1279</v>
      </c>
    </row>
    <row r="107" spans="1:58" ht="28">
      <c r="A107" s="66" t="s">
        <v>1608</v>
      </c>
      <c r="B107" s="66" t="s">
        <v>1694</v>
      </c>
      <c r="C107" s="66"/>
      <c r="D107" s="66"/>
      <c r="E107" s="66" t="s">
        <v>1308</v>
      </c>
      <c r="F107" s="66" t="s">
        <v>1319</v>
      </c>
      <c r="G107" s="66" t="s">
        <v>1290</v>
      </c>
      <c r="H107" s="66" t="s">
        <v>1263</v>
      </c>
      <c r="I107" s="66" t="s">
        <v>1695</v>
      </c>
      <c r="J107" s="66" t="s">
        <v>1211</v>
      </c>
      <c r="K107" s="66" t="s">
        <v>1278</v>
      </c>
      <c r="L107" s="66" t="s">
        <v>1216</v>
      </c>
      <c r="M107" s="66" t="s">
        <v>1267</v>
      </c>
      <c r="N107" s="66" t="s">
        <v>1216</v>
      </c>
      <c r="O107" s="66" t="s">
        <v>1282</v>
      </c>
      <c r="P107" s="66" t="s">
        <v>1283</v>
      </c>
      <c r="Q107" s="87" t="s">
        <v>1216</v>
      </c>
      <c r="R107" s="87" t="s">
        <v>1216</v>
      </c>
      <c r="S107" s="87" t="s">
        <v>1216</v>
      </c>
      <c r="T107" s="87" t="s">
        <v>1216</v>
      </c>
      <c r="U107" s="87" t="s">
        <v>1216</v>
      </c>
      <c r="V107" s="87" t="s">
        <v>1216</v>
      </c>
      <c r="W107" s="67"/>
      <c r="X107" s="85" t="str">
        <f t="shared" si="13"/>
        <v>Belum Dinilai</v>
      </c>
      <c r="Y107" s="85" t="str">
        <f t="shared" si="14"/>
        <v>Belum Dinilai</v>
      </c>
      <c r="Z107" s="86" t="str">
        <f t="shared" si="15"/>
        <v/>
      </c>
      <c r="AA107" s="86" t="str">
        <f t="shared" si="16"/>
        <v/>
      </c>
      <c r="AB107" s="86" t="str">
        <f t="shared" si="17"/>
        <v/>
      </c>
      <c r="AC107" s="68" t="s">
        <v>1216</v>
      </c>
      <c r="AD107" s="68" t="s">
        <v>1216</v>
      </c>
      <c r="AE107" s="68" t="s">
        <v>1216</v>
      </c>
      <c r="AF107" s="68" t="s">
        <v>1216</v>
      </c>
      <c r="AG107" s="68" t="s">
        <v>1216</v>
      </c>
      <c r="AH107" s="68" t="s">
        <v>1216</v>
      </c>
      <c r="AI107" s="68" t="s">
        <v>1216</v>
      </c>
      <c r="AJ107" s="68" t="s">
        <v>1216</v>
      </c>
      <c r="AK107" s="68" t="s">
        <v>1216</v>
      </c>
      <c r="AL107" s="68"/>
      <c r="AM107" s="68" t="s">
        <v>1216</v>
      </c>
      <c r="AN107" s="68" t="str">
        <f t="shared" si="12"/>
        <v>Belum Dinilai</v>
      </c>
      <c r="AO107" s="68" t="str">
        <f t="shared" si="18"/>
        <v>Belum Dinilai</v>
      </c>
      <c r="AP107" s="68"/>
      <c r="AQ107" s="71" t="str">
        <f t="shared" si="19"/>
        <v/>
      </c>
      <c r="AR107" s="71" t="str">
        <f t="shared" si="21"/>
        <v/>
      </c>
      <c r="AS107" s="71" t="str">
        <f t="shared" si="22"/>
        <v/>
      </c>
      <c r="AT107" s="69" t="str">
        <f t="shared" si="20"/>
        <v>Belum Dapat Ditentukan</v>
      </c>
      <c r="AU107" s="66" t="s">
        <v>1190</v>
      </c>
      <c r="AV107" s="66" t="s">
        <v>1205</v>
      </c>
      <c r="AW107" s="66" t="s">
        <v>1191</v>
      </c>
      <c r="AX107" s="66"/>
      <c r="AY107" s="66"/>
      <c r="AZ107" s="66" t="s">
        <v>927</v>
      </c>
      <c r="BA107" s="66"/>
      <c r="BB107" s="72"/>
      <c r="BC107" s="73">
        <v>2026</v>
      </c>
      <c r="BD107" s="66"/>
      <c r="BE107" s="72"/>
      <c r="BF107" s="66" t="s">
        <v>1279</v>
      </c>
    </row>
    <row r="108" spans="1:58" ht="28">
      <c r="A108" s="66" t="s">
        <v>1611</v>
      </c>
      <c r="B108" s="66" t="s">
        <v>1694</v>
      </c>
      <c r="C108" s="66"/>
      <c r="D108" s="66"/>
      <c r="E108" s="66" t="s">
        <v>1308</v>
      </c>
      <c r="F108" s="66" t="s">
        <v>1319</v>
      </c>
      <c r="G108" s="66" t="s">
        <v>1290</v>
      </c>
      <c r="H108" s="66" t="s">
        <v>1263</v>
      </c>
      <c r="I108" s="66" t="s">
        <v>1697</v>
      </c>
      <c r="J108" s="66" t="s">
        <v>1264</v>
      </c>
      <c r="K108" s="66" t="s">
        <v>1278</v>
      </c>
      <c r="L108" s="66" t="s">
        <v>1216</v>
      </c>
      <c r="M108" s="66" t="s">
        <v>1278</v>
      </c>
      <c r="N108" s="66" t="s">
        <v>1216</v>
      </c>
      <c r="O108" s="66" t="s">
        <v>1278</v>
      </c>
      <c r="P108" s="66" t="s">
        <v>1216</v>
      </c>
      <c r="Q108" s="87" t="s">
        <v>1216</v>
      </c>
      <c r="R108" s="87" t="s">
        <v>1216</v>
      </c>
      <c r="S108" s="87" t="s">
        <v>1216</v>
      </c>
      <c r="T108" s="87" t="s">
        <v>1216</v>
      </c>
      <c r="U108" s="87" t="s">
        <v>1216</v>
      </c>
      <c r="V108" s="87" t="s">
        <v>1216</v>
      </c>
      <c r="W108" s="67"/>
      <c r="X108" s="85" t="str">
        <f t="shared" si="13"/>
        <v>Belum Dinilai</v>
      </c>
      <c r="Y108" s="85" t="str">
        <f t="shared" si="14"/>
        <v>Belum Dinilai</v>
      </c>
      <c r="Z108" s="86" t="str">
        <f t="shared" si="15"/>
        <v/>
      </c>
      <c r="AA108" s="86" t="str">
        <f t="shared" si="16"/>
        <v/>
      </c>
      <c r="AB108" s="86" t="str">
        <f t="shared" si="17"/>
        <v/>
      </c>
      <c r="AC108" s="68" t="s">
        <v>1216</v>
      </c>
      <c r="AD108" s="68" t="s">
        <v>1216</v>
      </c>
      <c r="AE108" s="68" t="s">
        <v>1216</v>
      </c>
      <c r="AF108" s="68" t="s">
        <v>1216</v>
      </c>
      <c r="AG108" s="68" t="s">
        <v>1216</v>
      </c>
      <c r="AH108" s="68" t="s">
        <v>1216</v>
      </c>
      <c r="AI108" s="68" t="s">
        <v>1216</v>
      </c>
      <c r="AJ108" s="68" t="s">
        <v>1216</v>
      </c>
      <c r="AK108" s="68" t="s">
        <v>1216</v>
      </c>
      <c r="AL108" s="68"/>
      <c r="AM108" s="68" t="s">
        <v>1216</v>
      </c>
      <c r="AN108" s="68" t="str">
        <f t="shared" si="12"/>
        <v>Belum Dinilai</v>
      </c>
      <c r="AO108" s="68" t="str">
        <f t="shared" si="18"/>
        <v>Belum Dinilai</v>
      </c>
      <c r="AP108" s="68"/>
      <c r="AQ108" s="71" t="str">
        <f t="shared" si="19"/>
        <v/>
      </c>
      <c r="AR108" s="71" t="str">
        <f t="shared" si="21"/>
        <v/>
      </c>
      <c r="AS108" s="71" t="str">
        <f t="shared" si="22"/>
        <v/>
      </c>
      <c r="AT108" s="69" t="str">
        <f t="shared" si="20"/>
        <v>Belum Dapat Ditentukan</v>
      </c>
      <c r="AU108" s="66" t="s">
        <v>1204</v>
      </c>
      <c r="AV108" s="66" t="s">
        <v>1205</v>
      </c>
      <c r="AW108" s="66" t="s">
        <v>1191</v>
      </c>
      <c r="AX108" s="66"/>
      <c r="AY108" s="66"/>
      <c r="AZ108" s="66" t="s">
        <v>927</v>
      </c>
      <c r="BA108" s="66"/>
      <c r="BB108" s="72"/>
      <c r="BC108" s="73">
        <v>2026</v>
      </c>
      <c r="BD108" s="66"/>
      <c r="BE108" s="72"/>
      <c r="BF108" s="66" t="s">
        <v>1279</v>
      </c>
    </row>
    <row r="109" spans="1:58" ht="28">
      <c r="A109" s="66" t="s">
        <v>1616</v>
      </c>
      <c r="B109" s="66" t="s">
        <v>1699</v>
      </c>
      <c r="C109" s="66"/>
      <c r="D109" s="66"/>
      <c r="E109" s="66" t="s">
        <v>1700</v>
      </c>
      <c r="F109" s="66" t="s">
        <v>1481</v>
      </c>
      <c r="G109" s="66" t="s">
        <v>1314</v>
      </c>
      <c r="H109" s="66" t="s">
        <v>1196</v>
      </c>
      <c r="I109" s="66" t="s">
        <v>1701</v>
      </c>
      <c r="J109" s="66" t="s">
        <v>1183</v>
      </c>
      <c r="K109" s="66" t="s">
        <v>1278</v>
      </c>
      <c r="L109" s="66" t="s">
        <v>1216</v>
      </c>
      <c r="M109" s="66" t="s">
        <v>1213</v>
      </c>
      <c r="N109" s="66" t="s">
        <v>1216</v>
      </c>
      <c r="O109" s="66" t="s">
        <v>1214</v>
      </c>
      <c r="P109" s="66" t="s">
        <v>1216</v>
      </c>
      <c r="Q109" s="87" t="s">
        <v>1216</v>
      </c>
      <c r="R109" s="87" t="s">
        <v>1216</v>
      </c>
      <c r="S109" s="87" t="s">
        <v>1216</v>
      </c>
      <c r="T109" s="87" t="s">
        <v>1216</v>
      </c>
      <c r="U109" s="87" t="s">
        <v>1216</v>
      </c>
      <c r="V109" s="87" t="s">
        <v>1216</v>
      </c>
      <c r="W109" s="67"/>
      <c r="X109" s="85" t="str">
        <f t="shared" si="13"/>
        <v>Belum Dinilai</v>
      </c>
      <c r="Y109" s="85" t="str">
        <f t="shared" si="14"/>
        <v>Belum Dinilai</v>
      </c>
      <c r="Z109" s="86" t="str">
        <f t="shared" si="15"/>
        <v/>
      </c>
      <c r="AA109" s="86" t="str">
        <f t="shared" si="16"/>
        <v/>
      </c>
      <c r="AB109" s="86" t="str">
        <f t="shared" si="17"/>
        <v/>
      </c>
      <c r="AC109" s="68" t="s">
        <v>1216</v>
      </c>
      <c r="AD109" s="68" t="s">
        <v>1216</v>
      </c>
      <c r="AE109" s="68" t="s">
        <v>1216</v>
      </c>
      <c r="AF109" s="68" t="s">
        <v>1216</v>
      </c>
      <c r="AG109" s="68" t="s">
        <v>1216</v>
      </c>
      <c r="AH109" s="68" t="s">
        <v>1216</v>
      </c>
      <c r="AI109" s="68" t="s">
        <v>1216</v>
      </c>
      <c r="AJ109" s="68" t="s">
        <v>1216</v>
      </c>
      <c r="AK109" s="68" t="s">
        <v>1216</v>
      </c>
      <c r="AL109" s="68"/>
      <c r="AM109" s="68" t="s">
        <v>1216</v>
      </c>
      <c r="AN109" s="68" t="str">
        <f t="shared" si="12"/>
        <v>Belum Dinilai</v>
      </c>
      <c r="AO109" s="68" t="str">
        <f t="shared" si="18"/>
        <v>Belum Dinilai</v>
      </c>
      <c r="AP109" s="68"/>
      <c r="AQ109" s="71" t="str">
        <f t="shared" si="19"/>
        <v/>
      </c>
      <c r="AR109" s="71" t="str">
        <f t="shared" si="21"/>
        <v/>
      </c>
      <c r="AS109" s="71" t="str">
        <f t="shared" si="22"/>
        <v/>
      </c>
      <c r="AT109" s="69" t="str">
        <f t="shared" si="20"/>
        <v>Belum Dapat Ditentukan</v>
      </c>
      <c r="AU109" s="66" t="s">
        <v>1204</v>
      </c>
      <c r="AV109" s="66" t="s">
        <v>1205</v>
      </c>
      <c r="AW109" s="66" t="s">
        <v>1909</v>
      </c>
      <c r="AX109" s="66" t="s">
        <v>1218</v>
      </c>
      <c r="AY109" s="66">
        <v>2023</v>
      </c>
      <c r="AZ109" s="66" t="s">
        <v>927</v>
      </c>
      <c r="BA109" s="66"/>
      <c r="BB109" s="72"/>
      <c r="BC109" s="73">
        <v>2026</v>
      </c>
      <c r="BD109" s="66"/>
      <c r="BE109" s="72"/>
      <c r="BF109" s="66" t="s">
        <v>1279</v>
      </c>
    </row>
    <row r="110" spans="1:58" ht="28">
      <c r="A110" s="66" t="s">
        <v>1619</v>
      </c>
      <c r="B110" s="66" t="s">
        <v>1703</v>
      </c>
      <c r="C110" s="66"/>
      <c r="D110" s="66"/>
      <c r="E110" s="66" t="s">
        <v>1308</v>
      </c>
      <c r="F110" s="66" t="s">
        <v>1481</v>
      </c>
      <c r="G110" s="66" t="s">
        <v>1314</v>
      </c>
      <c r="H110" s="66" t="s">
        <v>1196</v>
      </c>
      <c r="I110" s="66" t="s">
        <v>1704</v>
      </c>
      <c r="J110" s="66" t="s">
        <v>1183</v>
      </c>
      <c r="K110" s="66" t="s">
        <v>1278</v>
      </c>
      <c r="L110" s="66" t="s">
        <v>1216</v>
      </c>
      <c r="M110" s="66" t="s">
        <v>1213</v>
      </c>
      <c r="N110" s="66" t="s">
        <v>1216</v>
      </c>
      <c r="O110" s="66" t="s">
        <v>1278</v>
      </c>
      <c r="P110" s="66" t="s">
        <v>1216</v>
      </c>
      <c r="Q110" s="87" t="s">
        <v>1216</v>
      </c>
      <c r="R110" s="87" t="s">
        <v>1216</v>
      </c>
      <c r="S110" s="87" t="s">
        <v>1216</v>
      </c>
      <c r="T110" s="87" t="s">
        <v>1216</v>
      </c>
      <c r="U110" s="87" t="s">
        <v>1216</v>
      </c>
      <c r="V110" s="87" t="s">
        <v>1216</v>
      </c>
      <c r="W110" s="67"/>
      <c r="X110" s="85" t="str">
        <f t="shared" si="13"/>
        <v>Belum Dinilai</v>
      </c>
      <c r="Y110" s="85" t="str">
        <f t="shared" si="14"/>
        <v>Belum Dinilai</v>
      </c>
      <c r="Z110" s="86" t="str">
        <f t="shared" si="15"/>
        <v/>
      </c>
      <c r="AA110" s="86" t="str">
        <f t="shared" si="16"/>
        <v/>
      </c>
      <c r="AB110" s="86" t="str">
        <f t="shared" si="17"/>
        <v/>
      </c>
      <c r="AC110" s="68" t="s">
        <v>1216</v>
      </c>
      <c r="AD110" s="68" t="s">
        <v>1216</v>
      </c>
      <c r="AE110" s="68" t="s">
        <v>1216</v>
      </c>
      <c r="AF110" s="68" t="s">
        <v>1216</v>
      </c>
      <c r="AG110" s="68" t="s">
        <v>1216</v>
      </c>
      <c r="AH110" s="68" t="s">
        <v>1216</v>
      </c>
      <c r="AI110" s="68" t="s">
        <v>1216</v>
      </c>
      <c r="AJ110" s="68" t="s">
        <v>1216</v>
      </c>
      <c r="AK110" s="68" t="s">
        <v>1216</v>
      </c>
      <c r="AL110" s="68"/>
      <c r="AM110" s="68" t="s">
        <v>1216</v>
      </c>
      <c r="AN110" s="68" t="str">
        <f t="shared" si="12"/>
        <v>Belum Dinilai</v>
      </c>
      <c r="AO110" s="68" t="str">
        <f t="shared" si="18"/>
        <v>Belum Dinilai</v>
      </c>
      <c r="AP110" s="68"/>
      <c r="AQ110" s="71" t="str">
        <f t="shared" si="19"/>
        <v/>
      </c>
      <c r="AR110" s="71" t="str">
        <f t="shared" si="21"/>
        <v/>
      </c>
      <c r="AS110" s="71" t="str">
        <f t="shared" si="22"/>
        <v/>
      </c>
      <c r="AT110" s="69" t="str">
        <f t="shared" si="20"/>
        <v>Belum Dapat Ditentukan</v>
      </c>
      <c r="AU110" s="66" t="s">
        <v>1190</v>
      </c>
      <c r="AV110" s="66" t="s">
        <v>1205</v>
      </c>
      <c r="AW110" s="66" t="s">
        <v>1191</v>
      </c>
      <c r="AX110" s="66"/>
      <c r="AY110" s="66"/>
      <c r="AZ110" s="66" t="s">
        <v>927</v>
      </c>
      <c r="BA110" s="66"/>
      <c r="BB110" s="72"/>
      <c r="BC110" s="73">
        <v>2026</v>
      </c>
      <c r="BD110" s="66"/>
      <c r="BE110" s="72"/>
      <c r="BF110" s="66" t="s">
        <v>1279</v>
      </c>
    </row>
    <row r="111" spans="1:58" ht="28">
      <c r="A111" s="66" t="s">
        <v>1623</v>
      </c>
      <c r="B111" s="66" t="s">
        <v>1706</v>
      </c>
      <c r="C111" s="66"/>
      <c r="D111" s="66"/>
      <c r="E111" s="66" t="s">
        <v>1707</v>
      </c>
      <c r="F111" s="66" t="s">
        <v>1481</v>
      </c>
      <c r="G111" s="66" t="s">
        <v>1314</v>
      </c>
      <c r="H111" s="66" t="s">
        <v>1196</v>
      </c>
      <c r="I111" s="66" t="s">
        <v>1704</v>
      </c>
      <c r="J111" s="66" t="s">
        <v>1183</v>
      </c>
      <c r="K111" s="66" t="s">
        <v>1278</v>
      </c>
      <c r="L111" s="66" t="s">
        <v>1216</v>
      </c>
      <c r="M111" s="66" t="s">
        <v>1213</v>
      </c>
      <c r="N111" s="66" t="s">
        <v>1216</v>
      </c>
      <c r="O111" s="66" t="s">
        <v>1278</v>
      </c>
      <c r="P111" s="66" t="s">
        <v>1216</v>
      </c>
      <c r="Q111" s="87" t="s">
        <v>1216</v>
      </c>
      <c r="R111" s="87" t="s">
        <v>1216</v>
      </c>
      <c r="S111" s="87" t="s">
        <v>1216</v>
      </c>
      <c r="T111" s="87" t="s">
        <v>1216</v>
      </c>
      <c r="U111" s="87" t="s">
        <v>1216</v>
      </c>
      <c r="V111" s="87" t="s">
        <v>1216</v>
      </c>
      <c r="W111" s="67"/>
      <c r="X111" s="85" t="str">
        <f t="shared" si="13"/>
        <v>Belum Dinilai</v>
      </c>
      <c r="Y111" s="85" t="str">
        <f t="shared" si="14"/>
        <v>Belum Dinilai</v>
      </c>
      <c r="Z111" s="86" t="str">
        <f t="shared" si="15"/>
        <v/>
      </c>
      <c r="AA111" s="86" t="str">
        <f t="shared" si="16"/>
        <v/>
      </c>
      <c r="AB111" s="86" t="str">
        <f t="shared" si="17"/>
        <v/>
      </c>
      <c r="AC111" s="68" t="s">
        <v>1216</v>
      </c>
      <c r="AD111" s="68" t="s">
        <v>1216</v>
      </c>
      <c r="AE111" s="68" t="s">
        <v>1216</v>
      </c>
      <c r="AF111" s="68" t="s">
        <v>1216</v>
      </c>
      <c r="AG111" s="68" t="s">
        <v>1216</v>
      </c>
      <c r="AH111" s="68" t="s">
        <v>1216</v>
      </c>
      <c r="AI111" s="68" t="s">
        <v>1216</v>
      </c>
      <c r="AJ111" s="68" t="s">
        <v>1216</v>
      </c>
      <c r="AK111" s="68" t="s">
        <v>1216</v>
      </c>
      <c r="AL111" s="68"/>
      <c r="AM111" s="68" t="s">
        <v>1216</v>
      </c>
      <c r="AN111" s="68" t="str">
        <f t="shared" si="12"/>
        <v>Belum Dinilai</v>
      </c>
      <c r="AO111" s="68" t="str">
        <f t="shared" si="18"/>
        <v>Belum Dinilai</v>
      </c>
      <c r="AP111" s="68"/>
      <c r="AQ111" s="71" t="str">
        <f t="shared" si="19"/>
        <v/>
      </c>
      <c r="AR111" s="71" t="str">
        <f t="shared" si="21"/>
        <v/>
      </c>
      <c r="AS111" s="71" t="str">
        <f t="shared" si="22"/>
        <v/>
      </c>
      <c r="AT111" s="69" t="str">
        <f t="shared" si="20"/>
        <v>Belum Dapat Ditentukan</v>
      </c>
      <c r="AU111" s="66" t="s">
        <v>1204</v>
      </c>
      <c r="AV111" s="66" t="s">
        <v>1205</v>
      </c>
      <c r="AW111" s="66" t="s">
        <v>1191</v>
      </c>
      <c r="AX111" s="66"/>
      <c r="AY111" s="66"/>
      <c r="AZ111" s="66" t="s">
        <v>927</v>
      </c>
      <c r="BA111" s="66"/>
      <c r="BB111" s="72"/>
      <c r="BC111" s="73">
        <v>2026</v>
      </c>
      <c r="BD111" s="66"/>
      <c r="BE111" s="72"/>
      <c r="BF111" s="66" t="s">
        <v>1279</v>
      </c>
    </row>
    <row r="112" spans="1:58" ht="28">
      <c r="A112" s="66" t="s">
        <v>1625</v>
      </c>
      <c r="B112" s="66" t="s">
        <v>1709</v>
      </c>
      <c r="C112" s="66"/>
      <c r="D112" s="66"/>
      <c r="E112" s="66" t="s">
        <v>1710</v>
      </c>
      <c r="F112" s="66" t="s">
        <v>1649</v>
      </c>
      <c r="G112" s="66" t="s">
        <v>1276</v>
      </c>
      <c r="H112" s="66" t="s">
        <v>1182</v>
      </c>
      <c r="I112" s="66" t="s">
        <v>1291</v>
      </c>
      <c r="J112" s="66" t="s">
        <v>1211</v>
      </c>
      <c r="K112" s="66" t="s">
        <v>1278</v>
      </c>
      <c r="L112" s="66" t="s">
        <v>1216</v>
      </c>
      <c r="M112" s="66" t="s">
        <v>1267</v>
      </c>
      <c r="N112" s="66" t="s">
        <v>1216</v>
      </c>
      <c r="O112" s="66" t="s">
        <v>1278</v>
      </c>
      <c r="P112" s="66" t="s">
        <v>1216</v>
      </c>
      <c r="Q112" s="87" t="s">
        <v>1216</v>
      </c>
      <c r="R112" s="87" t="s">
        <v>1216</v>
      </c>
      <c r="S112" s="87" t="s">
        <v>1216</v>
      </c>
      <c r="T112" s="87" t="s">
        <v>1216</v>
      </c>
      <c r="U112" s="87" t="s">
        <v>1216</v>
      </c>
      <c r="V112" s="87" t="s">
        <v>1216</v>
      </c>
      <c r="W112" s="67"/>
      <c r="X112" s="85" t="str">
        <f t="shared" si="13"/>
        <v>Belum Dinilai</v>
      </c>
      <c r="Y112" s="85" t="str">
        <f t="shared" si="14"/>
        <v>Belum Dinilai</v>
      </c>
      <c r="Z112" s="86" t="str">
        <f t="shared" si="15"/>
        <v/>
      </c>
      <c r="AA112" s="86" t="str">
        <f t="shared" si="16"/>
        <v/>
      </c>
      <c r="AB112" s="86" t="str">
        <f t="shared" si="17"/>
        <v/>
      </c>
      <c r="AC112" s="68" t="s">
        <v>1216</v>
      </c>
      <c r="AD112" s="68" t="s">
        <v>1216</v>
      </c>
      <c r="AE112" s="68" t="s">
        <v>1216</v>
      </c>
      <c r="AF112" s="68" t="s">
        <v>1216</v>
      </c>
      <c r="AG112" s="68" t="s">
        <v>1216</v>
      </c>
      <c r="AH112" s="68" t="s">
        <v>1216</v>
      </c>
      <c r="AI112" s="68" t="s">
        <v>1216</v>
      </c>
      <c r="AJ112" s="68" t="s">
        <v>1216</v>
      </c>
      <c r="AK112" s="68" t="s">
        <v>1216</v>
      </c>
      <c r="AL112" s="68"/>
      <c r="AM112" s="68" t="s">
        <v>1216</v>
      </c>
      <c r="AN112" s="68" t="str">
        <f t="shared" si="12"/>
        <v>Belum Dinilai</v>
      </c>
      <c r="AO112" s="68" t="str">
        <f t="shared" si="18"/>
        <v>Belum Dinilai</v>
      </c>
      <c r="AP112" s="68"/>
      <c r="AQ112" s="71" t="str">
        <f t="shared" si="19"/>
        <v/>
      </c>
      <c r="AR112" s="71" t="str">
        <f t="shared" si="21"/>
        <v/>
      </c>
      <c r="AS112" s="71" t="str">
        <f t="shared" si="22"/>
        <v/>
      </c>
      <c r="AT112" s="69" t="str">
        <f t="shared" si="20"/>
        <v>Belum Dapat Ditentukan</v>
      </c>
      <c r="AU112" s="66" t="s">
        <v>1204</v>
      </c>
      <c r="AV112" s="66" t="s">
        <v>1205</v>
      </c>
      <c r="AW112" s="66" t="s">
        <v>1191</v>
      </c>
      <c r="AX112" s="66"/>
      <c r="AY112" s="66"/>
      <c r="AZ112" s="66" t="s">
        <v>927</v>
      </c>
      <c r="BA112" s="66"/>
      <c r="BB112" s="72"/>
      <c r="BC112" s="73">
        <v>2026</v>
      </c>
      <c r="BD112" s="66"/>
      <c r="BE112" s="72"/>
      <c r="BF112" s="66" t="s">
        <v>1279</v>
      </c>
    </row>
    <row r="113" spans="1:58" ht="28">
      <c r="A113" s="66" t="s">
        <v>1629</v>
      </c>
      <c r="B113" s="66" t="s">
        <v>1712</v>
      </c>
      <c r="C113" s="66"/>
      <c r="D113" s="66"/>
      <c r="E113" s="66" t="s">
        <v>1710</v>
      </c>
      <c r="F113" s="66" t="s">
        <v>1649</v>
      </c>
      <c r="G113" s="66" t="s">
        <v>1276</v>
      </c>
      <c r="H113" s="66" t="s">
        <v>1182</v>
      </c>
      <c r="I113" s="66" t="s">
        <v>1713</v>
      </c>
      <c r="J113" s="66" t="s">
        <v>1211</v>
      </c>
      <c r="K113" s="66" t="s">
        <v>1278</v>
      </c>
      <c r="L113" s="66" t="s">
        <v>1216</v>
      </c>
      <c r="M113" s="66" t="s">
        <v>1267</v>
      </c>
      <c r="N113" s="66" t="s">
        <v>1216</v>
      </c>
      <c r="O113" s="66" t="s">
        <v>1278</v>
      </c>
      <c r="P113" s="66" t="s">
        <v>1216</v>
      </c>
      <c r="Q113" s="87" t="s">
        <v>1216</v>
      </c>
      <c r="R113" s="87" t="s">
        <v>1216</v>
      </c>
      <c r="S113" s="87" t="s">
        <v>1216</v>
      </c>
      <c r="T113" s="87" t="s">
        <v>1216</v>
      </c>
      <c r="U113" s="87" t="s">
        <v>1216</v>
      </c>
      <c r="V113" s="87" t="s">
        <v>1216</v>
      </c>
      <c r="W113" s="67"/>
      <c r="X113" s="85" t="str">
        <f t="shared" si="13"/>
        <v>Belum Dinilai</v>
      </c>
      <c r="Y113" s="85" t="str">
        <f t="shared" si="14"/>
        <v>Belum Dinilai</v>
      </c>
      <c r="Z113" s="86" t="str">
        <f t="shared" si="15"/>
        <v/>
      </c>
      <c r="AA113" s="86" t="str">
        <f t="shared" si="16"/>
        <v/>
      </c>
      <c r="AB113" s="86" t="str">
        <f t="shared" si="17"/>
        <v/>
      </c>
      <c r="AC113" s="68" t="s">
        <v>1216</v>
      </c>
      <c r="AD113" s="68" t="s">
        <v>1216</v>
      </c>
      <c r="AE113" s="68" t="s">
        <v>1216</v>
      </c>
      <c r="AF113" s="68" t="s">
        <v>1216</v>
      </c>
      <c r="AG113" s="68" t="s">
        <v>1216</v>
      </c>
      <c r="AH113" s="68" t="s">
        <v>1216</v>
      </c>
      <c r="AI113" s="68" t="s">
        <v>1216</v>
      </c>
      <c r="AJ113" s="68" t="s">
        <v>1216</v>
      </c>
      <c r="AK113" s="68" t="s">
        <v>1216</v>
      </c>
      <c r="AL113" s="68"/>
      <c r="AM113" s="68" t="s">
        <v>1216</v>
      </c>
      <c r="AN113" s="68" t="str">
        <f t="shared" si="12"/>
        <v>Belum Dinilai</v>
      </c>
      <c r="AO113" s="68" t="str">
        <f t="shared" si="18"/>
        <v>Belum Dinilai</v>
      </c>
      <c r="AP113" s="68"/>
      <c r="AQ113" s="71" t="str">
        <f t="shared" si="19"/>
        <v/>
      </c>
      <c r="AR113" s="71" t="str">
        <f t="shared" si="21"/>
        <v/>
      </c>
      <c r="AS113" s="71" t="str">
        <f t="shared" si="22"/>
        <v/>
      </c>
      <c r="AT113" s="69" t="str">
        <f t="shared" si="20"/>
        <v>Belum Dapat Ditentukan</v>
      </c>
      <c r="AU113" s="66" t="s">
        <v>1204</v>
      </c>
      <c r="AV113" s="66" t="s">
        <v>1205</v>
      </c>
      <c r="AW113" s="66" t="s">
        <v>1191</v>
      </c>
      <c r="AX113" s="66"/>
      <c r="AY113" s="66"/>
      <c r="AZ113" s="66" t="s">
        <v>927</v>
      </c>
      <c r="BA113" s="66"/>
      <c r="BB113" s="72"/>
      <c r="BC113" s="73">
        <v>2026</v>
      </c>
      <c r="BD113" s="66"/>
      <c r="BE113" s="72"/>
      <c r="BF113" s="66" t="s">
        <v>1279</v>
      </c>
    </row>
    <row r="114" spans="1:58" ht="28">
      <c r="A114" s="66" t="s">
        <v>1633</v>
      </c>
      <c r="B114" s="66" t="s">
        <v>1715</v>
      </c>
      <c r="C114" s="66"/>
      <c r="D114" s="66"/>
      <c r="E114" s="66" t="s">
        <v>1710</v>
      </c>
      <c r="F114" s="66" t="s">
        <v>1649</v>
      </c>
      <c r="G114" s="66" t="s">
        <v>1276</v>
      </c>
      <c r="H114" s="66" t="s">
        <v>1182</v>
      </c>
      <c r="I114" s="66" t="s">
        <v>1716</v>
      </c>
      <c r="J114" s="66" t="s">
        <v>1211</v>
      </c>
      <c r="K114" s="66" t="s">
        <v>1278</v>
      </c>
      <c r="L114" s="66" t="s">
        <v>1216</v>
      </c>
      <c r="M114" s="66" t="s">
        <v>1267</v>
      </c>
      <c r="N114" s="66" t="s">
        <v>1216</v>
      </c>
      <c r="O114" s="66" t="s">
        <v>1214</v>
      </c>
      <c r="P114" s="66" t="s">
        <v>1216</v>
      </c>
      <c r="Q114" s="87" t="s">
        <v>1216</v>
      </c>
      <c r="R114" s="87" t="s">
        <v>1216</v>
      </c>
      <c r="S114" s="87" t="s">
        <v>1216</v>
      </c>
      <c r="T114" s="87" t="s">
        <v>1216</v>
      </c>
      <c r="U114" s="87" t="s">
        <v>1216</v>
      </c>
      <c r="V114" s="87" t="s">
        <v>1216</v>
      </c>
      <c r="W114" s="67"/>
      <c r="X114" s="85" t="str">
        <f t="shared" si="13"/>
        <v>Belum Dinilai</v>
      </c>
      <c r="Y114" s="85" t="str">
        <f t="shared" si="14"/>
        <v>Belum Dinilai</v>
      </c>
      <c r="Z114" s="86" t="str">
        <f t="shared" si="15"/>
        <v/>
      </c>
      <c r="AA114" s="86" t="str">
        <f t="shared" si="16"/>
        <v/>
      </c>
      <c r="AB114" s="86" t="str">
        <f t="shared" si="17"/>
        <v/>
      </c>
      <c r="AC114" s="68" t="s">
        <v>1216</v>
      </c>
      <c r="AD114" s="68" t="s">
        <v>1216</v>
      </c>
      <c r="AE114" s="68" t="s">
        <v>1216</v>
      </c>
      <c r="AF114" s="68" t="s">
        <v>1216</v>
      </c>
      <c r="AG114" s="68" t="s">
        <v>1216</v>
      </c>
      <c r="AH114" s="68" t="s">
        <v>1216</v>
      </c>
      <c r="AI114" s="68" t="s">
        <v>1216</v>
      </c>
      <c r="AJ114" s="68" t="s">
        <v>1216</v>
      </c>
      <c r="AK114" s="68" t="s">
        <v>1216</v>
      </c>
      <c r="AL114" s="68"/>
      <c r="AM114" s="68" t="s">
        <v>1216</v>
      </c>
      <c r="AN114" s="68" t="str">
        <f t="shared" si="12"/>
        <v>Belum Dinilai</v>
      </c>
      <c r="AO114" s="68" t="str">
        <f t="shared" si="18"/>
        <v>Belum Dinilai</v>
      </c>
      <c r="AP114" s="68"/>
      <c r="AQ114" s="71" t="str">
        <f t="shared" si="19"/>
        <v/>
      </c>
      <c r="AR114" s="71" t="str">
        <f t="shared" si="21"/>
        <v/>
      </c>
      <c r="AS114" s="71" t="str">
        <f t="shared" si="22"/>
        <v/>
      </c>
      <c r="AT114" s="69" t="str">
        <f t="shared" si="20"/>
        <v>Belum Dapat Ditentukan</v>
      </c>
      <c r="AU114" s="66" t="s">
        <v>1190</v>
      </c>
      <c r="AV114" s="66" t="s">
        <v>1205</v>
      </c>
      <c r="AW114" s="66" t="s">
        <v>1909</v>
      </c>
      <c r="AX114" s="66" t="s">
        <v>1207</v>
      </c>
      <c r="AY114" s="66">
        <v>2021</v>
      </c>
      <c r="AZ114" s="66" t="s">
        <v>927</v>
      </c>
      <c r="BA114" s="66"/>
      <c r="BB114" s="72"/>
      <c r="BC114" s="73">
        <v>2026</v>
      </c>
      <c r="BD114" s="66"/>
      <c r="BE114" s="72"/>
      <c r="BF114" s="66" t="s">
        <v>1279</v>
      </c>
    </row>
    <row r="115" spans="1:58" ht="28">
      <c r="A115" s="66" t="s">
        <v>1636</v>
      </c>
      <c r="B115" s="66" t="s">
        <v>1718</v>
      </c>
      <c r="C115" s="66"/>
      <c r="D115" s="66"/>
      <c r="E115" s="66" t="s">
        <v>1710</v>
      </c>
      <c r="F115" s="66" t="s">
        <v>1649</v>
      </c>
      <c r="G115" s="66" t="s">
        <v>1276</v>
      </c>
      <c r="H115" s="66" t="s">
        <v>1182</v>
      </c>
      <c r="I115" s="66" t="s">
        <v>1716</v>
      </c>
      <c r="J115" s="66" t="s">
        <v>1211</v>
      </c>
      <c r="K115" s="66" t="s">
        <v>1278</v>
      </c>
      <c r="L115" s="66" t="s">
        <v>1216</v>
      </c>
      <c r="M115" s="66" t="s">
        <v>1267</v>
      </c>
      <c r="N115" s="66" t="s">
        <v>1216</v>
      </c>
      <c r="O115" s="66" t="s">
        <v>1214</v>
      </c>
      <c r="P115" s="66" t="s">
        <v>1216</v>
      </c>
      <c r="Q115" s="87" t="s">
        <v>1216</v>
      </c>
      <c r="R115" s="87" t="s">
        <v>1216</v>
      </c>
      <c r="S115" s="87" t="s">
        <v>1216</v>
      </c>
      <c r="T115" s="87" t="s">
        <v>1216</v>
      </c>
      <c r="U115" s="87" t="s">
        <v>1216</v>
      </c>
      <c r="V115" s="87" t="s">
        <v>1216</v>
      </c>
      <c r="W115" s="67"/>
      <c r="X115" s="85" t="str">
        <f t="shared" si="13"/>
        <v>Belum Dinilai</v>
      </c>
      <c r="Y115" s="85" t="str">
        <f t="shared" si="14"/>
        <v>Belum Dinilai</v>
      </c>
      <c r="Z115" s="86" t="str">
        <f t="shared" si="15"/>
        <v/>
      </c>
      <c r="AA115" s="86" t="str">
        <f t="shared" si="16"/>
        <v/>
      </c>
      <c r="AB115" s="86" t="str">
        <f t="shared" si="17"/>
        <v/>
      </c>
      <c r="AC115" s="68" t="s">
        <v>1216</v>
      </c>
      <c r="AD115" s="68" t="s">
        <v>1216</v>
      </c>
      <c r="AE115" s="68" t="s">
        <v>1216</v>
      </c>
      <c r="AF115" s="68" t="s">
        <v>1216</v>
      </c>
      <c r="AG115" s="68" t="s">
        <v>1216</v>
      </c>
      <c r="AH115" s="68" t="s">
        <v>1216</v>
      </c>
      <c r="AI115" s="68" t="s">
        <v>1216</v>
      </c>
      <c r="AJ115" s="68" t="s">
        <v>1216</v>
      </c>
      <c r="AK115" s="68" t="s">
        <v>1216</v>
      </c>
      <c r="AL115" s="68"/>
      <c r="AM115" s="68" t="s">
        <v>1216</v>
      </c>
      <c r="AN115" s="68" t="str">
        <f t="shared" si="12"/>
        <v>Belum Dinilai</v>
      </c>
      <c r="AO115" s="68" t="str">
        <f t="shared" si="18"/>
        <v>Belum Dinilai</v>
      </c>
      <c r="AP115" s="68"/>
      <c r="AQ115" s="71" t="str">
        <f t="shared" si="19"/>
        <v/>
      </c>
      <c r="AR115" s="71" t="str">
        <f t="shared" si="21"/>
        <v/>
      </c>
      <c r="AS115" s="71" t="str">
        <f t="shared" si="22"/>
        <v/>
      </c>
      <c r="AT115" s="69" t="str">
        <f t="shared" si="20"/>
        <v>Belum Dapat Ditentukan</v>
      </c>
      <c r="AU115" s="66" t="s">
        <v>1190</v>
      </c>
      <c r="AV115" s="66" t="s">
        <v>1205</v>
      </c>
      <c r="AW115" s="66" t="s">
        <v>1191</v>
      </c>
      <c r="AX115" s="66"/>
      <c r="AY115" s="66"/>
      <c r="AZ115" s="66" t="s">
        <v>927</v>
      </c>
      <c r="BA115" s="66"/>
      <c r="BB115" s="72"/>
      <c r="BC115" s="73">
        <v>2026</v>
      </c>
      <c r="BD115" s="66"/>
      <c r="BE115" s="72"/>
      <c r="BF115" s="66" t="s">
        <v>1279</v>
      </c>
    </row>
    <row r="116" spans="1:58" ht="28">
      <c r="A116" s="66" t="s">
        <v>1640</v>
      </c>
      <c r="B116" s="66" t="s">
        <v>1720</v>
      </c>
      <c r="C116" s="66"/>
      <c r="D116" s="66"/>
      <c r="E116" s="66" t="s">
        <v>1710</v>
      </c>
      <c r="F116" s="66" t="s">
        <v>1649</v>
      </c>
      <c r="G116" s="66" t="s">
        <v>1276</v>
      </c>
      <c r="H116" s="66" t="s">
        <v>1182</v>
      </c>
      <c r="I116" s="66" t="s">
        <v>1721</v>
      </c>
      <c r="J116" s="66" t="s">
        <v>1211</v>
      </c>
      <c r="K116" s="66" t="s">
        <v>1278</v>
      </c>
      <c r="L116" s="66" t="s">
        <v>1216</v>
      </c>
      <c r="M116" s="66" t="s">
        <v>1267</v>
      </c>
      <c r="N116" s="66" t="s">
        <v>1216</v>
      </c>
      <c r="O116" s="66" t="s">
        <v>1267</v>
      </c>
      <c r="P116" s="66" t="s">
        <v>1216</v>
      </c>
      <c r="Q116" s="87" t="s">
        <v>1216</v>
      </c>
      <c r="R116" s="87" t="s">
        <v>1216</v>
      </c>
      <c r="S116" s="87" t="s">
        <v>1216</v>
      </c>
      <c r="T116" s="87" t="s">
        <v>1216</v>
      </c>
      <c r="U116" s="87" t="s">
        <v>1216</v>
      </c>
      <c r="V116" s="87" t="s">
        <v>1216</v>
      </c>
      <c r="W116" s="67"/>
      <c r="X116" s="85" t="str">
        <f t="shared" si="13"/>
        <v>Belum Dinilai</v>
      </c>
      <c r="Y116" s="85" t="str">
        <f t="shared" si="14"/>
        <v>Belum Dinilai</v>
      </c>
      <c r="Z116" s="86" t="str">
        <f t="shared" si="15"/>
        <v/>
      </c>
      <c r="AA116" s="86" t="str">
        <f t="shared" si="16"/>
        <v/>
      </c>
      <c r="AB116" s="86" t="str">
        <f t="shared" si="17"/>
        <v/>
      </c>
      <c r="AC116" s="68" t="s">
        <v>1216</v>
      </c>
      <c r="AD116" s="68" t="s">
        <v>1216</v>
      </c>
      <c r="AE116" s="68" t="s">
        <v>1216</v>
      </c>
      <c r="AF116" s="68" t="s">
        <v>1216</v>
      </c>
      <c r="AG116" s="68" t="s">
        <v>1216</v>
      </c>
      <c r="AH116" s="68" t="s">
        <v>1216</v>
      </c>
      <c r="AI116" s="68" t="s">
        <v>1216</v>
      </c>
      <c r="AJ116" s="68" t="s">
        <v>1216</v>
      </c>
      <c r="AK116" s="68" t="s">
        <v>1216</v>
      </c>
      <c r="AL116" s="68"/>
      <c r="AM116" s="68" t="s">
        <v>1216</v>
      </c>
      <c r="AN116" s="68" t="str">
        <f t="shared" si="12"/>
        <v>Belum Dinilai</v>
      </c>
      <c r="AO116" s="68" t="str">
        <f t="shared" si="18"/>
        <v>Belum Dinilai</v>
      </c>
      <c r="AP116" s="68"/>
      <c r="AQ116" s="71" t="str">
        <f t="shared" si="19"/>
        <v/>
      </c>
      <c r="AR116" s="71" t="str">
        <f t="shared" si="21"/>
        <v/>
      </c>
      <c r="AS116" s="71" t="str">
        <f t="shared" si="22"/>
        <v/>
      </c>
      <c r="AT116" s="69" t="str">
        <f t="shared" si="20"/>
        <v>Belum Dapat Ditentukan</v>
      </c>
      <c r="AU116" s="66" t="s">
        <v>1190</v>
      </c>
      <c r="AV116" s="66" t="s">
        <v>1205</v>
      </c>
      <c r="AW116" s="66" t="s">
        <v>1191</v>
      </c>
      <c r="AX116" s="66"/>
      <c r="AY116" s="66"/>
      <c r="AZ116" s="66" t="s">
        <v>927</v>
      </c>
      <c r="BA116" s="66"/>
      <c r="BB116" s="72"/>
      <c r="BC116" s="73">
        <v>2026</v>
      </c>
      <c r="BD116" s="66"/>
      <c r="BE116" s="72"/>
      <c r="BF116" s="66" t="s">
        <v>1279</v>
      </c>
    </row>
    <row r="117" spans="1:58" ht="28">
      <c r="A117" s="66" t="s">
        <v>1643</v>
      </c>
      <c r="B117" s="66" t="s">
        <v>1723</v>
      </c>
      <c r="C117" s="66"/>
      <c r="D117" s="66"/>
      <c r="E117" s="66" t="s">
        <v>1724</v>
      </c>
      <c r="F117" s="66" t="s">
        <v>1275</v>
      </c>
      <c r="G117" s="66" t="s">
        <v>1276</v>
      </c>
      <c r="H117" s="66" t="s">
        <v>1182</v>
      </c>
      <c r="I117" s="66" t="s">
        <v>1725</v>
      </c>
      <c r="J117" s="66" t="s">
        <v>1264</v>
      </c>
      <c r="K117" s="66" t="s">
        <v>1278</v>
      </c>
      <c r="L117" s="66" t="s">
        <v>1216</v>
      </c>
      <c r="M117" s="66" t="s">
        <v>1278</v>
      </c>
      <c r="N117" s="66" t="s">
        <v>1216</v>
      </c>
      <c r="O117" s="66" t="s">
        <v>1214</v>
      </c>
      <c r="P117" s="66" t="s">
        <v>1216</v>
      </c>
      <c r="Q117" s="87" t="s">
        <v>1216</v>
      </c>
      <c r="R117" s="87" t="s">
        <v>1216</v>
      </c>
      <c r="S117" s="87" t="s">
        <v>1216</v>
      </c>
      <c r="T117" s="87" t="s">
        <v>1216</v>
      </c>
      <c r="U117" s="87" t="s">
        <v>1216</v>
      </c>
      <c r="V117" s="87" t="s">
        <v>1216</v>
      </c>
      <c r="W117" s="67"/>
      <c r="X117" s="85" t="str">
        <f t="shared" si="13"/>
        <v>Belum Dinilai</v>
      </c>
      <c r="Y117" s="85" t="str">
        <f t="shared" si="14"/>
        <v>Belum Dinilai</v>
      </c>
      <c r="Z117" s="86" t="str">
        <f t="shared" si="15"/>
        <v/>
      </c>
      <c r="AA117" s="86" t="str">
        <f t="shared" si="16"/>
        <v/>
      </c>
      <c r="AB117" s="86" t="str">
        <f t="shared" si="17"/>
        <v/>
      </c>
      <c r="AC117" s="68" t="s">
        <v>1216</v>
      </c>
      <c r="AD117" s="68" t="s">
        <v>1216</v>
      </c>
      <c r="AE117" s="68" t="s">
        <v>1216</v>
      </c>
      <c r="AF117" s="68" t="s">
        <v>1216</v>
      </c>
      <c r="AG117" s="68" t="s">
        <v>1216</v>
      </c>
      <c r="AH117" s="68" t="s">
        <v>1216</v>
      </c>
      <c r="AI117" s="68" t="s">
        <v>1216</v>
      </c>
      <c r="AJ117" s="68" t="s">
        <v>1216</v>
      </c>
      <c r="AK117" s="68" t="s">
        <v>1216</v>
      </c>
      <c r="AL117" s="68"/>
      <c r="AM117" s="68" t="s">
        <v>1216</v>
      </c>
      <c r="AN117" s="68" t="str">
        <f t="shared" si="12"/>
        <v>Belum Dinilai</v>
      </c>
      <c r="AO117" s="68" t="str">
        <f t="shared" si="18"/>
        <v>Belum Dinilai</v>
      </c>
      <c r="AP117" s="68"/>
      <c r="AQ117" s="71" t="str">
        <f t="shared" si="19"/>
        <v/>
      </c>
      <c r="AR117" s="71" t="str">
        <f t="shared" si="21"/>
        <v/>
      </c>
      <c r="AS117" s="71" t="str">
        <f t="shared" si="22"/>
        <v/>
      </c>
      <c r="AT117" s="69" t="str">
        <f t="shared" si="20"/>
        <v>Belum Dapat Ditentukan</v>
      </c>
      <c r="AU117" s="66" t="s">
        <v>1190</v>
      </c>
      <c r="AV117" s="66" t="s">
        <v>1205</v>
      </c>
      <c r="AW117" s="66" t="s">
        <v>1909</v>
      </c>
      <c r="AX117" s="66" t="s">
        <v>1207</v>
      </c>
      <c r="AY117" s="66">
        <v>2021</v>
      </c>
      <c r="AZ117" s="66" t="s">
        <v>927</v>
      </c>
      <c r="BA117" s="66"/>
      <c r="BB117" s="72"/>
      <c r="BC117" s="73">
        <v>2026</v>
      </c>
      <c r="BD117" s="66"/>
      <c r="BE117" s="72"/>
      <c r="BF117" s="66" t="s">
        <v>1279</v>
      </c>
    </row>
    <row r="118" spans="1:58" ht="28">
      <c r="A118" s="66" t="s">
        <v>1968</v>
      </c>
      <c r="B118" s="66" t="s">
        <v>1727</v>
      </c>
      <c r="C118" s="66"/>
      <c r="D118" s="66"/>
      <c r="E118" s="66" t="s">
        <v>1728</v>
      </c>
      <c r="F118" s="66" t="s">
        <v>1275</v>
      </c>
      <c r="G118" s="66" t="s">
        <v>1276</v>
      </c>
      <c r="H118" s="66" t="s">
        <v>1196</v>
      </c>
      <c r="I118" s="66" t="s">
        <v>1729</v>
      </c>
      <c r="J118" s="66" t="s">
        <v>1197</v>
      </c>
      <c r="K118" s="66" t="s">
        <v>1278</v>
      </c>
      <c r="L118" s="66" t="s">
        <v>1216</v>
      </c>
      <c r="M118" s="66" t="s">
        <v>1309</v>
      </c>
      <c r="N118" s="66" t="s">
        <v>1216</v>
      </c>
      <c r="O118" s="66" t="s">
        <v>1214</v>
      </c>
      <c r="P118" s="66" t="s">
        <v>1216</v>
      </c>
      <c r="Q118" s="87" t="s">
        <v>1216</v>
      </c>
      <c r="R118" s="87" t="s">
        <v>1216</v>
      </c>
      <c r="S118" s="87" t="s">
        <v>1216</v>
      </c>
      <c r="T118" s="87" t="s">
        <v>1216</v>
      </c>
      <c r="U118" s="87" t="s">
        <v>1216</v>
      </c>
      <c r="V118" s="87" t="s">
        <v>1216</v>
      </c>
      <c r="W118" s="67"/>
      <c r="X118" s="85" t="str">
        <f t="shared" si="13"/>
        <v>Belum Dinilai</v>
      </c>
      <c r="Y118" s="85" t="str">
        <f t="shared" si="14"/>
        <v>Belum Dinilai</v>
      </c>
      <c r="Z118" s="86" t="str">
        <f t="shared" si="15"/>
        <v/>
      </c>
      <c r="AA118" s="86" t="str">
        <f t="shared" si="16"/>
        <v/>
      </c>
      <c r="AB118" s="86" t="str">
        <f t="shared" si="17"/>
        <v/>
      </c>
      <c r="AC118" s="68" t="s">
        <v>1216</v>
      </c>
      <c r="AD118" s="68" t="s">
        <v>1216</v>
      </c>
      <c r="AE118" s="68" t="s">
        <v>1216</v>
      </c>
      <c r="AF118" s="68" t="s">
        <v>1216</v>
      </c>
      <c r="AG118" s="68" t="s">
        <v>1216</v>
      </c>
      <c r="AH118" s="68" t="s">
        <v>1216</v>
      </c>
      <c r="AI118" s="68" t="s">
        <v>1216</v>
      </c>
      <c r="AJ118" s="68" t="s">
        <v>1216</v>
      </c>
      <c r="AK118" s="68" t="s">
        <v>1216</v>
      </c>
      <c r="AL118" s="68"/>
      <c r="AM118" s="68" t="s">
        <v>1216</v>
      </c>
      <c r="AN118" s="68" t="str">
        <f t="shared" si="12"/>
        <v>Belum Dinilai</v>
      </c>
      <c r="AO118" s="68" t="str">
        <f t="shared" si="18"/>
        <v>Belum Dinilai</v>
      </c>
      <c r="AP118" s="68"/>
      <c r="AQ118" s="71" t="str">
        <f t="shared" si="19"/>
        <v/>
      </c>
      <c r="AR118" s="71" t="str">
        <f t="shared" si="21"/>
        <v/>
      </c>
      <c r="AS118" s="71" t="str">
        <f t="shared" si="22"/>
        <v/>
      </c>
      <c r="AT118" s="69" t="str">
        <f t="shared" si="20"/>
        <v>Belum Dapat Ditentukan</v>
      </c>
      <c r="AU118" s="66" t="s">
        <v>1190</v>
      </c>
      <c r="AV118" s="66" t="s">
        <v>1205</v>
      </c>
      <c r="AW118" s="66" t="s">
        <v>1909</v>
      </c>
      <c r="AX118" s="66" t="s">
        <v>1207</v>
      </c>
      <c r="AY118" s="66">
        <v>2021</v>
      </c>
      <c r="AZ118" s="66" t="s">
        <v>927</v>
      </c>
      <c r="BA118" s="66"/>
      <c r="BB118" s="72"/>
      <c r="BC118" s="73">
        <v>2026</v>
      </c>
      <c r="BD118" s="66"/>
      <c r="BE118" s="72"/>
      <c r="BF118" s="66" t="s">
        <v>1279</v>
      </c>
    </row>
    <row r="119" spans="1:58" ht="28">
      <c r="A119" s="66" t="s">
        <v>1646</v>
      </c>
      <c r="B119" s="66" t="s">
        <v>1731</v>
      </c>
      <c r="C119" s="66"/>
      <c r="D119" s="66"/>
      <c r="E119" s="66" t="s">
        <v>1732</v>
      </c>
      <c r="F119" s="66" t="s">
        <v>1275</v>
      </c>
      <c r="G119" s="66" t="s">
        <v>1276</v>
      </c>
      <c r="H119" s="66" t="s">
        <v>1182</v>
      </c>
      <c r="I119" s="66" t="s">
        <v>1733</v>
      </c>
      <c r="J119" s="66" t="s">
        <v>1197</v>
      </c>
      <c r="K119" s="66" t="s">
        <v>1278</v>
      </c>
      <c r="L119" s="66" t="s">
        <v>1216</v>
      </c>
      <c r="M119" s="66" t="s">
        <v>1309</v>
      </c>
      <c r="N119" s="66" t="s">
        <v>1216</v>
      </c>
      <c r="O119" s="66" t="s">
        <v>1214</v>
      </c>
      <c r="P119" s="66" t="s">
        <v>1216</v>
      </c>
      <c r="Q119" s="87" t="s">
        <v>1216</v>
      </c>
      <c r="R119" s="87" t="s">
        <v>1216</v>
      </c>
      <c r="S119" s="87" t="s">
        <v>1216</v>
      </c>
      <c r="T119" s="87" t="s">
        <v>1216</v>
      </c>
      <c r="U119" s="87" t="s">
        <v>1216</v>
      </c>
      <c r="V119" s="87" t="s">
        <v>1216</v>
      </c>
      <c r="W119" s="67"/>
      <c r="X119" s="85" t="str">
        <f t="shared" si="13"/>
        <v>Belum Dinilai</v>
      </c>
      <c r="Y119" s="85" t="str">
        <f t="shared" si="14"/>
        <v>Belum Dinilai</v>
      </c>
      <c r="Z119" s="86" t="str">
        <f t="shared" si="15"/>
        <v/>
      </c>
      <c r="AA119" s="86" t="str">
        <f t="shared" si="16"/>
        <v/>
      </c>
      <c r="AB119" s="86" t="str">
        <f t="shared" si="17"/>
        <v/>
      </c>
      <c r="AC119" s="68" t="s">
        <v>1216</v>
      </c>
      <c r="AD119" s="68" t="s">
        <v>1216</v>
      </c>
      <c r="AE119" s="68" t="s">
        <v>1216</v>
      </c>
      <c r="AF119" s="68" t="s">
        <v>1216</v>
      </c>
      <c r="AG119" s="68" t="s">
        <v>1216</v>
      </c>
      <c r="AH119" s="68" t="s">
        <v>1216</v>
      </c>
      <c r="AI119" s="68" t="s">
        <v>1216</v>
      </c>
      <c r="AJ119" s="68" t="s">
        <v>1216</v>
      </c>
      <c r="AK119" s="68" t="s">
        <v>1216</v>
      </c>
      <c r="AL119" s="68"/>
      <c r="AM119" s="68" t="s">
        <v>1216</v>
      </c>
      <c r="AN119" s="68" t="str">
        <f t="shared" si="12"/>
        <v>Belum Dinilai</v>
      </c>
      <c r="AO119" s="68" t="str">
        <f t="shared" si="18"/>
        <v>Belum Dinilai</v>
      </c>
      <c r="AP119" s="68"/>
      <c r="AQ119" s="71" t="str">
        <f t="shared" si="19"/>
        <v/>
      </c>
      <c r="AR119" s="71" t="str">
        <f t="shared" si="21"/>
        <v/>
      </c>
      <c r="AS119" s="71" t="str">
        <f t="shared" si="22"/>
        <v/>
      </c>
      <c r="AT119" s="69" t="str">
        <f t="shared" si="20"/>
        <v>Belum Dapat Ditentukan</v>
      </c>
      <c r="AU119" s="66" t="s">
        <v>1190</v>
      </c>
      <c r="AV119" s="66" t="s">
        <v>1205</v>
      </c>
      <c r="AW119" s="66" t="s">
        <v>1909</v>
      </c>
      <c r="AX119" s="66" t="s">
        <v>1207</v>
      </c>
      <c r="AY119" s="66">
        <v>2023</v>
      </c>
      <c r="AZ119" s="66" t="s">
        <v>927</v>
      </c>
      <c r="BA119" s="66"/>
      <c r="BB119" s="72"/>
      <c r="BC119" s="73">
        <v>2026</v>
      </c>
      <c r="BD119" s="66"/>
      <c r="BE119" s="72"/>
      <c r="BF119" s="66" t="s">
        <v>1279</v>
      </c>
    </row>
    <row r="120" spans="1:58" ht="28">
      <c r="A120" s="66" t="s">
        <v>1651</v>
      </c>
      <c r="B120" s="66" t="s">
        <v>1735</v>
      </c>
      <c r="C120" s="66"/>
      <c r="D120" s="66"/>
      <c r="E120" s="66" t="s">
        <v>1732</v>
      </c>
      <c r="F120" s="66" t="s">
        <v>1275</v>
      </c>
      <c r="G120" s="66" t="s">
        <v>1276</v>
      </c>
      <c r="H120" s="66" t="s">
        <v>1182</v>
      </c>
      <c r="I120" s="66" t="s">
        <v>1733</v>
      </c>
      <c r="J120" s="66" t="s">
        <v>1197</v>
      </c>
      <c r="K120" s="66" t="s">
        <v>1278</v>
      </c>
      <c r="L120" s="66" t="s">
        <v>1216</v>
      </c>
      <c r="M120" s="66" t="s">
        <v>1309</v>
      </c>
      <c r="N120" s="66" t="s">
        <v>1216</v>
      </c>
      <c r="O120" s="66" t="s">
        <v>1214</v>
      </c>
      <c r="P120" s="66" t="s">
        <v>1216</v>
      </c>
      <c r="Q120" s="87" t="s">
        <v>1216</v>
      </c>
      <c r="R120" s="87" t="s">
        <v>1216</v>
      </c>
      <c r="S120" s="87" t="s">
        <v>1216</v>
      </c>
      <c r="T120" s="87" t="s">
        <v>1216</v>
      </c>
      <c r="U120" s="87" t="s">
        <v>1216</v>
      </c>
      <c r="V120" s="87" t="s">
        <v>1216</v>
      </c>
      <c r="W120" s="67"/>
      <c r="X120" s="85" t="str">
        <f t="shared" si="13"/>
        <v>Belum Dinilai</v>
      </c>
      <c r="Y120" s="85" t="str">
        <f t="shared" si="14"/>
        <v>Belum Dinilai</v>
      </c>
      <c r="Z120" s="86" t="str">
        <f t="shared" si="15"/>
        <v/>
      </c>
      <c r="AA120" s="86" t="str">
        <f t="shared" si="16"/>
        <v/>
      </c>
      <c r="AB120" s="86" t="str">
        <f t="shared" si="17"/>
        <v/>
      </c>
      <c r="AC120" s="68" t="s">
        <v>1216</v>
      </c>
      <c r="AD120" s="68" t="s">
        <v>1216</v>
      </c>
      <c r="AE120" s="68" t="s">
        <v>1216</v>
      </c>
      <c r="AF120" s="68" t="s">
        <v>1216</v>
      </c>
      <c r="AG120" s="68" t="s">
        <v>1216</v>
      </c>
      <c r="AH120" s="68" t="s">
        <v>1216</v>
      </c>
      <c r="AI120" s="68" t="s">
        <v>1216</v>
      </c>
      <c r="AJ120" s="68" t="s">
        <v>1216</v>
      </c>
      <c r="AK120" s="68" t="s">
        <v>1216</v>
      </c>
      <c r="AL120" s="68"/>
      <c r="AM120" s="68" t="s">
        <v>1216</v>
      </c>
      <c r="AN120" s="68" t="str">
        <f t="shared" si="12"/>
        <v>Belum Dinilai</v>
      </c>
      <c r="AO120" s="68" t="str">
        <f t="shared" si="18"/>
        <v>Belum Dinilai</v>
      </c>
      <c r="AP120" s="68"/>
      <c r="AQ120" s="71" t="str">
        <f t="shared" si="19"/>
        <v/>
      </c>
      <c r="AR120" s="71" t="str">
        <f t="shared" si="21"/>
        <v/>
      </c>
      <c r="AS120" s="71" t="str">
        <f t="shared" si="22"/>
        <v/>
      </c>
      <c r="AT120" s="69" t="str">
        <f t="shared" si="20"/>
        <v>Belum Dapat Ditentukan</v>
      </c>
      <c r="AU120" s="66" t="s">
        <v>1190</v>
      </c>
      <c r="AV120" s="66" t="s">
        <v>1205</v>
      </c>
      <c r="AW120" s="66" t="s">
        <v>1909</v>
      </c>
      <c r="AX120" s="66" t="s">
        <v>1207</v>
      </c>
      <c r="AY120" s="66">
        <v>2023</v>
      </c>
      <c r="AZ120" s="66" t="s">
        <v>927</v>
      </c>
      <c r="BA120" s="66"/>
      <c r="BB120" s="72"/>
      <c r="BC120" s="73">
        <v>2026</v>
      </c>
      <c r="BD120" s="66"/>
      <c r="BE120" s="72"/>
      <c r="BF120" s="66" t="s">
        <v>1279</v>
      </c>
    </row>
    <row r="121" spans="1:58" ht="28">
      <c r="A121" s="66" t="s">
        <v>1654</v>
      </c>
      <c r="B121" s="66" t="s">
        <v>1737</v>
      </c>
      <c r="C121" s="66"/>
      <c r="D121" s="66"/>
      <c r="E121" s="66" t="s">
        <v>1738</v>
      </c>
      <c r="F121" s="66" t="s">
        <v>1573</v>
      </c>
      <c r="G121" s="66" t="s">
        <v>1276</v>
      </c>
      <c r="H121" s="66" t="s">
        <v>1182</v>
      </c>
      <c r="I121" s="66" t="s">
        <v>1739</v>
      </c>
      <c r="J121" s="66" t="s">
        <v>1211</v>
      </c>
      <c r="K121" s="66" t="s">
        <v>1278</v>
      </c>
      <c r="L121" s="66" t="s">
        <v>1216</v>
      </c>
      <c r="M121" s="66" t="s">
        <v>1267</v>
      </c>
      <c r="N121" s="66" t="s">
        <v>1216</v>
      </c>
      <c r="O121" s="66" t="s">
        <v>1214</v>
      </c>
      <c r="P121" s="66" t="s">
        <v>1216</v>
      </c>
      <c r="Q121" s="87" t="s">
        <v>1216</v>
      </c>
      <c r="R121" s="87" t="s">
        <v>1216</v>
      </c>
      <c r="S121" s="87" t="s">
        <v>1216</v>
      </c>
      <c r="T121" s="87" t="s">
        <v>1216</v>
      </c>
      <c r="U121" s="87" t="s">
        <v>1216</v>
      </c>
      <c r="V121" s="87" t="s">
        <v>1216</v>
      </c>
      <c r="W121" s="67"/>
      <c r="X121" s="85" t="str">
        <f t="shared" si="13"/>
        <v>Belum Dinilai</v>
      </c>
      <c r="Y121" s="85" t="str">
        <f t="shared" si="14"/>
        <v>Belum Dinilai</v>
      </c>
      <c r="Z121" s="86" t="str">
        <f t="shared" si="15"/>
        <v/>
      </c>
      <c r="AA121" s="86" t="str">
        <f t="shared" si="16"/>
        <v/>
      </c>
      <c r="AB121" s="86" t="str">
        <f t="shared" si="17"/>
        <v/>
      </c>
      <c r="AC121" s="68" t="s">
        <v>1216</v>
      </c>
      <c r="AD121" s="68" t="s">
        <v>1216</v>
      </c>
      <c r="AE121" s="68" t="s">
        <v>1216</v>
      </c>
      <c r="AF121" s="68" t="s">
        <v>1216</v>
      </c>
      <c r="AG121" s="68" t="s">
        <v>1216</v>
      </c>
      <c r="AH121" s="68" t="s">
        <v>1216</v>
      </c>
      <c r="AI121" s="68" t="s">
        <v>1216</v>
      </c>
      <c r="AJ121" s="68" t="s">
        <v>1216</v>
      </c>
      <c r="AK121" s="68" t="s">
        <v>1216</v>
      </c>
      <c r="AL121" s="68"/>
      <c r="AM121" s="68" t="s">
        <v>1216</v>
      </c>
      <c r="AN121" s="68" t="str">
        <f t="shared" si="12"/>
        <v>Belum Dinilai</v>
      </c>
      <c r="AO121" s="68" t="str">
        <f t="shared" si="18"/>
        <v>Belum Dinilai</v>
      </c>
      <c r="AP121" s="68"/>
      <c r="AQ121" s="71" t="str">
        <f t="shared" si="19"/>
        <v/>
      </c>
      <c r="AR121" s="71" t="str">
        <f t="shared" si="21"/>
        <v/>
      </c>
      <c r="AS121" s="71" t="str">
        <f t="shared" si="22"/>
        <v/>
      </c>
      <c r="AT121" s="69" t="str">
        <f t="shared" si="20"/>
        <v>Belum Dapat Ditentukan</v>
      </c>
      <c r="AU121" s="66" t="s">
        <v>1204</v>
      </c>
      <c r="AV121" s="66" t="s">
        <v>1205</v>
      </c>
      <c r="AW121" s="66" t="s">
        <v>1191</v>
      </c>
      <c r="AX121" s="66"/>
      <c r="AY121" s="66"/>
      <c r="AZ121" s="66" t="s">
        <v>927</v>
      </c>
      <c r="BA121" s="66"/>
      <c r="BB121" s="72"/>
      <c r="BC121" s="73">
        <v>2026</v>
      </c>
      <c r="BD121" s="66"/>
      <c r="BE121" s="72"/>
      <c r="BF121" s="66" t="s">
        <v>1279</v>
      </c>
    </row>
    <row r="122" spans="1:58" ht="42">
      <c r="A122" s="66" t="s">
        <v>1657</v>
      </c>
      <c r="B122" s="66" t="s">
        <v>1741</v>
      </c>
      <c r="C122" s="66"/>
      <c r="D122" s="66"/>
      <c r="E122" s="66" t="s">
        <v>1742</v>
      </c>
      <c r="F122" s="66" t="s">
        <v>1573</v>
      </c>
      <c r="G122" s="66" t="s">
        <v>1276</v>
      </c>
      <c r="H122" s="66" t="s">
        <v>1182</v>
      </c>
      <c r="I122" s="66" t="s">
        <v>1743</v>
      </c>
      <c r="J122" s="66" t="s">
        <v>1211</v>
      </c>
      <c r="K122" s="66" t="s">
        <v>1198</v>
      </c>
      <c r="L122" s="66" t="s">
        <v>1216</v>
      </c>
      <c r="M122" s="66" t="s">
        <v>1267</v>
      </c>
      <c r="N122" s="66" t="s">
        <v>1216</v>
      </c>
      <c r="O122" s="66" t="s">
        <v>1278</v>
      </c>
      <c r="P122" s="66" t="s">
        <v>1216</v>
      </c>
      <c r="Q122" s="87" t="s">
        <v>1216</v>
      </c>
      <c r="R122" s="87" t="s">
        <v>1216</v>
      </c>
      <c r="S122" s="87" t="s">
        <v>1216</v>
      </c>
      <c r="T122" s="87" t="s">
        <v>1216</v>
      </c>
      <c r="U122" s="87" t="s">
        <v>1216</v>
      </c>
      <c r="V122" s="87" t="s">
        <v>1216</v>
      </c>
      <c r="W122" s="67"/>
      <c r="X122" s="85" t="str">
        <f t="shared" si="13"/>
        <v>Belum Dinilai</v>
      </c>
      <c r="Y122" s="85" t="str">
        <f t="shared" si="14"/>
        <v>Belum Dinilai</v>
      </c>
      <c r="Z122" s="86" t="str">
        <f t="shared" si="15"/>
        <v/>
      </c>
      <c r="AA122" s="86" t="str">
        <f t="shared" si="16"/>
        <v/>
      </c>
      <c r="AB122" s="86" t="str">
        <f t="shared" si="17"/>
        <v/>
      </c>
      <c r="AC122" s="68" t="s">
        <v>1216</v>
      </c>
      <c r="AD122" s="68" t="s">
        <v>1216</v>
      </c>
      <c r="AE122" s="68" t="s">
        <v>1216</v>
      </c>
      <c r="AF122" s="68" t="s">
        <v>1216</v>
      </c>
      <c r="AG122" s="68" t="s">
        <v>1216</v>
      </c>
      <c r="AH122" s="68" t="s">
        <v>1216</v>
      </c>
      <c r="AI122" s="68" t="s">
        <v>1216</v>
      </c>
      <c r="AJ122" s="68" t="s">
        <v>1216</v>
      </c>
      <c r="AK122" s="68" t="s">
        <v>1216</v>
      </c>
      <c r="AL122" s="68"/>
      <c r="AM122" s="68" t="s">
        <v>1216</v>
      </c>
      <c r="AN122" s="68" t="str">
        <f t="shared" si="12"/>
        <v>Belum Dinilai</v>
      </c>
      <c r="AO122" s="68" t="str">
        <f t="shared" si="18"/>
        <v>Belum Dinilai</v>
      </c>
      <c r="AP122" s="68"/>
      <c r="AQ122" s="71" t="str">
        <f t="shared" si="19"/>
        <v/>
      </c>
      <c r="AR122" s="71" t="str">
        <f t="shared" si="21"/>
        <v/>
      </c>
      <c r="AS122" s="71" t="str">
        <f t="shared" si="22"/>
        <v/>
      </c>
      <c r="AT122" s="69" t="str">
        <f t="shared" si="20"/>
        <v>Belum Dapat Ditentukan</v>
      </c>
      <c r="AU122" s="66" t="s">
        <v>1190</v>
      </c>
      <c r="AV122" s="66" t="s">
        <v>1205</v>
      </c>
      <c r="AW122" s="66" t="s">
        <v>1909</v>
      </c>
      <c r="AX122" s="66" t="s">
        <v>1207</v>
      </c>
      <c r="AY122" s="66">
        <v>2022</v>
      </c>
      <c r="AZ122" s="66" t="s">
        <v>1208</v>
      </c>
      <c r="BA122" s="66"/>
      <c r="BB122" s="72"/>
      <c r="BC122" s="73">
        <v>2026</v>
      </c>
      <c r="BD122" s="66"/>
      <c r="BE122" s="72"/>
      <c r="BF122" s="66" t="s">
        <v>1279</v>
      </c>
    </row>
    <row r="123" spans="1:58" ht="28">
      <c r="A123" s="66" t="s">
        <v>1661</v>
      </c>
      <c r="B123" s="66" t="s">
        <v>1745</v>
      </c>
      <c r="C123" s="66"/>
      <c r="D123" s="66"/>
      <c r="E123" s="66" t="s">
        <v>1308</v>
      </c>
      <c r="F123" s="66" t="s">
        <v>1319</v>
      </c>
      <c r="G123" s="66" t="s">
        <v>1290</v>
      </c>
      <c r="H123" s="66" t="s">
        <v>1196</v>
      </c>
      <c r="I123" s="66" t="s">
        <v>1746</v>
      </c>
      <c r="J123" s="66" t="s">
        <v>1183</v>
      </c>
      <c r="K123" s="66" t="s">
        <v>1198</v>
      </c>
      <c r="L123" s="66" t="s">
        <v>1216</v>
      </c>
      <c r="M123" s="66" t="s">
        <v>1213</v>
      </c>
      <c r="N123" s="66" t="s">
        <v>1216</v>
      </c>
      <c r="O123" s="66" t="s">
        <v>1214</v>
      </c>
      <c r="P123" s="66" t="s">
        <v>1216</v>
      </c>
      <c r="Q123" s="87" t="s">
        <v>1216</v>
      </c>
      <c r="R123" s="87" t="s">
        <v>1216</v>
      </c>
      <c r="S123" s="87" t="s">
        <v>1216</v>
      </c>
      <c r="T123" s="87" t="s">
        <v>1216</v>
      </c>
      <c r="U123" s="87" t="s">
        <v>1216</v>
      </c>
      <c r="V123" s="87" t="s">
        <v>1216</v>
      </c>
      <c r="W123" s="67"/>
      <c r="X123" s="85" t="str">
        <f t="shared" si="13"/>
        <v>Belum Dinilai</v>
      </c>
      <c r="Y123" s="85" t="str">
        <f t="shared" si="14"/>
        <v>Belum Dinilai</v>
      </c>
      <c r="Z123" s="86" t="str">
        <f t="shared" si="15"/>
        <v/>
      </c>
      <c r="AA123" s="86" t="str">
        <f t="shared" si="16"/>
        <v/>
      </c>
      <c r="AB123" s="86" t="str">
        <f t="shared" si="17"/>
        <v/>
      </c>
      <c r="AC123" s="68" t="s">
        <v>1216</v>
      </c>
      <c r="AD123" s="68" t="s">
        <v>1216</v>
      </c>
      <c r="AE123" s="68" t="s">
        <v>1216</v>
      </c>
      <c r="AF123" s="68" t="s">
        <v>1216</v>
      </c>
      <c r="AG123" s="68" t="s">
        <v>1216</v>
      </c>
      <c r="AH123" s="68" t="s">
        <v>1216</v>
      </c>
      <c r="AI123" s="68" t="s">
        <v>1216</v>
      </c>
      <c r="AJ123" s="68" t="s">
        <v>1216</v>
      </c>
      <c r="AK123" s="68" t="s">
        <v>1216</v>
      </c>
      <c r="AL123" s="68"/>
      <c r="AM123" s="68" t="s">
        <v>1216</v>
      </c>
      <c r="AN123" s="68" t="str">
        <f t="shared" si="12"/>
        <v>Belum Dinilai</v>
      </c>
      <c r="AO123" s="68" t="str">
        <f t="shared" si="18"/>
        <v>Belum Dinilai</v>
      </c>
      <c r="AP123" s="68"/>
      <c r="AQ123" s="71" t="str">
        <f t="shared" si="19"/>
        <v/>
      </c>
      <c r="AR123" s="71" t="str">
        <f t="shared" si="21"/>
        <v/>
      </c>
      <c r="AS123" s="71" t="str">
        <f t="shared" si="22"/>
        <v/>
      </c>
      <c r="AT123" s="69" t="str">
        <f t="shared" si="20"/>
        <v>Belum Dapat Ditentukan</v>
      </c>
      <c r="AU123" s="66" t="s">
        <v>1190</v>
      </c>
      <c r="AV123" s="66" t="s">
        <v>1205</v>
      </c>
      <c r="AW123" s="66" t="s">
        <v>1909</v>
      </c>
      <c r="AX123" s="66" t="s">
        <v>1207</v>
      </c>
      <c r="AY123" s="66">
        <v>2021</v>
      </c>
      <c r="AZ123" s="66" t="s">
        <v>927</v>
      </c>
      <c r="BA123" s="66"/>
      <c r="BB123" s="72"/>
      <c r="BC123" s="73">
        <v>2026</v>
      </c>
      <c r="BD123" s="66"/>
      <c r="BE123" s="72"/>
      <c r="BF123" s="66" t="s">
        <v>1279</v>
      </c>
    </row>
    <row r="124" spans="1:58" ht="42">
      <c r="A124" s="66" t="s">
        <v>1664</v>
      </c>
      <c r="B124" s="66" t="s">
        <v>1748</v>
      </c>
      <c r="C124" s="66"/>
      <c r="D124" s="66"/>
      <c r="E124" s="66" t="s">
        <v>1749</v>
      </c>
      <c r="F124" s="66" t="s">
        <v>1289</v>
      </c>
      <c r="G124" s="66" t="s">
        <v>1290</v>
      </c>
      <c r="H124" s="66" t="s">
        <v>1182</v>
      </c>
      <c r="I124" s="66" t="s">
        <v>1750</v>
      </c>
      <c r="J124" s="66" t="s">
        <v>1211</v>
      </c>
      <c r="K124" s="66" t="s">
        <v>1278</v>
      </c>
      <c r="L124" s="66" t="s">
        <v>891</v>
      </c>
      <c r="M124" s="66" t="s">
        <v>1267</v>
      </c>
      <c r="N124" s="66" t="s">
        <v>891</v>
      </c>
      <c r="O124" s="66" t="s">
        <v>1214</v>
      </c>
      <c r="P124" s="66" t="s">
        <v>891</v>
      </c>
      <c r="Q124" s="87" t="s">
        <v>1216</v>
      </c>
      <c r="R124" s="87" t="s">
        <v>1216</v>
      </c>
      <c r="S124" s="87" t="s">
        <v>1216</v>
      </c>
      <c r="T124" s="87" t="s">
        <v>1216</v>
      </c>
      <c r="U124" s="87" t="s">
        <v>1216</v>
      </c>
      <c r="V124" s="87" t="s">
        <v>1216</v>
      </c>
      <c r="W124" s="67"/>
      <c r="X124" s="85" t="str">
        <f t="shared" si="13"/>
        <v>Belum Dinilai</v>
      </c>
      <c r="Y124" s="85" t="str">
        <f t="shared" si="14"/>
        <v>Belum Dinilai</v>
      </c>
      <c r="Z124" s="86" t="str">
        <f t="shared" si="15"/>
        <v/>
      </c>
      <c r="AA124" s="86" t="str">
        <f t="shared" si="16"/>
        <v/>
      </c>
      <c r="AB124" s="86" t="str">
        <f t="shared" si="17"/>
        <v/>
      </c>
      <c r="AC124" s="68" t="s">
        <v>1216</v>
      </c>
      <c r="AD124" s="68" t="s">
        <v>1216</v>
      </c>
      <c r="AE124" s="68" t="s">
        <v>1216</v>
      </c>
      <c r="AF124" s="68" t="s">
        <v>1216</v>
      </c>
      <c r="AG124" s="68" t="s">
        <v>1216</v>
      </c>
      <c r="AH124" s="68" t="s">
        <v>1216</v>
      </c>
      <c r="AI124" s="68" t="s">
        <v>1216</v>
      </c>
      <c r="AJ124" s="68" t="s">
        <v>1216</v>
      </c>
      <c r="AK124" s="68" t="s">
        <v>1216</v>
      </c>
      <c r="AL124" s="68"/>
      <c r="AM124" s="68" t="s">
        <v>1216</v>
      </c>
      <c r="AN124" s="68" t="str">
        <f t="shared" si="12"/>
        <v>Belum Dinilai</v>
      </c>
      <c r="AO124" s="68" t="str">
        <f t="shared" si="18"/>
        <v>Belum Dinilai</v>
      </c>
      <c r="AP124" s="68"/>
      <c r="AQ124" s="71">
        <f t="shared" si="19"/>
        <v>29</v>
      </c>
      <c r="AR124" s="71" t="str">
        <f t="shared" si="21"/>
        <v/>
      </c>
      <c r="AS124" s="71" t="str">
        <f t="shared" si="22"/>
        <v/>
      </c>
      <c r="AT124" s="69" t="str">
        <f t="shared" si="20"/>
        <v>Belum Dapat Ditentukan</v>
      </c>
      <c r="AU124" s="66" t="s">
        <v>1190</v>
      </c>
      <c r="AV124" s="66" t="s">
        <v>1205</v>
      </c>
      <c r="AW124" s="66" t="s">
        <v>1909</v>
      </c>
      <c r="AX124" s="66" t="s">
        <v>1207</v>
      </c>
      <c r="AY124" s="66">
        <v>2022</v>
      </c>
      <c r="AZ124" s="66" t="s">
        <v>927</v>
      </c>
      <c r="BA124" s="66"/>
      <c r="BB124" s="72"/>
      <c r="BC124" s="73">
        <v>2026</v>
      </c>
      <c r="BD124" s="66"/>
      <c r="BE124" s="72"/>
      <c r="BF124" s="66" t="s">
        <v>1279</v>
      </c>
    </row>
    <row r="125" spans="1:58" ht="42">
      <c r="A125" s="66" t="s">
        <v>1668</v>
      </c>
      <c r="B125" s="66" t="s">
        <v>1752</v>
      </c>
      <c r="C125" s="66"/>
      <c r="D125" s="66"/>
      <c r="E125" s="66" t="s">
        <v>1753</v>
      </c>
      <c r="F125" s="66" t="s">
        <v>1289</v>
      </c>
      <c r="G125" s="66" t="s">
        <v>1290</v>
      </c>
      <c r="H125" s="66" t="s">
        <v>1196</v>
      </c>
      <c r="I125" s="66" t="s">
        <v>1754</v>
      </c>
      <c r="J125" s="66" t="s">
        <v>1197</v>
      </c>
      <c r="K125" s="66" t="s">
        <v>1198</v>
      </c>
      <c r="L125" s="66" t="s">
        <v>891</v>
      </c>
      <c r="M125" s="66" t="s">
        <v>1267</v>
      </c>
      <c r="N125" s="66" t="s">
        <v>891</v>
      </c>
      <c r="O125" s="66" t="s">
        <v>1278</v>
      </c>
      <c r="P125" s="66" t="s">
        <v>1216</v>
      </c>
      <c r="Q125" s="87" t="s">
        <v>1216</v>
      </c>
      <c r="R125" s="87" t="s">
        <v>1216</v>
      </c>
      <c r="S125" s="87" t="s">
        <v>1216</v>
      </c>
      <c r="T125" s="87" t="s">
        <v>1216</v>
      </c>
      <c r="U125" s="87" t="s">
        <v>1216</v>
      </c>
      <c r="V125" s="87" t="s">
        <v>1216</v>
      </c>
      <c r="W125" s="67"/>
      <c r="X125" s="85" t="str">
        <f t="shared" si="13"/>
        <v>Belum Dinilai</v>
      </c>
      <c r="Y125" s="85" t="str">
        <f t="shared" si="14"/>
        <v>Belum Dinilai</v>
      </c>
      <c r="Z125" s="86" t="str">
        <f t="shared" si="15"/>
        <v/>
      </c>
      <c r="AA125" s="86" t="str">
        <f t="shared" si="16"/>
        <v/>
      </c>
      <c r="AB125" s="86" t="str">
        <f t="shared" si="17"/>
        <v/>
      </c>
      <c r="AC125" s="68" t="s">
        <v>1216</v>
      </c>
      <c r="AD125" s="68" t="s">
        <v>1216</v>
      </c>
      <c r="AE125" s="68" t="s">
        <v>1216</v>
      </c>
      <c r="AF125" s="68" t="s">
        <v>1216</v>
      </c>
      <c r="AG125" s="68" t="s">
        <v>1216</v>
      </c>
      <c r="AH125" s="68" t="s">
        <v>1216</v>
      </c>
      <c r="AI125" s="68" t="s">
        <v>1216</v>
      </c>
      <c r="AJ125" s="68" t="s">
        <v>1216</v>
      </c>
      <c r="AK125" s="68" t="s">
        <v>1216</v>
      </c>
      <c r="AL125" s="68"/>
      <c r="AM125" s="68" t="s">
        <v>1216</v>
      </c>
      <c r="AN125" s="68" t="str">
        <f t="shared" si="12"/>
        <v>Belum Dinilai</v>
      </c>
      <c r="AO125" s="68" t="str">
        <f t="shared" si="18"/>
        <v>Belum Dinilai</v>
      </c>
      <c r="AP125" s="68"/>
      <c r="AQ125" s="71" t="str">
        <f t="shared" si="19"/>
        <v/>
      </c>
      <c r="AR125" s="71" t="str">
        <f t="shared" si="21"/>
        <v/>
      </c>
      <c r="AS125" s="71" t="str">
        <f t="shared" si="22"/>
        <v/>
      </c>
      <c r="AT125" s="69" t="str">
        <f t="shared" si="20"/>
        <v>Belum Dapat Ditentukan</v>
      </c>
      <c r="AU125" s="66" t="s">
        <v>1190</v>
      </c>
      <c r="AV125" s="66" t="s">
        <v>1205</v>
      </c>
      <c r="AW125" s="66" t="s">
        <v>1191</v>
      </c>
      <c r="AX125" s="66"/>
      <c r="AY125" s="66"/>
      <c r="AZ125" s="66" t="s">
        <v>927</v>
      </c>
      <c r="BA125" s="66"/>
      <c r="BB125" s="72"/>
      <c r="BC125" s="73">
        <v>2026</v>
      </c>
      <c r="BD125" s="66"/>
      <c r="BE125" s="72"/>
      <c r="BF125" s="66" t="s">
        <v>1279</v>
      </c>
    </row>
    <row r="126" spans="1:58" ht="28">
      <c r="A126" s="66" t="s">
        <v>1671</v>
      </c>
      <c r="B126" s="66" t="s">
        <v>1373</v>
      </c>
      <c r="C126" s="66"/>
      <c r="D126" s="66"/>
      <c r="E126" s="66" t="s">
        <v>1757</v>
      </c>
      <c r="F126" s="66" t="s">
        <v>1323</v>
      </c>
      <c r="G126" s="66" t="s">
        <v>1290</v>
      </c>
      <c r="H126" s="66" t="s">
        <v>1182</v>
      </c>
      <c r="I126" s="66" t="s">
        <v>1697</v>
      </c>
      <c r="J126" s="66" t="s">
        <v>1264</v>
      </c>
      <c r="K126" s="66" t="s">
        <v>1278</v>
      </c>
      <c r="L126" s="66" t="s">
        <v>1216</v>
      </c>
      <c r="M126" s="66" t="s">
        <v>1278</v>
      </c>
      <c r="N126" s="66" t="s">
        <v>1216</v>
      </c>
      <c r="O126" s="66" t="s">
        <v>1278</v>
      </c>
      <c r="P126" s="66" t="s">
        <v>1216</v>
      </c>
      <c r="Q126" s="87" t="s">
        <v>1216</v>
      </c>
      <c r="R126" s="87" t="s">
        <v>1216</v>
      </c>
      <c r="S126" s="87" t="s">
        <v>1216</v>
      </c>
      <c r="T126" s="87" t="s">
        <v>1216</v>
      </c>
      <c r="U126" s="87" t="s">
        <v>1216</v>
      </c>
      <c r="V126" s="87" t="s">
        <v>1216</v>
      </c>
      <c r="W126" s="67"/>
      <c r="X126" s="85" t="str">
        <f t="shared" si="13"/>
        <v>Belum Dinilai</v>
      </c>
      <c r="Y126" s="85" t="str">
        <f t="shared" si="14"/>
        <v>Belum Dinilai</v>
      </c>
      <c r="Z126" s="86" t="str">
        <f t="shared" si="15"/>
        <v/>
      </c>
      <c r="AA126" s="86" t="str">
        <f t="shared" si="16"/>
        <v/>
      </c>
      <c r="AB126" s="86" t="str">
        <f t="shared" si="17"/>
        <v/>
      </c>
      <c r="AC126" s="68" t="s">
        <v>1216</v>
      </c>
      <c r="AD126" s="68" t="s">
        <v>1216</v>
      </c>
      <c r="AE126" s="68" t="s">
        <v>1216</v>
      </c>
      <c r="AF126" s="68" t="s">
        <v>1216</v>
      </c>
      <c r="AG126" s="68" t="s">
        <v>1216</v>
      </c>
      <c r="AH126" s="68" t="s">
        <v>1216</v>
      </c>
      <c r="AI126" s="68" t="s">
        <v>1216</v>
      </c>
      <c r="AJ126" s="68" t="s">
        <v>1216</v>
      </c>
      <c r="AK126" s="68" t="s">
        <v>1216</v>
      </c>
      <c r="AL126" s="68"/>
      <c r="AM126" s="68" t="s">
        <v>1216</v>
      </c>
      <c r="AN126" s="68" t="str">
        <f t="shared" si="12"/>
        <v>Belum Dinilai</v>
      </c>
      <c r="AO126" s="68" t="str">
        <f t="shared" si="18"/>
        <v>Belum Dinilai</v>
      </c>
      <c r="AP126" s="68"/>
      <c r="AQ126" s="71" t="str">
        <f t="shared" si="19"/>
        <v/>
      </c>
      <c r="AR126" s="71" t="str">
        <f t="shared" si="21"/>
        <v/>
      </c>
      <c r="AS126" s="71" t="str">
        <f t="shared" si="22"/>
        <v/>
      </c>
      <c r="AT126" s="69" t="str">
        <f t="shared" si="20"/>
        <v>Belum Dapat Ditentukan</v>
      </c>
      <c r="AU126" s="66" t="s">
        <v>1190</v>
      </c>
      <c r="AV126" s="66" t="s">
        <v>1205</v>
      </c>
      <c r="AW126" s="66" t="s">
        <v>1191</v>
      </c>
      <c r="AX126" s="66"/>
      <c r="AY126" s="66"/>
      <c r="AZ126" s="66" t="s">
        <v>927</v>
      </c>
      <c r="BA126" s="66"/>
      <c r="BB126" s="72"/>
      <c r="BC126" s="73">
        <v>2026</v>
      </c>
      <c r="BD126" s="66"/>
      <c r="BE126" s="72"/>
      <c r="BF126" s="66" t="s">
        <v>1279</v>
      </c>
    </row>
    <row r="127" spans="1:58" ht="42">
      <c r="A127" s="66" t="s">
        <v>1969</v>
      </c>
      <c r="B127" s="66" t="s">
        <v>1759</v>
      </c>
      <c r="C127" s="66"/>
      <c r="D127" s="66"/>
      <c r="E127" s="66" t="s">
        <v>1760</v>
      </c>
      <c r="F127" s="66" t="s">
        <v>1323</v>
      </c>
      <c r="G127" s="66" t="s">
        <v>1290</v>
      </c>
      <c r="H127" s="66" t="s">
        <v>1182</v>
      </c>
      <c r="I127" s="66" t="s">
        <v>1761</v>
      </c>
      <c r="J127" s="66" t="s">
        <v>1211</v>
      </c>
      <c r="K127" s="66" t="s">
        <v>1198</v>
      </c>
      <c r="L127" s="66" t="s">
        <v>891</v>
      </c>
      <c r="M127" s="66" t="s">
        <v>1267</v>
      </c>
      <c r="N127" s="66" t="s">
        <v>891</v>
      </c>
      <c r="O127" s="66" t="s">
        <v>1186</v>
      </c>
      <c r="P127" s="66" t="s">
        <v>891</v>
      </c>
      <c r="Q127" s="87" t="s">
        <v>1216</v>
      </c>
      <c r="R127" s="87" t="s">
        <v>1216</v>
      </c>
      <c r="S127" s="87" t="s">
        <v>1216</v>
      </c>
      <c r="T127" s="87" t="s">
        <v>1216</v>
      </c>
      <c r="U127" s="87" t="s">
        <v>1216</v>
      </c>
      <c r="V127" s="87" t="s">
        <v>1216</v>
      </c>
      <c r="W127" s="67"/>
      <c r="X127" s="85" t="str">
        <f t="shared" si="13"/>
        <v>Belum Dinilai</v>
      </c>
      <c r="Y127" s="85" t="str">
        <f t="shared" si="14"/>
        <v>Belum Dinilai</v>
      </c>
      <c r="Z127" s="86" t="str">
        <f t="shared" si="15"/>
        <v/>
      </c>
      <c r="AA127" s="86" t="str">
        <f t="shared" si="16"/>
        <v/>
      </c>
      <c r="AB127" s="86" t="str">
        <f t="shared" si="17"/>
        <v/>
      </c>
      <c r="AC127" s="68" t="s">
        <v>1216</v>
      </c>
      <c r="AD127" s="68" t="s">
        <v>1216</v>
      </c>
      <c r="AE127" s="68" t="s">
        <v>1216</v>
      </c>
      <c r="AF127" s="68" t="s">
        <v>1216</v>
      </c>
      <c r="AG127" s="68" t="s">
        <v>1216</v>
      </c>
      <c r="AH127" s="68" t="s">
        <v>1216</v>
      </c>
      <c r="AI127" s="68" t="s">
        <v>1216</v>
      </c>
      <c r="AJ127" s="68" t="s">
        <v>1216</v>
      </c>
      <c r="AK127" s="68" t="s">
        <v>1216</v>
      </c>
      <c r="AL127" s="68"/>
      <c r="AM127" s="68" t="s">
        <v>1216</v>
      </c>
      <c r="AN127" s="68" t="str">
        <f t="shared" si="12"/>
        <v>Belum Dinilai</v>
      </c>
      <c r="AO127" s="68" t="str">
        <f t="shared" si="18"/>
        <v>Belum Dinilai</v>
      </c>
      <c r="AP127" s="68"/>
      <c r="AQ127" s="71">
        <f t="shared" si="19"/>
        <v>29</v>
      </c>
      <c r="AR127" s="71" t="str">
        <f t="shared" si="21"/>
        <v/>
      </c>
      <c r="AS127" s="71" t="str">
        <f t="shared" si="22"/>
        <v/>
      </c>
      <c r="AT127" s="69" t="str">
        <f t="shared" si="20"/>
        <v>Belum Dapat Ditentukan</v>
      </c>
      <c r="AU127" s="66" t="s">
        <v>1190</v>
      </c>
      <c r="AV127" s="66" t="s">
        <v>1205</v>
      </c>
      <c r="AW127" s="66" t="s">
        <v>1191</v>
      </c>
      <c r="AX127" s="66"/>
      <c r="AY127" s="66"/>
      <c r="AZ127" s="66" t="s">
        <v>927</v>
      </c>
      <c r="BA127" s="66"/>
      <c r="BB127" s="72"/>
      <c r="BC127" s="73">
        <v>2026</v>
      </c>
      <c r="BD127" s="66"/>
      <c r="BE127" s="72"/>
      <c r="BF127" s="66" t="s">
        <v>1279</v>
      </c>
    </row>
    <row r="128" spans="1:58" ht="56">
      <c r="A128" s="66" t="s">
        <v>1674</v>
      </c>
      <c r="B128" s="66" t="s">
        <v>1763</v>
      </c>
      <c r="C128" s="66"/>
      <c r="D128" s="66"/>
      <c r="E128" s="66" t="s">
        <v>1764</v>
      </c>
      <c r="F128" s="66" t="s">
        <v>1481</v>
      </c>
      <c r="G128" s="66" t="s">
        <v>1314</v>
      </c>
      <c r="H128" s="66" t="s">
        <v>1196</v>
      </c>
      <c r="I128" s="66" t="s">
        <v>1765</v>
      </c>
      <c r="J128" s="66" t="s">
        <v>1197</v>
      </c>
      <c r="K128" s="66" t="s">
        <v>1294</v>
      </c>
      <c r="L128" s="66" t="s">
        <v>891</v>
      </c>
      <c r="M128" s="66" t="s">
        <v>1309</v>
      </c>
      <c r="N128" s="66" t="s">
        <v>891</v>
      </c>
      <c r="O128" s="66" t="s">
        <v>1214</v>
      </c>
      <c r="P128" s="66" t="s">
        <v>891</v>
      </c>
      <c r="Q128" s="87" t="s">
        <v>1216</v>
      </c>
      <c r="R128" s="87" t="s">
        <v>1216</v>
      </c>
      <c r="S128" s="87" t="s">
        <v>1216</v>
      </c>
      <c r="T128" s="87" t="s">
        <v>1216</v>
      </c>
      <c r="U128" s="87" t="s">
        <v>1216</v>
      </c>
      <c r="V128" s="87" t="s">
        <v>1216</v>
      </c>
      <c r="W128" s="67"/>
      <c r="X128" s="85" t="str">
        <f t="shared" si="13"/>
        <v>Belum Dinilai</v>
      </c>
      <c r="Y128" s="85" t="str">
        <f t="shared" si="14"/>
        <v>Belum Dinilai</v>
      </c>
      <c r="Z128" s="86" t="str">
        <f t="shared" si="15"/>
        <v/>
      </c>
      <c r="AA128" s="86" t="str">
        <f t="shared" si="16"/>
        <v/>
      </c>
      <c r="AB128" s="86" t="str">
        <f t="shared" si="17"/>
        <v/>
      </c>
      <c r="AC128" s="68" t="s">
        <v>1216</v>
      </c>
      <c r="AD128" s="68" t="s">
        <v>1216</v>
      </c>
      <c r="AE128" s="68" t="s">
        <v>1216</v>
      </c>
      <c r="AF128" s="68" t="s">
        <v>1216</v>
      </c>
      <c r="AG128" s="68" t="s">
        <v>1216</v>
      </c>
      <c r="AH128" s="68" t="s">
        <v>1216</v>
      </c>
      <c r="AI128" s="68" t="s">
        <v>1216</v>
      </c>
      <c r="AJ128" s="68" t="s">
        <v>1216</v>
      </c>
      <c r="AK128" s="68" t="s">
        <v>1216</v>
      </c>
      <c r="AL128" s="68"/>
      <c r="AM128" s="68" t="s">
        <v>1216</v>
      </c>
      <c r="AN128" s="68" t="str">
        <f t="shared" si="12"/>
        <v>Belum Dinilai</v>
      </c>
      <c r="AO128" s="68" t="str">
        <f t="shared" si="18"/>
        <v>Belum Dinilai</v>
      </c>
      <c r="AP128" s="68"/>
      <c r="AQ128" s="71">
        <f t="shared" si="19"/>
        <v>22</v>
      </c>
      <c r="AR128" s="71" t="str">
        <f t="shared" si="21"/>
        <v/>
      </c>
      <c r="AS128" s="71" t="str">
        <f t="shared" si="22"/>
        <v/>
      </c>
      <c r="AT128" s="69" t="str">
        <f t="shared" si="20"/>
        <v>Belum Dapat Ditentukan</v>
      </c>
      <c r="AU128" s="66" t="s">
        <v>1190</v>
      </c>
      <c r="AV128" s="66" t="s">
        <v>1205</v>
      </c>
      <c r="AW128" s="66" t="s">
        <v>1191</v>
      </c>
      <c r="AX128" s="66"/>
      <c r="AY128" s="66"/>
      <c r="AZ128" s="66" t="s">
        <v>927</v>
      </c>
      <c r="BA128" s="66"/>
      <c r="BB128" s="72"/>
      <c r="BC128" s="73">
        <v>2026</v>
      </c>
      <c r="BD128" s="66"/>
      <c r="BE128" s="72"/>
      <c r="BF128" s="66" t="s">
        <v>1279</v>
      </c>
    </row>
    <row r="129" spans="1:58" ht="28">
      <c r="A129" s="66" t="s">
        <v>1678</v>
      </c>
      <c r="B129" s="66" t="s">
        <v>1767</v>
      </c>
      <c r="C129" s="66"/>
      <c r="D129" s="66"/>
      <c r="E129" s="66" t="s">
        <v>1768</v>
      </c>
      <c r="F129" s="66" t="s">
        <v>1481</v>
      </c>
      <c r="G129" s="66" t="s">
        <v>1314</v>
      </c>
      <c r="H129" s="66" t="s">
        <v>1196</v>
      </c>
      <c r="I129" s="66" t="s">
        <v>1769</v>
      </c>
      <c r="J129" s="66" t="s">
        <v>1197</v>
      </c>
      <c r="K129" s="66" t="s">
        <v>1278</v>
      </c>
      <c r="L129" s="66" t="s">
        <v>1216</v>
      </c>
      <c r="M129" s="66" t="s">
        <v>1309</v>
      </c>
      <c r="N129" s="66" t="s">
        <v>1216</v>
      </c>
      <c r="O129" s="66" t="s">
        <v>1278</v>
      </c>
      <c r="P129" s="66" t="s">
        <v>1216</v>
      </c>
      <c r="Q129" s="87" t="s">
        <v>1216</v>
      </c>
      <c r="R129" s="87" t="s">
        <v>1216</v>
      </c>
      <c r="S129" s="87" t="s">
        <v>1216</v>
      </c>
      <c r="T129" s="87" t="s">
        <v>1216</v>
      </c>
      <c r="U129" s="87" t="s">
        <v>1216</v>
      </c>
      <c r="V129" s="87" t="s">
        <v>1216</v>
      </c>
      <c r="W129" s="67"/>
      <c r="X129" s="85" t="str">
        <f t="shared" si="13"/>
        <v>Belum Dinilai</v>
      </c>
      <c r="Y129" s="85" t="str">
        <f t="shared" si="14"/>
        <v>Belum Dinilai</v>
      </c>
      <c r="Z129" s="86" t="str">
        <f t="shared" si="15"/>
        <v/>
      </c>
      <c r="AA129" s="86" t="str">
        <f t="shared" si="16"/>
        <v/>
      </c>
      <c r="AB129" s="86" t="str">
        <f t="shared" si="17"/>
        <v/>
      </c>
      <c r="AC129" s="68" t="s">
        <v>1216</v>
      </c>
      <c r="AD129" s="68" t="s">
        <v>1216</v>
      </c>
      <c r="AE129" s="68" t="s">
        <v>1216</v>
      </c>
      <c r="AF129" s="68" t="s">
        <v>1216</v>
      </c>
      <c r="AG129" s="68" t="s">
        <v>1216</v>
      </c>
      <c r="AH129" s="68" t="s">
        <v>1216</v>
      </c>
      <c r="AI129" s="68" t="s">
        <v>1216</v>
      </c>
      <c r="AJ129" s="68" t="s">
        <v>1216</v>
      </c>
      <c r="AK129" s="68" t="s">
        <v>1216</v>
      </c>
      <c r="AL129" s="68"/>
      <c r="AM129" s="68" t="s">
        <v>1216</v>
      </c>
      <c r="AN129" s="68" t="str">
        <f t="shared" si="12"/>
        <v>Belum Dinilai</v>
      </c>
      <c r="AO129" s="68" t="str">
        <f t="shared" si="18"/>
        <v>Belum Dinilai</v>
      </c>
      <c r="AP129" s="68"/>
      <c r="AQ129" s="71" t="str">
        <f t="shared" si="19"/>
        <v/>
      </c>
      <c r="AR129" s="71" t="str">
        <f t="shared" si="21"/>
        <v/>
      </c>
      <c r="AS129" s="71" t="str">
        <f t="shared" si="22"/>
        <v/>
      </c>
      <c r="AT129" s="69" t="str">
        <f t="shared" si="20"/>
        <v>Belum Dapat Ditentukan</v>
      </c>
      <c r="AU129" s="66" t="s">
        <v>1190</v>
      </c>
      <c r="AV129" s="66" t="s">
        <v>1205</v>
      </c>
      <c r="AW129" s="66" t="s">
        <v>1191</v>
      </c>
      <c r="AX129" s="66"/>
      <c r="AY129" s="66"/>
      <c r="AZ129" s="66" t="s">
        <v>927</v>
      </c>
      <c r="BA129" s="66"/>
      <c r="BB129" s="72"/>
      <c r="BC129" s="73">
        <v>2026</v>
      </c>
      <c r="BD129" s="66"/>
      <c r="BE129" s="72"/>
      <c r="BF129" s="66" t="s">
        <v>1279</v>
      </c>
    </row>
    <row r="130" spans="1:58" ht="42">
      <c r="A130" s="66" t="s">
        <v>1681</v>
      </c>
      <c r="B130" s="66" t="s">
        <v>1771</v>
      </c>
      <c r="C130" s="66"/>
      <c r="D130" s="66"/>
      <c r="E130" s="66" t="s">
        <v>1772</v>
      </c>
      <c r="F130" s="66" t="s">
        <v>1481</v>
      </c>
      <c r="G130" s="66" t="s">
        <v>1314</v>
      </c>
      <c r="H130" s="66" t="s">
        <v>1182</v>
      </c>
      <c r="I130" s="66" t="s">
        <v>1773</v>
      </c>
      <c r="J130" s="66" t="s">
        <v>1197</v>
      </c>
      <c r="K130" s="66" t="s">
        <v>1198</v>
      </c>
      <c r="L130" s="66" t="s">
        <v>891</v>
      </c>
      <c r="M130" s="66" t="s">
        <v>1267</v>
      </c>
      <c r="N130" s="66" t="s">
        <v>891</v>
      </c>
      <c r="O130" s="66" t="s">
        <v>1186</v>
      </c>
      <c r="P130" s="66" t="s">
        <v>891</v>
      </c>
      <c r="Q130" s="87" t="s">
        <v>1216</v>
      </c>
      <c r="R130" s="87" t="s">
        <v>1216</v>
      </c>
      <c r="S130" s="87" t="s">
        <v>1216</v>
      </c>
      <c r="T130" s="87" t="s">
        <v>1216</v>
      </c>
      <c r="U130" s="87" t="s">
        <v>1216</v>
      </c>
      <c r="V130" s="87" t="s">
        <v>1216</v>
      </c>
      <c r="W130" s="67"/>
      <c r="X130" s="85" t="str">
        <f t="shared" si="13"/>
        <v>Belum Dinilai</v>
      </c>
      <c r="Y130" s="85" t="str">
        <f t="shared" si="14"/>
        <v>Belum Dinilai</v>
      </c>
      <c r="Z130" s="86" t="str">
        <f t="shared" si="15"/>
        <v/>
      </c>
      <c r="AA130" s="86" t="str">
        <f t="shared" si="16"/>
        <v/>
      </c>
      <c r="AB130" s="86" t="str">
        <f t="shared" si="17"/>
        <v/>
      </c>
      <c r="AC130" s="68" t="s">
        <v>1216</v>
      </c>
      <c r="AD130" s="68" t="s">
        <v>1216</v>
      </c>
      <c r="AE130" s="68" t="s">
        <v>1216</v>
      </c>
      <c r="AF130" s="68" t="s">
        <v>1216</v>
      </c>
      <c r="AG130" s="68" t="s">
        <v>1216</v>
      </c>
      <c r="AH130" s="68" t="s">
        <v>1216</v>
      </c>
      <c r="AI130" s="68" t="s">
        <v>1216</v>
      </c>
      <c r="AJ130" s="68" t="s">
        <v>1216</v>
      </c>
      <c r="AK130" s="68" t="s">
        <v>1216</v>
      </c>
      <c r="AL130" s="68"/>
      <c r="AM130" s="68" t="s">
        <v>1216</v>
      </c>
      <c r="AN130" s="68" t="str">
        <f t="shared" si="12"/>
        <v>Belum Dinilai</v>
      </c>
      <c r="AO130" s="68" t="str">
        <f t="shared" si="18"/>
        <v>Belum Dinilai</v>
      </c>
      <c r="AP130" s="68"/>
      <c r="AQ130" s="71">
        <f t="shared" si="19"/>
        <v>22</v>
      </c>
      <c r="AR130" s="71" t="str">
        <f t="shared" si="21"/>
        <v/>
      </c>
      <c r="AS130" s="71" t="str">
        <f t="shared" si="22"/>
        <v/>
      </c>
      <c r="AT130" s="69" t="str">
        <f t="shared" si="20"/>
        <v>Belum Dapat Ditentukan</v>
      </c>
      <c r="AU130" s="66" t="s">
        <v>1190</v>
      </c>
      <c r="AV130" s="66" t="s">
        <v>1205</v>
      </c>
      <c r="AW130" s="66" t="s">
        <v>1191</v>
      </c>
      <c r="AX130" s="66"/>
      <c r="AY130" s="66"/>
      <c r="AZ130" s="66" t="s">
        <v>927</v>
      </c>
      <c r="BA130" s="66"/>
      <c r="BB130" s="72"/>
      <c r="BC130" s="73">
        <v>2026</v>
      </c>
      <c r="BD130" s="66"/>
      <c r="BE130" s="72"/>
      <c r="BF130" s="66" t="s">
        <v>1279</v>
      </c>
    </row>
    <row r="131" spans="1:58" ht="28">
      <c r="A131" s="66" t="s">
        <v>1970</v>
      </c>
      <c r="B131" s="66" t="s">
        <v>1775</v>
      </c>
      <c r="C131" s="66"/>
      <c r="D131" s="66"/>
      <c r="E131" s="66" t="s">
        <v>1776</v>
      </c>
      <c r="F131" s="66" t="s">
        <v>1481</v>
      </c>
      <c r="G131" s="66" t="s">
        <v>1314</v>
      </c>
      <c r="H131" s="66" t="s">
        <v>1182</v>
      </c>
      <c r="I131" s="66" t="s">
        <v>1777</v>
      </c>
      <c r="J131" s="66" t="s">
        <v>1264</v>
      </c>
      <c r="K131" s="66" t="s">
        <v>1278</v>
      </c>
      <c r="L131" s="66" t="s">
        <v>1216</v>
      </c>
      <c r="M131" s="66" t="s">
        <v>1278</v>
      </c>
      <c r="N131" s="66" t="s">
        <v>1216</v>
      </c>
      <c r="O131" s="66" t="s">
        <v>1278</v>
      </c>
      <c r="P131" s="66" t="s">
        <v>1216</v>
      </c>
      <c r="Q131" s="87" t="s">
        <v>1216</v>
      </c>
      <c r="R131" s="87" t="s">
        <v>1216</v>
      </c>
      <c r="S131" s="87" t="s">
        <v>1216</v>
      </c>
      <c r="T131" s="87" t="s">
        <v>1216</v>
      </c>
      <c r="U131" s="87" t="s">
        <v>1216</v>
      </c>
      <c r="V131" s="87" t="s">
        <v>1216</v>
      </c>
      <c r="W131" s="67"/>
      <c r="X131" s="85" t="str">
        <f t="shared" si="13"/>
        <v>Belum Dinilai</v>
      </c>
      <c r="Y131" s="85" t="str">
        <f t="shared" si="14"/>
        <v>Belum Dinilai</v>
      </c>
      <c r="Z131" s="86" t="str">
        <f t="shared" si="15"/>
        <v/>
      </c>
      <c r="AA131" s="86" t="str">
        <f t="shared" si="16"/>
        <v/>
      </c>
      <c r="AB131" s="86" t="str">
        <f t="shared" si="17"/>
        <v/>
      </c>
      <c r="AC131" s="68" t="s">
        <v>1216</v>
      </c>
      <c r="AD131" s="68" t="s">
        <v>1216</v>
      </c>
      <c r="AE131" s="68" t="s">
        <v>1216</v>
      </c>
      <c r="AF131" s="68" t="s">
        <v>1216</v>
      </c>
      <c r="AG131" s="68" t="s">
        <v>1216</v>
      </c>
      <c r="AH131" s="68" t="s">
        <v>1216</v>
      </c>
      <c r="AI131" s="68" t="s">
        <v>1216</v>
      </c>
      <c r="AJ131" s="68" t="s">
        <v>1216</v>
      </c>
      <c r="AK131" s="68" t="s">
        <v>1216</v>
      </c>
      <c r="AL131" s="68"/>
      <c r="AM131" s="68" t="s">
        <v>1216</v>
      </c>
      <c r="AN131" s="68" t="str">
        <f t="shared" si="12"/>
        <v>Belum Dinilai</v>
      </c>
      <c r="AO131" s="68" t="str">
        <f t="shared" si="18"/>
        <v>Belum Dinilai</v>
      </c>
      <c r="AP131" s="68"/>
      <c r="AQ131" s="71" t="str">
        <f t="shared" si="19"/>
        <v/>
      </c>
      <c r="AR131" s="71" t="str">
        <f t="shared" si="21"/>
        <v/>
      </c>
      <c r="AS131" s="71" t="str">
        <f t="shared" si="22"/>
        <v/>
      </c>
      <c r="AT131" s="69" t="str">
        <f t="shared" si="20"/>
        <v>Belum Dapat Ditentukan</v>
      </c>
      <c r="AU131" s="66" t="s">
        <v>1190</v>
      </c>
      <c r="AV131" s="66" t="s">
        <v>1205</v>
      </c>
      <c r="AW131" s="66" t="s">
        <v>1909</v>
      </c>
      <c r="AX131" s="66" t="s">
        <v>1218</v>
      </c>
      <c r="AY131" s="66">
        <v>2023</v>
      </c>
      <c r="AZ131" s="66" t="s">
        <v>927</v>
      </c>
      <c r="BA131" s="66"/>
      <c r="BB131" s="72"/>
      <c r="BC131" s="73">
        <v>2026</v>
      </c>
      <c r="BD131" s="66"/>
      <c r="BE131" s="72"/>
      <c r="BF131" s="66" t="s">
        <v>1279</v>
      </c>
    </row>
    <row r="132" spans="1:58" ht="42">
      <c r="A132" s="66" t="s">
        <v>1684</v>
      </c>
      <c r="B132" s="66" t="s">
        <v>1779</v>
      </c>
      <c r="C132" s="66"/>
      <c r="D132" s="66"/>
      <c r="E132" s="66" t="s">
        <v>1780</v>
      </c>
      <c r="F132" s="66" t="s">
        <v>1481</v>
      </c>
      <c r="G132" s="66" t="s">
        <v>1314</v>
      </c>
      <c r="H132" s="66" t="s">
        <v>1196</v>
      </c>
      <c r="I132" s="66" t="s">
        <v>1781</v>
      </c>
      <c r="J132" s="66" t="s">
        <v>1197</v>
      </c>
      <c r="K132" s="66" t="s">
        <v>1212</v>
      </c>
      <c r="L132" s="66" t="s">
        <v>891</v>
      </c>
      <c r="M132" s="66" t="s">
        <v>1309</v>
      </c>
      <c r="N132" s="66" t="s">
        <v>891</v>
      </c>
      <c r="O132" s="66" t="s">
        <v>1214</v>
      </c>
      <c r="P132" s="66" t="s">
        <v>891</v>
      </c>
      <c r="Q132" s="87" t="s">
        <v>1216</v>
      </c>
      <c r="R132" s="87" t="s">
        <v>1216</v>
      </c>
      <c r="S132" s="87" t="s">
        <v>1216</v>
      </c>
      <c r="T132" s="87" t="s">
        <v>1216</v>
      </c>
      <c r="U132" s="87" t="s">
        <v>1216</v>
      </c>
      <c r="V132" s="87" t="s">
        <v>1216</v>
      </c>
      <c r="W132" s="67"/>
      <c r="X132" s="85" t="str">
        <f t="shared" si="13"/>
        <v>Belum Dinilai</v>
      </c>
      <c r="Y132" s="85" t="str">
        <f t="shared" si="14"/>
        <v>Belum Dinilai</v>
      </c>
      <c r="Z132" s="86" t="str">
        <f t="shared" si="15"/>
        <v/>
      </c>
      <c r="AA132" s="86" t="str">
        <f t="shared" si="16"/>
        <v/>
      </c>
      <c r="AB132" s="86" t="str">
        <f t="shared" si="17"/>
        <v/>
      </c>
      <c r="AC132" s="68" t="s">
        <v>1216</v>
      </c>
      <c r="AD132" s="68" t="s">
        <v>1216</v>
      </c>
      <c r="AE132" s="68" t="s">
        <v>1216</v>
      </c>
      <c r="AF132" s="68" t="s">
        <v>1216</v>
      </c>
      <c r="AG132" s="68" t="s">
        <v>1216</v>
      </c>
      <c r="AH132" s="68" t="s">
        <v>1216</v>
      </c>
      <c r="AI132" s="68" t="s">
        <v>1216</v>
      </c>
      <c r="AJ132" s="68" t="s">
        <v>1216</v>
      </c>
      <c r="AK132" s="68" t="s">
        <v>1216</v>
      </c>
      <c r="AL132" s="68"/>
      <c r="AM132" s="68" t="s">
        <v>1216</v>
      </c>
      <c r="AN132" s="68" t="str">
        <f t="shared" ref="AN132:AN169" si="23">IF(AND(COUNTIF(AC132:AK132,"Ya")=0,AL132=""),IF(COUNTIF(AC132:AK132,"Belum Dinilai")&gt;0,"Belum Dinilai","Tidak ada risiko khusus"),IF(AC132="Ya","Bangunan berpotensi roboh; ","")&amp;IF(AD132="Ya","Bekas kebakaran dan tidak aman dihuni; ","")&amp;IF(AE132="Ya","Atap atau dinding utama hampir runtuh; ","")&amp;IF(AF132="Ya","Genangan yang membahayakan; ","")&amp;IF(AG132="Ya","Struktur rumah tidak stabil; ","")&amp;IF(AH132="Ya","Instalasi listrik berbahaya; ","")&amp;IF(AI132="Ya","Komponen bangunan lepas atau lapuk; ","")&amp;IF(AJ132="Ya","Akses keluar atau evakuasi terbatas; ","")&amp;IF(AK132="Ya","Lokasi rawan bencana; ","")&amp;IF(AL132&lt;&gt;"","Lainnya: "&amp;AL132,""))</f>
        <v>Belum Dinilai</v>
      </c>
      <c r="AO132" s="68" t="str">
        <f t="shared" si="18"/>
        <v>Belum Dinilai</v>
      </c>
      <c r="AP132" s="68"/>
      <c r="AQ132" s="71">
        <f t="shared" si="19"/>
        <v>22</v>
      </c>
      <c r="AR132" s="71" t="str">
        <f t="shared" si="21"/>
        <v/>
      </c>
      <c r="AS132" s="71" t="str">
        <f t="shared" si="22"/>
        <v/>
      </c>
      <c r="AT132" s="69" t="str">
        <f t="shared" si="20"/>
        <v>Belum Dapat Ditentukan</v>
      </c>
      <c r="AU132" s="66" t="s">
        <v>1190</v>
      </c>
      <c r="AV132" s="66" t="s">
        <v>1205</v>
      </c>
      <c r="AW132" s="66" t="s">
        <v>1191</v>
      </c>
      <c r="AX132" s="66"/>
      <c r="AY132" s="66"/>
      <c r="AZ132" s="66" t="s">
        <v>927</v>
      </c>
      <c r="BA132" s="66"/>
      <c r="BB132" s="72"/>
      <c r="BC132" s="73">
        <v>2026</v>
      </c>
      <c r="BD132" s="66"/>
      <c r="BE132" s="72"/>
      <c r="BF132" s="66" t="s">
        <v>1279</v>
      </c>
    </row>
    <row r="133" spans="1:58" ht="56">
      <c r="A133" s="66" t="s">
        <v>1687</v>
      </c>
      <c r="B133" s="66" t="s">
        <v>1783</v>
      </c>
      <c r="C133" s="66"/>
      <c r="D133" s="66"/>
      <c r="E133" s="66" t="s">
        <v>1784</v>
      </c>
      <c r="F133" s="66" t="s">
        <v>1481</v>
      </c>
      <c r="G133" s="66" t="s">
        <v>1314</v>
      </c>
      <c r="H133" s="66" t="s">
        <v>1182</v>
      </c>
      <c r="I133" s="66" t="s">
        <v>1785</v>
      </c>
      <c r="J133" s="66" t="s">
        <v>1197</v>
      </c>
      <c r="K133" s="66" t="s">
        <v>1278</v>
      </c>
      <c r="L133" s="66" t="s">
        <v>891</v>
      </c>
      <c r="M133" s="66" t="s">
        <v>1267</v>
      </c>
      <c r="N133" s="66" t="s">
        <v>891</v>
      </c>
      <c r="O133" s="66" t="s">
        <v>1214</v>
      </c>
      <c r="P133" s="66" t="s">
        <v>891</v>
      </c>
      <c r="Q133" s="87" t="s">
        <v>1216</v>
      </c>
      <c r="R133" s="87" t="s">
        <v>1216</v>
      </c>
      <c r="S133" s="87" t="s">
        <v>1216</v>
      </c>
      <c r="T133" s="87" t="s">
        <v>1216</v>
      </c>
      <c r="U133" s="87" t="s">
        <v>1216</v>
      </c>
      <c r="V133" s="87" t="s">
        <v>1216</v>
      </c>
      <c r="W133" s="67"/>
      <c r="X133" s="85" t="str">
        <f t="shared" si="13"/>
        <v>Belum Dinilai</v>
      </c>
      <c r="Y133" s="85" t="str">
        <f t="shared" si="14"/>
        <v>Belum Dinilai</v>
      </c>
      <c r="Z133" s="86" t="str">
        <f t="shared" si="15"/>
        <v/>
      </c>
      <c r="AA133" s="86" t="str">
        <f t="shared" si="16"/>
        <v/>
      </c>
      <c r="AB133" s="86" t="str">
        <f t="shared" ref="AB133:AB169" si="24">IF(OR(Z133="",AA133=""),"",Z133+AA133)</f>
        <v/>
      </c>
      <c r="AC133" s="68" t="s">
        <v>1216</v>
      </c>
      <c r="AD133" s="68" t="s">
        <v>1216</v>
      </c>
      <c r="AE133" s="68" t="s">
        <v>1216</v>
      </c>
      <c r="AF133" s="68" t="s">
        <v>1216</v>
      </c>
      <c r="AG133" s="68" t="s">
        <v>1216</v>
      </c>
      <c r="AH133" s="68" t="s">
        <v>1216</v>
      </c>
      <c r="AI133" s="68" t="s">
        <v>1216</v>
      </c>
      <c r="AJ133" s="68" t="s">
        <v>1216</v>
      </c>
      <c r="AK133" s="68" t="s">
        <v>1216</v>
      </c>
      <c r="AL133" s="68"/>
      <c r="AM133" s="68" t="s">
        <v>1216</v>
      </c>
      <c r="AN133" s="68" t="str">
        <f t="shared" si="23"/>
        <v>Belum Dinilai</v>
      </c>
      <c r="AO133" s="68" t="str">
        <f t="shared" ref="AO133:AO169" si="25">IF(AR133="","Belum Dinilai",IF(AR133=10,"Risiko Tinggi/Darurat",IF(AR133=5,"Risiko Sedang","Tidak Ada Risiko Khusus")))</f>
        <v>Belum Dinilai</v>
      </c>
      <c r="AP133" s="68"/>
      <c r="AQ133" s="71">
        <f t="shared" si="19"/>
        <v>22</v>
      </c>
      <c r="AR133" s="71" t="str">
        <f t="shared" si="21"/>
        <v/>
      </c>
      <c r="AS133" s="71" t="str">
        <f t="shared" si="22"/>
        <v/>
      </c>
      <c r="AT133" s="69" t="str">
        <f t="shared" si="20"/>
        <v>Belum Dapat Ditentukan</v>
      </c>
      <c r="AU133" s="66" t="s">
        <v>1190</v>
      </c>
      <c r="AV133" s="66" t="s">
        <v>1205</v>
      </c>
      <c r="AW133" s="66" t="s">
        <v>1191</v>
      </c>
      <c r="AX133" s="66"/>
      <c r="AY133" s="66"/>
      <c r="AZ133" s="66" t="s">
        <v>927</v>
      </c>
      <c r="BA133" s="66"/>
      <c r="BB133" s="72"/>
      <c r="BC133" s="73">
        <v>2026</v>
      </c>
      <c r="BD133" s="66"/>
      <c r="BE133" s="72"/>
      <c r="BF133" s="66" t="s">
        <v>1279</v>
      </c>
    </row>
    <row r="134" spans="1:58" ht="42">
      <c r="A134" s="66" t="s">
        <v>1691</v>
      </c>
      <c r="B134" s="66" t="s">
        <v>1787</v>
      </c>
      <c r="C134" s="66"/>
      <c r="D134" s="66"/>
      <c r="E134" s="66" t="s">
        <v>1788</v>
      </c>
      <c r="F134" s="66" t="s">
        <v>1481</v>
      </c>
      <c r="G134" s="66" t="s">
        <v>1314</v>
      </c>
      <c r="H134" s="66" t="s">
        <v>1182</v>
      </c>
      <c r="I134" s="66" t="s">
        <v>1789</v>
      </c>
      <c r="J134" s="66" t="s">
        <v>1211</v>
      </c>
      <c r="K134" s="66" t="s">
        <v>1198</v>
      </c>
      <c r="L134" s="66" t="s">
        <v>891</v>
      </c>
      <c r="M134" s="66" t="s">
        <v>1267</v>
      </c>
      <c r="N134" s="66" t="s">
        <v>891</v>
      </c>
      <c r="O134" s="66" t="s">
        <v>1278</v>
      </c>
      <c r="P134" s="66" t="s">
        <v>891</v>
      </c>
      <c r="Q134" s="87" t="s">
        <v>1216</v>
      </c>
      <c r="R134" s="87" t="s">
        <v>1216</v>
      </c>
      <c r="S134" s="87" t="s">
        <v>1216</v>
      </c>
      <c r="T134" s="87" t="s">
        <v>1216</v>
      </c>
      <c r="U134" s="87" t="s">
        <v>1216</v>
      </c>
      <c r="V134" s="87" t="s">
        <v>1216</v>
      </c>
      <c r="W134" s="67"/>
      <c r="X134" s="85" t="str">
        <f t="shared" ref="X134:X197" si="26">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5" t="str">
        <f t="shared" ref="Y134:Y197" si="27">IF(COUNTIF(R134:V134,"Belum Dinilai")&gt;0,"Belum Dinilai",IF(COUNTIF(R134:V134,"Ya")=0,"Tidak Ada Faktor Rentan",IF(COUNTIF(R134:V134,"Ya")=1,"1 Faktor Rentan","2 atau Lebih Faktor Rentan")))</f>
        <v>Belum Dinilai</v>
      </c>
      <c r="Z134" s="86" t="str">
        <f t="shared" ref="Z134:Z197" si="28">IF(OR(Q134="",Q134="Belum Dinilai"),"",IF(Q134="Terverifikasi DTKS/P3KE/MBR",10,IF(Q134="Diusulkan, Belum Terverifikasi",5,0)))</f>
        <v/>
      </c>
      <c r="AA134" s="86" t="str">
        <f t="shared" ref="AA134:AA197" si="29">IF(COUNTIF(R134:V134,"Belum Dinilai")&gt;0,"",IF(COUNTIF(R134:V134,"Ya")=0,0,IF(COUNTIF(R134:V134,"Ya")=1,5,10)))</f>
        <v/>
      </c>
      <c r="AB134" s="86" t="str">
        <f t="shared" si="24"/>
        <v/>
      </c>
      <c r="AC134" s="68" t="s">
        <v>1216</v>
      </c>
      <c r="AD134" s="68" t="s">
        <v>1216</v>
      </c>
      <c r="AE134" s="68" t="s">
        <v>1216</v>
      </c>
      <c r="AF134" s="68" t="s">
        <v>1216</v>
      </c>
      <c r="AG134" s="68" t="s">
        <v>1216</v>
      </c>
      <c r="AH134" s="68" t="s">
        <v>1216</v>
      </c>
      <c r="AI134" s="68" t="s">
        <v>1216</v>
      </c>
      <c r="AJ134" s="68" t="s">
        <v>1216</v>
      </c>
      <c r="AK134" s="68" t="s">
        <v>1216</v>
      </c>
      <c r="AL134" s="68"/>
      <c r="AM134" s="68" t="s">
        <v>1216</v>
      </c>
      <c r="AN134" s="68" t="str">
        <f t="shared" si="23"/>
        <v>Belum Dinilai</v>
      </c>
      <c r="AO134" s="68" t="str">
        <f t="shared" si="25"/>
        <v>Belum Dinilai</v>
      </c>
      <c r="AP134" s="68"/>
      <c r="AQ134" s="71">
        <f t="shared" ref="AQ134:AQ197" si="30">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si="21"/>
        <v/>
      </c>
      <c r="AS134" s="71" t="str">
        <f t="shared" si="22"/>
        <v/>
      </c>
      <c r="AT134" s="69" t="str">
        <f t="shared" ref="AT134:AT197" si="31">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1190</v>
      </c>
      <c r="AV134" s="66" t="s">
        <v>1205</v>
      </c>
      <c r="AW134" s="66" t="s">
        <v>1191</v>
      </c>
      <c r="AX134" s="66"/>
      <c r="AY134" s="66"/>
      <c r="AZ134" s="66" t="s">
        <v>927</v>
      </c>
      <c r="BA134" s="66"/>
      <c r="BB134" s="72"/>
      <c r="BC134" s="73">
        <v>2026</v>
      </c>
      <c r="BD134" s="66"/>
      <c r="BE134" s="72"/>
      <c r="BF134" s="66" t="s">
        <v>1279</v>
      </c>
    </row>
    <row r="135" spans="1:58" ht="42">
      <c r="A135" s="66" t="s">
        <v>1693</v>
      </c>
      <c r="B135" s="66" t="s">
        <v>1791</v>
      </c>
      <c r="C135" s="66"/>
      <c r="D135" s="66"/>
      <c r="E135" s="66" t="s">
        <v>1792</v>
      </c>
      <c r="F135" s="66" t="s">
        <v>1481</v>
      </c>
      <c r="G135" s="66" t="s">
        <v>1314</v>
      </c>
      <c r="H135" s="66" t="s">
        <v>1263</v>
      </c>
      <c r="I135" s="66" t="s">
        <v>1793</v>
      </c>
      <c r="J135" s="66" t="s">
        <v>1211</v>
      </c>
      <c r="K135" s="66" t="s">
        <v>1212</v>
      </c>
      <c r="L135" s="66" t="s">
        <v>891</v>
      </c>
      <c r="M135" s="66" t="s">
        <v>1267</v>
      </c>
      <c r="N135" s="66" t="s">
        <v>891</v>
      </c>
      <c r="O135" s="66" t="s">
        <v>1186</v>
      </c>
      <c r="P135" s="66" t="s">
        <v>891</v>
      </c>
      <c r="Q135" s="87" t="s">
        <v>1216</v>
      </c>
      <c r="R135" s="87" t="s">
        <v>1216</v>
      </c>
      <c r="S135" s="87" t="s">
        <v>1216</v>
      </c>
      <c r="T135" s="87" t="s">
        <v>1216</v>
      </c>
      <c r="U135" s="87" t="s">
        <v>1216</v>
      </c>
      <c r="V135" s="87" t="s">
        <v>1216</v>
      </c>
      <c r="W135" s="67"/>
      <c r="X135" s="85" t="str">
        <f t="shared" si="26"/>
        <v>Belum Dinilai</v>
      </c>
      <c r="Y135" s="85" t="str">
        <f t="shared" si="27"/>
        <v>Belum Dinilai</v>
      </c>
      <c r="Z135" s="86" t="str">
        <f t="shared" si="28"/>
        <v/>
      </c>
      <c r="AA135" s="86" t="str">
        <f t="shared" si="29"/>
        <v/>
      </c>
      <c r="AB135" s="86" t="str">
        <f t="shared" si="24"/>
        <v/>
      </c>
      <c r="AC135" s="68" t="s">
        <v>1216</v>
      </c>
      <c r="AD135" s="68" t="s">
        <v>1216</v>
      </c>
      <c r="AE135" s="68" t="s">
        <v>1216</v>
      </c>
      <c r="AF135" s="68" t="s">
        <v>1216</v>
      </c>
      <c r="AG135" s="68" t="s">
        <v>1216</v>
      </c>
      <c r="AH135" s="68" t="s">
        <v>1216</v>
      </c>
      <c r="AI135" s="68" t="s">
        <v>1216</v>
      </c>
      <c r="AJ135" s="68" t="s">
        <v>1216</v>
      </c>
      <c r="AK135" s="68" t="s">
        <v>1216</v>
      </c>
      <c r="AL135" s="68"/>
      <c r="AM135" s="68" t="s">
        <v>1216</v>
      </c>
      <c r="AN135" s="68" t="str">
        <f t="shared" si="23"/>
        <v>Belum Dinilai</v>
      </c>
      <c r="AO135" s="68" t="str">
        <f t="shared" si="25"/>
        <v>Belum Dinilai</v>
      </c>
      <c r="AP135" s="68"/>
      <c r="AQ135" s="71">
        <f t="shared" si="30"/>
        <v>29</v>
      </c>
      <c r="AR135" s="71" t="str">
        <f t="shared" si="21"/>
        <v/>
      </c>
      <c r="AS135" s="71" t="str">
        <f t="shared" si="22"/>
        <v/>
      </c>
      <c r="AT135" s="69" t="str">
        <f t="shared" si="31"/>
        <v>Belum Dapat Ditentukan</v>
      </c>
      <c r="AU135" s="66" t="s">
        <v>1204</v>
      </c>
      <c r="AV135" s="66" t="s">
        <v>1205</v>
      </c>
      <c r="AW135" s="66" t="s">
        <v>1191</v>
      </c>
      <c r="AX135" s="66"/>
      <c r="AY135" s="66"/>
      <c r="AZ135" s="66" t="s">
        <v>927</v>
      </c>
      <c r="BA135" s="66"/>
      <c r="BB135" s="72"/>
      <c r="BC135" s="73">
        <v>2026</v>
      </c>
      <c r="BD135" s="66"/>
      <c r="BE135" s="72"/>
      <c r="BF135" s="66" t="s">
        <v>1279</v>
      </c>
    </row>
    <row r="136" spans="1:58" ht="28">
      <c r="A136" s="66" t="s">
        <v>1696</v>
      </c>
      <c r="B136" s="66" t="s">
        <v>1511</v>
      </c>
      <c r="C136" s="66"/>
      <c r="D136" s="66"/>
      <c r="E136" s="66" t="s">
        <v>1795</v>
      </c>
      <c r="F136" s="66" t="s">
        <v>1513</v>
      </c>
      <c r="G136" s="66" t="s">
        <v>1290</v>
      </c>
      <c r="H136" s="66" t="s">
        <v>1263</v>
      </c>
      <c r="I136" s="66" t="s">
        <v>1796</v>
      </c>
      <c r="J136" s="66" t="s">
        <v>1264</v>
      </c>
      <c r="K136" s="66" t="s">
        <v>1278</v>
      </c>
      <c r="L136" s="66" t="s">
        <v>1216</v>
      </c>
      <c r="M136" s="66" t="s">
        <v>1278</v>
      </c>
      <c r="N136" s="66" t="s">
        <v>1216</v>
      </c>
      <c r="O136" s="66" t="s">
        <v>1278</v>
      </c>
      <c r="P136" s="66" t="s">
        <v>1216</v>
      </c>
      <c r="Q136" s="87" t="s">
        <v>1216</v>
      </c>
      <c r="R136" s="87" t="s">
        <v>1216</v>
      </c>
      <c r="S136" s="87" t="s">
        <v>1216</v>
      </c>
      <c r="T136" s="87" t="s">
        <v>1216</v>
      </c>
      <c r="U136" s="87" t="s">
        <v>1216</v>
      </c>
      <c r="V136" s="87" t="s">
        <v>1216</v>
      </c>
      <c r="W136" s="67"/>
      <c r="X136" s="85" t="str">
        <f t="shared" si="26"/>
        <v>Belum Dinilai</v>
      </c>
      <c r="Y136" s="85" t="str">
        <f t="shared" si="27"/>
        <v>Belum Dinilai</v>
      </c>
      <c r="Z136" s="86" t="str">
        <f t="shared" si="28"/>
        <v/>
      </c>
      <c r="AA136" s="86" t="str">
        <f t="shared" si="29"/>
        <v/>
      </c>
      <c r="AB136" s="86" t="str">
        <f t="shared" si="24"/>
        <v/>
      </c>
      <c r="AC136" s="68" t="s">
        <v>1216</v>
      </c>
      <c r="AD136" s="68" t="s">
        <v>1216</v>
      </c>
      <c r="AE136" s="68" t="s">
        <v>1216</v>
      </c>
      <c r="AF136" s="68" t="s">
        <v>1216</v>
      </c>
      <c r="AG136" s="68" t="s">
        <v>1216</v>
      </c>
      <c r="AH136" s="68" t="s">
        <v>1216</v>
      </c>
      <c r="AI136" s="68" t="s">
        <v>1216</v>
      </c>
      <c r="AJ136" s="68" t="s">
        <v>1216</v>
      </c>
      <c r="AK136" s="68" t="s">
        <v>1216</v>
      </c>
      <c r="AL136" s="68"/>
      <c r="AM136" s="68" t="s">
        <v>1216</v>
      </c>
      <c r="AN136" s="68" t="str">
        <f t="shared" si="23"/>
        <v>Belum Dinilai</v>
      </c>
      <c r="AO136" s="68" t="str">
        <f t="shared" si="25"/>
        <v>Belum Dinilai</v>
      </c>
      <c r="AP136" s="68"/>
      <c r="AQ136" s="71" t="str">
        <f t="shared" si="30"/>
        <v/>
      </c>
      <c r="AR136" s="71" t="str">
        <f t="shared" ref="AR136:AR199" si="32">IF(
 OR(
  COUNTIF(AC136:AH136,"Ya")&gt;0,
  AND(AL136&lt;&gt;"",AM136="Risiko Tinggi/Darurat"),
  COUNTIF(AI136:AK136,"Ya")+IF(AND(AL136&lt;&gt;"",AM136="Risiko Sedang"),1,0)&gt;=2
 ),
 10,
 IF(
  OR(
   COUNTIF(AC136:AK136,"Belum Dinilai")&gt;0,
   AND(AL136&lt;&gt;"",OR(AM136="",AM136="Belum Dinilai")),
   AND(AL136="",OR(AM136="Risiko Sedang",AM136="Risiko Tinggi/Darurat"))
  ),
  "",
  IF(
   COUNTIF(AI136:AK136,"Ya")+IF(AND(AL136&lt;&gt;"",AM136="Risiko Sedang"),1,0)=1,
   5,
   0
  )
 )
)</f>
        <v/>
      </c>
      <c r="AS136" s="71" t="str">
        <f t="shared" si="22"/>
        <v/>
      </c>
      <c r="AT136" s="69" t="str">
        <f t="shared" si="31"/>
        <v>Belum Dapat Ditentukan</v>
      </c>
      <c r="AU136" s="66" t="s">
        <v>1204</v>
      </c>
      <c r="AV136" s="66" t="s">
        <v>1205</v>
      </c>
      <c r="AW136" s="66" t="s">
        <v>1191</v>
      </c>
      <c r="AX136" s="66"/>
      <c r="AY136" s="66"/>
      <c r="AZ136" s="66" t="s">
        <v>927</v>
      </c>
      <c r="BA136" s="66"/>
      <c r="BB136" s="72"/>
      <c r="BC136" s="73">
        <v>2026</v>
      </c>
      <c r="BD136" s="66"/>
      <c r="BE136" s="72"/>
      <c r="BF136" s="66" t="s">
        <v>1279</v>
      </c>
    </row>
    <row r="137" spans="1:58" ht="28">
      <c r="A137" s="66" t="s">
        <v>1698</v>
      </c>
      <c r="B137" s="66" t="s">
        <v>1798</v>
      </c>
      <c r="C137" s="66"/>
      <c r="D137" s="66"/>
      <c r="E137" s="66" t="s">
        <v>1799</v>
      </c>
      <c r="F137" s="66" t="s">
        <v>1573</v>
      </c>
      <c r="G137" s="66" t="s">
        <v>1276</v>
      </c>
      <c r="H137" s="66" t="s">
        <v>1263</v>
      </c>
      <c r="I137" s="66" t="s">
        <v>1800</v>
      </c>
      <c r="J137" s="66" t="s">
        <v>1183</v>
      </c>
      <c r="K137" s="66" t="s">
        <v>1278</v>
      </c>
      <c r="L137" s="66" t="s">
        <v>1216</v>
      </c>
      <c r="M137" s="66" t="s">
        <v>1266</v>
      </c>
      <c r="N137" s="66" t="s">
        <v>1216</v>
      </c>
      <c r="O137" s="66" t="s">
        <v>1278</v>
      </c>
      <c r="P137" s="66" t="s">
        <v>1216</v>
      </c>
      <c r="Q137" s="87" t="s">
        <v>1216</v>
      </c>
      <c r="R137" s="87" t="s">
        <v>1216</v>
      </c>
      <c r="S137" s="87" t="s">
        <v>1216</v>
      </c>
      <c r="T137" s="87" t="s">
        <v>1216</v>
      </c>
      <c r="U137" s="87" t="s">
        <v>1216</v>
      </c>
      <c r="V137" s="87" t="s">
        <v>1216</v>
      </c>
      <c r="W137" s="67"/>
      <c r="X137" s="85" t="str">
        <f t="shared" si="26"/>
        <v>Belum Dinilai</v>
      </c>
      <c r="Y137" s="85" t="str">
        <f t="shared" si="27"/>
        <v>Belum Dinilai</v>
      </c>
      <c r="Z137" s="86" t="str">
        <f t="shared" si="28"/>
        <v/>
      </c>
      <c r="AA137" s="86" t="str">
        <f t="shared" si="29"/>
        <v/>
      </c>
      <c r="AB137" s="86" t="str">
        <f t="shared" si="24"/>
        <v/>
      </c>
      <c r="AC137" s="68" t="s">
        <v>1216</v>
      </c>
      <c r="AD137" s="68" t="s">
        <v>1216</v>
      </c>
      <c r="AE137" s="68" t="s">
        <v>1216</v>
      </c>
      <c r="AF137" s="68" t="s">
        <v>1216</v>
      </c>
      <c r="AG137" s="68" t="s">
        <v>1216</v>
      </c>
      <c r="AH137" s="68" t="s">
        <v>1216</v>
      </c>
      <c r="AI137" s="68" t="s">
        <v>1216</v>
      </c>
      <c r="AJ137" s="68" t="s">
        <v>1216</v>
      </c>
      <c r="AK137" s="68" t="s">
        <v>1216</v>
      </c>
      <c r="AL137" s="68"/>
      <c r="AM137" s="68" t="s">
        <v>1216</v>
      </c>
      <c r="AN137" s="68" t="str">
        <f t="shared" si="23"/>
        <v>Belum Dinilai</v>
      </c>
      <c r="AO137" s="68" t="str">
        <f t="shared" si="25"/>
        <v>Belum Dinilai</v>
      </c>
      <c r="AP137" s="68"/>
      <c r="AQ137" s="71" t="str">
        <f t="shared" si="30"/>
        <v/>
      </c>
      <c r="AR137" s="71" t="str">
        <f t="shared" si="32"/>
        <v/>
      </c>
      <c r="AS137" s="71" t="str">
        <f t="shared" ref="AS137:AS169" si="33">IF(OR(AQ137="",AB137="",AR137=""),"",AQ137+AB137+AR137)</f>
        <v/>
      </c>
      <c r="AT137" s="69" t="str">
        <f t="shared" si="31"/>
        <v>Belum Dapat Ditentukan</v>
      </c>
      <c r="AU137" s="66" t="s">
        <v>1190</v>
      </c>
      <c r="AV137" s="66" t="s">
        <v>1205</v>
      </c>
      <c r="AW137" s="66" t="s">
        <v>1191</v>
      </c>
      <c r="AX137" s="66"/>
      <c r="AY137" s="66"/>
      <c r="AZ137" s="66" t="s">
        <v>927</v>
      </c>
      <c r="BA137" s="66"/>
      <c r="BB137" s="72"/>
      <c r="BC137" s="73">
        <v>2026</v>
      </c>
      <c r="BD137" s="66"/>
      <c r="BE137" s="72"/>
      <c r="BF137" s="66" t="s">
        <v>1279</v>
      </c>
    </row>
    <row r="138" spans="1:58" ht="42">
      <c r="A138" s="66" t="s">
        <v>1971</v>
      </c>
      <c r="B138" s="66" t="s">
        <v>1802</v>
      </c>
      <c r="C138" s="66"/>
      <c r="D138" s="66"/>
      <c r="E138" s="66" t="s">
        <v>1803</v>
      </c>
      <c r="F138" s="66" t="s">
        <v>1573</v>
      </c>
      <c r="G138" s="66" t="s">
        <v>1276</v>
      </c>
      <c r="H138" s="66" t="s">
        <v>1263</v>
      </c>
      <c r="I138" s="66" t="s">
        <v>1804</v>
      </c>
      <c r="J138" s="66" t="s">
        <v>1197</v>
      </c>
      <c r="K138" s="66" t="s">
        <v>1212</v>
      </c>
      <c r="L138" s="66" t="s">
        <v>891</v>
      </c>
      <c r="M138" s="66" t="s">
        <v>1309</v>
      </c>
      <c r="N138" s="66" t="s">
        <v>1216</v>
      </c>
      <c r="O138" s="66" t="s">
        <v>1214</v>
      </c>
      <c r="P138" s="66" t="s">
        <v>891</v>
      </c>
      <c r="Q138" s="87" t="s">
        <v>1216</v>
      </c>
      <c r="R138" s="87" t="s">
        <v>1216</v>
      </c>
      <c r="S138" s="87" t="s">
        <v>1216</v>
      </c>
      <c r="T138" s="87" t="s">
        <v>1216</v>
      </c>
      <c r="U138" s="87" t="s">
        <v>1216</v>
      </c>
      <c r="V138" s="87" t="s">
        <v>1216</v>
      </c>
      <c r="W138" s="67"/>
      <c r="X138" s="85" t="str">
        <f t="shared" si="26"/>
        <v>Belum Dinilai</v>
      </c>
      <c r="Y138" s="85" t="str">
        <f t="shared" si="27"/>
        <v>Belum Dinilai</v>
      </c>
      <c r="Z138" s="86" t="str">
        <f t="shared" si="28"/>
        <v/>
      </c>
      <c r="AA138" s="86" t="str">
        <f t="shared" si="29"/>
        <v/>
      </c>
      <c r="AB138" s="86" t="str">
        <f t="shared" si="24"/>
        <v/>
      </c>
      <c r="AC138" s="68" t="s">
        <v>1216</v>
      </c>
      <c r="AD138" s="68" t="s">
        <v>1216</v>
      </c>
      <c r="AE138" s="68" t="s">
        <v>1216</v>
      </c>
      <c r="AF138" s="68" t="s">
        <v>1216</v>
      </c>
      <c r="AG138" s="68" t="s">
        <v>1216</v>
      </c>
      <c r="AH138" s="68" t="s">
        <v>1216</v>
      </c>
      <c r="AI138" s="68" t="s">
        <v>1216</v>
      </c>
      <c r="AJ138" s="68" t="s">
        <v>1216</v>
      </c>
      <c r="AK138" s="68" t="s">
        <v>1216</v>
      </c>
      <c r="AL138" s="68"/>
      <c r="AM138" s="68" t="s">
        <v>1216</v>
      </c>
      <c r="AN138" s="68" t="str">
        <f t="shared" si="23"/>
        <v>Belum Dinilai</v>
      </c>
      <c r="AO138" s="68" t="str">
        <f t="shared" si="25"/>
        <v>Belum Dinilai</v>
      </c>
      <c r="AP138" s="68"/>
      <c r="AQ138" s="71" t="str">
        <f t="shared" si="30"/>
        <v/>
      </c>
      <c r="AR138" s="71" t="str">
        <f t="shared" si="32"/>
        <v/>
      </c>
      <c r="AS138" s="71" t="str">
        <f t="shared" si="33"/>
        <v/>
      </c>
      <c r="AT138" s="69" t="str">
        <f t="shared" si="31"/>
        <v>Belum Dapat Ditentukan</v>
      </c>
      <c r="AU138" s="66" t="s">
        <v>1204</v>
      </c>
      <c r="AV138" s="66" t="s">
        <v>1205</v>
      </c>
      <c r="AW138" s="66" t="s">
        <v>1191</v>
      </c>
      <c r="AX138" s="66"/>
      <c r="AY138" s="66"/>
      <c r="AZ138" s="66" t="s">
        <v>927</v>
      </c>
      <c r="BA138" s="66"/>
      <c r="BB138" s="72"/>
      <c r="BC138" s="73">
        <v>2026</v>
      </c>
      <c r="BD138" s="66"/>
      <c r="BE138" s="72"/>
      <c r="BF138" s="66" t="s">
        <v>1279</v>
      </c>
    </row>
    <row r="139" spans="1:58" ht="56">
      <c r="A139" s="66" t="s">
        <v>1972</v>
      </c>
      <c r="B139" s="66" t="s">
        <v>1806</v>
      </c>
      <c r="C139" s="66"/>
      <c r="D139" s="66"/>
      <c r="E139" s="66" t="s">
        <v>1803</v>
      </c>
      <c r="F139" s="66" t="s">
        <v>1573</v>
      </c>
      <c r="G139" s="66" t="s">
        <v>1276</v>
      </c>
      <c r="H139" s="66" t="s">
        <v>1263</v>
      </c>
      <c r="I139" s="66" t="s">
        <v>1807</v>
      </c>
      <c r="J139" s="66" t="s">
        <v>1211</v>
      </c>
      <c r="K139" s="66" t="s">
        <v>1198</v>
      </c>
      <c r="L139" s="66" t="s">
        <v>891</v>
      </c>
      <c r="M139" s="66" t="s">
        <v>1267</v>
      </c>
      <c r="N139" s="66" t="s">
        <v>891</v>
      </c>
      <c r="O139" s="66" t="s">
        <v>1214</v>
      </c>
      <c r="P139" s="66" t="s">
        <v>891</v>
      </c>
      <c r="Q139" s="87" t="s">
        <v>1216</v>
      </c>
      <c r="R139" s="87" t="s">
        <v>1216</v>
      </c>
      <c r="S139" s="87" t="s">
        <v>1216</v>
      </c>
      <c r="T139" s="87" t="s">
        <v>1216</v>
      </c>
      <c r="U139" s="87" t="s">
        <v>1216</v>
      </c>
      <c r="V139" s="87" t="s">
        <v>1216</v>
      </c>
      <c r="W139" s="67"/>
      <c r="X139" s="85" t="str">
        <f t="shared" si="26"/>
        <v>Belum Dinilai</v>
      </c>
      <c r="Y139" s="85" t="str">
        <f t="shared" si="27"/>
        <v>Belum Dinilai</v>
      </c>
      <c r="Z139" s="86" t="str">
        <f t="shared" si="28"/>
        <v/>
      </c>
      <c r="AA139" s="86" t="str">
        <f t="shared" si="29"/>
        <v/>
      </c>
      <c r="AB139" s="86" t="str">
        <f t="shared" si="24"/>
        <v/>
      </c>
      <c r="AC139" s="68" t="s">
        <v>1216</v>
      </c>
      <c r="AD139" s="68" t="s">
        <v>1216</v>
      </c>
      <c r="AE139" s="68" t="s">
        <v>1216</v>
      </c>
      <c r="AF139" s="68" t="s">
        <v>1216</v>
      </c>
      <c r="AG139" s="68" t="s">
        <v>1216</v>
      </c>
      <c r="AH139" s="68" t="s">
        <v>1216</v>
      </c>
      <c r="AI139" s="68" t="s">
        <v>1216</v>
      </c>
      <c r="AJ139" s="68" t="s">
        <v>1216</v>
      </c>
      <c r="AK139" s="68" t="s">
        <v>1216</v>
      </c>
      <c r="AL139" s="68"/>
      <c r="AM139" s="68" t="s">
        <v>1216</v>
      </c>
      <c r="AN139" s="68" t="str">
        <f t="shared" si="23"/>
        <v>Belum Dinilai</v>
      </c>
      <c r="AO139" s="68" t="str">
        <f t="shared" si="25"/>
        <v>Belum Dinilai</v>
      </c>
      <c r="AP139" s="68"/>
      <c r="AQ139" s="71">
        <f t="shared" si="30"/>
        <v>29</v>
      </c>
      <c r="AR139" s="71" t="str">
        <f t="shared" si="32"/>
        <v/>
      </c>
      <c r="AS139" s="71" t="str">
        <f t="shared" si="33"/>
        <v/>
      </c>
      <c r="AT139" s="69" t="str">
        <f t="shared" si="31"/>
        <v>Belum Dapat Ditentukan</v>
      </c>
      <c r="AU139" s="66" t="s">
        <v>1190</v>
      </c>
      <c r="AV139" s="66" t="s">
        <v>1205</v>
      </c>
      <c r="AW139" s="66" t="s">
        <v>1191</v>
      </c>
      <c r="AX139" s="66"/>
      <c r="AY139" s="66"/>
      <c r="AZ139" s="66" t="s">
        <v>927</v>
      </c>
      <c r="BA139" s="66"/>
      <c r="BB139" s="72"/>
      <c r="BC139" s="73">
        <v>2026</v>
      </c>
      <c r="BD139" s="66"/>
      <c r="BE139" s="72"/>
      <c r="BF139" s="66" t="s">
        <v>1279</v>
      </c>
    </row>
    <row r="140" spans="1:58" ht="56">
      <c r="A140" s="66" t="s">
        <v>1702</v>
      </c>
      <c r="B140" s="66" t="s">
        <v>1808</v>
      </c>
      <c r="C140" s="66"/>
      <c r="D140" s="66"/>
      <c r="E140" s="66" t="s">
        <v>1738</v>
      </c>
      <c r="F140" s="66" t="s">
        <v>1573</v>
      </c>
      <c r="G140" s="66" t="s">
        <v>1276</v>
      </c>
      <c r="H140" s="66" t="s">
        <v>1182</v>
      </c>
      <c r="I140" s="66" t="s">
        <v>1809</v>
      </c>
      <c r="J140" s="66" t="s">
        <v>1211</v>
      </c>
      <c r="K140" s="66" t="s">
        <v>1198</v>
      </c>
      <c r="L140" s="66" t="s">
        <v>891</v>
      </c>
      <c r="M140" s="66" t="s">
        <v>1267</v>
      </c>
      <c r="N140" s="66" t="s">
        <v>891</v>
      </c>
      <c r="O140" s="66" t="s">
        <v>1214</v>
      </c>
      <c r="P140" s="66" t="s">
        <v>891</v>
      </c>
      <c r="Q140" s="87" t="s">
        <v>1216</v>
      </c>
      <c r="R140" s="87" t="s">
        <v>1216</v>
      </c>
      <c r="S140" s="87" t="s">
        <v>1216</v>
      </c>
      <c r="T140" s="87" t="s">
        <v>1216</v>
      </c>
      <c r="U140" s="87" t="s">
        <v>1216</v>
      </c>
      <c r="V140" s="87" t="s">
        <v>1216</v>
      </c>
      <c r="W140" s="67"/>
      <c r="X140" s="85" t="str">
        <f t="shared" si="26"/>
        <v>Belum Dinilai</v>
      </c>
      <c r="Y140" s="85" t="str">
        <f t="shared" si="27"/>
        <v>Belum Dinilai</v>
      </c>
      <c r="Z140" s="86" t="str">
        <f t="shared" si="28"/>
        <v/>
      </c>
      <c r="AA140" s="86" t="str">
        <f t="shared" si="29"/>
        <v/>
      </c>
      <c r="AB140" s="86" t="str">
        <f t="shared" si="24"/>
        <v/>
      </c>
      <c r="AC140" s="68" t="s">
        <v>1216</v>
      </c>
      <c r="AD140" s="68" t="s">
        <v>1216</v>
      </c>
      <c r="AE140" s="68" t="s">
        <v>1216</v>
      </c>
      <c r="AF140" s="68" t="s">
        <v>1216</v>
      </c>
      <c r="AG140" s="68" t="s">
        <v>1216</v>
      </c>
      <c r="AH140" s="68" t="s">
        <v>1216</v>
      </c>
      <c r="AI140" s="68" t="s">
        <v>1216</v>
      </c>
      <c r="AJ140" s="68" t="s">
        <v>1216</v>
      </c>
      <c r="AK140" s="68" t="s">
        <v>1216</v>
      </c>
      <c r="AL140" s="68"/>
      <c r="AM140" s="68" t="s">
        <v>1216</v>
      </c>
      <c r="AN140" s="68" t="str">
        <f t="shared" si="23"/>
        <v>Belum Dinilai</v>
      </c>
      <c r="AO140" s="68" t="str">
        <f t="shared" si="25"/>
        <v>Belum Dinilai</v>
      </c>
      <c r="AP140" s="68"/>
      <c r="AQ140" s="71">
        <f t="shared" si="30"/>
        <v>29</v>
      </c>
      <c r="AR140" s="71" t="str">
        <f t="shared" si="32"/>
        <v/>
      </c>
      <c r="AS140" s="71" t="str">
        <f t="shared" si="33"/>
        <v/>
      </c>
      <c r="AT140" s="69" t="str">
        <f t="shared" si="31"/>
        <v>Belum Dapat Ditentukan</v>
      </c>
      <c r="AU140" s="66" t="s">
        <v>1190</v>
      </c>
      <c r="AV140" s="66" t="s">
        <v>1205</v>
      </c>
      <c r="AW140" s="66" t="s">
        <v>1909</v>
      </c>
      <c r="AX140" s="66" t="s">
        <v>1207</v>
      </c>
      <c r="AY140" s="66">
        <v>2022</v>
      </c>
      <c r="AZ140" s="66" t="s">
        <v>927</v>
      </c>
      <c r="BA140" s="66"/>
      <c r="BB140" s="72"/>
      <c r="BC140" s="73">
        <v>2026</v>
      </c>
      <c r="BD140" s="66"/>
      <c r="BE140" s="72"/>
      <c r="BF140" s="66" t="s">
        <v>1279</v>
      </c>
    </row>
    <row r="141" spans="1:58" ht="70">
      <c r="A141" s="66" t="s">
        <v>1705</v>
      </c>
      <c r="B141" s="66" t="s">
        <v>1810</v>
      </c>
      <c r="C141" s="66"/>
      <c r="D141" s="66"/>
      <c r="E141" s="66" t="s">
        <v>1811</v>
      </c>
      <c r="F141" s="66" t="s">
        <v>1573</v>
      </c>
      <c r="G141" s="66" t="s">
        <v>1276</v>
      </c>
      <c r="H141" s="66" t="s">
        <v>1182</v>
      </c>
      <c r="I141" s="66" t="s">
        <v>1812</v>
      </c>
      <c r="J141" s="66" t="s">
        <v>1197</v>
      </c>
      <c r="K141" s="66" t="s">
        <v>1278</v>
      </c>
      <c r="L141" s="66" t="s">
        <v>891</v>
      </c>
      <c r="M141" s="66" t="s">
        <v>1267</v>
      </c>
      <c r="N141" s="66" t="s">
        <v>891</v>
      </c>
      <c r="O141" s="66" t="s">
        <v>1214</v>
      </c>
      <c r="P141" s="66" t="s">
        <v>891</v>
      </c>
      <c r="Q141" s="87" t="s">
        <v>1216</v>
      </c>
      <c r="R141" s="87" t="s">
        <v>1216</v>
      </c>
      <c r="S141" s="87" t="s">
        <v>1216</v>
      </c>
      <c r="T141" s="87" t="s">
        <v>1216</v>
      </c>
      <c r="U141" s="87" t="s">
        <v>1216</v>
      </c>
      <c r="V141" s="87" t="s">
        <v>1216</v>
      </c>
      <c r="W141" s="67"/>
      <c r="X141" s="85" t="str">
        <f t="shared" si="26"/>
        <v>Belum Dinilai</v>
      </c>
      <c r="Y141" s="85" t="str">
        <f t="shared" si="27"/>
        <v>Belum Dinilai</v>
      </c>
      <c r="Z141" s="86" t="str">
        <f t="shared" si="28"/>
        <v/>
      </c>
      <c r="AA141" s="86" t="str">
        <f t="shared" si="29"/>
        <v/>
      </c>
      <c r="AB141" s="86" t="str">
        <f t="shared" si="24"/>
        <v/>
      </c>
      <c r="AC141" s="68" t="s">
        <v>1216</v>
      </c>
      <c r="AD141" s="68" t="s">
        <v>1216</v>
      </c>
      <c r="AE141" s="68" t="s">
        <v>1216</v>
      </c>
      <c r="AF141" s="68" t="s">
        <v>1216</v>
      </c>
      <c r="AG141" s="68" t="s">
        <v>1216</v>
      </c>
      <c r="AH141" s="68" t="s">
        <v>1216</v>
      </c>
      <c r="AI141" s="68" t="s">
        <v>1216</v>
      </c>
      <c r="AJ141" s="68" t="s">
        <v>1216</v>
      </c>
      <c r="AK141" s="68" t="s">
        <v>1216</v>
      </c>
      <c r="AL141" s="68"/>
      <c r="AM141" s="68" t="s">
        <v>1216</v>
      </c>
      <c r="AN141" s="68" t="str">
        <f t="shared" si="23"/>
        <v>Belum Dinilai</v>
      </c>
      <c r="AO141" s="68" t="str">
        <f t="shared" si="25"/>
        <v>Belum Dinilai</v>
      </c>
      <c r="AP141" s="68"/>
      <c r="AQ141" s="71">
        <f t="shared" si="30"/>
        <v>22</v>
      </c>
      <c r="AR141" s="71" t="str">
        <f t="shared" si="32"/>
        <v/>
      </c>
      <c r="AS141" s="71" t="str">
        <f t="shared" si="33"/>
        <v/>
      </c>
      <c r="AT141" s="69" t="str">
        <f t="shared" si="31"/>
        <v>Belum Dapat Ditentukan</v>
      </c>
      <c r="AU141" s="66" t="s">
        <v>1190</v>
      </c>
      <c r="AV141" s="66" t="s">
        <v>1205</v>
      </c>
      <c r="AW141" s="66" t="s">
        <v>1909</v>
      </c>
      <c r="AX141" s="66" t="s">
        <v>1207</v>
      </c>
      <c r="AY141" s="66">
        <v>2022</v>
      </c>
      <c r="AZ141" s="66" t="s">
        <v>927</v>
      </c>
      <c r="BA141" s="66"/>
      <c r="BB141" s="72"/>
      <c r="BC141" s="73">
        <v>2026</v>
      </c>
      <c r="BD141" s="66"/>
      <c r="BE141" s="72"/>
      <c r="BF141" s="66" t="s">
        <v>1279</v>
      </c>
    </row>
    <row r="142" spans="1:58" ht="42">
      <c r="A142" s="66" t="s">
        <v>1708</v>
      </c>
      <c r="B142" s="66" t="s">
        <v>1813</v>
      </c>
      <c r="C142" s="66"/>
      <c r="D142" s="66"/>
      <c r="E142" s="66" t="s">
        <v>1814</v>
      </c>
      <c r="F142" s="66" t="s">
        <v>1464</v>
      </c>
      <c r="G142" s="66" t="s">
        <v>1314</v>
      </c>
      <c r="H142" s="66" t="s">
        <v>1196</v>
      </c>
      <c r="I142" s="66" t="s">
        <v>1815</v>
      </c>
      <c r="J142" s="66" t="s">
        <v>1183</v>
      </c>
      <c r="K142" s="66" t="s">
        <v>1198</v>
      </c>
      <c r="L142" s="66" t="s">
        <v>891</v>
      </c>
      <c r="M142" s="66" t="s">
        <v>1266</v>
      </c>
      <c r="N142" s="66" t="s">
        <v>891</v>
      </c>
      <c r="O142" s="66" t="s">
        <v>1214</v>
      </c>
      <c r="P142" s="66" t="s">
        <v>891</v>
      </c>
      <c r="Q142" s="87" t="s">
        <v>1216</v>
      </c>
      <c r="R142" s="87" t="s">
        <v>1216</v>
      </c>
      <c r="S142" s="87" t="s">
        <v>1216</v>
      </c>
      <c r="T142" s="87" t="s">
        <v>1216</v>
      </c>
      <c r="U142" s="87" t="s">
        <v>1216</v>
      </c>
      <c r="V142" s="87" t="s">
        <v>1216</v>
      </c>
      <c r="W142" s="67"/>
      <c r="X142" s="85" t="str">
        <f t="shared" si="26"/>
        <v>Belum Dinilai</v>
      </c>
      <c r="Y142" s="85" t="str">
        <f t="shared" si="27"/>
        <v>Belum Dinilai</v>
      </c>
      <c r="Z142" s="86" t="str">
        <f t="shared" si="28"/>
        <v/>
      </c>
      <c r="AA142" s="86" t="str">
        <f t="shared" si="29"/>
        <v/>
      </c>
      <c r="AB142" s="86" t="str">
        <f t="shared" si="24"/>
        <v/>
      </c>
      <c r="AC142" s="68" t="s">
        <v>1216</v>
      </c>
      <c r="AD142" s="68" t="s">
        <v>1216</v>
      </c>
      <c r="AE142" s="68" t="s">
        <v>1216</v>
      </c>
      <c r="AF142" s="68" t="s">
        <v>1216</v>
      </c>
      <c r="AG142" s="68" t="s">
        <v>1216</v>
      </c>
      <c r="AH142" s="68" t="s">
        <v>1216</v>
      </c>
      <c r="AI142" s="68" t="s">
        <v>1216</v>
      </c>
      <c r="AJ142" s="68" t="s">
        <v>1216</v>
      </c>
      <c r="AK142" s="68" t="s">
        <v>1216</v>
      </c>
      <c r="AL142" s="68"/>
      <c r="AM142" s="68" t="s">
        <v>1216</v>
      </c>
      <c r="AN142" s="68" t="str">
        <f t="shared" si="23"/>
        <v>Belum Dinilai</v>
      </c>
      <c r="AO142" s="68" t="str">
        <f t="shared" si="25"/>
        <v>Belum Dinilai</v>
      </c>
      <c r="AP142" s="68"/>
      <c r="AQ142" s="71">
        <f t="shared" si="30"/>
        <v>14</v>
      </c>
      <c r="AR142" s="71" t="str">
        <f t="shared" si="32"/>
        <v/>
      </c>
      <c r="AS142" s="71" t="str">
        <f t="shared" si="33"/>
        <v/>
      </c>
      <c r="AT142" s="69" t="str">
        <f t="shared" si="31"/>
        <v>Belum Dapat Ditentukan</v>
      </c>
      <c r="AU142" s="66" t="s">
        <v>1190</v>
      </c>
      <c r="AV142" s="66" t="s">
        <v>1205</v>
      </c>
      <c r="AW142" s="66" t="s">
        <v>1909</v>
      </c>
      <c r="AX142" s="66" t="s">
        <v>1207</v>
      </c>
      <c r="AY142" s="66">
        <v>2023</v>
      </c>
      <c r="AZ142" s="66" t="s">
        <v>927</v>
      </c>
      <c r="BA142" s="66"/>
      <c r="BB142" s="72"/>
      <c r="BC142" s="73">
        <v>2026</v>
      </c>
      <c r="BD142" s="66"/>
      <c r="BE142" s="72"/>
      <c r="BF142" s="66" t="s">
        <v>1279</v>
      </c>
    </row>
    <row r="143" spans="1:58" ht="28">
      <c r="A143" s="66" t="s">
        <v>1711</v>
      </c>
      <c r="B143" s="66" t="s">
        <v>1816</v>
      </c>
      <c r="C143" s="66"/>
      <c r="D143" s="66"/>
      <c r="E143" s="66" t="s">
        <v>1817</v>
      </c>
      <c r="F143" s="66" t="s">
        <v>1360</v>
      </c>
      <c r="G143" s="66" t="s">
        <v>1290</v>
      </c>
      <c r="H143" s="66" t="s">
        <v>1182</v>
      </c>
      <c r="I143" s="66" t="s">
        <v>1818</v>
      </c>
      <c r="J143" s="66" t="s">
        <v>1211</v>
      </c>
      <c r="K143" s="66" t="s">
        <v>1212</v>
      </c>
      <c r="L143" s="66" t="s">
        <v>891</v>
      </c>
      <c r="M143" s="66" t="s">
        <v>1267</v>
      </c>
      <c r="N143" s="66" t="s">
        <v>891</v>
      </c>
      <c r="O143" s="66" t="s">
        <v>1214</v>
      </c>
      <c r="P143" s="66" t="s">
        <v>891</v>
      </c>
      <c r="Q143" s="87" t="s">
        <v>1216</v>
      </c>
      <c r="R143" s="87" t="s">
        <v>1216</v>
      </c>
      <c r="S143" s="87" t="s">
        <v>1216</v>
      </c>
      <c r="T143" s="87" t="s">
        <v>1216</v>
      </c>
      <c r="U143" s="87" t="s">
        <v>1216</v>
      </c>
      <c r="V143" s="87" t="s">
        <v>1216</v>
      </c>
      <c r="W143" s="67"/>
      <c r="X143" s="85" t="str">
        <f t="shared" si="26"/>
        <v>Belum Dinilai</v>
      </c>
      <c r="Y143" s="85" t="str">
        <f t="shared" si="27"/>
        <v>Belum Dinilai</v>
      </c>
      <c r="Z143" s="86" t="str">
        <f t="shared" si="28"/>
        <v/>
      </c>
      <c r="AA143" s="86" t="str">
        <f t="shared" si="29"/>
        <v/>
      </c>
      <c r="AB143" s="86" t="str">
        <f t="shared" si="24"/>
        <v/>
      </c>
      <c r="AC143" s="68" t="s">
        <v>1216</v>
      </c>
      <c r="AD143" s="68" t="s">
        <v>1216</v>
      </c>
      <c r="AE143" s="68" t="s">
        <v>1216</v>
      </c>
      <c r="AF143" s="68" t="s">
        <v>1216</v>
      </c>
      <c r="AG143" s="68" t="s">
        <v>1216</v>
      </c>
      <c r="AH143" s="68" t="s">
        <v>1216</v>
      </c>
      <c r="AI143" s="68" t="s">
        <v>1216</v>
      </c>
      <c r="AJ143" s="68" t="s">
        <v>1216</v>
      </c>
      <c r="AK143" s="68" t="s">
        <v>1216</v>
      </c>
      <c r="AL143" s="68"/>
      <c r="AM143" s="68" t="s">
        <v>1216</v>
      </c>
      <c r="AN143" s="68" t="str">
        <f t="shared" si="23"/>
        <v>Belum Dinilai</v>
      </c>
      <c r="AO143" s="68" t="str">
        <f t="shared" si="25"/>
        <v>Belum Dinilai</v>
      </c>
      <c r="AP143" s="68"/>
      <c r="AQ143" s="71">
        <f t="shared" si="30"/>
        <v>29</v>
      </c>
      <c r="AR143" s="71" t="str">
        <f t="shared" si="32"/>
        <v/>
      </c>
      <c r="AS143" s="71" t="str">
        <f t="shared" si="33"/>
        <v/>
      </c>
      <c r="AT143" s="69" t="str">
        <f t="shared" si="31"/>
        <v>Belum Dapat Ditentukan</v>
      </c>
      <c r="AU143" s="66" t="s">
        <v>1190</v>
      </c>
      <c r="AV143" s="66" t="s">
        <v>1205</v>
      </c>
      <c r="AW143" s="66" t="s">
        <v>1909</v>
      </c>
      <c r="AX143" s="66" t="s">
        <v>1207</v>
      </c>
      <c r="AY143" s="66">
        <v>2022</v>
      </c>
      <c r="AZ143" s="66" t="s">
        <v>927</v>
      </c>
      <c r="BA143" s="66"/>
      <c r="BB143" s="72"/>
      <c r="BC143" s="73">
        <v>2026</v>
      </c>
      <c r="BD143" s="66"/>
      <c r="BE143" s="72"/>
      <c r="BF143" s="66" t="s">
        <v>1279</v>
      </c>
    </row>
    <row r="144" spans="1:58" ht="28">
      <c r="A144" s="66" t="s">
        <v>1714</v>
      </c>
      <c r="B144" s="66" t="s">
        <v>1819</v>
      </c>
      <c r="C144" s="66"/>
      <c r="D144" s="66"/>
      <c r="E144" s="66" t="s">
        <v>1817</v>
      </c>
      <c r="F144" s="66" t="s">
        <v>1393</v>
      </c>
      <c r="G144" s="66" t="s">
        <v>1290</v>
      </c>
      <c r="H144" s="66" t="s">
        <v>1182</v>
      </c>
      <c r="I144" s="66" t="s">
        <v>1820</v>
      </c>
      <c r="J144" s="66" t="s">
        <v>1197</v>
      </c>
      <c r="K144" s="66" t="s">
        <v>1278</v>
      </c>
      <c r="L144" s="66" t="s">
        <v>1216</v>
      </c>
      <c r="M144" s="66" t="s">
        <v>1267</v>
      </c>
      <c r="N144" s="66" t="s">
        <v>1216</v>
      </c>
      <c r="O144" s="66" t="s">
        <v>1278</v>
      </c>
      <c r="P144" s="66" t="s">
        <v>1216</v>
      </c>
      <c r="Q144" s="87" t="s">
        <v>1216</v>
      </c>
      <c r="R144" s="87" t="s">
        <v>1216</v>
      </c>
      <c r="S144" s="87" t="s">
        <v>1216</v>
      </c>
      <c r="T144" s="87" t="s">
        <v>1216</v>
      </c>
      <c r="U144" s="87" t="s">
        <v>1216</v>
      </c>
      <c r="V144" s="87" t="s">
        <v>1216</v>
      </c>
      <c r="W144" s="67"/>
      <c r="X144" s="85" t="str">
        <f t="shared" si="26"/>
        <v>Belum Dinilai</v>
      </c>
      <c r="Y144" s="85" t="str">
        <f t="shared" si="27"/>
        <v>Belum Dinilai</v>
      </c>
      <c r="Z144" s="86" t="str">
        <f t="shared" si="28"/>
        <v/>
      </c>
      <c r="AA144" s="86" t="str">
        <f t="shared" si="29"/>
        <v/>
      </c>
      <c r="AB144" s="86" t="str">
        <f t="shared" si="24"/>
        <v/>
      </c>
      <c r="AC144" s="68" t="s">
        <v>1216</v>
      </c>
      <c r="AD144" s="68" t="s">
        <v>1216</v>
      </c>
      <c r="AE144" s="68" t="s">
        <v>1216</v>
      </c>
      <c r="AF144" s="68" t="s">
        <v>1216</v>
      </c>
      <c r="AG144" s="68" t="s">
        <v>1216</v>
      </c>
      <c r="AH144" s="68" t="s">
        <v>1216</v>
      </c>
      <c r="AI144" s="68" t="s">
        <v>1216</v>
      </c>
      <c r="AJ144" s="68" t="s">
        <v>1216</v>
      </c>
      <c r="AK144" s="68" t="s">
        <v>1216</v>
      </c>
      <c r="AL144" s="68"/>
      <c r="AM144" s="68" t="s">
        <v>1216</v>
      </c>
      <c r="AN144" s="68" t="str">
        <f t="shared" si="23"/>
        <v>Belum Dinilai</v>
      </c>
      <c r="AO144" s="68" t="str">
        <f t="shared" si="25"/>
        <v>Belum Dinilai</v>
      </c>
      <c r="AP144" s="68"/>
      <c r="AQ144" s="71" t="str">
        <f t="shared" si="30"/>
        <v/>
      </c>
      <c r="AR144" s="71" t="str">
        <f t="shared" si="32"/>
        <v/>
      </c>
      <c r="AS144" s="71" t="str">
        <f t="shared" si="33"/>
        <v/>
      </c>
      <c r="AT144" s="69" t="str">
        <f t="shared" si="31"/>
        <v>Belum Dapat Ditentukan</v>
      </c>
      <c r="AU144" s="66" t="s">
        <v>1190</v>
      </c>
      <c r="AV144" s="66" t="s">
        <v>1205</v>
      </c>
      <c r="AW144" s="66" t="s">
        <v>1191</v>
      </c>
      <c r="AX144" s="66"/>
      <c r="AY144" s="66"/>
      <c r="AZ144" s="66" t="s">
        <v>927</v>
      </c>
      <c r="BA144" s="66"/>
      <c r="BB144" s="72"/>
      <c r="BC144" s="73">
        <v>2026</v>
      </c>
      <c r="BD144" s="66"/>
      <c r="BE144" s="72"/>
      <c r="BF144" s="66" t="s">
        <v>1279</v>
      </c>
    </row>
    <row r="145" spans="1:58" ht="42">
      <c r="A145" s="66" t="s">
        <v>1717</v>
      </c>
      <c r="B145" s="66" t="s">
        <v>1821</v>
      </c>
      <c r="C145" s="66"/>
      <c r="D145" s="66"/>
      <c r="E145" s="66" t="s">
        <v>1822</v>
      </c>
      <c r="F145" s="66" t="s">
        <v>1360</v>
      </c>
      <c r="G145" s="66" t="s">
        <v>1290</v>
      </c>
      <c r="H145" s="66" t="s">
        <v>1196</v>
      </c>
      <c r="I145" s="66" t="s">
        <v>1823</v>
      </c>
      <c r="J145" s="66" t="s">
        <v>1197</v>
      </c>
      <c r="K145" s="66" t="s">
        <v>1278</v>
      </c>
      <c r="L145" s="66" t="s">
        <v>1216</v>
      </c>
      <c r="M145" s="66" t="s">
        <v>1267</v>
      </c>
      <c r="N145" s="66" t="s">
        <v>1216</v>
      </c>
      <c r="O145" s="66" t="s">
        <v>1278</v>
      </c>
      <c r="P145" s="66" t="s">
        <v>1216</v>
      </c>
      <c r="Q145" s="87" t="s">
        <v>1216</v>
      </c>
      <c r="R145" s="87" t="s">
        <v>1216</v>
      </c>
      <c r="S145" s="87" t="s">
        <v>1216</v>
      </c>
      <c r="T145" s="87" t="s">
        <v>1216</v>
      </c>
      <c r="U145" s="87" t="s">
        <v>1216</v>
      </c>
      <c r="V145" s="87" t="s">
        <v>1216</v>
      </c>
      <c r="W145" s="67"/>
      <c r="X145" s="85" t="str">
        <f t="shared" si="26"/>
        <v>Belum Dinilai</v>
      </c>
      <c r="Y145" s="85" t="str">
        <f t="shared" si="27"/>
        <v>Belum Dinilai</v>
      </c>
      <c r="Z145" s="86" t="str">
        <f t="shared" si="28"/>
        <v/>
      </c>
      <c r="AA145" s="86" t="str">
        <f t="shared" si="29"/>
        <v/>
      </c>
      <c r="AB145" s="86" t="str">
        <f t="shared" si="24"/>
        <v/>
      </c>
      <c r="AC145" s="68" t="s">
        <v>1216</v>
      </c>
      <c r="AD145" s="68" t="s">
        <v>1216</v>
      </c>
      <c r="AE145" s="68" t="s">
        <v>1216</v>
      </c>
      <c r="AF145" s="68" t="s">
        <v>1216</v>
      </c>
      <c r="AG145" s="68" t="s">
        <v>1216</v>
      </c>
      <c r="AH145" s="68" t="s">
        <v>1216</v>
      </c>
      <c r="AI145" s="68" t="s">
        <v>1216</v>
      </c>
      <c r="AJ145" s="68" t="s">
        <v>1216</v>
      </c>
      <c r="AK145" s="68" t="s">
        <v>1216</v>
      </c>
      <c r="AL145" s="68"/>
      <c r="AM145" s="68" t="s">
        <v>1216</v>
      </c>
      <c r="AN145" s="68" t="str">
        <f t="shared" si="23"/>
        <v>Belum Dinilai</v>
      </c>
      <c r="AO145" s="68" t="str">
        <f t="shared" si="25"/>
        <v>Belum Dinilai</v>
      </c>
      <c r="AP145" s="68"/>
      <c r="AQ145" s="71" t="str">
        <f t="shared" si="30"/>
        <v/>
      </c>
      <c r="AR145" s="71" t="str">
        <f t="shared" si="32"/>
        <v/>
      </c>
      <c r="AS145" s="71" t="str">
        <f t="shared" si="33"/>
        <v/>
      </c>
      <c r="AT145" s="69" t="str">
        <f t="shared" si="31"/>
        <v>Belum Dapat Ditentukan</v>
      </c>
      <c r="AU145" s="66" t="s">
        <v>1204</v>
      </c>
      <c r="AV145" s="66" t="s">
        <v>1205</v>
      </c>
      <c r="AW145" s="66" t="s">
        <v>1191</v>
      </c>
      <c r="AX145" s="66"/>
      <c r="AY145" s="66"/>
      <c r="AZ145" s="66" t="s">
        <v>1208</v>
      </c>
      <c r="BA145" s="66"/>
      <c r="BB145" s="72"/>
      <c r="BC145" s="73">
        <v>2026</v>
      </c>
      <c r="BD145" s="66"/>
      <c r="BE145" s="72"/>
      <c r="BF145" s="66" t="s">
        <v>1279</v>
      </c>
    </row>
    <row r="146" spans="1:58" ht="42">
      <c r="A146" s="66" t="s">
        <v>1719</v>
      </c>
      <c r="B146" s="66" t="s">
        <v>1824</v>
      </c>
      <c r="C146" s="66"/>
      <c r="D146" s="66"/>
      <c r="E146" s="66" t="s">
        <v>1825</v>
      </c>
      <c r="F146" s="66" t="s">
        <v>1632</v>
      </c>
      <c r="G146" s="66" t="s">
        <v>1314</v>
      </c>
      <c r="H146" s="66" t="s">
        <v>1182</v>
      </c>
      <c r="I146" s="66" t="s">
        <v>1826</v>
      </c>
      <c r="J146" s="66" t="s">
        <v>1183</v>
      </c>
      <c r="K146" s="66" t="s">
        <v>1198</v>
      </c>
      <c r="L146" s="66" t="s">
        <v>1216</v>
      </c>
      <c r="M146" s="66" t="s">
        <v>1266</v>
      </c>
      <c r="N146" s="66" t="s">
        <v>1216</v>
      </c>
      <c r="O146" s="66" t="s">
        <v>1214</v>
      </c>
      <c r="P146" s="66" t="s">
        <v>1216</v>
      </c>
      <c r="Q146" s="87" t="s">
        <v>1216</v>
      </c>
      <c r="R146" s="87" t="s">
        <v>1216</v>
      </c>
      <c r="S146" s="87" t="s">
        <v>1216</v>
      </c>
      <c r="T146" s="87" t="s">
        <v>1216</v>
      </c>
      <c r="U146" s="87" t="s">
        <v>1216</v>
      </c>
      <c r="V146" s="87" t="s">
        <v>1216</v>
      </c>
      <c r="W146" s="67"/>
      <c r="X146" s="85" t="str">
        <f t="shared" si="26"/>
        <v>Belum Dinilai</v>
      </c>
      <c r="Y146" s="85" t="str">
        <f t="shared" si="27"/>
        <v>Belum Dinilai</v>
      </c>
      <c r="Z146" s="86" t="str">
        <f t="shared" si="28"/>
        <v/>
      </c>
      <c r="AA146" s="86" t="str">
        <f t="shared" si="29"/>
        <v/>
      </c>
      <c r="AB146" s="86" t="str">
        <f t="shared" si="24"/>
        <v/>
      </c>
      <c r="AC146" s="68" t="s">
        <v>1216</v>
      </c>
      <c r="AD146" s="68" t="s">
        <v>1216</v>
      </c>
      <c r="AE146" s="68" t="s">
        <v>1216</v>
      </c>
      <c r="AF146" s="68" t="s">
        <v>1216</v>
      </c>
      <c r="AG146" s="68" t="s">
        <v>1216</v>
      </c>
      <c r="AH146" s="68" t="s">
        <v>1216</v>
      </c>
      <c r="AI146" s="68" t="s">
        <v>1216</v>
      </c>
      <c r="AJ146" s="68" t="s">
        <v>1216</v>
      </c>
      <c r="AK146" s="68" t="s">
        <v>1216</v>
      </c>
      <c r="AL146" s="68"/>
      <c r="AM146" s="68" t="s">
        <v>1216</v>
      </c>
      <c r="AN146" s="68" t="str">
        <f t="shared" si="23"/>
        <v>Belum Dinilai</v>
      </c>
      <c r="AO146" s="68" t="str">
        <f t="shared" si="25"/>
        <v>Belum Dinilai</v>
      </c>
      <c r="AP146" s="68"/>
      <c r="AQ146" s="71" t="str">
        <f t="shared" si="30"/>
        <v/>
      </c>
      <c r="AR146" s="71" t="str">
        <f t="shared" si="32"/>
        <v/>
      </c>
      <c r="AS146" s="71" t="str">
        <f t="shared" si="33"/>
        <v/>
      </c>
      <c r="AT146" s="69" t="str">
        <f t="shared" si="31"/>
        <v>Belum Dapat Ditentukan</v>
      </c>
      <c r="AU146" s="66" t="s">
        <v>1190</v>
      </c>
      <c r="AV146" s="66" t="s">
        <v>1205</v>
      </c>
      <c r="AW146" s="66" t="s">
        <v>1191</v>
      </c>
      <c r="AX146" s="66"/>
      <c r="AY146" s="66"/>
      <c r="AZ146" s="66" t="s">
        <v>927</v>
      </c>
      <c r="BA146" s="66"/>
      <c r="BB146" s="72"/>
      <c r="BC146" s="73">
        <v>2026</v>
      </c>
      <c r="BD146" s="66"/>
      <c r="BE146" s="72"/>
      <c r="BF146" s="66" t="s">
        <v>1279</v>
      </c>
    </row>
    <row r="147" spans="1:58" ht="28">
      <c r="A147" s="66" t="s">
        <v>1722</v>
      </c>
      <c r="B147" s="66" t="s">
        <v>1827</v>
      </c>
      <c r="C147" s="66"/>
      <c r="D147" s="66"/>
      <c r="E147" s="66" t="s">
        <v>1828</v>
      </c>
      <c r="F147" s="66" t="s">
        <v>1360</v>
      </c>
      <c r="G147" s="66" t="s">
        <v>1290</v>
      </c>
      <c r="H147" s="66" t="s">
        <v>1182</v>
      </c>
      <c r="I147" s="66" t="s">
        <v>1829</v>
      </c>
      <c r="J147" s="66" t="s">
        <v>1211</v>
      </c>
      <c r="K147" s="66" t="s">
        <v>1198</v>
      </c>
      <c r="L147" s="66" t="s">
        <v>1216</v>
      </c>
      <c r="M147" s="66" t="s">
        <v>1267</v>
      </c>
      <c r="N147" s="66" t="s">
        <v>1216</v>
      </c>
      <c r="O147" s="66" t="s">
        <v>1214</v>
      </c>
      <c r="P147" s="66" t="s">
        <v>1216</v>
      </c>
      <c r="Q147" s="87" t="s">
        <v>1216</v>
      </c>
      <c r="R147" s="87" t="s">
        <v>1216</v>
      </c>
      <c r="S147" s="87" t="s">
        <v>1216</v>
      </c>
      <c r="T147" s="87" t="s">
        <v>1216</v>
      </c>
      <c r="U147" s="87" t="s">
        <v>1216</v>
      </c>
      <c r="V147" s="87" t="s">
        <v>1216</v>
      </c>
      <c r="W147" s="67"/>
      <c r="X147" s="85" t="str">
        <f t="shared" si="26"/>
        <v>Belum Dinilai</v>
      </c>
      <c r="Y147" s="85" t="str">
        <f t="shared" si="27"/>
        <v>Belum Dinilai</v>
      </c>
      <c r="Z147" s="86" t="str">
        <f t="shared" si="28"/>
        <v/>
      </c>
      <c r="AA147" s="86" t="str">
        <f t="shared" si="29"/>
        <v/>
      </c>
      <c r="AB147" s="86" t="str">
        <f t="shared" si="24"/>
        <v/>
      </c>
      <c r="AC147" s="68" t="s">
        <v>1216</v>
      </c>
      <c r="AD147" s="68" t="s">
        <v>1216</v>
      </c>
      <c r="AE147" s="68" t="s">
        <v>1216</v>
      </c>
      <c r="AF147" s="68" t="s">
        <v>1216</v>
      </c>
      <c r="AG147" s="68" t="s">
        <v>1216</v>
      </c>
      <c r="AH147" s="68" t="s">
        <v>1216</v>
      </c>
      <c r="AI147" s="68" t="s">
        <v>1216</v>
      </c>
      <c r="AJ147" s="68" t="s">
        <v>1216</v>
      </c>
      <c r="AK147" s="68" t="s">
        <v>1216</v>
      </c>
      <c r="AL147" s="68"/>
      <c r="AM147" s="68" t="s">
        <v>1216</v>
      </c>
      <c r="AN147" s="68" t="str">
        <f t="shared" si="23"/>
        <v>Belum Dinilai</v>
      </c>
      <c r="AO147" s="68" t="str">
        <f t="shared" si="25"/>
        <v>Belum Dinilai</v>
      </c>
      <c r="AP147" s="68"/>
      <c r="AQ147" s="71" t="str">
        <f t="shared" si="30"/>
        <v/>
      </c>
      <c r="AR147" s="71" t="str">
        <f t="shared" si="32"/>
        <v/>
      </c>
      <c r="AS147" s="71" t="str">
        <f t="shared" si="33"/>
        <v/>
      </c>
      <c r="AT147" s="69" t="str">
        <f t="shared" si="31"/>
        <v>Belum Dapat Ditentukan</v>
      </c>
      <c r="AU147" s="66" t="s">
        <v>1190</v>
      </c>
      <c r="AV147" s="66" t="s">
        <v>1205</v>
      </c>
      <c r="AW147" s="66" t="s">
        <v>1909</v>
      </c>
      <c r="AX147" s="66" t="s">
        <v>1207</v>
      </c>
      <c r="AY147" s="66">
        <v>2023</v>
      </c>
      <c r="AZ147" s="66" t="s">
        <v>927</v>
      </c>
      <c r="BA147" s="66"/>
      <c r="BB147" s="72"/>
      <c r="BC147" s="73">
        <v>2026</v>
      </c>
      <c r="BD147" s="66"/>
      <c r="BE147" s="72"/>
      <c r="BF147" s="66" t="s">
        <v>1279</v>
      </c>
    </row>
    <row r="148" spans="1:58" ht="28">
      <c r="A148" s="66" t="s">
        <v>1726</v>
      </c>
      <c r="B148" s="66" t="s">
        <v>1830</v>
      </c>
      <c r="C148" s="66"/>
      <c r="D148" s="66"/>
      <c r="E148" s="66" t="s">
        <v>1308</v>
      </c>
      <c r="F148" s="66" t="s">
        <v>1360</v>
      </c>
      <c r="G148" s="66" t="s">
        <v>1290</v>
      </c>
      <c r="H148" s="66" t="s">
        <v>1182</v>
      </c>
      <c r="I148" s="66" t="s">
        <v>1831</v>
      </c>
      <c r="J148" s="66" t="s">
        <v>1211</v>
      </c>
      <c r="K148" s="66" t="s">
        <v>1198</v>
      </c>
      <c r="L148" s="66" t="s">
        <v>1216</v>
      </c>
      <c r="M148" s="66" t="s">
        <v>1267</v>
      </c>
      <c r="N148" s="66" t="s">
        <v>1216</v>
      </c>
      <c r="O148" s="66" t="s">
        <v>1214</v>
      </c>
      <c r="P148" s="66" t="s">
        <v>1216</v>
      </c>
      <c r="Q148" s="87" t="s">
        <v>1216</v>
      </c>
      <c r="R148" s="87" t="s">
        <v>1216</v>
      </c>
      <c r="S148" s="87" t="s">
        <v>1216</v>
      </c>
      <c r="T148" s="87" t="s">
        <v>1216</v>
      </c>
      <c r="U148" s="87" t="s">
        <v>1216</v>
      </c>
      <c r="V148" s="87" t="s">
        <v>1216</v>
      </c>
      <c r="W148" s="67"/>
      <c r="X148" s="85" t="str">
        <f t="shared" si="26"/>
        <v>Belum Dinilai</v>
      </c>
      <c r="Y148" s="85" t="str">
        <f t="shared" si="27"/>
        <v>Belum Dinilai</v>
      </c>
      <c r="Z148" s="86" t="str">
        <f t="shared" si="28"/>
        <v/>
      </c>
      <c r="AA148" s="86" t="str">
        <f t="shared" si="29"/>
        <v/>
      </c>
      <c r="AB148" s="86" t="str">
        <f t="shared" si="24"/>
        <v/>
      </c>
      <c r="AC148" s="68" t="s">
        <v>1216</v>
      </c>
      <c r="AD148" s="68" t="s">
        <v>1216</v>
      </c>
      <c r="AE148" s="68" t="s">
        <v>1216</v>
      </c>
      <c r="AF148" s="68" t="s">
        <v>1216</v>
      </c>
      <c r="AG148" s="68" t="s">
        <v>1216</v>
      </c>
      <c r="AH148" s="68" t="s">
        <v>1216</v>
      </c>
      <c r="AI148" s="68" t="s">
        <v>1216</v>
      </c>
      <c r="AJ148" s="68" t="s">
        <v>1216</v>
      </c>
      <c r="AK148" s="68" t="s">
        <v>1216</v>
      </c>
      <c r="AL148" s="68"/>
      <c r="AM148" s="68" t="s">
        <v>1216</v>
      </c>
      <c r="AN148" s="68" t="str">
        <f t="shared" si="23"/>
        <v>Belum Dinilai</v>
      </c>
      <c r="AO148" s="68" t="str">
        <f t="shared" si="25"/>
        <v>Belum Dinilai</v>
      </c>
      <c r="AP148" s="68"/>
      <c r="AQ148" s="71" t="str">
        <f t="shared" si="30"/>
        <v/>
      </c>
      <c r="AR148" s="71" t="str">
        <f t="shared" si="32"/>
        <v/>
      </c>
      <c r="AS148" s="71" t="str">
        <f t="shared" si="33"/>
        <v/>
      </c>
      <c r="AT148" s="69" t="str">
        <f t="shared" si="31"/>
        <v>Belum Dapat Ditentukan</v>
      </c>
      <c r="AU148" s="66" t="s">
        <v>1190</v>
      </c>
      <c r="AV148" s="66" t="s">
        <v>1205</v>
      </c>
      <c r="AW148" s="66" t="s">
        <v>1909</v>
      </c>
      <c r="AX148" s="66" t="s">
        <v>1207</v>
      </c>
      <c r="AY148" s="66">
        <v>2024</v>
      </c>
      <c r="AZ148" s="66" t="s">
        <v>927</v>
      </c>
      <c r="BA148" s="66"/>
      <c r="BB148" s="72"/>
      <c r="BC148" s="73">
        <v>2026</v>
      </c>
      <c r="BD148" s="66"/>
      <c r="BE148" s="72"/>
      <c r="BF148" s="66" t="s">
        <v>1279</v>
      </c>
    </row>
    <row r="149" spans="1:58" ht="28">
      <c r="A149" s="66" t="s">
        <v>1730</v>
      </c>
      <c r="B149" s="66" t="s">
        <v>1832</v>
      </c>
      <c r="C149" s="84" t="s">
        <v>1923</v>
      </c>
      <c r="D149" s="84" t="s">
        <v>1924</v>
      </c>
      <c r="E149" s="66" t="s">
        <v>1922</v>
      </c>
      <c r="F149" s="66" t="s">
        <v>1360</v>
      </c>
      <c r="G149" s="66" t="s">
        <v>1290</v>
      </c>
      <c r="H149" s="66" t="s">
        <v>1182</v>
      </c>
      <c r="I149" s="66" t="s">
        <v>1833</v>
      </c>
      <c r="J149" s="66" t="s">
        <v>1197</v>
      </c>
      <c r="K149" s="66" t="s">
        <v>1184</v>
      </c>
      <c r="L149" s="66" t="s">
        <v>905</v>
      </c>
      <c r="M149" s="66" t="s">
        <v>1267</v>
      </c>
      <c r="N149" s="66" t="s">
        <v>905</v>
      </c>
      <c r="O149" s="66" t="s">
        <v>1214</v>
      </c>
      <c r="P149" s="66" t="s">
        <v>905</v>
      </c>
      <c r="Q149" s="87" t="s">
        <v>1187</v>
      </c>
      <c r="R149" s="87" t="s">
        <v>1202</v>
      </c>
      <c r="S149" s="87" t="s">
        <v>1202</v>
      </c>
      <c r="T149" s="87" t="s">
        <v>1202</v>
      </c>
      <c r="U149" s="87" t="s">
        <v>1202</v>
      </c>
      <c r="V149" s="87" t="s">
        <v>1216</v>
      </c>
      <c r="W149" s="67"/>
      <c r="X149" s="85" t="str">
        <f t="shared" si="26"/>
        <v>Belum Dinilai</v>
      </c>
      <c r="Y149" s="85" t="str">
        <f t="shared" si="27"/>
        <v>Belum Dinilai</v>
      </c>
      <c r="Z149" s="86">
        <f t="shared" si="28"/>
        <v>10</v>
      </c>
      <c r="AA149" s="86" t="str">
        <f t="shared" si="29"/>
        <v/>
      </c>
      <c r="AB149" s="86" t="str">
        <f t="shared" si="24"/>
        <v/>
      </c>
      <c r="AC149" s="68" t="s">
        <v>1202</v>
      </c>
      <c r="AD149" s="68" t="s">
        <v>1202</v>
      </c>
      <c r="AE149" s="68" t="s">
        <v>1188</v>
      </c>
      <c r="AF149" s="68" t="s">
        <v>1202</v>
      </c>
      <c r="AG149" s="68" t="s">
        <v>1188</v>
      </c>
      <c r="AH149" s="68" t="s">
        <v>1188</v>
      </c>
      <c r="AI149" s="68" t="s">
        <v>1188</v>
      </c>
      <c r="AJ149" s="68" t="s">
        <v>1202</v>
      </c>
      <c r="AK149" s="68" t="s">
        <v>1202</v>
      </c>
      <c r="AL149" s="68"/>
      <c r="AM149" s="68" t="s">
        <v>1216</v>
      </c>
      <c r="AN149" s="68" t="str">
        <f t="shared" si="23"/>
        <v xml:space="preserve">Atap atau dinding utama hampir runtuh; Struktur rumah tidak stabil; Instalasi listrik berbahaya; Komponen bangunan lepas atau lapuk; </v>
      </c>
      <c r="AO149" s="68" t="str">
        <f t="shared" si="25"/>
        <v>Risiko Tinggi/Darurat</v>
      </c>
      <c r="AP149" s="68"/>
      <c r="AQ149" s="71">
        <f t="shared" si="30"/>
        <v>36</v>
      </c>
      <c r="AR149" s="71">
        <f t="shared" si="32"/>
        <v>10</v>
      </c>
      <c r="AS149" s="71" t="str">
        <f t="shared" si="33"/>
        <v/>
      </c>
      <c r="AT149" s="69" t="str">
        <f t="shared" si="31"/>
        <v>Belum Dapat Ditentukan</v>
      </c>
      <c r="AU149" s="66" t="s">
        <v>1190</v>
      </c>
      <c r="AV149" s="66" t="s">
        <v>1205</v>
      </c>
      <c r="AW149" s="66" t="s">
        <v>1191</v>
      </c>
      <c r="AX149" s="66"/>
      <c r="AY149" s="66"/>
      <c r="AZ149" s="66" t="s">
        <v>927</v>
      </c>
      <c r="BA149" s="66"/>
      <c r="BB149" s="72"/>
      <c r="BC149" s="73">
        <v>2026</v>
      </c>
      <c r="BD149" s="66"/>
      <c r="BE149" s="72"/>
      <c r="BF149" s="66" t="s">
        <v>1279</v>
      </c>
    </row>
    <row r="150" spans="1:58" ht="28">
      <c r="A150" s="66" t="s">
        <v>1734</v>
      </c>
      <c r="B150" s="66" t="s">
        <v>1834</v>
      </c>
      <c r="C150" s="66"/>
      <c r="D150" s="66"/>
      <c r="E150" s="66" t="s">
        <v>1835</v>
      </c>
      <c r="F150" s="66" t="s">
        <v>1360</v>
      </c>
      <c r="G150" s="66" t="s">
        <v>1290</v>
      </c>
      <c r="H150" s="66" t="s">
        <v>1263</v>
      </c>
      <c r="I150" s="66" t="s">
        <v>1836</v>
      </c>
      <c r="J150" s="66" t="s">
        <v>1183</v>
      </c>
      <c r="K150" s="66" t="s">
        <v>1278</v>
      </c>
      <c r="L150" s="66" t="s">
        <v>1216</v>
      </c>
      <c r="M150" s="66" t="s">
        <v>1266</v>
      </c>
      <c r="N150" s="66" t="s">
        <v>1216</v>
      </c>
      <c r="O150" s="66" t="s">
        <v>1278</v>
      </c>
      <c r="P150" s="66" t="s">
        <v>1216</v>
      </c>
      <c r="Q150" s="87" t="s">
        <v>1216</v>
      </c>
      <c r="R150" s="87" t="s">
        <v>1216</v>
      </c>
      <c r="S150" s="87" t="s">
        <v>1216</v>
      </c>
      <c r="T150" s="87" t="s">
        <v>1216</v>
      </c>
      <c r="U150" s="87" t="s">
        <v>1216</v>
      </c>
      <c r="V150" s="87" t="s">
        <v>1216</v>
      </c>
      <c r="W150" s="67"/>
      <c r="X150" s="85" t="str">
        <f t="shared" si="26"/>
        <v>Belum Dinilai</v>
      </c>
      <c r="Y150" s="85" t="str">
        <f t="shared" si="27"/>
        <v>Belum Dinilai</v>
      </c>
      <c r="Z150" s="86" t="str">
        <f t="shared" si="28"/>
        <v/>
      </c>
      <c r="AA150" s="86" t="str">
        <f t="shared" si="29"/>
        <v/>
      </c>
      <c r="AB150" s="86" t="str">
        <f t="shared" si="24"/>
        <v/>
      </c>
      <c r="AC150" s="68" t="s">
        <v>1216</v>
      </c>
      <c r="AD150" s="68" t="s">
        <v>1216</v>
      </c>
      <c r="AE150" s="68" t="s">
        <v>1216</v>
      </c>
      <c r="AF150" s="68" t="s">
        <v>1216</v>
      </c>
      <c r="AG150" s="68" t="s">
        <v>1216</v>
      </c>
      <c r="AH150" s="68" t="s">
        <v>1216</v>
      </c>
      <c r="AI150" s="68" t="s">
        <v>1216</v>
      </c>
      <c r="AJ150" s="68" t="s">
        <v>1216</v>
      </c>
      <c r="AK150" s="68" t="s">
        <v>1216</v>
      </c>
      <c r="AL150" s="68"/>
      <c r="AM150" s="68" t="s">
        <v>1216</v>
      </c>
      <c r="AN150" s="68" t="str">
        <f t="shared" si="23"/>
        <v>Belum Dinilai</v>
      </c>
      <c r="AO150" s="68" t="str">
        <f t="shared" si="25"/>
        <v>Belum Dinilai</v>
      </c>
      <c r="AP150" s="68"/>
      <c r="AQ150" s="71" t="str">
        <f t="shared" si="30"/>
        <v/>
      </c>
      <c r="AR150" s="71" t="str">
        <f t="shared" si="32"/>
        <v/>
      </c>
      <c r="AS150" s="71" t="str">
        <f t="shared" si="33"/>
        <v/>
      </c>
      <c r="AT150" s="69" t="str">
        <f t="shared" si="31"/>
        <v>Belum Dapat Ditentukan</v>
      </c>
      <c r="AU150" s="66" t="s">
        <v>1190</v>
      </c>
      <c r="AV150" s="66" t="s">
        <v>1205</v>
      </c>
      <c r="AW150" s="66" t="s">
        <v>1191</v>
      </c>
      <c r="AX150" s="66"/>
      <c r="AY150" s="66"/>
      <c r="AZ150" s="66" t="s">
        <v>927</v>
      </c>
      <c r="BA150" s="66"/>
      <c r="BB150" s="72"/>
      <c r="BC150" s="73">
        <v>2026</v>
      </c>
      <c r="BD150" s="66"/>
      <c r="BE150" s="72"/>
      <c r="BF150" s="66" t="s">
        <v>1279</v>
      </c>
    </row>
    <row r="151" spans="1:58" ht="28">
      <c r="A151" s="66" t="s">
        <v>1736</v>
      </c>
      <c r="B151" s="66" t="s">
        <v>1837</v>
      </c>
      <c r="C151" s="66"/>
      <c r="D151" s="66"/>
      <c r="E151" s="66" t="s">
        <v>1838</v>
      </c>
      <c r="F151" s="66" t="s">
        <v>1289</v>
      </c>
      <c r="G151" s="66" t="s">
        <v>1290</v>
      </c>
      <c r="H151" s="66" t="s">
        <v>1263</v>
      </c>
      <c r="I151" s="66" t="s">
        <v>1420</v>
      </c>
      <c r="J151" s="66" t="s">
        <v>1183</v>
      </c>
      <c r="K151" s="66" t="s">
        <v>1278</v>
      </c>
      <c r="L151" s="66" t="s">
        <v>1216</v>
      </c>
      <c r="M151" s="66" t="s">
        <v>1266</v>
      </c>
      <c r="N151" s="66" t="s">
        <v>1216</v>
      </c>
      <c r="O151" s="66" t="s">
        <v>1278</v>
      </c>
      <c r="P151" s="66" t="s">
        <v>1216</v>
      </c>
      <c r="Q151" s="87" t="s">
        <v>1216</v>
      </c>
      <c r="R151" s="87" t="s">
        <v>1216</v>
      </c>
      <c r="S151" s="87" t="s">
        <v>1216</v>
      </c>
      <c r="T151" s="87" t="s">
        <v>1216</v>
      </c>
      <c r="U151" s="87" t="s">
        <v>1216</v>
      </c>
      <c r="V151" s="87" t="s">
        <v>1216</v>
      </c>
      <c r="W151" s="67"/>
      <c r="X151" s="85" t="str">
        <f t="shared" si="26"/>
        <v>Belum Dinilai</v>
      </c>
      <c r="Y151" s="85" t="str">
        <f t="shared" si="27"/>
        <v>Belum Dinilai</v>
      </c>
      <c r="Z151" s="86" t="str">
        <f t="shared" si="28"/>
        <v/>
      </c>
      <c r="AA151" s="86" t="str">
        <f t="shared" si="29"/>
        <v/>
      </c>
      <c r="AB151" s="86" t="str">
        <f t="shared" si="24"/>
        <v/>
      </c>
      <c r="AC151" s="68" t="s">
        <v>1216</v>
      </c>
      <c r="AD151" s="68" t="s">
        <v>1216</v>
      </c>
      <c r="AE151" s="68" t="s">
        <v>1216</v>
      </c>
      <c r="AF151" s="68" t="s">
        <v>1216</v>
      </c>
      <c r="AG151" s="68" t="s">
        <v>1216</v>
      </c>
      <c r="AH151" s="68" t="s">
        <v>1216</v>
      </c>
      <c r="AI151" s="68" t="s">
        <v>1216</v>
      </c>
      <c r="AJ151" s="68" t="s">
        <v>1216</v>
      </c>
      <c r="AK151" s="68" t="s">
        <v>1216</v>
      </c>
      <c r="AL151" s="68"/>
      <c r="AM151" s="68" t="s">
        <v>1216</v>
      </c>
      <c r="AN151" s="68" t="str">
        <f t="shared" si="23"/>
        <v>Belum Dinilai</v>
      </c>
      <c r="AO151" s="68" t="str">
        <f t="shared" si="25"/>
        <v>Belum Dinilai</v>
      </c>
      <c r="AP151" s="68"/>
      <c r="AQ151" s="71" t="str">
        <f t="shared" si="30"/>
        <v/>
      </c>
      <c r="AR151" s="71" t="str">
        <f t="shared" si="32"/>
        <v/>
      </c>
      <c r="AS151" s="71" t="str">
        <f t="shared" si="33"/>
        <v/>
      </c>
      <c r="AT151" s="69" t="str">
        <f t="shared" si="31"/>
        <v>Belum Dapat Ditentukan</v>
      </c>
      <c r="AU151" s="66" t="s">
        <v>1204</v>
      </c>
      <c r="AV151" s="66" t="s">
        <v>1205</v>
      </c>
      <c r="AW151" s="66" t="s">
        <v>1191</v>
      </c>
      <c r="AX151" s="66"/>
      <c r="AY151" s="66"/>
      <c r="AZ151" s="66" t="s">
        <v>927</v>
      </c>
      <c r="BA151" s="66"/>
      <c r="BB151" s="72"/>
      <c r="BC151" s="73">
        <v>2026</v>
      </c>
      <c r="BD151" s="66"/>
      <c r="BE151" s="72"/>
      <c r="BF151" s="66" t="s">
        <v>1279</v>
      </c>
    </row>
    <row r="152" spans="1:58" ht="28">
      <c r="A152" s="66" t="s">
        <v>1740</v>
      </c>
      <c r="B152" s="66" t="s">
        <v>1839</v>
      </c>
      <c r="C152" s="66"/>
      <c r="D152" s="66"/>
      <c r="E152" s="66" t="s">
        <v>1840</v>
      </c>
      <c r="F152" s="66" t="s">
        <v>1464</v>
      </c>
      <c r="G152" s="66" t="s">
        <v>1314</v>
      </c>
      <c r="H152" s="66" t="s">
        <v>1263</v>
      </c>
      <c r="I152" s="66" t="s">
        <v>1420</v>
      </c>
      <c r="J152" s="66" t="s">
        <v>1183</v>
      </c>
      <c r="K152" s="66" t="s">
        <v>1278</v>
      </c>
      <c r="L152" s="66" t="s">
        <v>1216</v>
      </c>
      <c r="M152" s="66" t="s">
        <v>1266</v>
      </c>
      <c r="N152" s="66" t="s">
        <v>1216</v>
      </c>
      <c r="O152" s="66" t="s">
        <v>1278</v>
      </c>
      <c r="P152" s="66" t="s">
        <v>1216</v>
      </c>
      <c r="Q152" s="87" t="s">
        <v>1216</v>
      </c>
      <c r="R152" s="87" t="s">
        <v>1216</v>
      </c>
      <c r="S152" s="87" t="s">
        <v>1216</v>
      </c>
      <c r="T152" s="87" t="s">
        <v>1216</v>
      </c>
      <c r="U152" s="87" t="s">
        <v>1216</v>
      </c>
      <c r="V152" s="87" t="s">
        <v>1216</v>
      </c>
      <c r="W152" s="67"/>
      <c r="X152" s="85" t="str">
        <f t="shared" si="26"/>
        <v>Belum Dinilai</v>
      </c>
      <c r="Y152" s="85" t="str">
        <f t="shared" si="27"/>
        <v>Belum Dinilai</v>
      </c>
      <c r="Z152" s="86" t="str">
        <f t="shared" si="28"/>
        <v/>
      </c>
      <c r="AA152" s="86" t="str">
        <f t="shared" si="29"/>
        <v/>
      </c>
      <c r="AB152" s="86" t="str">
        <f t="shared" si="24"/>
        <v/>
      </c>
      <c r="AC152" s="68" t="s">
        <v>1216</v>
      </c>
      <c r="AD152" s="68" t="s">
        <v>1216</v>
      </c>
      <c r="AE152" s="68" t="s">
        <v>1216</v>
      </c>
      <c r="AF152" s="68" t="s">
        <v>1216</v>
      </c>
      <c r="AG152" s="68" t="s">
        <v>1216</v>
      </c>
      <c r="AH152" s="68" t="s">
        <v>1216</v>
      </c>
      <c r="AI152" s="68" t="s">
        <v>1216</v>
      </c>
      <c r="AJ152" s="68" t="s">
        <v>1216</v>
      </c>
      <c r="AK152" s="68" t="s">
        <v>1216</v>
      </c>
      <c r="AL152" s="68"/>
      <c r="AM152" s="68" t="s">
        <v>1216</v>
      </c>
      <c r="AN152" s="68" t="str">
        <f t="shared" si="23"/>
        <v>Belum Dinilai</v>
      </c>
      <c r="AO152" s="68" t="str">
        <f t="shared" si="25"/>
        <v>Belum Dinilai</v>
      </c>
      <c r="AP152" s="68"/>
      <c r="AQ152" s="71" t="str">
        <f t="shared" si="30"/>
        <v/>
      </c>
      <c r="AR152" s="71" t="str">
        <f t="shared" si="32"/>
        <v/>
      </c>
      <c r="AS152" s="71" t="str">
        <f t="shared" si="33"/>
        <v/>
      </c>
      <c r="AT152" s="69" t="str">
        <f t="shared" si="31"/>
        <v>Belum Dapat Ditentukan</v>
      </c>
      <c r="AU152" s="66" t="s">
        <v>1190</v>
      </c>
      <c r="AV152" s="66" t="s">
        <v>1205</v>
      </c>
      <c r="AW152" s="66" t="s">
        <v>1191</v>
      </c>
      <c r="AX152" s="66"/>
      <c r="AY152" s="66"/>
      <c r="AZ152" s="66" t="s">
        <v>927</v>
      </c>
      <c r="BA152" s="66"/>
      <c r="BB152" s="72"/>
      <c r="BC152" s="73">
        <v>2026</v>
      </c>
      <c r="BD152" s="66"/>
      <c r="BE152" s="72"/>
      <c r="BF152" s="66" t="s">
        <v>1279</v>
      </c>
    </row>
    <row r="153" spans="1:58" ht="28">
      <c r="A153" s="66" t="s">
        <v>1744</v>
      </c>
      <c r="B153" s="66" t="s">
        <v>1841</v>
      </c>
      <c r="C153" s="66"/>
      <c r="D153" s="66"/>
      <c r="E153" s="66" t="s">
        <v>1840</v>
      </c>
      <c r="F153" s="66" t="s">
        <v>1464</v>
      </c>
      <c r="G153" s="66" t="s">
        <v>1314</v>
      </c>
      <c r="H153" s="66" t="s">
        <v>1196</v>
      </c>
      <c r="I153" s="66" t="s">
        <v>1842</v>
      </c>
      <c r="J153" s="66" t="s">
        <v>1197</v>
      </c>
      <c r="K153" s="66" t="s">
        <v>1278</v>
      </c>
      <c r="L153" s="66" t="s">
        <v>1216</v>
      </c>
      <c r="M153" s="66" t="s">
        <v>1267</v>
      </c>
      <c r="N153" s="66" t="s">
        <v>1216</v>
      </c>
      <c r="O153" s="66" t="s">
        <v>1278</v>
      </c>
      <c r="P153" s="66" t="s">
        <v>1216</v>
      </c>
      <c r="Q153" s="87" t="s">
        <v>1216</v>
      </c>
      <c r="R153" s="87" t="s">
        <v>1216</v>
      </c>
      <c r="S153" s="87" t="s">
        <v>1216</v>
      </c>
      <c r="T153" s="87" t="s">
        <v>1216</v>
      </c>
      <c r="U153" s="87" t="s">
        <v>1216</v>
      </c>
      <c r="V153" s="87" t="s">
        <v>1216</v>
      </c>
      <c r="W153" s="67"/>
      <c r="X153" s="85" t="str">
        <f t="shared" si="26"/>
        <v>Belum Dinilai</v>
      </c>
      <c r="Y153" s="85" t="str">
        <f t="shared" si="27"/>
        <v>Belum Dinilai</v>
      </c>
      <c r="Z153" s="86" t="str">
        <f t="shared" si="28"/>
        <v/>
      </c>
      <c r="AA153" s="86" t="str">
        <f t="shared" si="29"/>
        <v/>
      </c>
      <c r="AB153" s="86" t="str">
        <f t="shared" si="24"/>
        <v/>
      </c>
      <c r="AC153" s="68" t="s">
        <v>1216</v>
      </c>
      <c r="AD153" s="68" t="s">
        <v>1216</v>
      </c>
      <c r="AE153" s="68" t="s">
        <v>1216</v>
      </c>
      <c r="AF153" s="68" t="s">
        <v>1216</v>
      </c>
      <c r="AG153" s="68" t="s">
        <v>1216</v>
      </c>
      <c r="AH153" s="68" t="s">
        <v>1216</v>
      </c>
      <c r="AI153" s="68" t="s">
        <v>1216</v>
      </c>
      <c r="AJ153" s="68" t="s">
        <v>1216</v>
      </c>
      <c r="AK153" s="68" t="s">
        <v>1216</v>
      </c>
      <c r="AL153" s="68"/>
      <c r="AM153" s="68" t="s">
        <v>1216</v>
      </c>
      <c r="AN153" s="68" t="str">
        <f t="shared" si="23"/>
        <v>Belum Dinilai</v>
      </c>
      <c r="AO153" s="68" t="str">
        <f t="shared" si="25"/>
        <v>Belum Dinilai</v>
      </c>
      <c r="AP153" s="68"/>
      <c r="AQ153" s="71" t="str">
        <f t="shared" si="30"/>
        <v/>
      </c>
      <c r="AR153" s="71" t="str">
        <f t="shared" si="32"/>
        <v/>
      </c>
      <c r="AS153" s="71" t="str">
        <f t="shared" si="33"/>
        <v/>
      </c>
      <c r="AT153" s="69" t="str">
        <f t="shared" si="31"/>
        <v>Belum Dapat Ditentukan</v>
      </c>
      <c r="AU153" s="66" t="s">
        <v>1190</v>
      </c>
      <c r="AV153" s="66" t="s">
        <v>1205</v>
      </c>
      <c r="AW153" s="66" t="s">
        <v>1909</v>
      </c>
      <c r="AX153" s="66" t="s">
        <v>1207</v>
      </c>
      <c r="AY153" s="66">
        <v>2024</v>
      </c>
      <c r="AZ153" s="66" t="s">
        <v>927</v>
      </c>
      <c r="BA153" s="66"/>
      <c r="BB153" s="72"/>
      <c r="BC153" s="73">
        <v>2026</v>
      </c>
      <c r="BD153" s="66"/>
      <c r="BE153" s="72"/>
      <c r="BF153" s="66" t="s">
        <v>1279</v>
      </c>
    </row>
    <row r="154" spans="1:58" ht="28">
      <c r="A154" s="66" t="s">
        <v>1747</v>
      </c>
      <c r="B154" s="66" t="s">
        <v>1843</v>
      </c>
      <c r="C154" s="66"/>
      <c r="D154" s="66"/>
      <c r="E154" s="66" t="s">
        <v>1844</v>
      </c>
      <c r="F154" s="66" t="s">
        <v>1289</v>
      </c>
      <c r="G154" s="66" t="s">
        <v>1290</v>
      </c>
      <c r="H154" s="66" t="s">
        <v>1182</v>
      </c>
      <c r="I154" s="66" t="s">
        <v>1291</v>
      </c>
      <c r="J154" s="66" t="s">
        <v>1211</v>
      </c>
      <c r="K154" s="66" t="s">
        <v>1278</v>
      </c>
      <c r="L154" s="66" t="s">
        <v>1216</v>
      </c>
      <c r="M154" s="66" t="s">
        <v>1267</v>
      </c>
      <c r="N154" s="66" t="s">
        <v>1216</v>
      </c>
      <c r="O154" s="66" t="s">
        <v>1278</v>
      </c>
      <c r="P154" s="66" t="s">
        <v>1216</v>
      </c>
      <c r="Q154" s="87" t="s">
        <v>1216</v>
      </c>
      <c r="R154" s="87" t="s">
        <v>1216</v>
      </c>
      <c r="S154" s="87" t="s">
        <v>1216</v>
      </c>
      <c r="T154" s="87" t="s">
        <v>1216</v>
      </c>
      <c r="U154" s="87" t="s">
        <v>1216</v>
      </c>
      <c r="V154" s="87" t="s">
        <v>1216</v>
      </c>
      <c r="W154" s="67"/>
      <c r="X154" s="85" t="str">
        <f t="shared" si="26"/>
        <v>Belum Dinilai</v>
      </c>
      <c r="Y154" s="85" t="str">
        <f t="shared" si="27"/>
        <v>Belum Dinilai</v>
      </c>
      <c r="Z154" s="86" t="str">
        <f t="shared" si="28"/>
        <v/>
      </c>
      <c r="AA154" s="86" t="str">
        <f t="shared" si="29"/>
        <v/>
      </c>
      <c r="AB154" s="86" t="str">
        <f t="shared" si="24"/>
        <v/>
      </c>
      <c r="AC154" s="68" t="s">
        <v>1216</v>
      </c>
      <c r="AD154" s="68" t="s">
        <v>1216</v>
      </c>
      <c r="AE154" s="68" t="s">
        <v>1216</v>
      </c>
      <c r="AF154" s="68" t="s">
        <v>1216</v>
      </c>
      <c r="AG154" s="68" t="s">
        <v>1216</v>
      </c>
      <c r="AH154" s="68" t="s">
        <v>1216</v>
      </c>
      <c r="AI154" s="68" t="s">
        <v>1216</v>
      </c>
      <c r="AJ154" s="68" t="s">
        <v>1216</v>
      </c>
      <c r="AK154" s="68" t="s">
        <v>1216</v>
      </c>
      <c r="AL154" s="68"/>
      <c r="AM154" s="68" t="s">
        <v>1216</v>
      </c>
      <c r="AN154" s="68" t="str">
        <f t="shared" si="23"/>
        <v>Belum Dinilai</v>
      </c>
      <c r="AO154" s="68" t="str">
        <f t="shared" si="25"/>
        <v>Belum Dinilai</v>
      </c>
      <c r="AP154" s="68"/>
      <c r="AQ154" s="71" t="str">
        <f t="shared" si="30"/>
        <v/>
      </c>
      <c r="AR154" s="71" t="str">
        <f t="shared" si="32"/>
        <v/>
      </c>
      <c r="AS154" s="71" t="str">
        <f t="shared" si="33"/>
        <v/>
      </c>
      <c r="AT154" s="69" t="str">
        <f t="shared" si="31"/>
        <v>Belum Dapat Ditentukan</v>
      </c>
      <c r="AU154" s="66" t="s">
        <v>1190</v>
      </c>
      <c r="AV154" s="66" t="s">
        <v>1205</v>
      </c>
      <c r="AW154" s="66" t="s">
        <v>1909</v>
      </c>
      <c r="AX154" s="66" t="s">
        <v>1207</v>
      </c>
      <c r="AY154" s="66">
        <v>2022</v>
      </c>
      <c r="AZ154" s="66" t="s">
        <v>927</v>
      </c>
      <c r="BA154" s="66"/>
      <c r="BB154" s="72"/>
      <c r="BC154" s="73">
        <v>2026</v>
      </c>
      <c r="BD154" s="66"/>
      <c r="BE154" s="72"/>
      <c r="BF154" s="66" t="s">
        <v>1279</v>
      </c>
    </row>
    <row r="155" spans="1:58" ht="42">
      <c r="A155" s="66" t="s">
        <v>1751</v>
      </c>
      <c r="B155" s="66" t="s">
        <v>1845</v>
      </c>
      <c r="C155" s="66"/>
      <c r="D155" s="66"/>
      <c r="E155" s="66" t="s">
        <v>1308</v>
      </c>
      <c r="F155" s="66" t="s">
        <v>1354</v>
      </c>
      <c r="G155" s="66" t="s">
        <v>1355</v>
      </c>
      <c r="H155" s="66" t="s">
        <v>1263</v>
      </c>
      <c r="I155" s="66" t="s">
        <v>1846</v>
      </c>
      <c r="J155" s="66" t="s">
        <v>1211</v>
      </c>
      <c r="K155" s="66" t="s">
        <v>1278</v>
      </c>
      <c r="L155" s="66" t="s">
        <v>891</v>
      </c>
      <c r="M155" s="66" t="s">
        <v>1267</v>
      </c>
      <c r="N155" s="66" t="s">
        <v>891</v>
      </c>
      <c r="O155" s="66" t="s">
        <v>1214</v>
      </c>
      <c r="P155" s="66" t="s">
        <v>891</v>
      </c>
      <c r="Q155" s="87" t="s">
        <v>1216</v>
      </c>
      <c r="R155" s="87" t="s">
        <v>1216</v>
      </c>
      <c r="S155" s="87" t="s">
        <v>1216</v>
      </c>
      <c r="T155" s="87" t="s">
        <v>1216</v>
      </c>
      <c r="U155" s="87" t="s">
        <v>1216</v>
      </c>
      <c r="V155" s="87" t="s">
        <v>1216</v>
      </c>
      <c r="W155" s="67"/>
      <c r="X155" s="85" t="str">
        <f t="shared" si="26"/>
        <v>Belum Dinilai</v>
      </c>
      <c r="Y155" s="85" t="str">
        <f t="shared" si="27"/>
        <v>Belum Dinilai</v>
      </c>
      <c r="Z155" s="86" t="str">
        <f t="shared" si="28"/>
        <v/>
      </c>
      <c r="AA155" s="86" t="str">
        <f t="shared" si="29"/>
        <v/>
      </c>
      <c r="AB155" s="86" t="str">
        <f t="shared" si="24"/>
        <v/>
      </c>
      <c r="AC155" s="68" t="s">
        <v>1216</v>
      </c>
      <c r="AD155" s="68" t="s">
        <v>1216</v>
      </c>
      <c r="AE155" s="68" t="s">
        <v>1216</v>
      </c>
      <c r="AF155" s="68" t="s">
        <v>1216</v>
      </c>
      <c r="AG155" s="68" t="s">
        <v>1216</v>
      </c>
      <c r="AH155" s="68" t="s">
        <v>1216</v>
      </c>
      <c r="AI155" s="68" t="s">
        <v>1216</v>
      </c>
      <c r="AJ155" s="68" t="s">
        <v>1216</v>
      </c>
      <c r="AK155" s="68" t="s">
        <v>1216</v>
      </c>
      <c r="AL155" s="68"/>
      <c r="AM155" s="68" t="s">
        <v>1216</v>
      </c>
      <c r="AN155" s="68" t="str">
        <f t="shared" si="23"/>
        <v>Belum Dinilai</v>
      </c>
      <c r="AO155" s="68" t="str">
        <f t="shared" si="25"/>
        <v>Belum Dinilai</v>
      </c>
      <c r="AP155" s="68"/>
      <c r="AQ155" s="71">
        <f t="shared" si="30"/>
        <v>29</v>
      </c>
      <c r="AR155" s="71" t="str">
        <f t="shared" si="32"/>
        <v/>
      </c>
      <c r="AS155" s="71" t="str">
        <f t="shared" si="33"/>
        <v/>
      </c>
      <c r="AT155" s="69" t="str">
        <f t="shared" si="31"/>
        <v>Belum Dapat Ditentukan</v>
      </c>
      <c r="AU155" s="66" t="s">
        <v>1204</v>
      </c>
      <c r="AV155" s="66" t="s">
        <v>1205</v>
      </c>
      <c r="AW155" s="66" t="s">
        <v>1191</v>
      </c>
      <c r="AX155" s="66"/>
      <c r="AY155" s="66"/>
      <c r="AZ155" s="66" t="s">
        <v>927</v>
      </c>
      <c r="BA155" s="66"/>
      <c r="BB155" s="72"/>
      <c r="BC155" s="73">
        <v>2026</v>
      </c>
      <c r="BD155" s="66"/>
      <c r="BE155" s="72"/>
      <c r="BF155" s="66" t="s">
        <v>1279</v>
      </c>
    </row>
    <row r="156" spans="1:58" ht="28">
      <c r="A156" s="66" t="s">
        <v>1755</v>
      </c>
      <c r="B156" s="66" t="s">
        <v>1847</v>
      </c>
      <c r="C156" s="66"/>
      <c r="D156" s="66"/>
      <c r="E156" s="66" t="s">
        <v>1848</v>
      </c>
      <c r="F156" s="66" t="s">
        <v>1313</v>
      </c>
      <c r="G156" s="66" t="s">
        <v>1314</v>
      </c>
      <c r="H156" s="66" t="s">
        <v>1263</v>
      </c>
      <c r="I156" s="66" t="s">
        <v>1849</v>
      </c>
      <c r="J156" s="66" t="s">
        <v>1183</v>
      </c>
      <c r="K156" s="66" t="s">
        <v>1278</v>
      </c>
      <c r="L156" s="66" t="s">
        <v>1216</v>
      </c>
      <c r="M156" s="66" t="s">
        <v>1266</v>
      </c>
      <c r="N156" s="66" t="s">
        <v>1216</v>
      </c>
      <c r="O156" s="66" t="s">
        <v>1278</v>
      </c>
      <c r="P156" s="66" t="s">
        <v>1216</v>
      </c>
      <c r="Q156" s="87" t="s">
        <v>1216</v>
      </c>
      <c r="R156" s="87" t="s">
        <v>1216</v>
      </c>
      <c r="S156" s="87" t="s">
        <v>1216</v>
      </c>
      <c r="T156" s="87" t="s">
        <v>1216</v>
      </c>
      <c r="U156" s="87" t="s">
        <v>1216</v>
      </c>
      <c r="V156" s="87" t="s">
        <v>1216</v>
      </c>
      <c r="W156" s="67"/>
      <c r="X156" s="85" t="str">
        <f t="shared" si="26"/>
        <v>Belum Dinilai</v>
      </c>
      <c r="Y156" s="85" t="str">
        <f t="shared" si="27"/>
        <v>Belum Dinilai</v>
      </c>
      <c r="Z156" s="86" t="str">
        <f t="shared" si="28"/>
        <v/>
      </c>
      <c r="AA156" s="86" t="str">
        <f t="shared" si="29"/>
        <v/>
      </c>
      <c r="AB156" s="86" t="str">
        <f t="shared" si="24"/>
        <v/>
      </c>
      <c r="AC156" s="68" t="s">
        <v>1216</v>
      </c>
      <c r="AD156" s="68" t="s">
        <v>1216</v>
      </c>
      <c r="AE156" s="68" t="s">
        <v>1216</v>
      </c>
      <c r="AF156" s="68" t="s">
        <v>1216</v>
      </c>
      <c r="AG156" s="68" t="s">
        <v>1216</v>
      </c>
      <c r="AH156" s="68" t="s">
        <v>1216</v>
      </c>
      <c r="AI156" s="68" t="s">
        <v>1216</v>
      </c>
      <c r="AJ156" s="68" t="s">
        <v>1216</v>
      </c>
      <c r="AK156" s="68" t="s">
        <v>1216</v>
      </c>
      <c r="AL156" s="68"/>
      <c r="AM156" s="68" t="s">
        <v>1216</v>
      </c>
      <c r="AN156" s="68" t="str">
        <f t="shared" si="23"/>
        <v>Belum Dinilai</v>
      </c>
      <c r="AO156" s="68" t="str">
        <f t="shared" si="25"/>
        <v>Belum Dinilai</v>
      </c>
      <c r="AP156" s="68"/>
      <c r="AQ156" s="71" t="str">
        <f t="shared" si="30"/>
        <v/>
      </c>
      <c r="AR156" s="71" t="str">
        <f t="shared" si="32"/>
        <v/>
      </c>
      <c r="AS156" s="71" t="str">
        <f t="shared" si="33"/>
        <v/>
      </c>
      <c r="AT156" s="69" t="str">
        <f t="shared" si="31"/>
        <v>Belum Dapat Ditentukan</v>
      </c>
      <c r="AU156" s="66" t="s">
        <v>1190</v>
      </c>
      <c r="AV156" s="66" t="s">
        <v>1205</v>
      </c>
      <c r="AW156" s="66" t="s">
        <v>1191</v>
      </c>
      <c r="AX156" s="66"/>
      <c r="AY156" s="66"/>
      <c r="AZ156" s="66" t="s">
        <v>927</v>
      </c>
      <c r="BA156" s="66"/>
      <c r="BB156" s="72"/>
      <c r="BC156" s="73">
        <v>2026</v>
      </c>
      <c r="BD156" s="66"/>
      <c r="BE156" s="72"/>
      <c r="BF156" s="66" t="s">
        <v>1279</v>
      </c>
    </row>
    <row r="157" spans="1:58" ht="28">
      <c r="A157" s="66" t="s">
        <v>1973</v>
      </c>
      <c r="B157" s="66" t="s">
        <v>1850</v>
      </c>
      <c r="C157" s="66"/>
      <c r="D157" s="66"/>
      <c r="E157" s="66" t="s">
        <v>1851</v>
      </c>
      <c r="F157" s="66" t="s">
        <v>1313</v>
      </c>
      <c r="G157" s="66" t="s">
        <v>1314</v>
      </c>
      <c r="H157" s="66" t="s">
        <v>1196</v>
      </c>
      <c r="I157" s="66" t="s">
        <v>1852</v>
      </c>
      <c r="J157" s="66" t="s">
        <v>1197</v>
      </c>
      <c r="K157" s="66" t="s">
        <v>1278</v>
      </c>
      <c r="L157" s="66" t="s">
        <v>1216</v>
      </c>
      <c r="M157" s="66" t="s">
        <v>1309</v>
      </c>
      <c r="N157" s="66" t="s">
        <v>1216</v>
      </c>
      <c r="O157" s="66" t="s">
        <v>1278</v>
      </c>
      <c r="P157" s="66" t="s">
        <v>1216</v>
      </c>
      <c r="Q157" s="87" t="s">
        <v>1216</v>
      </c>
      <c r="R157" s="87" t="s">
        <v>1216</v>
      </c>
      <c r="S157" s="87" t="s">
        <v>1216</v>
      </c>
      <c r="T157" s="87" t="s">
        <v>1216</v>
      </c>
      <c r="U157" s="87" t="s">
        <v>1216</v>
      </c>
      <c r="V157" s="87" t="s">
        <v>1216</v>
      </c>
      <c r="W157" s="67"/>
      <c r="X157" s="85" t="str">
        <f t="shared" si="26"/>
        <v>Belum Dinilai</v>
      </c>
      <c r="Y157" s="85" t="str">
        <f t="shared" si="27"/>
        <v>Belum Dinilai</v>
      </c>
      <c r="Z157" s="86" t="str">
        <f t="shared" si="28"/>
        <v/>
      </c>
      <c r="AA157" s="86" t="str">
        <f t="shared" si="29"/>
        <v/>
      </c>
      <c r="AB157" s="86" t="str">
        <f t="shared" si="24"/>
        <v/>
      </c>
      <c r="AC157" s="68" t="s">
        <v>1216</v>
      </c>
      <c r="AD157" s="68" t="s">
        <v>1216</v>
      </c>
      <c r="AE157" s="68" t="s">
        <v>1216</v>
      </c>
      <c r="AF157" s="68" t="s">
        <v>1216</v>
      </c>
      <c r="AG157" s="68" t="s">
        <v>1216</v>
      </c>
      <c r="AH157" s="68" t="s">
        <v>1216</v>
      </c>
      <c r="AI157" s="68" t="s">
        <v>1216</v>
      </c>
      <c r="AJ157" s="68" t="s">
        <v>1216</v>
      </c>
      <c r="AK157" s="68" t="s">
        <v>1216</v>
      </c>
      <c r="AL157" s="68"/>
      <c r="AM157" s="68" t="s">
        <v>1216</v>
      </c>
      <c r="AN157" s="68" t="str">
        <f t="shared" si="23"/>
        <v>Belum Dinilai</v>
      </c>
      <c r="AO157" s="68" t="str">
        <f t="shared" si="25"/>
        <v>Belum Dinilai</v>
      </c>
      <c r="AP157" s="68"/>
      <c r="AQ157" s="71" t="str">
        <f t="shared" si="30"/>
        <v/>
      </c>
      <c r="AR157" s="71" t="str">
        <f t="shared" si="32"/>
        <v/>
      </c>
      <c r="AS157" s="71" t="str">
        <f t="shared" si="33"/>
        <v/>
      </c>
      <c r="AT157" s="69" t="str">
        <f t="shared" si="31"/>
        <v>Belum Dapat Ditentukan</v>
      </c>
      <c r="AU157" s="66" t="s">
        <v>1190</v>
      </c>
      <c r="AV157" s="66" t="s">
        <v>1205</v>
      </c>
      <c r="AW157" s="66" t="s">
        <v>1909</v>
      </c>
      <c r="AX157" s="66" t="s">
        <v>1207</v>
      </c>
      <c r="AY157" s="66"/>
      <c r="AZ157" s="66" t="s">
        <v>927</v>
      </c>
      <c r="BA157" s="66"/>
      <c r="BB157" s="72"/>
      <c r="BC157" s="73">
        <v>2026</v>
      </c>
      <c r="BD157" s="66"/>
      <c r="BE157" s="72"/>
      <c r="BF157" s="66" t="s">
        <v>1279</v>
      </c>
    </row>
    <row r="158" spans="1:58" ht="28">
      <c r="A158" s="66" t="s">
        <v>1974</v>
      </c>
      <c r="B158" s="66" t="s">
        <v>1853</v>
      </c>
      <c r="C158" s="66"/>
      <c r="D158" s="66"/>
      <c r="E158" s="66" t="s">
        <v>1308</v>
      </c>
      <c r="F158" s="66" t="s">
        <v>1313</v>
      </c>
      <c r="G158" s="66" t="s">
        <v>1314</v>
      </c>
      <c r="H158" s="66" t="s">
        <v>1182</v>
      </c>
      <c r="I158" s="66" t="s">
        <v>1854</v>
      </c>
      <c r="J158" s="66" t="s">
        <v>1197</v>
      </c>
      <c r="K158" s="66" t="s">
        <v>1278</v>
      </c>
      <c r="L158" s="66" t="s">
        <v>1216</v>
      </c>
      <c r="M158" s="66" t="s">
        <v>1309</v>
      </c>
      <c r="N158" s="66" t="s">
        <v>1216</v>
      </c>
      <c r="O158" s="66" t="s">
        <v>1214</v>
      </c>
      <c r="P158" s="66" t="s">
        <v>1216</v>
      </c>
      <c r="Q158" s="87" t="s">
        <v>1216</v>
      </c>
      <c r="R158" s="87" t="s">
        <v>1216</v>
      </c>
      <c r="S158" s="87" t="s">
        <v>1216</v>
      </c>
      <c r="T158" s="87" t="s">
        <v>1216</v>
      </c>
      <c r="U158" s="87" t="s">
        <v>1216</v>
      </c>
      <c r="V158" s="87" t="s">
        <v>1216</v>
      </c>
      <c r="W158" s="67"/>
      <c r="X158" s="85" t="str">
        <f t="shared" si="26"/>
        <v>Belum Dinilai</v>
      </c>
      <c r="Y158" s="85" t="str">
        <f t="shared" si="27"/>
        <v>Belum Dinilai</v>
      </c>
      <c r="Z158" s="86" t="str">
        <f t="shared" si="28"/>
        <v/>
      </c>
      <c r="AA158" s="86" t="str">
        <f t="shared" si="29"/>
        <v/>
      </c>
      <c r="AB158" s="86" t="str">
        <f t="shared" si="24"/>
        <v/>
      </c>
      <c r="AC158" s="68" t="s">
        <v>1216</v>
      </c>
      <c r="AD158" s="68" t="s">
        <v>1216</v>
      </c>
      <c r="AE158" s="68" t="s">
        <v>1216</v>
      </c>
      <c r="AF158" s="68" t="s">
        <v>1216</v>
      </c>
      <c r="AG158" s="68" t="s">
        <v>1216</v>
      </c>
      <c r="AH158" s="68" t="s">
        <v>1216</v>
      </c>
      <c r="AI158" s="68" t="s">
        <v>1216</v>
      </c>
      <c r="AJ158" s="68" t="s">
        <v>1216</v>
      </c>
      <c r="AK158" s="68" t="s">
        <v>1216</v>
      </c>
      <c r="AL158" s="68"/>
      <c r="AM158" s="68" t="s">
        <v>1216</v>
      </c>
      <c r="AN158" s="68" t="str">
        <f t="shared" si="23"/>
        <v>Belum Dinilai</v>
      </c>
      <c r="AO158" s="68" t="str">
        <f t="shared" si="25"/>
        <v>Belum Dinilai</v>
      </c>
      <c r="AP158" s="68"/>
      <c r="AQ158" s="71" t="str">
        <f t="shared" si="30"/>
        <v/>
      </c>
      <c r="AR158" s="71" t="str">
        <f t="shared" si="32"/>
        <v/>
      </c>
      <c r="AS158" s="71" t="str">
        <f t="shared" si="33"/>
        <v/>
      </c>
      <c r="AT158" s="69" t="str">
        <f t="shared" si="31"/>
        <v>Belum Dapat Ditentukan</v>
      </c>
      <c r="AU158" s="66" t="s">
        <v>1190</v>
      </c>
      <c r="AV158" s="66" t="s">
        <v>1205</v>
      </c>
      <c r="AW158" s="66" t="s">
        <v>1909</v>
      </c>
      <c r="AX158" s="66" t="s">
        <v>1207</v>
      </c>
      <c r="AY158" s="66"/>
      <c r="AZ158" s="66" t="s">
        <v>927</v>
      </c>
      <c r="BA158" s="66"/>
      <c r="BB158" s="72"/>
      <c r="BC158" s="73">
        <v>2026</v>
      </c>
      <c r="BD158" s="66"/>
      <c r="BE158" s="72"/>
      <c r="BF158" s="66" t="s">
        <v>1279</v>
      </c>
    </row>
    <row r="159" spans="1:58" ht="42">
      <c r="A159" s="66" t="s">
        <v>1756</v>
      </c>
      <c r="B159" s="66" t="s">
        <v>1855</v>
      </c>
      <c r="C159" s="66"/>
      <c r="D159" s="66"/>
      <c r="E159" s="66" t="s">
        <v>1856</v>
      </c>
      <c r="F159" s="66" t="s">
        <v>1345</v>
      </c>
      <c r="G159" s="66" t="s">
        <v>1335</v>
      </c>
      <c r="H159" s="66" t="s">
        <v>1263</v>
      </c>
      <c r="I159" s="66" t="s">
        <v>1857</v>
      </c>
      <c r="J159" s="66" t="s">
        <v>1183</v>
      </c>
      <c r="K159" s="66" t="s">
        <v>1198</v>
      </c>
      <c r="L159" s="66" t="s">
        <v>1216</v>
      </c>
      <c r="M159" s="66" t="s">
        <v>1266</v>
      </c>
      <c r="N159" s="66" t="s">
        <v>1216</v>
      </c>
      <c r="O159" s="66" t="s">
        <v>1214</v>
      </c>
      <c r="P159" s="66" t="s">
        <v>1216</v>
      </c>
      <c r="Q159" s="87" t="s">
        <v>1216</v>
      </c>
      <c r="R159" s="87" t="s">
        <v>1216</v>
      </c>
      <c r="S159" s="87" t="s">
        <v>1216</v>
      </c>
      <c r="T159" s="87" t="s">
        <v>1216</v>
      </c>
      <c r="U159" s="87" t="s">
        <v>1216</v>
      </c>
      <c r="V159" s="87" t="s">
        <v>1216</v>
      </c>
      <c r="W159" s="67"/>
      <c r="X159" s="85" t="str">
        <f t="shared" si="26"/>
        <v>Belum Dinilai</v>
      </c>
      <c r="Y159" s="85" t="str">
        <f t="shared" si="27"/>
        <v>Belum Dinilai</v>
      </c>
      <c r="Z159" s="86" t="str">
        <f t="shared" si="28"/>
        <v/>
      </c>
      <c r="AA159" s="86" t="str">
        <f t="shared" si="29"/>
        <v/>
      </c>
      <c r="AB159" s="86" t="str">
        <f t="shared" si="24"/>
        <v/>
      </c>
      <c r="AC159" s="68" t="s">
        <v>1216</v>
      </c>
      <c r="AD159" s="68" t="s">
        <v>1216</v>
      </c>
      <c r="AE159" s="68" t="s">
        <v>1216</v>
      </c>
      <c r="AF159" s="68" t="s">
        <v>1216</v>
      </c>
      <c r="AG159" s="68" t="s">
        <v>1216</v>
      </c>
      <c r="AH159" s="68" t="s">
        <v>1216</v>
      </c>
      <c r="AI159" s="68" t="s">
        <v>1216</v>
      </c>
      <c r="AJ159" s="68" t="s">
        <v>1216</v>
      </c>
      <c r="AK159" s="68" t="s">
        <v>1216</v>
      </c>
      <c r="AL159" s="68"/>
      <c r="AM159" s="68" t="s">
        <v>1216</v>
      </c>
      <c r="AN159" s="68" t="str">
        <f t="shared" si="23"/>
        <v>Belum Dinilai</v>
      </c>
      <c r="AO159" s="68" t="str">
        <f t="shared" si="25"/>
        <v>Belum Dinilai</v>
      </c>
      <c r="AP159" s="68"/>
      <c r="AQ159" s="71" t="str">
        <f t="shared" si="30"/>
        <v/>
      </c>
      <c r="AR159" s="71" t="str">
        <f t="shared" si="32"/>
        <v/>
      </c>
      <c r="AS159" s="71" t="str">
        <f t="shared" si="33"/>
        <v/>
      </c>
      <c r="AT159" s="69" t="str">
        <f t="shared" si="31"/>
        <v>Belum Dapat Ditentukan</v>
      </c>
      <c r="AU159" s="66" t="s">
        <v>1190</v>
      </c>
      <c r="AV159" s="66" t="s">
        <v>1205</v>
      </c>
      <c r="AW159" s="66" t="s">
        <v>1191</v>
      </c>
      <c r="AX159" s="66"/>
      <c r="AY159" s="66"/>
      <c r="AZ159" s="66" t="s">
        <v>927</v>
      </c>
      <c r="BA159" s="66"/>
      <c r="BB159" s="72"/>
      <c r="BC159" s="73">
        <v>2026</v>
      </c>
      <c r="BD159" s="66"/>
      <c r="BE159" s="72"/>
      <c r="BF159" s="66" t="s">
        <v>1279</v>
      </c>
    </row>
    <row r="160" spans="1:58" ht="42">
      <c r="A160" s="66" t="s">
        <v>1758</v>
      </c>
      <c r="B160" s="66" t="s">
        <v>1858</v>
      </c>
      <c r="C160" s="66"/>
      <c r="D160" s="66"/>
      <c r="E160" s="66" t="s">
        <v>1859</v>
      </c>
      <c r="F160" s="66" t="s">
        <v>1345</v>
      </c>
      <c r="G160" s="66" t="s">
        <v>1335</v>
      </c>
      <c r="H160" s="66" t="s">
        <v>1182</v>
      </c>
      <c r="I160" s="66" t="s">
        <v>1860</v>
      </c>
      <c r="J160" s="66" t="s">
        <v>1211</v>
      </c>
      <c r="K160" s="66" t="s">
        <v>1198</v>
      </c>
      <c r="L160" s="66" t="s">
        <v>891</v>
      </c>
      <c r="M160" s="66" t="s">
        <v>1267</v>
      </c>
      <c r="N160" s="66" t="s">
        <v>891</v>
      </c>
      <c r="O160" s="66" t="s">
        <v>1214</v>
      </c>
      <c r="P160" s="66" t="s">
        <v>891</v>
      </c>
      <c r="Q160" s="87" t="s">
        <v>1216</v>
      </c>
      <c r="R160" s="87" t="s">
        <v>1216</v>
      </c>
      <c r="S160" s="87" t="s">
        <v>1216</v>
      </c>
      <c r="T160" s="87" t="s">
        <v>1216</v>
      </c>
      <c r="U160" s="87" t="s">
        <v>1216</v>
      </c>
      <c r="V160" s="87" t="s">
        <v>1216</v>
      </c>
      <c r="W160" s="67"/>
      <c r="X160" s="85" t="str">
        <f t="shared" si="26"/>
        <v>Belum Dinilai</v>
      </c>
      <c r="Y160" s="85" t="str">
        <f t="shared" si="27"/>
        <v>Belum Dinilai</v>
      </c>
      <c r="Z160" s="86" t="str">
        <f t="shared" si="28"/>
        <v/>
      </c>
      <c r="AA160" s="86" t="str">
        <f t="shared" si="29"/>
        <v/>
      </c>
      <c r="AB160" s="86" t="str">
        <f t="shared" si="24"/>
        <v/>
      </c>
      <c r="AC160" s="68" t="s">
        <v>1216</v>
      </c>
      <c r="AD160" s="68" t="s">
        <v>1216</v>
      </c>
      <c r="AE160" s="68" t="s">
        <v>1216</v>
      </c>
      <c r="AF160" s="68" t="s">
        <v>1216</v>
      </c>
      <c r="AG160" s="68" t="s">
        <v>1216</v>
      </c>
      <c r="AH160" s="68" t="s">
        <v>1216</v>
      </c>
      <c r="AI160" s="68" t="s">
        <v>1216</v>
      </c>
      <c r="AJ160" s="68" t="s">
        <v>1216</v>
      </c>
      <c r="AK160" s="68" t="s">
        <v>1216</v>
      </c>
      <c r="AL160" s="68"/>
      <c r="AM160" s="68" t="s">
        <v>1216</v>
      </c>
      <c r="AN160" s="68" t="str">
        <f t="shared" si="23"/>
        <v>Belum Dinilai</v>
      </c>
      <c r="AO160" s="68" t="str">
        <f t="shared" si="25"/>
        <v>Belum Dinilai</v>
      </c>
      <c r="AP160" s="68"/>
      <c r="AQ160" s="71">
        <f t="shared" si="30"/>
        <v>29</v>
      </c>
      <c r="AR160" s="71" t="str">
        <f t="shared" si="32"/>
        <v/>
      </c>
      <c r="AS160" s="71" t="str">
        <f t="shared" si="33"/>
        <v/>
      </c>
      <c r="AT160" s="69" t="str">
        <f t="shared" si="31"/>
        <v>Belum Dapat Ditentukan</v>
      </c>
      <c r="AU160" s="66" t="s">
        <v>1190</v>
      </c>
      <c r="AV160" s="66" t="s">
        <v>1205</v>
      </c>
      <c r="AW160" s="66" t="s">
        <v>1191</v>
      </c>
      <c r="AX160" s="66"/>
      <c r="AY160" s="66"/>
      <c r="AZ160" s="66" t="s">
        <v>927</v>
      </c>
      <c r="BA160" s="66"/>
      <c r="BB160" s="72"/>
      <c r="BC160" s="73">
        <v>2026</v>
      </c>
      <c r="BD160" s="66"/>
      <c r="BE160" s="72"/>
      <c r="BF160" s="66" t="s">
        <v>1279</v>
      </c>
    </row>
    <row r="161" spans="1:58" ht="28">
      <c r="A161" s="66" t="s">
        <v>1975</v>
      </c>
      <c r="B161" s="66" t="s">
        <v>1861</v>
      </c>
      <c r="C161" s="66"/>
      <c r="D161" s="66"/>
      <c r="E161" s="66" t="s">
        <v>1862</v>
      </c>
      <c r="F161" s="66" t="s">
        <v>1464</v>
      </c>
      <c r="G161" s="66" t="s">
        <v>1314</v>
      </c>
      <c r="H161" s="66" t="s">
        <v>1182</v>
      </c>
      <c r="I161" s="66" t="s">
        <v>1291</v>
      </c>
      <c r="J161" s="66" t="s">
        <v>1211</v>
      </c>
      <c r="K161" s="66" t="s">
        <v>1278</v>
      </c>
      <c r="L161" s="66" t="s">
        <v>1216</v>
      </c>
      <c r="M161" s="66" t="s">
        <v>1267</v>
      </c>
      <c r="N161" s="66" t="s">
        <v>1216</v>
      </c>
      <c r="O161" s="66" t="s">
        <v>1278</v>
      </c>
      <c r="P161" s="66" t="s">
        <v>1216</v>
      </c>
      <c r="Q161" s="87" t="s">
        <v>1216</v>
      </c>
      <c r="R161" s="87" t="s">
        <v>1216</v>
      </c>
      <c r="S161" s="87" t="s">
        <v>1216</v>
      </c>
      <c r="T161" s="87" t="s">
        <v>1216</v>
      </c>
      <c r="U161" s="87" t="s">
        <v>1216</v>
      </c>
      <c r="V161" s="87" t="s">
        <v>1216</v>
      </c>
      <c r="W161" s="67"/>
      <c r="X161" s="85" t="str">
        <f t="shared" si="26"/>
        <v>Belum Dinilai</v>
      </c>
      <c r="Y161" s="85" t="str">
        <f t="shared" si="27"/>
        <v>Belum Dinilai</v>
      </c>
      <c r="Z161" s="86" t="str">
        <f t="shared" si="28"/>
        <v/>
      </c>
      <c r="AA161" s="86" t="str">
        <f t="shared" si="29"/>
        <v/>
      </c>
      <c r="AB161" s="86" t="str">
        <f t="shared" si="24"/>
        <v/>
      </c>
      <c r="AC161" s="68" t="s">
        <v>1216</v>
      </c>
      <c r="AD161" s="68" t="s">
        <v>1216</v>
      </c>
      <c r="AE161" s="68" t="s">
        <v>1216</v>
      </c>
      <c r="AF161" s="68" t="s">
        <v>1216</v>
      </c>
      <c r="AG161" s="68" t="s">
        <v>1216</v>
      </c>
      <c r="AH161" s="68" t="s">
        <v>1216</v>
      </c>
      <c r="AI161" s="68" t="s">
        <v>1216</v>
      </c>
      <c r="AJ161" s="68" t="s">
        <v>1216</v>
      </c>
      <c r="AK161" s="68" t="s">
        <v>1216</v>
      </c>
      <c r="AL161" s="68"/>
      <c r="AM161" s="68" t="s">
        <v>1216</v>
      </c>
      <c r="AN161" s="68" t="str">
        <f t="shared" si="23"/>
        <v>Belum Dinilai</v>
      </c>
      <c r="AO161" s="68" t="str">
        <f t="shared" si="25"/>
        <v>Belum Dinilai</v>
      </c>
      <c r="AP161" s="68"/>
      <c r="AQ161" s="71" t="str">
        <f t="shared" si="30"/>
        <v/>
      </c>
      <c r="AR161" s="71" t="str">
        <f t="shared" si="32"/>
        <v/>
      </c>
      <c r="AS161" s="71" t="str">
        <f t="shared" si="33"/>
        <v/>
      </c>
      <c r="AT161" s="69" t="str">
        <f t="shared" si="31"/>
        <v>Belum Dapat Ditentukan</v>
      </c>
      <c r="AU161" s="66" t="s">
        <v>1190</v>
      </c>
      <c r="AV161" s="66" t="s">
        <v>1205</v>
      </c>
      <c r="AW161" s="66" t="s">
        <v>1909</v>
      </c>
      <c r="AX161" s="66" t="s">
        <v>1284</v>
      </c>
      <c r="AY161" s="66"/>
      <c r="AZ161" s="66" t="s">
        <v>927</v>
      </c>
      <c r="BA161" s="66"/>
      <c r="BB161" s="72"/>
      <c r="BC161" s="73">
        <v>2026</v>
      </c>
      <c r="BD161" s="66"/>
      <c r="BE161" s="72"/>
      <c r="BF161" s="66" t="s">
        <v>1279</v>
      </c>
    </row>
    <row r="162" spans="1:58" ht="56">
      <c r="A162" s="66" t="s">
        <v>1762</v>
      </c>
      <c r="B162" s="66" t="s">
        <v>1477</v>
      </c>
      <c r="C162" s="66"/>
      <c r="D162" s="66"/>
      <c r="E162" s="66" t="s">
        <v>1863</v>
      </c>
      <c r="F162" s="66" t="s">
        <v>1464</v>
      </c>
      <c r="G162" s="66" t="s">
        <v>1314</v>
      </c>
      <c r="H162" s="66" t="s">
        <v>1182</v>
      </c>
      <c r="I162" s="66" t="s">
        <v>1864</v>
      </c>
      <c r="J162" s="66" t="s">
        <v>1197</v>
      </c>
      <c r="K162" s="66" t="s">
        <v>1278</v>
      </c>
      <c r="L162" s="66" t="s">
        <v>891</v>
      </c>
      <c r="M162" s="66" t="s">
        <v>1309</v>
      </c>
      <c r="N162" s="66" t="s">
        <v>891</v>
      </c>
      <c r="O162" s="66" t="s">
        <v>1278</v>
      </c>
      <c r="P162" s="66" t="s">
        <v>891</v>
      </c>
      <c r="Q162" s="87" t="s">
        <v>1216</v>
      </c>
      <c r="R162" s="87" t="s">
        <v>1216</v>
      </c>
      <c r="S162" s="87" t="s">
        <v>1216</v>
      </c>
      <c r="T162" s="87" t="s">
        <v>1216</v>
      </c>
      <c r="U162" s="87" t="s">
        <v>1216</v>
      </c>
      <c r="V162" s="87" t="s">
        <v>1216</v>
      </c>
      <c r="W162" s="67"/>
      <c r="X162" s="85" t="str">
        <f t="shared" si="26"/>
        <v>Belum Dinilai</v>
      </c>
      <c r="Y162" s="85" t="str">
        <f t="shared" si="27"/>
        <v>Belum Dinilai</v>
      </c>
      <c r="Z162" s="86" t="str">
        <f t="shared" si="28"/>
        <v/>
      </c>
      <c r="AA162" s="86" t="str">
        <f t="shared" si="29"/>
        <v/>
      </c>
      <c r="AB162" s="86" t="str">
        <f t="shared" si="24"/>
        <v/>
      </c>
      <c r="AC162" s="68" t="s">
        <v>1216</v>
      </c>
      <c r="AD162" s="68" t="s">
        <v>1216</v>
      </c>
      <c r="AE162" s="68" t="s">
        <v>1216</v>
      </c>
      <c r="AF162" s="68" t="s">
        <v>1216</v>
      </c>
      <c r="AG162" s="68" t="s">
        <v>1216</v>
      </c>
      <c r="AH162" s="68" t="s">
        <v>1216</v>
      </c>
      <c r="AI162" s="68" t="s">
        <v>1216</v>
      </c>
      <c r="AJ162" s="68" t="s">
        <v>1216</v>
      </c>
      <c r="AK162" s="68" t="s">
        <v>1216</v>
      </c>
      <c r="AL162" s="68"/>
      <c r="AM162" s="68" t="s">
        <v>1216</v>
      </c>
      <c r="AN162" s="68" t="str">
        <f t="shared" si="23"/>
        <v>Belum Dinilai</v>
      </c>
      <c r="AO162" s="68" t="str">
        <f t="shared" si="25"/>
        <v>Belum Dinilai</v>
      </c>
      <c r="AP162" s="68"/>
      <c r="AQ162" s="71">
        <f t="shared" si="30"/>
        <v>22</v>
      </c>
      <c r="AR162" s="71" t="str">
        <f t="shared" si="32"/>
        <v/>
      </c>
      <c r="AS162" s="71" t="str">
        <f t="shared" si="33"/>
        <v/>
      </c>
      <c r="AT162" s="69" t="str">
        <f t="shared" si="31"/>
        <v>Belum Dapat Ditentukan</v>
      </c>
      <c r="AU162" s="66" t="s">
        <v>1190</v>
      </c>
      <c r="AV162" s="66" t="s">
        <v>1205</v>
      </c>
      <c r="AW162" s="66" t="s">
        <v>1909</v>
      </c>
      <c r="AX162" s="66" t="s">
        <v>1207</v>
      </c>
      <c r="AY162" s="66">
        <v>2022</v>
      </c>
      <c r="AZ162" s="66" t="s">
        <v>927</v>
      </c>
      <c r="BA162" s="66"/>
      <c r="BB162" s="72"/>
      <c r="BC162" s="73">
        <v>2026</v>
      </c>
      <c r="BD162" s="66"/>
      <c r="BE162" s="72"/>
      <c r="BF162" s="66" t="s">
        <v>1279</v>
      </c>
    </row>
    <row r="163" spans="1:58" ht="28">
      <c r="A163" s="66" t="s">
        <v>1766</v>
      </c>
      <c r="B163" s="66" t="s">
        <v>1865</v>
      </c>
      <c r="C163" s="66"/>
      <c r="D163" s="66"/>
      <c r="E163" s="66" t="s">
        <v>1866</v>
      </c>
      <c r="F163" s="66" t="s">
        <v>1464</v>
      </c>
      <c r="G163" s="66" t="s">
        <v>1314</v>
      </c>
      <c r="H163" s="66" t="s">
        <v>1263</v>
      </c>
      <c r="I163" s="66" t="s">
        <v>1867</v>
      </c>
      <c r="J163" s="66" t="s">
        <v>1197</v>
      </c>
      <c r="K163" s="66" t="s">
        <v>1278</v>
      </c>
      <c r="L163" s="66" t="s">
        <v>1216</v>
      </c>
      <c r="M163" s="66" t="s">
        <v>1309</v>
      </c>
      <c r="N163" s="66" t="s">
        <v>1216</v>
      </c>
      <c r="O163" s="66" t="s">
        <v>1278</v>
      </c>
      <c r="P163" s="66" t="s">
        <v>1216</v>
      </c>
      <c r="Q163" s="87" t="s">
        <v>1216</v>
      </c>
      <c r="R163" s="87" t="s">
        <v>1216</v>
      </c>
      <c r="S163" s="87" t="s">
        <v>1216</v>
      </c>
      <c r="T163" s="87" t="s">
        <v>1216</v>
      </c>
      <c r="U163" s="87" t="s">
        <v>1216</v>
      </c>
      <c r="V163" s="87" t="s">
        <v>1216</v>
      </c>
      <c r="W163" s="67"/>
      <c r="X163" s="85" t="str">
        <f t="shared" si="26"/>
        <v>Belum Dinilai</v>
      </c>
      <c r="Y163" s="85" t="str">
        <f t="shared" si="27"/>
        <v>Belum Dinilai</v>
      </c>
      <c r="Z163" s="86" t="str">
        <f t="shared" si="28"/>
        <v/>
      </c>
      <c r="AA163" s="86" t="str">
        <f t="shared" si="29"/>
        <v/>
      </c>
      <c r="AB163" s="86" t="str">
        <f t="shared" si="24"/>
        <v/>
      </c>
      <c r="AC163" s="68" t="s">
        <v>1216</v>
      </c>
      <c r="AD163" s="68" t="s">
        <v>1216</v>
      </c>
      <c r="AE163" s="68" t="s">
        <v>1216</v>
      </c>
      <c r="AF163" s="68" t="s">
        <v>1216</v>
      </c>
      <c r="AG163" s="68" t="s">
        <v>1216</v>
      </c>
      <c r="AH163" s="68" t="s">
        <v>1216</v>
      </c>
      <c r="AI163" s="68" t="s">
        <v>1216</v>
      </c>
      <c r="AJ163" s="68" t="s">
        <v>1216</v>
      </c>
      <c r="AK163" s="68" t="s">
        <v>1216</v>
      </c>
      <c r="AL163" s="68"/>
      <c r="AM163" s="68" t="s">
        <v>1216</v>
      </c>
      <c r="AN163" s="68" t="str">
        <f t="shared" si="23"/>
        <v>Belum Dinilai</v>
      </c>
      <c r="AO163" s="68" t="str">
        <f t="shared" si="25"/>
        <v>Belum Dinilai</v>
      </c>
      <c r="AP163" s="68"/>
      <c r="AQ163" s="71" t="str">
        <f t="shared" si="30"/>
        <v/>
      </c>
      <c r="AR163" s="71" t="str">
        <f t="shared" si="32"/>
        <v/>
      </c>
      <c r="AS163" s="71" t="str">
        <f t="shared" si="33"/>
        <v/>
      </c>
      <c r="AT163" s="69" t="str">
        <f t="shared" si="31"/>
        <v>Belum Dapat Ditentukan</v>
      </c>
      <c r="AU163" s="66" t="s">
        <v>1190</v>
      </c>
      <c r="AV163" s="66" t="s">
        <v>1205</v>
      </c>
      <c r="AW163" s="66" t="s">
        <v>1191</v>
      </c>
      <c r="AX163" s="66"/>
      <c r="AY163" s="66"/>
      <c r="AZ163" s="66" t="s">
        <v>927</v>
      </c>
      <c r="BA163" s="66"/>
      <c r="BB163" s="72"/>
      <c r="BC163" s="73">
        <v>2026</v>
      </c>
      <c r="BD163" s="66"/>
      <c r="BE163" s="72"/>
      <c r="BF163" s="66" t="s">
        <v>1279</v>
      </c>
    </row>
    <row r="164" spans="1:58" ht="28">
      <c r="A164" s="66" t="s">
        <v>1770</v>
      </c>
      <c r="B164" s="66" t="s">
        <v>1868</v>
      </c>
      <c r="C164" s="66"/>
      <c r="D164" s="66"/>
      <c r="E164" s="66" t="s">
        <v>1866</v>
      </c>
      <c r="F164" s="66" t="s">
        <v>1464</v>
      </c>
      <c r="G164" s="66" t="s">
        <v>1314</v>
      </c>
      <c r="H164" s="66" t="s">
        <v>1182</v>
      </c>
      <c r="I164" s="66" t="s">
        <v>1869</v>
      </c>
      <c r="J164" s="66" t="s">
        <v>1197</v>
      </c>
      <c r="K164" s="66" t="s">
        <v>1278</v>
      </c>
      <c r="L164" s="66" t="s">
        <v>1216</v>
      </c>
      <c r="M164" s="66" t="s">
        <v>1309</v>
      </c>
      <c r="N164" s="66" t="s">
        <v>1216</v>
      </c>
      <c r="O164" s="66" t="s">
        <v>1278</v>
      </c>
      <c r="P164" s="66" t="s">
        <v>1216</v>
      </c>
      <c r="Q164" s="87" t="s">
        <v>1216</v>
      </c>
      <c r="R164" s="87" t="s">
        <v>1216</v>
      </c>
      <c r="S164" s="87" t="s">
        <v>1216</v>
      </c>
      <c r="T164" s="87" t="s">
        <v>1216</v>
      </c>
      <c r="U164" s="87" t="s">
        <v>1216</v>
      </c>
      <c r="V164" s="87" t="s">
        <v>1216</v>
      </c>
      <c r="W164" s="67"/>
      <c r="X164" s="85" t="str">
        <f t="shared" si="26"/>
        <v>Belum Dinilai</v>
      </c>
      <c r="Y164" s="85" t="str">
        <f t="shared" si="27"/>
        <v>Belum Dinilai</v>
      </c>
      <c r="Z164" s="86" t="str">
        <f t="shared" si="28"/>
        <v/>
      </c>
      <c r="AA164" s="86" t="str">
        <f t="shared" si="29"/>
        <v/>
      </c>
      <c r="AB164" s="86" t="str">
        <f t="shared" si="24"/>
        <v/>
      </c>
      <c r="AC164" s="68" t="s">
        <v>1216</v>
      </c>
      <c r="AD164" s="68" t="s">
        <v>1216</v>
      </c>
      <c r="AE164" s="68" t="s">
        <v>1216</v>
      </c>
      <c r="AF164" s="68" t="s">
        <v>1216</v>
      </c>
      <c r="AG164" s="68" t="s">
        <v>1216</v>
      </c>
      <c r="AH164" s="68" t="s">
        <v>1216</v>
      </c>
      <c r="AI164" s="68" t="s">
        <v>1216</v>
      </c>
      <c r="AJ164" s="68" t="s">
        <v>1216</v>
      </c>
      <c r="AK164" s="68" t="s">
        <v>1216</v>
      </c>
      <c r="AL164" s="68"/>
      <c r="AM164" s="68" t="s">
        <v>1216</v>
      </c>
      <c r="AN164" s="68" t="str">
        <f t="shared" si="23"/>
        <v>Belum Dinilai</v>
      </c>
      <c r="AO164" s="68" t="str">
        <f t="shared" si="25"/>
        <v>Belum Dinilai</v>
      </c>
      <c r="AP164" s="68"/>
      <c r="AQ164" s="71" t="str">
        <f t="shared" si="30"/>
        <v/>
      </c>
      <c r="AR164" s="71" t="str">
        <f t="shared" si="32"/>
        <v/>
      </c>
      <c r="AS164" s="71" t="str">
        <f t="shared" si="33"/>
        <v/>
      </c>
      <c r="AT164" s="69" t="str">
        <f t="shared" si="31"/>
        <v>Belum Dapat Ditentukan</v>
      </c>
      <c r="AU164" s="66" t="s">
        <v>1190</v>
      </c>
      <c r="AV164" s="66" t="s">
        <v>1205</v>
      </c>
      <c r="AW164" s="66" t="s">
        <v>1191</v>
      </c>
      <c r="AX164" s="66"/>
      <c r="AY164" s="66"/>
      <c r="AZ164" s="66" t="s">
        <v>927</v>
      </c>
      <c r="BA164" s="66"/>
      <c r="BB164" s="72"/>
      <c r="BC164" s="73">
        <v>2026</v>
      </c>
      <c r="BD164" s="66"/>
      <c r="BE164" s="72"/>
      <c r="BF164" s="66" t="s">
        <v>1279</v>
      </c>
    </row>
    <row r="165" spans="1:58" ht="28">
      <c r="A165" s="66" t="s">
        <v>1774</v>
      </c>
      <c r="B165" s="66" t="s">
        <v>1870</v>
      </c>
      <c r="C165" s="66"/>
      <c r="D165" s="66"/>
      <c r="E165" s="66" t="s">
        <v>1871</v>
      </c>
      <c r="F165" s="66" t="s">
        <v>1464</v>
      </c>
      <c r="G165" s="66" t="s">
        <v>1314</v>
      </c>
      <c r="H165" s="66" t="s">
        <v>1196</v>
      </c>
      <c r="I165" s="66" t="s">
        <v>1872</v>
      </c>
      <c r="J165" s="66" t="s">
        <v>1197</v>
      </c>
      <c r="K165" s="66" t="s">
        <v>1198</v>
      </c>
      <c r="L165" s="66" t="s">
        <v>1216</v>
      </c>
      <c r="M165" s="66" t="s">
        <v>1309</v>
      </c>
      <c r="N165" s="66" t="s">
        <v>1216</v>
      </c>
      <c r="O165" s="66" t="s">
        <v>1214</v>
      </c>
      <c r="P165" s="66" t="s">
        <v>1216</v>
      </c>
      <c r="Q165" s="87" t="s">
        <v>1216</v>
      </c>
      <c r="R165" s="87" t="s">
        <v>1216</v>
      </c>
      <c r="S165" s="87" t="s">
        <v>1216</v>
      </c>
      <c r="T165" s="87" t="s">
        <v>1216</v>
      </c>
      <c r="U165" s="87" t="s">
        <v>1216</v>
      </c>
      <c r="V165" s="87" t="s">
        <v>1216</v>
      </c>
      <c r="W165" s="67"/>
      <c r="X165" s="85" t="str">
        <f t="shared" si="26"/>
        <v>Belum Dinilai</v>
      </c>
      <c r="Y165" s="85" t="str">
        <f t="shared" si="27"/>
        <v>Belum Dinilai</v>
      </c>
      <c r="Z165" s="86" t="str">
        <f t="shared" si="28"/>
        <v/>
      </c>
      <c r="AA165" s="86" t="str">
        <f t="shared" si="29"/>
        <v/>
      </c>
      <c r="AB165" s="86" t="str">
        <f t="shared" si="24"/>
        <v/>
      </c>
      <c r="AC165" s="68" t="s">
        <v>1216</v>
      </c>
      <c r="AD165" s="68" t="s">
        <v>1216</v>
      </c>
      <c r="AE165" s="68" t="s">
        <v>1216</v>
      </c>
      <c r="AF165" s="68" t="s">
        <v>1216</v>
      </c>
      <c r="AG165" s="68" t="s">
        <v>1216</v>
      </c>
      <c r="AH165" s="68" t="s">
        <v>1216</v>
      </c>
      <c r="AI165" s="68" t="s">
        <v>1216</v>
      </c>
      <c r="AJ165" s="68" t="s">
        <v>1216</v>
      </c>
      <c r="AK165" s="68" t="s">
        <v>1216</v>
      </c>
      <c r="AL165" s="68"/>
      <c r="AM165" s="68" t="s">
        <v>1216</v>
      </c>
      <c r="AN165" s="68" t="str">
        <f t="shared" si="23"/>
        <v>Belum Dinilai</v>
      </c>
      <c r="AO165" s="68" t="str">
        <f t="shared" si="25"/>
        <v>Belum Dinilai</v>
      </c>
      <c r="AP165" s="68"/>
      <c r="AQ165" s="71" t="str">
        <f t="shared" si="30"/>
        <v/>
      </c>
      <c r="AR165" s="71" t="str">
        <f t="shared" si="32"/>
        <v/>
      </c>
      <c r="AS165" s="71" t="str">
        <f t="shared" si="33"/>
        <v/>
      </c>
      <c r="AT165" s="69" t="str">
        <f t="shared" si="31"/>
        <v>Belum Dapat Ditentukan</v>
      </c>
      <c r="AU165" s="66" t="s">
        <v>1190</v>
      </c>
      <c r="AV165" s="66" t="s">
        <v>1205</v>
      </c>
      <c r="AW165" s="66" t="s">
        <v>1909</v>
      </c>
      <c r="AX165" s="66" t="s">
        <v>1207</v>
      </c>
      <c r="AY165" s="66">
        <v>2022</v>
      </c>
      <c r="AZ165" s="66" t="s">
        <v>927</v>
      </c>
      <c r="BA165" s="66"/>
      <c r="BB165" s="72"/>
      <c r="BC165" s="73">
        <v>2026</v>
      </c>
      <c r="BD165" s="66"/>
      <c r="BE165" s="72"/>
      <c r="BF165" s="66" t="s">
        <v>1279</v>
      </c>
    </row>
    <row r="166" spans="1:58" ht="28">
      <c r="A166" s="66" t="s">
        <v>1976</v>
      </c>
      <c r="B166" s="66" t="s">
        <v>1873</v>
      </c>
      <c r="C166" s="66"/>
      <c r="D166" s="66"/>
      <c r="E166" s="66" t="s">
        <v>1874</v>
      </c>
      <c r="F166" s="66" t="s">
        <v>1464</v>
      </c>
      <c r="G166" s="66" t="s">
        <v>1314</v>
      </c>
      <c r="H166" s="66" t="s">
        <v>1196</v>
      </c>
      <c r="I166" s="66" t="s">
        <v>1872</v>
      </c>
      <c r="J166" s="66" t="s">
        <v>1197</v>
      </c>
      <c r="K166" s="66" t="s">
        <v>1198</v>
      </c>
      <c r="L166" s="66" t="s">
        <v>1216</v>
      </c>
      <c r="M166" s="66" t="s">
        <v>1309</v>
      </c>
      <c r="N166" s="66" t="s">
        <v>1216</v>
      </c>
      <c r="O166" s="66" t="s">
        <v>1214</v>
      </c>
      <c r="P166" s="66" t="s">
        <v>1216</v>
      </c>
      <c r="Q166" s="87" t="s">
        <v>1216</v>
      </c>
      <c r="R166" s="87" t="s">
        <v>1216</v>
      </c>
      <c r="S166" s="87" t="s">
        <v>1216</v>
      </c>
      <c r="T166" s="87" t="s">
        <v>1216</v>
      </c>
      <c r="U166" s="87" t="s">
        <v>1216</v>
      </c>
      <c r="V166" s="87" t="s">
        <v>1216</v>
      </c>
      <c r="W166" s="67"/>
      <c r="X166" s="85" t="str">
        <f t="shared" si="26"/>
        <v>Belum Dinilai</v>
      </c>
      <c r="Y166" s="85" t="str">
        <f t="shared" si="27"/>
        <v>Belum Dinilai</v>
      </c>
      <c r="Z166" s="86" t="str">
        <f t="shared" si="28"/>
        <v/>
      </c>
      <c r="AA166" s="86" t="str">
        <f t="shared" si="29"/>
        <v/>
      </c>
      <c r="AB166" s="86" t="str">
        <f t="shared" si="24"/>
        <v/>
      </c>
      <c r="AC166" s="68" t="s">
        <v>1216</v>
      </c>
      <c r="AD166" s="68" t="s">
        <v>1216</v>
      </c>
      <c r="AE166" s="68" t="s">
        <v>1216</v>
      </c>
      <c r="AF166" s="68" t="s">
        <v>1216</v>
      </c>
      <c r="AG166" s="68" t="s">
        <v>1216</v>
      </c>
      <c r="AH166" s="68" t="s">
        <v>1216</v>
      </c>
      <c r="AI166" s="68" t="s">
        <v>1216</v>
      </c>
      <c r="AJ166" s="68" t="s">
        <v>1216</v>
      </c>
      <c r="AK166" s="68" t="s">
        <v>1216</v>
      </c>
      <c r="AL166" s="68"/>
      <c r="AM166" s="68" t="s">
        <v>1216</v>
      </c>
      <c r="AN166" s="68" t="str">
        <f t="shared" si="23"/>
        <v>Belum Dinilai</v>
      </c>
      <c r="AO166" s="68" t="str">
        <f t="shared" si="25"/>
        <v>Belum Dinilai</v>
      </c>
      <c r="AP166" s="68"/>
      <c r="AQ166" s="71" t="str">
        <f t="shared" si="30"/>
        <v/>
      </c>
      <c r="AR166" s="71" t="str">
        <f t="shared" si="32"/>
        <v/>
      </c>
      <c r="AS166" s="71" t="str">
        <f t="shared" si="33"/>
        <v/>
      </c>
      <c r="AT166" s="69" t="str">
        <f t="shared" si="31"/>
        <v>Belum Dapat Ditentukan</v>
      </c>
      <c r="AU166" s="66" t="s">
        <v>1190</v>
      </c>
      <c r="AV166" s="66" t="s">
        <v>1205</v>
      </c>
      <c r="AW166" s="66" t="s">
        <v>1909</v>
      </c>
      <c r="AX166" s="66" t="s">
        <v>1207</v>
      </c>
      <c r="AY166" s="66">
        <v>2022</v>
      </c>
      <c r="AZ166" s="66" t="s">
        <v>927</v>
      </c>
      <c r="BA166" s="66"/>
      <c r="BB166" s="72"/>
      <c r="BC166" s="73">
        <v>2026</v>
      </c>
      <c r="BD166" s="66"/>
      <c r="BE166" s="72"/>
      <c r="BF166" s="66" t="s">
        <v>1279</v>
      </c>
    </row>
    <row r="167" spans="1:58" ht="42">
      <c r="A167" s="66" t="s">
        <v>1778</v>
      </c>
      <c r="B167" s="66" t="s">
        <v>1875</v>
      </c>
      <c r="C167" s="66"/>
      <c r="D167" s="66"/>
      <c r="E167" s="66" t="s">
        <v>1876</v>
      </c>
      <c r="F167" s="66" t="s">
        <v>1464</v>
      </c>
      <c r="G167" s="66" t="s">
        <v>1314</v>
      </c>
      <c r="H167" s="66" t="s">
        <v>1263</v>
      </c>
      <c r="I167" s="66" t="s">
        <v>1877</v>
      </c>
      <c r="J167" s="66" t="s">
        <v>1211</v>
      </c>
      <c r="K167" s="66" t="s">
        <v>1198</v>
      </c>
      <c r="L167" s="66" t="s">
        <v>1216</v>
      </c>
      <c r="M167" s="66" t="s">
        <v>1267</v>
      </c>
      <c r="N167" s="66" t="s">
        <v>1216</v>
      </c>
      <c r="O167" s="66" t="s">
        <v>1214</v>
      </c>
      <c r="P167" s="66" t="s">
        <v>1216</v>
      </c>
      <c r="Q167" s="87" t="s">
        <v>1216</v>
      </c>
      <c r="R167" s="87" t="s">
        <v>1216</v>
      </c>
      <c r="S167" s="87" t="s">
        <v>1216</v>
      </c>
      <c r="T167" s="87" t="s">
        <v>1216</v>
      </c>
      <c r="U167" s="87" t="s">
        <v>1216</v>
      </c>
      <c r="V167" s="87" t="s">
        <v>1216</v>
      </c>
      <c r="W167" s="67"/>
      <c r="X167" s="85" t="str">
        <f t="shared" si="26"/>
        <v>Belum Dinilai</v>
      </c>
      <c r="Y167" s="85" t="str">
        <f t="shared" si="27"/>
        <v>Belum Dinilai</v>
      </c>
      <c r="Z167" s="86" t="str">
        <f t="shared" si="28"/>
        <v/>
      </c>
      <c r="AA167" s="86" t="str">
        <f t="shared" si="29"/>
        <v/>
      </c>
      <c r="AB167" s="86" t="str">
        <f t="shared" si="24"/>
        <v/>
      </c>
      <c r="AC167" s="68" t="s">
        <v>1216</v>
      </c>
      <c r="AD167" s="68" t="s">
        <v>1216</v>
      </c>
      <c r="AE167" s="68" t="s">
        <v>1216</v>
      </c>
      <c r="AF167" s="68" t="s">
        <v>1216</v>
      </c>
      <c r="AG167" s="68" t="s">
        <v>1216</v>
      </c>
      <c r="AH167" s="68" t="s">
        <v>1216</v>
      </c>
      <c r="AI167" s="68" t="s">
        <v>1216</v>
      </c>
      <c r="AJ167" s="68" t="s">
        <v>1216</v>
      </c>
      <c r="AK167" s="68" t="s">
        <v>1216</v>
      </c>
      <c r="AL167" s="68"/>
      <c r="AM167" s="68" t="s">
        <v>1216</v>
      </c>
      <c r="AN167" s="68" t="str">
        <f t="shared" si="23"/>
        <v>Belum Dinilai</v>
      </c>
      <c r="AO167" s="68" t="str">
        <f t="shared" si="25"/>
        <v>Belum Dinilai</v>
      </c>
      <c r="AP167" s="68"/>
      <c r="AQ167" s="71" t="str">
        <f t="shared" si="30"/>
        <v/>
      </c>
      <c r="AR167" s="71" t="str">
        <f t="shared" si="32"/>
        <v/>
      </c>
      <c r="AS167" s="71" t="str">
        <f t="shared" si="33"/>
        <v/>
      </c>
      <c r="AT167" s="69" t="str">
        <f t="shared" si="31"/>
        <v>Belum Dapat Ditentukan</v>
      </c>
      <c r="AU167" s="66" t="s">
        <v>1190</v>
      </c>
      <c r="AV167" s="66" t="s">
        <v>1205</v>
      </c>
      <c r="AW167" s="66" t="s">
        <v>1191</v>
      </c>
      <c r="AX167" s="66"/>
      <c r="AY167" s="66"/>
      <c r="AZ167" s="66" t="s">
        <v>927</v>
      </c>
      <c r="BA167" s="66"/>
      <c r="BB167" s="72"/>
      <c r="BC167" s="73">
        <v>2026</v>
      </c>
      <c r="BD167" s="66"/>
      <c r="BE167" s="72"/>
      <c r="BF167" s="66" t="s">
        <v>1279</v>
      </c>
    </row>
    <row r="168" spans="1:58" ht="28">
      <c r="A168" s="66" t="s">
        <v>1782</v>
      </c>
      <c r="B168" s="66" t="s">
        <v>1878</v>
      </c>
      <c r="C168" s="66"/>
      <c r="D168" s="66"/>
      <c r="E168" s="66" t="s">
        <v>1879</v>
      </c>
      <c r="F168" s="66" t="s">
        <v>1464</v>
      </c>
      <c r="G168" s="66" t="s">
        <v>1314</v>
      </c>
      <c r="H168" s="66" t="s">
        <v>1182</v>
      </c>
      <c r="I168" s="66" t="s">
        <v>1880</v>
      </c>
      <c r="J168" s="66" t="s">
        <v>1211</v>
      </c>
      <c r="K168" s="66" t="s">
        <v>1198</v>
      </c>
      <c r="L168" s="66" t="s">
        <v>1216</v>
      </c>
      <c r="M168" s="66" t="s">
        <v>1267</v>
      </c>
      <c r="N168" s="66" t="s">
        <v>1216</v>
      </c>
      <c r="O168" s="66" t="s">
        <v>1214</v>
      </c>
      <c r="P168" s="66" t="s">
        <v>1216</v>
      </c>
      <c r="Q168" s="87" t="s">
        <v>1216</v>
      </c>
      <c r="R168" s="87" t="s">
        <v>1216</v>
      </c>
      <c r="S168" s="87" t="s">
        <v>1216</v>
      </c>
      <c r="T168" s="87" t="s">
        <v>1216</v>
      </c>
      <c r="U168" s="87" t="s">
        <v>1216</v>
      </c>
      <c r="V168" s="87" t="s">
        <v>1216</v>
      </c>
      <c r="W168" s="67"/>
      <c r="X168" s="85" t="str">
        <f t="shared" si="26"/>
        <v>Belum Dinilai</v>
      </c>
      <c r="Y168" s="85" t="str">
        <f t="shared" si="27"/>
        <v>Belum Dinilai</v>
      </c>
      <c r="Z168" s="86" t="str">
        <f t="shared" si="28"/>
        <v/>
      </c>
      <c r="AA168" s="86" t="str">
        <f t="shared" si="29"/>
        <v/>
      </c>
      <c r="AB168" s="86" t="str">
        <f t="shared" si="24"/>
        <v/>
      </c>
      <c r="AC168" s="68" t="s">
        <v>1216</v>
      </c>
      <c r="AD168" s="68" t="s">
        <v>1216</v>
      </c>
      <c r="AE168" s="68" t="s">
        <v>1216</v>
      </c>
      <c r="AF168" s="68" t="s">
        <v>1216</v>
      </c>
      <c r="AG168" s="68" t="s">
        <v>1216</v>
      </c>
      <c r="AH168" s="68" t="s">
        <v>1216</v>
      </c>
      <c r="AI168" s="68" t="s">
        <v>1216</v>
      </c>
      <c r="AJ168" s="68" t="s">
        <v>1216</v>
      </c>
      <c r="AK168" s="68" t="s">
        <v>1216</v>
      </c>
      <c r="AL168" s="68"/>
      <c r="AM168" s="68" t="s">
        <v>1216</v>
      </c>
      <c r="AN168" s="68" t="str">
        <f t="shared" si="23"/>
        <v>Belum Dinilai</v>
      </c>
      <c r="AO168" s="68" t="str">
        <f t="shared" si="25"/>
        <v>Belum Dinilai</v>
      </c>
      <c r="AP168" s="68"/>
      <c r="AQ168" s="71" t="str">
        <f t="shared" si="30"/>
        <v/>
      </c>
      <c r="AR168" s="71" t="str">
        <f t="shared" si="32"/>
        <v/>
      </c>
      <c r="AS168" s="71" t="str">
        <f t="shared" si="33"/>
        <v/>
      </c>
      <c r="AT168" s="69" t="str">
        <f t="shared" si="31"/>
        <v>Belum Dapat Ditentukan</v>
      </c>
      <c r="AU168" s="66" t="s">
        <v>1190</v>
      </c>
      <c r="AV168" s="66" t="s">
        <v>1205</v>
      </c>
      <c r="AW168" s="66" t="s">
        <v>1191</v>
      </c>
      <c r="AX168" s="66"/>
      <c r="AY168" s="66"/>
      <c r="AZ168" s="66" t="s">
        <v>1208</v>
      </c>
      <c r="BA168" s="66"/>
      <c r="BB168" s="72"/>
      <c r="BC168" s="73">
        <v>2026</v>
      </c>
      <c r="BD168" s="66"/>
      <c r="BE168" s="72"/>
      <c r="BF168" s="66" t="s">
        <v>1279</v>
      </c>
    </row>
    <row r="169" spans="1:58" ht="42">
      <c r="A169" s="66" t="s">
        <v>1786</v>
      </c>
      <c r="B169" s="66" t="s">
        <v>1881</v>
      </c>
      <c r="C169" s="66"/>
      <c r="D169" s="66"/>
      <c r="E169" s="66" t="s">
        <v>1921</v>
      </c>
      <c r="F169" s="66" t="s">
        <v>1275</v>
      </c>
      <c r="G169" s="66" t="s">
        <v>1276</v>
      </c>
      <c r="H169" s="66" t="s">
        <v>1182</v>
      </c>
      <c r="I169" s="66" t="s">
        <v>1882</v>
      </c>
      <c r="J169" s="66" t="s">
        <v>1197</v>
      </c>
      <c r="K169" s="66" t="s">
        <v>1278</v>
      </c>
      <c r="L169" s="66" t="s">
        <v>1216</v>
      </c>
      <c r="M169" s="66" t="s">
        <v>1267</v>
      </c>
      <c r="N169" s="66" t="s">
        <v>1216</v>
      </c>
      <c r="O169" s="66" t="s">
        <v>1278</v>
      </c>
      <c r="P169" s="66" t="s">
        <v>1216</v>
      </c>
      <c r="Q169" s="87" t="s">
        <v>1216</v>
      </c>
      <c r="R169" s="87" t="s">
        <v>1216</v>
      </c>
      <c r="S169" s="87" t="s">
        <v>1216</v>
      </c>
      <c r="T169" s="87" t="s">
        <v>1216</v>
      </c>
      <c r="U169" s="87" t="s">
        <v>1216</v>
      </c>
      <c r="V169" s="87" t="s">
        <v>1216</v>
      </c>
      <c r="W169" s="67"/>
      <c r="X169" s="85" t="str">
        <f t="shared" si="26"/>
        <v>Belum Dinilai</v>
      </c>
      <c r="Y169" s="85" t="str">
        <f t="shared" si="27"/>
        <v>Belum Dinilai</v>
      </c>
      <c r="Z169" s="86" t="str">
        <f t="shared" si="28"/>
        <v/>
      </c>
      <c r="AA169" s="86" t="str">
        <f t="shared" si="29"/>
        <v/>
      </c>
      <c r="AB169" s="86" t="str">
        <f t="shared" si="24"/>
        <v/>
      </c>
      <c r="AC169" s="68" t="s">
        <v>1216</v>
      </c>
      <c r="AD169" s="68" t="s">
        <v>1216</v>
      </c>
      <c r="AE169" s="68" t="s">
        <v>1216</v>
      </c>
      <c r="AF169" s="68" t="s">
        <v>1216</v>
      </c>
      <c r="AG169" s="68" t="s">
        <v>1216</v>
      </c>
      <c r="AH169" s="68" t="s">
        <v>1216</v>
      </c>
      <c r="AI169" s="68" t="s">
        <v>1216</v>
      </c>
      <c r="AJ169" s="68" t="s">
        <v>1216</v>
      </c>
      <c r="AK169" s="68" t="s">
        <v>1216</v>
      </c>
      <c r="AL169" s="68"/>
      <c r="AM169" s="68" t="s">
        <v>1216</v>
      </c>
      <c r="AN169" s="68" t="str">
        <f t="shared" si="23"/>
        <v>Belum Dinilai</v>
      </c>
      <c r="AO169" s="68" t="str">
        <f t="shared" si="25"/>
        <v>Belum Dinilai</v>
      </c>
      <c r="AP169" s="68"/>
      <c r="AQ169" s="71" t="str">
        <f t="shared" si="30"/>
        <v/>
      </c>
      <c r="AR169" s="71" t="str">
        <f t="shared" si="32"/>
        <v/>
      </c>
      <c r="AS169" s="71" t="str">
        <f t="shared" si="33"/>
        <v/>
      </c>
      <c r="AT169" s="69" t="str">
        <f t="shared" si="31"/>
        <v>Belum Dapat Ditentukan</v>
      </c>
      <c r="AU169" s="66" t="s">
        <v>1190</v>
      </c>
      <c r="AV169" s="66" t="s">
        <v>1205</v>
      </c>
      <c r="AW169" s="66" t="s">
        <v>1191</v>
      </c>
      <c r="AX169" s="66"/>
      <c r="AY169" s="66"/>
      <c r="AZ169" s="66" t="s">
        <v>1208</v>
      </c>
      <c r="BA169" s="66"/>
      <c r="BB169" s="72"/>
      <c r="BC169" s="73">
        <v>2026</v>
      </c>
      <c r="BD169" s="66"/>
      <c r="BE169" s="72"/>
      <c r="BF169" s="66" t="s">
        <v>1279</v>
      </c>
    </row>
    <row r="170" spans="1:58" ht="42">
      <c r="A170" s="66" t="s">
        <v>1790</v>
      </c>
      <c r="B170" s="66" t="s">
        <v>1925</v>
      </c>
      <c r="C170" s="66"/>
      <c r="D170" s="66"/>
      <c r="E170" s="66" t="s">
        <v>1926</v>
      </c>
      <c r="F170" s="66" t="s">
        <v>1545</v>
      </c>
      <c r="G170" s="66" t="s">
        <v>1355</v>
      </c>
      <c r="H170" s="66" t="s">
        <v>1182</v>
      </c>
      <c r="I170" s="66"/>
      <c r="J170" s="66" t="s">
        <v>1211</v>
      </c>
      <c r="K170" s="66" t="s">
        <v>1198</v>
      </c>
      <c r="L170" s="66" t="s">
        <v>895</v>
      </c>
      <c r="M170" s="66" t="s">
        <v>1267</v>
      </c>
      <c r="N170" s="66" t="s">
        <v>895</v>
      </c>
      <c r="O170" s="66" t="s">
        <v>1214</v>
      </c>
      <c r="P170" s="66" t="s">
        <v>895</v>
      </c>
      <c r="Q170" s="87" t="s">
        <v>1187</v>
      </c>
      <c r="R170" s="87" t="s">
        <v>1188</v>
      </c>
      <c r="S170" s="87" t="s">
        <v>1202</v>
      </c>
      <c r="T170" s="87" t="s">
        <v>1202</v>
      </c>
      <c r="U170" s="87" t="s">
        <v>1202</v>
      </c>
      <c r="V170" s="87" t="s">
        <v>1216</v>
      </c>
      <c r="W170" s="67"/>
      <c r="X170" s="85" t="str">
        <f t="shared" si="26"/>
        <v>Belum Dinilai</v>
      </c>
      <c r="Y170" s="85" t="str">
        <f t="shared" si="27"/>
        <v>Belum Dinilai</v>
      </c>
      <c r="Z170" s="86">
        <f t="shared" si="28"/>
        <v>10</v>
      </c>
      <c r="AA170" s="86" t="str">
        <f t="shared" si="29"/>
        <v/>
      </c>
      <c r="AB170" s="86" t="str">
        <f t="shared" ref="AB170:AB230" si="34">IF(OR(Z170="",AA170=""),"",Z170+AA170)</f>
        <v/>
      </c>
      <c r="AC170" s="68" t="s">
        <v>1188</v>
      </c>
      <c r="AD170" s="68" t="s">
        <v>1202</v>
      </c>
      <c r="AE170" s="68" t="s">
        <v>1188</v>
      </c>
      <c r="AF170" s="68" t="s">
        <v>1202</v>
      </c>
      <c r="AG170" s="68" t="s">
        <v>1188</v>
      </c>
      <c r="AH170" s="68" t="s">
        <v>1188</v>
      </c>
      <c r="AI170" s="68" t="s">
        <v>1188</v>
      </c>
      <c r="AJ170" s="68" t="s">
        <v>1216</v>
      </c>
      <c r="AK170" s="68" t="s">
        <v>1216</v>
      </c>
      <c r="AL170" s="68"/>
      <c r="AM170" s="68" t="s">
        <v>1216</v>
      </c>
      <c r="AN170" s="68" t="str">
        <f t="shared" ref="AN170:AN230" si="35">IF(AND(COUNTIF(AC170:AK170,"Ya")=0,AL170=""),IF(COUNTIF(AC170:AK170,"Belum Dinilai")&gt;0,"Belum Dinilai","Tidak ada risiko khusus"),IF(AC170="Ya","Bangunan berpotensi roboh; ","")&amp;IF(AD170="Ya","Bekas kebakaran dan tidak aman dihuni; ","")&amp;IF(AE170="Ya","Atap atau dinding utama hampir runtuh; ","")&amp;IF(AF170="Ya","Genangan yang membahayakan; ","")&amp;IF(AG170="Ya","Struktur rumah tidak stabil; ","")&amp;IF(AH170="Ya","Instalasi listrik berbahaya; ","")&amp;IF(AI170="Ya","Komponen bangunan lepas atau lapuk; ","")&amp;IF(AJ170="Ya","Akses keluar atau evakuasi terbatas; ","")&amp;IF(AK170="Ya","Lokasi rawan bencana; ","")&amp;IF(AL170&lt;&gt;"","Lainnya: "&amp;AL170,""))</f>
        <v xml:space="preserve">Bangunan berpotensi roboh; Atap atau dinding utama hampir runtuh; Struktur rumah tidak stabil; Instalasi listrik berbahaya; Komponen bangunan lepas atau lapuk; </v>
      </c>
      <c r="AO170" s="68" t="str">
        <f t="shared" ref="AO170:AO230" si="36">IF(AR170="","Belum Dinilai",IF(AR170=10,"Risiko Tinggi/Darurat",IF(AR170=5,"Risiko Sedang","Tidak Ada Risiko Khusus")))</f>
        <v>Risiko Tinggi/Darurat</v>
      </c>
      <c r="AP170" s="68"/>
      <c r="AQ170" s="71">
        <f t="shared" si="30"/>
        <v>57</v>
      </c>
      <c r="AR170" s="71">
        <f t="shared" si="32"/>
        <v>10</v>
      </c>
      <c r="AS170" s="71" t="str">
        <f t="shared" ref="AS170:AS230" si="37">IF(OR(AQ170="",AB170="",AR170=""),"",AQ170+AB170+AR170)</f>
        <v/>
      </c>
      <c r="AT170" s="69" t="str">
        <f t="shared" si="31"/>
        <v>Belum Dapat Ditentukan</v>
      </c>
      <c r="AU170" s="66"/>
      <c r="AV170" s="66"/>
      <c r="AW170" s="66" t="s">
        <v>1191</v>
      </c>
      <c r="AX170" s="66"/>
      <c r="AY170" s="66"/>
      <c r="AZ170" s="66"/>
      <c r="BA170" s="66"/>
      <c r="BB170" s="72"/>
      <c r="BC170" s="73"/>
      <c r="BD170" s="66"/>
      <c r="BE170" s="72"/>
      <c r="BF170" s="66"/>
    </row>
    <row r="171" spans="1:58" ht="28">
      <c r="A171" s="66" t="s">
        <v>1977</v>
      </c>
      <c r="B171" s="66" t="s">
        <v>1927</v>
      </c>
      <c r="C171" s="84" t="s">
        <v>1933</v>
      </c>
      <c r="D171" s="84" t="s">
        <v>1934</v>
      </c>
      <c r="E171" s="66" t="s">
        <v>1928</v>
      </c>
      <c r="F171" s="66" t="s">
        <v>1545</v>
      </c>
      <c r="G171" s="66" t="s">
        <v>1355</v>
      </c>
      <c r="H171" s="66" t="s">
        <v>1263</v>
      </c>
      <c r="I171" s="66"/>
      <c r="J171" s="66" t="s">
        <v>1183</v>
      </c>
      <c r="K171" s="66" t="s">
        <v>1212</v>
      </c>
      <c r="L171" s="66" t="s">
        <v>1216</v>
      </c>
      <c r="M171" s="66" t="s">
        <v>1199</v>
      </c>
      <c r="N171" s="66" t="s">
        <v>1216</v>
      </c>
      <c r="O171" s="66" t="s">
        <v>1278</v>
      </c>
      <c r="P171" s="66" t="s">
        <v>1216</v>
      </c>
      <c r="Q171" s="87" t="s">
        <v>1187</v>
      </c>
      <c r="R171" s="87" t="s">
        <v>1216</v>
      </c>
      <c r="S171" s="87" t="s">
        <v>1216</v>
      </c>
      <c r="T171" s="87" t="s">
        <v>1216</v>
      </c>
      <c r="U171" s="87" t="s">
        <v>1216</v>
      </c>
      <c r="V171" s="87" t="s">
        <v>1216</v>
      </c>
      <c r="W171" s="67"/>
      <c r="X171" s="85" t="str">
        <f t="shared" si="26"/>
        <v>Belum Dinilai</v>
      </c>
      <c r="Y171" s="85" t="str">
        <f t="shared" si="27"/>
        <v>Belum Dinilai</v>
      </c>
      <c r="Z171" s="86">
        <f t="shared" si="28"/>
        <v>10</v>
      </c>
      <c r="AA171" s="86" t="str">
        <f t="shared" si="29"/>
        <v/>
      </c>
      <c r="AB171" s="86" t="str">
        <f t="shared" si="34"/>
        <v/>
      </c>
      <c r="AC171" s="68" t="s">
        <v>1216</v>
      </c>
      <c r="AD171" s="68" t="s">
        <v>1216</v>
      </c>
      <c r="AE171" s="68" t="s">
        <v>1216</v>
      </c>
      <c r="AF171" s="68" t="s">
        <v>1216</v>
      </c>
      <c r="AG171" s="68" t="s">
        <v>1216</v>
      </c>
      <c r="AH171" s="68" t="s">
        <v>1216</v>
      </c>
      <c r="AI171" s="68" t="s">
        <v>1216</v>
      </c>
      <c r="AJ171" s="68" t="s">
        <v>1216</v>
      </c>
      <c r="AK171" s="68" t="s">
        <v>1216</v>
      </c>
      <c r="AL171" s="68"/>
      <c r="AM171" s="68" t="s">
        <v>1216</v>
      </c>
      <c r="AN171" s="68" t="str">
        <f t="shared" si="35"/>
        <v>Belum Dinilai</v>
      </c>
      <c r="AO171" s="68" t="str">
        <f t="shared" si="36"/>
        <v>Belum Dinilai</v>
      </c>
      <c r="AP171" s="68"/>
      <c r="AQ171" s="71" t="str">
        <f t="shared" si="30"/>
        <v/>
      </c>
      <c r="AR171" s="71" t="str">
        <f t="shared" si="32"/>
        <v/>
      </c>
      <c r="AS171" s="71" t="str">
        <f t="shared" si="37"/>
        <v/>
      </c>
      <c r="AT171" s="69" t="str">
        <f t="shared" si="31"/>
        <v>Belum Dapat Ditentukan</v>
      </c>
      <c r="AU171" s="66" t="s">
        <v>1204</v>
      </c>
      <c r="AV171" s="66"/>
      <c r="AW171" s="66" t="s">
        <v>1191</v>
      </c>
      <c r="AX171" s="66"/>
      <c r="AY171" s="66"/>
      <c r="AZ171" s="66"/>
      <c r="BA171" s="66"/>
      <c r="BB171" s="72"/>
      <c r="BC171" s="73"/>
      <c r="BD171" s="66"/>
      <c r="BE171" s="72"/>
      <c r="BF171" s="66"/>
    </row>
    <row r="172" spans="1:58">
      <c r="A172" s="66" t="s">
        <v>1794</v>
      </c>
      <c r="B172" s="66" t="s">
        <v>1929</v>
      </c>
      <c r="C172" s="84" t="s">
        <v>1930</v>
      </c>
      <c r="D172" s="84" t="s">
        <v>1931</v>
      </c>
      <c r="E172" s="66" t="s">
        <v>1932</v>
      </c>
      <c r="F172" s="66" t="s">
        <v>1360</v>
      </c>
      <c r="G172" s="66" t="s">
        <v>1290</v>
      </c>
      <c r="H172" s="66" t="s">
        <v>1263</v>
      </c>
      <c r="I172" s="66"/>
      <c r="J172" s="66" t="s">
        <v>1264</v>
      </c>
      <c r="K172" s="66"/>
      <c r="L172" s="66" t="s">
        <v>1216</v>
      </c>
      <c r="M172" s="66"/>
      <c r="N172" s="66" t="s">
        <v>1216</v>
      </c>
      <c r="O172" s="66"/>
      <c r="P172" s="66" t="s">
        <v>1216</v>
      </c>
      <c r="Q172" s="87" t="s">
        <v>1216</v>
      </c>
      <c r="R172" s="87" t="s">
        <v>1216</v>
      </c>
      <c r="S172" s="87" t="s">
        <v>1216</v>
      </c>
      <c r="T172" s="87" t="s">
        <v>1216</v>
      </c>
      <c r="U172" s="87" t="s">
        <v>1216</v>
      </c>
      <c r="V172" s="87" t="s">
        <v>1216</v>
      </c>
      <c r="W172" s="67"/>
      <c r="X172" s="85" t="str">
        <f t="shared" si="26"/>
        <v>Belum Dinilai</v>
      </c>
      <c r="Y172" s="85" t="str">
        <f t="shared" si="27"/>
        <v>Belum Dinilai</v>
      </c>
      <c r="Z172" s="86" t="str">
        <f t="shared" si="28"/>
        <v/>
      </c>
      <c r="AA172" s="86" t="str">
        <f t="shared" si="29"/>
        <v/>
      </c>
      <c r="AB172" s="86" t="str">
        <f t="shared" si="34"/>
        <v/>
      </c>
      <c r="AC172" s="68" t="s">
        <v>1216</v>
      </c>
      <c r="AD172" s="68" t="s">
        <v>1216</v>
      </c>
      <c r="AE172" s="68" t="s">
        <v>1216</v>
      </c>
      <c r="AF172" s="68" t="s">
        <v>1216</v>
      </c>
      <c r="AG172" s="68" t="s">
        <v>1216</v>
      </c>
      <c r="AH172" s="68" t="s">
        <v>1216</v>
      </c>
      <c r="AI172" s="68" t="s">
        <v>1216</v>
      </c>
      <c r="AJ172" s="68" t="s">
        <v>1216</v>
      </c>
      <c r="AK172" s="68" t="s">
        <v>1216</v>
      </c>
      <c r="AL172" s="68"/>
      <c r="AM172" s="68" t="s">
        <v>1216</v>
      </c>
      <c r="AN172" s="68" t="str">
        <f t="shared" si="35"/>
        <v>Belum Dinilai</v>
      </c>
      <c r="AO172" s="68" t="str">
        <f t="shared" si="36"/>
        <v>Belum Dinilai</v>
      </c>
      <c r="AP172" s="68"/>
      <c r="AQ172" s="71" t="str">
        <f t="shared" si="30"/>
        <v/>
      </c>
      <c r="AR172" s="71" t="str">
        <f t="shared" si="32"/>
        <v/>
      </c>
      <c r="AS172" s="71" t="str">
        <f t="shared" si="37"/>
        <v/>
      </c>
      <c r="AT172" s="69" t="str">
        <f t="shared" si="31"/>
        <v>Belum Dapat Ditentukan</v>
      </c>
      <c r="AU172" s="66" t="s">
        <v>1204</v>
      </c>
      <c r="AV172" s="66"/>
      <c r="AW172" s="66" t="s">
        <v>1191</v>
      </c>
      <c r="AX172" s="66"/>
      <c r="AY172" s="66"/>
      <c r="AZ172" s="66"/>
      <c r="BA172" s="66"/>
      <c r="BB172" s="72"/>
      <c r="BC172" s="73"/>
      <c r="BD172" s="66"/>
      <c r="BE172" s="72"/>
      <c r="BF172" s="66"/>
    </row>
    <row r="173" spans="1:58">
      <c r="A173" s="66" t="s">
        <v>1797</v>
      </c>
      <c r="B173" s="66" t="s">
        <v>1935</v>
      </c>
      <c r="C173" s="84" t="s">
        <v>1936</v>
      </c>
      <c r="D173" s="84" t="s">
        <v>1937</v>
      </c>
      <c r="E173" s="66" t="s">
        <v>1938</v>
      </c>
      <c r="F173" s="66" t="s">
        <v>1649</v>
      </c>
      <c r="G173" s="66" t="s">
        <v>1276</v>
      </c>
      <c r="H173" s="66" t="s">
        <v>1263</v>
      </c>
      <c r="I173" s="66"/>
      <c r="J173" s="66" t="s">
        <v>1197</v>
      </c>
      <c r="K173" s="66" t="s">
        <v>1198</v>
      </c>
      <c r="L173" s="66" t="s">
        <v>905</v>
      </c>
      <c r="M173" s="66" t="s">
        <v>1267</v>
      </c>
      <c r="N173" s="66" t="s">
        <v>905</v>
      </c>
      <c r="O173" s="66" t="s">
        <v>1214</v>
      </c>
      <c r="P173" s="66" t="s">
        <v>891</v>
      </c>
      <c r="Q173" s="87" t="s">
        <v>1216</v>
      </c>
      <c r="R173" s="87" t="s">
        <v>1216</v>
      </c>
      <c r="S173" s="87" t="s">
        <v>1216</v>
      </c>
      <c r="T173" s="87" t="s">
        <v>1216</v>
      </c>
      <c r="U173" s="87" t="s">
        <v>1216</v>
      </c>
      <c r="V173" s="87" t="s">
        <v>1216</v>
      </c>
      <c r="W173" s="67"/>
      <c r="X173" s="85" t="str">
        <f t="shared" si="26"/>
        <v>Belum Dinilai</v>
      </c>
      <c r="Y173" s="85" t="str">
        <f t="shared" si="27"/>
        <v>Belum Dinilai</v>
      </c>
      <c r="Z173" s="86" t="str">
        <f t="shared" si="28"/>
        <v/>
      </c>
      <c r="AA173" s="86" t="str">
        <f t="shared" si="29"/>
        <v/>
      </c>
      <c r="AB173" s="86" t="str">
        <f t="shared" si="34"/>
        <v/>
      </c>
      <c r="AC173" s="68"/>
      <c r="AD173" s="68"/>
      <c r="AE173" s="68"/>
      <c r="AF173" s="68"/>
      <c r="AG173" s="68"/>
      <c r="AH173" s="68"/>
      <c r="AI173" s="68"/>
      <c r="AJ173" s="68"/>
      <c r="AK173" s="68"/>
      <c r="AL173" s="68"/>
      <c r="AM173" s="68"/>
      <c r="AN173" s="68" t="str">
        <f t="shared" si="35"/>
        <v>Tidak ada risiko khusus</v>
      </c>
      <c r="AO173" s="68" t="str">
        <f t="shared" si="36"/>
        <v>Tidak Ada Risiko Khusus</v>
      </c>
      <c r="AP173" s="68"/>
      <c r="AQ173" s="71">
        <f t="shared" si="30"/>
        <v>32</v>
      </c>
      <c r="AR173" s="71">
        <f t="shared" si="32"/>
        <v>0</v>
      </c>
      <c r="AS173" s="71" t="str">
        <f t="shared" si="37"/>
        <v/>
      </c>
      <c r="AT173" s="69" t="str">
        <f t="shared" si="31"/>
        <v>Belum Dapat Ditentukan</v>
      </c>
      <c r="AU173" s="66"/>
      <c r="AV173" s="66"/>
      <c r="AW173" s="66" t="s">
        <v>1191</v>
      </c>
      <c r="AX173" s="66"/>
      <c r="AY173" s="66"/>
      <c r="AZ173" s="66" t="s">
        <v>1193</v>
      </c>
      <c r="BA173" s="66"/>
      <c r="BB173" s="72"/>
      <c r="BC173" s="73"/>
      <c r="BD173" s="66"/>
      <c r="BE173" s="72"/>
      <c r="BF173" s="66"/>
    </row>
    <row r="174" spans="1:58" ht="28">
      <c r="A174" s="66" t="s">
        <v>1801</v>
      </c>
      <c r="B174" s="66" t="s">
        <v>1939</v>
      </c>
      <c r="C174" s="84" t="s">
        <v>1940</v>
      </c>
      <c r="D174" s="84" t="s">
        <v>1941</v>
      </c>
      <c r="E174" s="66" t="s">
        <v>1942</v>
      </c>
      <c r="F174" s="66" t="s">
        <v>1943</v>
      </c>
      <c r="G174" s="66" t="s">
        <v>1355</v>
      </c>
      <c r="H174" s="66" t="s">
        <v>1263</v>
      </c>
      <c r="I174" s="66"/>
      <c r="J174" s="66" t="s">
        <v>1197</v>
      </c>
      <c r="K174" s="66" t="s">
        <v>1198</v>
      </c>
      <c r="L174" s="66" t="s">
        <v>895</v>
      </c>
      <c r="M174" s="66" t="s">
        <v>1267</v>
      </c>
      <c r="N174" s="66" t="s">
        <v>905</v>
      </c>
      <c r="O174" s="66" t="s">
        <v>1214</v>
      </c>
      <c r="P174" s="66" t="s">
        <v>891</v>
      </c>
      <c r="Q174" s="87" t="s">
        <v>1187</v>
      </c>
      <c r="R174" s="87" t="s">
        <v>1188</v>
      </c>
      <c r="S174" s="87" t="s">
        <v>1202</v>
      </c>
      <c r="T174" s="87" t="s">
        <v>1188</v>
      </c>
      <c r="U174" s="87" t="s">
        <v>1202</v>
      </c>
      <c r="V174" s="87" t="s">
        <v>1216</v>
      </c>
      <c r="W174" s="67"/>
      <c r="X174" s="85" t="str">
        <f t="shared" si="26"/>
        <v>Belum Dinilai</v>
      </c>
      <c r="Y174" s="85" t="str">
        <f t="shared" si="27"/>
        <v>Belum Dinilai</v>
      </c>
      <c r="Z174" s="86">
        <f t="shared" si="28"/>
        <v>10</v>
      </c>
      <c r="AA174" s="86" t="str">
        <f t="shared" si="29"/>
        <v/>
      </c>
      <c r="AB174" s="86" t="str">
        <f t="shared" si="34"/>
        <v/>
      </c>
      <c r="AC174" s="68" t="s">
        <v>1202</v>
      </c>
      <c r="AD174" s="68" t="s">
        <v>1202</v>
      </c>
      <c r="AE174" s="68" t="s">
        <v>1188</v>
      </c>
      <c r="AF174" s="68" t="s">
        <v>1202</v>
      </c>
      <c r="AG174" s="68" t="s">
        <v>1202</v>
      </c>
      <c r="AH174" s="68" t="s">
        <v>1188</v>
      </c>
      <c r="AI174" s="68" t="s">
        <v>1188</v>
      </c>
      <c r="AJ174" s="68" t="s">
        <v>1202</v>
      </c>
      <c r="AK174" s="68" t="s">
        <v>1202</v>
      </c>
      <c r="AL174" s="68"/>
      <c r="AM174" s="68" t="s">
        <v>1216</v>
      </c>
      <c r="AN174" s="68" t="str">
        <f t="shared" si="35"/>
        <v xml:space="preserve">Atap atau dinding utama hampir runtuh; Instalasi listrik berbahaya; Komponen bangunan lepas atau lapuk; </v>
      </c>
      <c r="AO174" s="68" t="str">
        <f t="shared" si="36"/>
        <v>Risiko Tinggi/Darurat</v>
      </c>
      <c r="AP174" s="68"/>
      <c r="AQ174" s="71">
        <f t="shared" si="30"/>
        <v>37</v>
      </c>
      <c r="AR174" s="71">
        <f t="shared" si="32"/>
        <v>10</v>
      </c>
      <c r="AS174" s="71" t="str">
        <f t="shared" si="37"/>
        <v/>
      </c>
      <c r="AT174" s="69" t="str">
        <f t="shared" si="31"/>
        <v>Belum Dapat Ditentukan</v>
      </c>
      <c r="AU174" s="66"/>
      <c r="AV174" s="66"/>
      <c r="AW174" s="66" t="s">
        <v>1191</v>
      </c>
      <c r="AX174" s="66"/>
      <c r="AY174" s="66"/>
      <c r="AZ174" s="66"/>
      <c r="BA174" s="66"/>
      <c r="BB174" s="72"/>
      <c r="BC174" s="73"/>
      <c r="BD174" s="66"/>
      <c r="BE174" s="72"/>
      <c r="BF174" s="66"/>
    </row>
    <row r="175" spans="1:58" ht="28">
      <c r="A175" s="66" t="s">
        <v>1805</v>
      </c>
      <c r="B175" s="66" t="s">
        <v>1978</v>
      </c>
      <c r="C175" s="84" t="s">
        <v>1979</v>
      </c>
      <c r="D175" s="84" t="s">
        <v>1980</v>
      </c>
      <c r="E175" s="66" t="s">
        <v>1981</v>
      </c>
      <c r="F175" s="66" t="s">
        <v>1545</v>
      </c>
      <c r="G175" s="66" t="s">
        <v>1355</v>
      </c>
      <c r="H175" s="66" t="s">
        <v>1263</v>
      </c>
      <c r="I175" s="66"/>
      <c r="J175" s="66" t="s">
        <v>1183</v>
      </c>
      <c r="K175" s="66" t="s">
        <v>1212</v>
      </c>
      <c r="L175" s="66" t="s">
        <v>888</v>
      </c>
      <c r="M175" s="66" t="s">
        <v>1185</v>
      </c>
      <c r="N175" s="66" t="s">
        <v>888</v>
      </c>
      <c r="O175" s="66" t="s">
        <v>1186</v>
      </c>
      <c r="P175" s="66" t="s">
        <v>888</v>
      </c>
      <c r="Q175" s="87" t="s">
        <v>1187</v>
      </c>
      <c r="R175" s="87" t="s">
        <v>1188</v>
      </c>
      <c r="S175" s="87" t="s">
        <v>1202</v>
      </c>
      <c r="T175" s="87" t="s">
        <v>1202</v>
      </c>
      <c r="U175" s="87" t="s">
        <v>1202</v>
      </c>
      <c r="V175" s="87" t="s">
        <v>1216</v>
      </c>
      <c r="W175" s="67"/>
      <c r="X175" s="85" t="str">
        <f t="shared" si="26"/>
        <v>Belum Dinilai</v>
      </c>
      <c r="Y175" s="85" t="str">
        <f t="shared" si="27"/>
        <v>Belum Dinilai</v>
      </c>
      <c r="Z175" s="86">
        <f t="shared" si="28"/>
        <v>10</v>
      </c>
      <c r="AA175" s="86" t="str">
        <f t="shared" si="29"/>
        <v/>
      </c>
      <c r="AB175" s="86" t="str">
        <f t="shared" si="34"/>
        <v/>
      </c>
      <c r="AC175" s="68" t="s">
        <v>1202</v>
      </c>
      <c r="AD175" s="68" t="s">
        <v>1202</v>
      </c>
      <c r="AE175" s="68" t="s">
        <v>1202</v>
      </c>
      <c r="AF175" s="68" t="s">
        <v>1202</v>
      </c>
      <c r="AG175" s="68" t="s">
        <v>1202</v>
      </c>
      <c r="AH175" s="68" t="s">
        <v>1202</v>
      </c>
      <c r="AI175" s="68" t="s">
        <v>1202</v>
      </c>
      <c r="AJ175" s="68" t="s">
        <v>1202</v>
      </c>
      <c r="AK175" s="68" t="s">
        <v>1202</v>
      </c>
      <c r="AL175" s="68"/>
      <c r="AM175" s="68" t="s">
        <v>1216</v>
      </c>
      <c r="AN175" s="68" t="str">
        <f t="shared" si="35"/>
        <v>Tidak ada risiko khusus</v>
      </c>
      <c r="AO175" s="68" t="str">
        <f>IF(AR175="","Belum Dinilai",IF(AR175=10,"Risiko Tinggi/Darurat",IF(AR175=5,"Risiko Sedang","Tidak Ada Risiko Khusus")))</f>
        <v>Tidak Ada Risiko Khusus</v>
      </c>
      <c r="AP175" s="68"/>
      <c r="AQ175" s="71">
        <f t="shared" si="30"/>
        <v>0</v>
      </c>
      <c r="AR175" s="71">
        <f t="shared" si="32"/>
        <v>0</v>
      </c>
      <c r="AS175" s="71" t="str">
        <f t="shared" si="37"/>
        <v/>
      </c>
      <c r="AT175" s="69" t="str">
        <f t="shared" si="31"/>
        <v>Belum Dapat Ditentukan</v>
      </c>
      <c r="AU175" s="66"/>
      <c r="AV175" s="66"/>
      <c r="AW175" s="66" t="s">
        <v>1191</v>
      </c>
      <c r="AX175" s="66"/>
      <c r="AY175" s="66"/>
      <c r="AZ175" s="66" t="s">
        <v>927</v>
      </c>
      <c r="BA175" s="66"/>
      <c r="BB175" s="72"/>
      <c r="BC175" s="73"/>
      <c r="BD175" s="66"/>
      <c r="BE175" s="72"/>
      <c r="BF175" s="66"/>
    </row>
    <row r="176" spans="1:58" ht="28">
      <c r="A176" s="66" t="s">
        <v>1986</v>
      </c>
      <c r="B176" s="66" t="s">
        <v>1982</v>
      </c>
      <c r="C176" s="84" t="s">
        <v>1983</v>
      </c>
      <c r="D176" s="84" t="s">
        <v>1984</v>
      </c>
      <c r="E176" s="66" t="s">
        <v>1985</v>
      </c>
      <c r="F176" s="66" t="s">
        <v>1545</v>
      </c>
      <c r="G176" s="66" t="s">
        <v>1355</v>
      </c>
      <c r="H176" s="66" t="s">
        <v>1263</v>
      </c>
      <c r="I176" s="66"/>
      <c r="J176" s="66" t="s">
        <v>1183</v>
      </c>
      <c r="K176" s="66" t="s">
        <v>1212</v>
      </c>
      <c r="L176" s="66" t="s">
        <v>895</v>
      </c>
      <c r="M176" s="66" t="s">
        <v>1185</v>
      </c>
      <c r="N176" s="66" t="s">
        <v>888</v>
      </c>
      <c r="O176" s="66" t="s">
        <v>1186</v>
      </c>
      <c r="P176" s="66" t="s">
        <v>891</v>
      </c>
      <c r="Q176" s="87" t="s">
        <v>1187</v>
      </c>
      <c r="R176" s="87" t="s">
        <v>1202</v>
      </c>
      <c r="S176" s="87" t="s">
        <v>1202</v>
      </c>
      <c r="T176" s="87" t="s">
        <v>1188</v>
      </c>
      <c r="U176" s="87" t="s">
        <v>1188</v>
      </c>
      <c r="V176" s="87" t="s">
        <v>1216</v>
      </c>
      <c r="W176" s="67"/>
      <c r="X176" s="85" t="str">
        <f t="shared" si="26"/>
        <v>Belum Dinilai</v>
      </c>
      <c r="Y176" s="85" t="str">
        <f t="shared" si="27"/>
        <v>Belum Dinilai</v>
      </c>
      <c r="Z176" s="86">
        <f t="shared" si="28"/>
        <v>10</v>
      </c>
      <c r="AA176" s="86" t="str">
        <f t="shared" si="29"/>
        <v/>
      </c>
      <c r="AB176" s="86" t="str">
        <f t="shared" si="34"/>
        <v/>
      </c>
      <c r="AC176" s="68" t="s">
        <v>1202</v>
      </c>
      <c r="AD176" s="68" t="s">
        <v>1202</v>
      </c>
      <c r="AE176" s="68" t="s">
        <v>1202</v>
      </c>
      <c r="AF176" s="68" t="s">
        <v>1202</v>
      </c>
      <c r="AG176" s="68" t="s">
        <v>1202</v>
      </c>
      <c r="AH176" s="68" t="s">
        <v>1202</v>
      </c>
      <c r="AI176" s="68" t="s">
        <v>1202</v>
      </c>
      <c r="AJ176" s="68" t="s">
        <v>1202</v>
      </c>
      <c r="AK176" s="68" t="s">
        <v>1202</v>
      </c>
      <c r="AL176" s="68"/>
      <c r="AM176" s="68" t="s">
        <v>1216</v>
      </c>
      <c r="AN176" s="68" t="str">
        <f t="shared" si="35"/>
        <v>Tidak ada risiko khusus</v>
      </c>
      <c r="AO176" s="68" t="str">
        <f t="shared" si="36"/>
        <v>Tidak Ada Risiko Khusus</v>
      </c>
      <c r="AP176" s="68"/>
      <c r="AQ176" s="71">
        <f t="shared" si="30"/>
        <v>19</v>
      </c>
      <c r="AR176" s="71">
        <f t="shared" si="32"/>
        <v>0</v>
      </c>
      <c r="AS176" s="71" t="str">
        <f t="shared" si="37"/>
        <v/>
      </c>
      <c r="AT176" s="69" t="str">
        <f t="shared" si="31"/>
        <v>Belum Dapat Ditentukan</v>
      </c>
      <c r="AU176" s="66" t="s">
        <v>1204</v>
      </c>
      <c r="AV176" s="66"/>
      <c r="AW176" s="66" t="s">
        <v>1191</v>
      </c>
      <c r="AX176" s="66"/>
      <c r="AY176" s="66"/>
      <c r="AZ176" s="66"/>
      <c r="BA176" s="66"/>
      <c r="BB176" s="72"/>
      <c r="BC176" s="73"/>
      <c r="BD176" s="66"/>
      <c r="BE176" s="72"/>
      <c r="BF176" s="66"/>
    </row>
    <row r="177" spans="1:58" ht="28">
      <c r="A177" s="66" t="s">
        <v>1987</v>
      </c>
      <c r="B177" s="66" t="s">
        <v>1988</v>
      </c>
      <c r="C177" s="66"/>
      <c r="D177" s="84" t="s">
        <v>1989</v>
      </c>
      <c r="E177" s="66" t="s">
        <v>1990</v>
      </c>
      <c r="F177" s="66" t="s">
        <v>1545</v>
      </c>
      <c r="G177" s="66" t="s">
        <v>1355</v>
      </c>
      <c r="H177" s="66" t="s">
        <v>1263</v>
      </c>
      <c r="I177" s="66"/>
      <c r="J177" s="66" t="s">
        <v>1183</v>
      </c>
      <c r="K177" s="66" t="s">
        <v>1212</v>
      </c>
      <c r="L177" s="66" t="s">
        <v>888</v>
      </c>
      <c r="M177" s="66" t="s">
        <v>1185</v>
      </c>
      <c r="N177" s="66" t="s">
        <v>888</v>
      </c>
      <c r="O177" s="66" t="s">
        <v>1214</v>
      </c>
      <c r="P177" s="66" t="s">
        <v>888</v>
      </c>
      <c r="Q177" s="87" t="s">
        <v>1187</v>
      </c>
      <c r="R177" s="87" t="s">
        <v>1202</v>
      </c>
      <c r="S177" s="87" t="s">
        <v>1202</v>
      </c>
      <c r="T177" s="87" t="s">
        <v>1202</v>
      </c>
      <c r="U177" s="87" t="s">
        <v>1202</v>
      </c>
      <c r="V177" s="87" t="s">
        <v>1216</v>
      </c>
      <c r="W177" s="67"/>
      <c r="X177" s="85" t="str">
        <f t="shared" si="26"/>
        <v>Belum Dinilai</v>
      </c>
      <c r="Y177" s="85" t="str">
        <f t="shared" si="27"/>
        <v>Belum Dinilai</v>
      </c>
      <c r="Z177" s="86">
        <f t="shared" si="28"/>
        <v>10</v>
      </c>
      <c r="AA177" s="86" t="str">
        <f t="shared" si="29"/>
        <v/>
      </c>
      <c r="AB177" s="86" t="str">
        <f t="shared" si="34"/>
        <v/>
      </c>
      <c r="AC177" s="68" t="s">
        <v>1202</v>
      </c>
      <c r="AD177" s="68" t="s">
        <v>1202</v>
      </c>
      <c r="AE177" s="68" t="s">
        <v>1202</v>
      </c>
      <c r="AF177" s="68" t="s">
        <v>1202</v>
      </c>
      <c r="AG177" s="68" t="s">
        <v>1202</v>
      </c>
      <c r="AH177" s="68" t="s">
        <v>1202</v>
      </c>
      <c r="AI177" s="68" t="s">
        <v>1202</v>
      </c>
      <c r="AJ177" s="68" t="s">
        <v>1202</v>
      </c>
      <c r="AK177" s="68" t="s">
        <v>1202</v>
      </c>
      <c r="AL177" s="68"/>
      <c r="AM177" s="68" t="s">
        <v>1216</v>
      </c>
      <c r="AN177" s="68" t="str">
        <f t="shared" si="35"/>
        <v>Tidak ada risiko khusus</v>
      </c>
      <c r="AO177" s="68" t="str">
        <f t="shared" si="36"/>
        <v>Tidak Ada Risiko Khusus</v>
      </c>
      <c r="AP177" s="68"/>
      <c r="AQ177" s="71">
        <f t="shared" si="30"/>
        <v>0</v>
      </c>
      <c r="AR177" s="71">
        <f t="shared" si="32"/>
        <v>0</v>
      </c>
      <c r="AS177" s="71" t="str">
        <f t="shared" si="37"/>
        <v/>
      </c>
      <c r="AT177" s="69" t="str">
        <f t="shared" si="31"/>
        <v>Belum Dapat Ditentukan</v>
      </c>
      <c r="AU177" s="66" t="s">
        <v>1204</v>
      </c>
      <c r="AV177" s="66"/>
      <c r="AW177" s="66" t="s">
        <v>1191</v>
      </c>
      <c r="AX177" s="66"/>
      <c r="AY177" s="66"/>
      <c r="AZ177" s="66"/>
      <c r="BA177" s="66"/>
      <c r="BB177" s="72"/>
      <c r="BC177" s="73"/>
      <c r="BD177" s="66"/>
      <c r="BE177" s="72"/>
      <c r="BF177" s="66"/>
    </row>
    <row r="178" spans="1:58" ht="28">
      <c r="A178" s="66" t="s">
        <v>2041</v>
      </c>
      <c r="B178" s="66" t="s">
        <v>1991</v>
      </c>
      <c r="C178" s="84" t="s">
        <v>1992</v>
      </c>
      <c r="D178" s="84" t="s">
        <v>1993</v>
      </c>
      <c r="E178" s="66" t="s">
        <v>1994</v>
      </c>
      <c r="F178" s="66" t="s">
        <v>1545</v>
      </c>
      <c r="G178" s="66" t="s">
        <v>1355</v>
      </c>
      <c r="H178" s="66" t="s">
        <v>1263</v>
      </c>
      <c r="I178" s="66"/>
      <c r="J178" s="66" t="s">
        <v>1183</v>
      </c>
      <c r="K178" s="66" t="s">
        <v>1212</v>
      </c>
      <c r="L178" s="66" t="s">
        <v>888</v>
      </c>
      <c r="M178" s="66" t="s">
        <v>1185</v>
      </c>
      <c r="N178" s="66" t="s">
        <v>888</v>
      </c>
      <c r="O178" s="66" t="s">
        <v>1186</v>
      </c>
      <c r="P178" s="66" t="s">
        <v>888</v>
      </c>
      <c r="Q178" s="87" t="s">
        <v>1187</v>
      </c>
      <c r="R178" s="87" t="s">
        <v>1202</v>
      </c>
      <c r="S178" s="87" t="s">
        <v>1202</v>
      </c>
      <c r="T178" s="87" t="s">
        <v>1202</v>
      </c>
      <c r="U178" s="87" t="s">
        <v>1202</v>
      </c>
      <c r="V178" s="87" t="s">
        <v>1216</v>
      </c>
      <c r="W178" s="67"/>
      <c r="X178" s="85" t="str">
        <f t="shared" si="26"/>
        <v>Belum Dinilai</v>
      </c>
      <c r="Y178" s="85" t="str">
        <f t="shared" si="27"/>
        <v>Belum Dinilai</v>
      </c>
      <c r="Z178" s="86">
        <f t="shared" si="28"/>
        <v>10</v>
      </c>
      <c r="AA178" s="86" t="str">
        <f t="shared" si="29"/>
        <v/>
      </c>
      <c r="AB178" s="86" t="str">
        <f t="shared" si="34"/>
        <v/>
      </c>
      <c r="AC178" s="68" t="s">
        <v>1202</v>
      </c>
      <c r="AD178" s="68" t="s">
        <v>1202</v>
      </c>
      <c r="AE178" s="68" t="s">
        <v>1202</v>
      </c>
      <c r="AF178" s="68" t="s">
        <v>1202</v>
      </c>
      <c r="AG178" s="68" t="s">
        <v>1202</v>
      </c>
      <c r="AH178" s="68" t="s">
        <v>1202</v>
      </c>
      <c r="AI178" s="68" t="s">
        <v>1202</v>
      </c>
      <c r="AJ178" s="68" t="s">
        <v>1202</v>
      </c>
      <c r="AK178" s="68" t="s">
        <v>1202</v>
      </c>
      <c r="AL178" s="68"/>
      <c r="AM178" s="68" t="s">
        <v>1216</v>
      </c>
      <c r="AN178" s="68" t="str">
        <f t="shared" si="35"/>
        <v>Tidak ada risiko khusus</v>
      </c>
      <c r="AO178" s="68" t="str">
        <f t="shared" si="36"/>
        <v>Tidak Ada Risiko Khusus</v>
      </c>
      <c r="AP178" s="68"/>
      <c r="AQ178" s="71">
        <f t="shared" si="30"/>
        <v>0</v>
      </c>
      <c r="AR178" s="71">
        <f t="shared" si="32"/>
        <v>0</v>
      </c>
      <c r="AS178" s="71" t="str">
        <f t="shared" si="37"/>
        <v/>
      </c>
      <c r="AT178" s="69" t="str">
        <f t="shared" si="31"/>
        <v>Belum Dapat Ditentukan</v>
      </c>
      <c r="AU178" s="66"/>
      <c r="AV178" s="66"/>
      <c r="AW178" s="66" t="s">
        <v>1191</v>
      </c>
      <c r="AX178" s="66"/>
      <c r="AY178" s="66"/>
      <c r="AZ178" s="66"/>
      <c r="BA178" s="66"/>
      <c r="BB178" s="72"/>
      <c r="BC178" s="73"/>
      <c r="BD178" s="66"/>
      <c r="BE178" s="72"/>
      <c r="BF178" s="66"/>
    </row>
    <row r="179" spans="1:58" ht="28">
      <c r="A179" s="66" t="s">
        <v>2042</v>
      </c>
      <c r="B179" s="66" t="s">
        <v>1995</v>
      </c>
      <c r="C179" s="84" t="s">
        <v>1996</v>
      </c>
      <c r="D179" s="84" t="s">
        <v>1997</v>
      </c>
      <c r="E179" s="66" t="s">
        <v>1998</v>
      </c>
      <c r="F179" s="66" t="s">
        <v>1545</v>
      </c>
      <c r="G179" s="66" t="s">
        <v>1355</v>
      </c>
      <c r="H179" s="66" t="s">
        <v>1263</v>
      </c>
      <c r="I179" s="66"/>
      <c r="J179" s="66" t="s">
        <v>1183</v>
      </c>
      <c r="K179" s="66" t="s">
        <v>1212</v>
      </c>
      <c r="L179" s="66" t="s">
        <v>888</v>
      </c>
      <c r="M179" s="66" t="s">
        <v>1185</v>
      </c>
      <c r="N179" s="66" t="s">
        <v>888</v>
      </c>
      <c r="O179" s="66" t="s">
        <v>1186</v>
      </c>
      <c r="P179" s="66" t="s">
        <v>888</v>
      </c>
      <c r="Q179" s="87" t="s">
        <v>1187</v>
      </c>
      <c r="R179" s="87" t="s">
        <v>1202</v>
      </c>
      <c r="S179" s="87" t="s">
        <v>1202</v>
      </c>
      <c r="T179" s="87" t="s">
        <v>1202</v>
      </c>
      <c r="U179" s="87" t="s">
        <v>1202</v>
      </c>
      <c r="V179" s="87" t="s">
        <v>1216</v>
      </c>
      <c r="W179" s="67"/>
      <c r="X179" s="85" t="str">
        <f t="shared" si="26"/>
        <v>Belum Dinilai</v>
      </c>
      <c r="Y179" s="85" t="str">
        <f t="shared" si="27"/>
        <v>Belum Dinilai</v>
      </c>
      <c r="Z179" s="86">
        <f t="shared" si="28"/>
        <v>10</v>
      </c>
      <c r="AA179" s="86" t="str">
        <f t="shared" si="29"/>
        <v/>
      </c>
      <c r="AB179" s="86" t="str">
        <f t="shared" si="34"/>
        <v/>
      </c>
      <c r="AC179" s="68" t="s">
        <v>1202</v>
      </c>
      <c r="AD179" s="68" t="s">
        <v>1202</v>
      </c>
      <c r="AE179" s="68" t="s">
        <v>1202</v>
      </c>
      <c r="AF179" s="68" t="s">
        <v>1202</v>
      </c>
      <c r="AG179" s="68" t="s">
        <v>1202</v>
      </c>
      <c r="AH179" s="68" t="s">
        <v>1202</v>
      </c>
      <c r="AI179" s="68" t="s">
        <v>1202</v>
      </c>
      <c r="AJ179" s="68" t="s">
        <v>1202</v>
      </c>
      <c r="AK179" s="68" t="s">
        <v>1202</v>
      </c>
      <c r="AL179" s="68"/>
      <c r="AM179" s="68" t="s">
        <v>1216</v>
      </c>
      <c r="AN179" s="68" t="str">
        <f t="shared" si="35"/>
        <v>Tidak ada risiko khusus</v>
      </c>
      <c r="AO179" s="68" t="str">
        <f t="shared" si="36"/>
        <v>Tidak Ada Risiko Khusus</v>
      </c>
      <c r="AP179" s="68"/>
      <c r="AQ179" s="71">
        <f t="shared" si="30"/>
        <v>0</v>
      </c>
      <c r="AR179" s="71">
        <f t="shared" si="32"/>
        <v>0</v>
      </c>
      <c r="AS179" s="71" t="str">
        <f t="shared" si="37"/>
        <v/>
      </c>
      <c r="AT179" s="69" t="str">
        <f t="shared" si="31"/>
        <v>Belum Dapat Ditentukan</v>
      </c>
      <c r="AU179" s="66"/>
      <c r="AV179" s="66"/>
      <c r="AW179" s="66" t="s">
        <v>1191</v>
      </c>
      <c r="AX179" s="66"/>
      <c r="AY179" s="66"/>
      <c r="AZ179" s="66"/>
      <c r="BA179" s="66"/>
      <c r="BB179" s="72"/>
      <c r="BC179" s="73"/>
      <c r="BD179" s="66"/>
      <c r="BE179" s="72"/>
      <c r="BF179" s="66"/>
    </row>
    <row r="180" spans="1:58" ht="28">
      <c r="A180" s="66" t="s">
        <v>2043</v>
      </c>
      <c r="B180" s="66" t="s">
        <v>2000</v>
      </c>
      <c r="C180" s="66"/>
      <c r="D180" s="84" t="s">
        <v>2001</v>
      </c>
      <c r="E180" s="66" t="s">
        <v>1999</v>
      </c>
      <c r="F180" s="66" t="s">
        <v>1545</v>
      </c>
      <c r="G180" s="66" t="s">
        <v>1355</v>
      </c>
      <c r="H180" s="66" t="s">
        <v>1263</v>
      </c>
      <c r="I180" s="66"/>
      <c r="J180" s="66" t="s">
        <v>1183</v>
      </c>
      <c r="K180" s="66" t="s">
        <v>1212</v>
      </c>
      <c r="L180" s="66" t="s">
        <v>888</v>
      </c>
      <c r="M180" s="66" t="s">
        <v>1185</v>
      </c>
      <c r="N180" s="66" t="s">
        <v>888</v>
      </c>
      <c r="O180" s="66" t="s">
        <v>1186</v>
      </c>
      <c r="P180" s="66" t="s">
        <v>888</v>
      </c>
      <c r="Q180" s="87" t="s">
        <v>1187</v>
      </c>
      <c r="R180" s="87" t="s">
        <v>1202</v>
      </c>
      <c r="S180" s="87" t="s">
        <v>1202</v>
      </c>
      <c r="T180" s="87" t="s">
        <v>1202</v>
      </c>
      <c r="U180" s="87" t="s">
        <v>1202</v>
      </c>
      <c r="V180" s="87" t="s">
        <v>1216</v>
      </c>
      <c r="W180" s="67"/>
      <c r="X180" s="85" t="str">
        <f t="shared" si="26"/>
        <v>Belum Dinilai</v>
      </c>
      <c r="Y180" s="85" t="str">
        <f t="shared" si="27"/>
        <v>Belum Dinilai</v>
      </c>
      <c r="Z180" s="86">
        <f t="shared" si="28"/>
        <v>10</v>
      </c>
      <c r="AA180" s="86" t="str">
        <f t="shared" si="29"/>
        <v/>
      </c>
      <c r="AB180" s="86" t="str">
        <f t="shared" si="34"/>
        <v/>
      </c>
      <c r="AC180" s="68" t="s">
        <v>1202</v>
      </c>
      <c r="AD180" s="68" t="s">
        <v>1202</v>
      </c>
      <c r="AE180" s="68" t="s">
        <v>1202</v>
      </c>
      <c r="AF180" s="68" t="s">
        <v>1202</v>
      </c>
      <c r="AG180" s="68" t="s">
        <v>1202</v>
      </c>
      <c r="AH180" s="68" t="s">
        <v>1202</v>
      </c>
      <c r="AI180" s="68" t="s">
        <v>1202</v>
      </c>
      <c r="AJ180" s="68" t="s">
        <v>1202</v>
      </c>
      <c r="AK180" s="68" t="s">
        <v>1202</v>
      </c>
      <c r="AL180" s="68"/>
      <c r="AM180" s="68" t="s">
        <v>1216</v>
      </c>
      <c r="AN180" s="68" t="str">
        <f t="shared" si="35"/>
        <v>Tidak ada risiko khusus</v>
      </c>
      <c r="AO180" s="68" t="str">
        <f t="shared" si="36"/>
        <v>Tidak Ada Risiko Khusus</v>
      </c>
      <c r="AP180" s="68"/>
      <c r="AQ180" s="71">
        <f t="shared" si="30"/>
        <v>0</v>
      </c>
      <c r="AR180" s="71">
        <f t="shared" si="32"/>
        <v>0</v>
      </c>
      <c r="AS180" s="71" t="str">
        <f t="shared" si="37"/>
        <v/>
      </c>
      <c r="AT180" s="69" t="str">
        <f t="shared" si="31"/>
        <v>Belum Dapat Ditentukan</v>
      </c>
      <c r="AU180" s="66"/>
      <c r="AV180" s="66"/>
      <c r="AW180" s="66" t="s">
        <v>1191</v>
      </c>
      <c r="AX180" s="66"/>
      <c r="AY180" s="66"/>
      <c r="AZ180" s="66" t="s">
        <v>927</v>
      </c>
      <c r="BA180" s="66"/>
      <c r="BB180" s="72"/>
      <c r="BC180" s="73"/>
      <c r="BD180" s="66"/>
      <c r="BE180" s="72"/>
      <c r="BF180" s="66"/>
    </row>
    <row r="181" spans="1:58" ht="28">
      <c r="A181" s="66" t="s">
        <v>2044</v>
      </c>
      <c r="B181" s="66" t="s">
        <v>2002</v>
      </c>
      <c r="C181" s="84" t="s">
        <v>2003</v>
      </c>
      <c r="D181" s="84" t="s">
        <v>2004</v>
      </c>
      <c r="E181" s="66" t="s">
        <v>2005</v>
      </c>
      <c r="F181" s="66" t="s">
        <v>1545</v>
      </c>
      <c r="G181" s="66" t="s">
        <v>1355</v>
      </c>
      <c r="H181" s="66" t="s">
        <v>1263</v>
      </c>
      <c r="I181" s="66"/>
      <c r="J181" s="66" t="s">
        <v>1183</v>
      </c>
      <c r="K181" s="66" t="s">
        <v>1212</v>
      </c>
      <c r="L181" s="66" t="s">
        <v>905</v>
      </c>
      <c r="M181" s="66" t="s">
        <v>1185</v>
      </c>
      <c r="N181" s="66" t="s">
        <v>905</v>
      </c>
      <c r="O181" s="66" t="s">
        <v>1186</v>
      </c>
      <c r="P181" s="66" t="s">
        <v>891</v>
      </c>
      <c r="Q181" s="87" t="s">
        <v>1187</v>
      </c>
      <c r="R181" s="87" t="s">
        <v>1202</v>
      </c>
      <c r="S181" s="87" t="s">
        <v>1202</v>
      </c>
      <c r="T181" s="87" t="s">
        <v>1202</v>
      </c>
      <c r="U181" s="87" t="s">
        <v>1202</v>
      </c>
      <c r="V181" s="87" t="s">
        <v>1216</v>
      </c>
      <c r="W181" s="67"/>
      <c r="X181" s="85" t="str">
        <f t="shared" si="26"/>
        <v>Belum Dinilai</v>
      </c>
      <c r="Y181" s="85" t="str">
        <f t="shared" si="27"/>
        <v>Belum Dinilai</v>
      </c>
      <c r="Z181" s="86">
        <f t="shared" si="28"/>
        <v>10</v>
      </c>
      <c r="AA181" s="86" t="str">
        <f t="shared" si="29"/>
        <v/>
      </c>
      <c r="AB181" s="86" t="str">
        <f t="shared" si="34"/>
        <v/>
      </c>
      <c r="AC181" s="68" t="s">
        <v>1202</v>
      </c>
      <c r="AD181" s="68" t="s">
        <v>1202</v>
      </c>
      <c r="AE181" s="68" t="s">
        <v>1202</v>
      </c>
      <c r="AF181" s="68" t="s">
        <v>1202</v>
      </c>
      <c r="AG181" s="68" t="s">
        <v>1202</v>
      </c>
      <c r="AH181" s="68" t="s">
        <v>1202</v>
      </c>
      <c r="AI181" s="68" t="s">
        <v>1202</v>
      </c>
      <c r="AJ181" s="68" t="s">
        <v>1202</v>
      </c>
      <c r="AK181" s="68" t="s">
        <v>1202</v>
      </c>
      <c r="AL181" s="68"/>
      <c r="AM181" s="68" t="s">
        <v>1216</v>
      </c>
      <c r="AN181" s="68" t="str">
        <f t="shared" si="35"/>
        <v>Tidak ada risiko khusus</v>
      </c>
      <c r="AO181" s="68" t="str">
        <f t="shared" si="36"/>
        <v>Tidak Ada Risiko Khusus</v>
      </c>
      <c r="AP181" s="68"/>
      <c r="AQ181" s="71">
        <f t="shared" si="30"/>
        <v>24</v>
      </c>
      <c r="AR181" s="71">
        <f t="shared" si="32"/>
        <v>0</v>
      </c>
      <c r="AS181" s="71" t="str">
        <f t="shared" si="37"/>
        <v/>
      </c>
      <c r="AT181" s="69" t="str">
        <f t="shared" si="31"/>
        <v>Belum Dapat Ditentukan</v>
      </c>
      <c r="AU181" s="66"/>
      <c r="AV181" s="66"/>
      <c r="AW181" s="66" t="s">
        <v>1191</v>
      </c>
      <c r="AX181" s="66"/>
      <c r="AY181" s="66"/>
      <c r="AZ181" s="66"/>
      <c r="BA181" s="66"/>
      <c r="BB181" s="72"/>
      <c r="BC181" s="73"/>
      <c r="BD181" s="66"/>
      <c r="BE181" s="72"/>
      <c r="BF181" s="66"/>
    </row>
    <row r="182" spans="1:58" ht="28">
      <c r="A182" s="66" t="s">
        <v>2045</v>
      </c>
      <c r="B182" s="66" t="s">
        <v>2006</v>
      </c>
      <c r="C182" s="66"/>
      <c r="D182" s="84" t="s">
        <v>2007</v>
      </c>
      <c r="E182" s="66" t="s">
        <v>2008</v>
      </c>
      <c r="F182" s="66" t="s">
        <v>1464</v>
      </c>
      <c r="G182" s="66" t="s">
        <v>1314</v>
      </c>
      <c r="H182" s="66" t="s">
        <v>1263</v>
      </c>
      <c r="I182" s="66"/>
      <c r="J182" s="66"/>
      <c r="K182" s="66"/>
      <c r="L182" s="66" t="s">
        <v>1216</v>
      </c>
      <c r="M182" s="66"/>
      <c r="N182" s="66" t="s">
        <v>1216</v>
      </c>
      <c r="O182" s="66"/>
      <c r="P182" s="66" t="s">
        <v>1216</v>
      </c>
      <c r="Q182" s="87"/>
      <c r="R182" s="87"/>
      <c r="S182" s="87"/>
      <c r="T182" s="87"/>
      <c r="U182" s="87"/>
      <c r="V182" s="87" t="s">
        <v>1216</v>
      </c>
      <c r="W182" s="67"/>
      <c r="X182" s="85" t="str">
        <f t="shared" si="26"/>
        <v>Belum Dinilai</v>
      </c>
      <c r="Y182" s="85" t="str">
        <f t="shared" si="27"/>
        <v>Belum Dinilai</v>
      </c>
      <c r="Z182" s="86" t="str">
        <f t="shared" si="28"/>
        <v/>
      </c>
      <c r="AA182" s="86" t="str">
        <f t="shared" si="29"/>
        <v/>
      </c>
      <c r="AB182" s="86" t="str">
        <f t="shared" si="34"/>
        <v/>
      </c>
      <c r="AC182" s="68"/>
      <c r="AD182" s="68"/>
      <c r="AE182" s="68"/>
      <c r="AF182" s="68"/>
      <c r="AG182" s="68"/>
      <c r="AH182" s="68"/>
      <c r="AI182" s="68"/>
      <c r="AJ182" s="68"/>
      <c r="AK182" s="68"/>
      <c r="AL182" s="68"/>
      <c r="AM182" s="68" t="s">
        <v>1216</v>
      </c>
      <c r="AN182" s="68" t="str">
        <f t="shared" si="35"/>
        <v>Tidak ada risiko khusus</v>
      </c>
      <c r="AO182" s="68" t="str">
        <f t="shared" si="36"/>
        <v>Tidak Ada Risiko Khusus</v>
      </c>
      <c r="AP182" s="68"/>
      <c r="AQ182" s="71" t="str">
        <f t="shared" si="30"/>
        <v/>
      </c>
      <c r="AR182" s="71">
        <f t="shared" si="32"/>
        <v>0</v>
      </c>
      <c r="AS182" s="71" t="str">
        <f t="shared" si="37"/>
        <v/>
      </c>
      <c r="AT182" s="69" t="str">
        <f t="shared" si="31"/>
        <v>Belum Dapat Ditentukan</v>
      </c>
      <c r="AU182" s="66"/>
      <c r="AV182" s="66"/>
      <c r="AW182" s="66" t="s">
        <v>1191</v>
      </c>
      <c r="AX182" s="66"/>
      <c r="AY182" s="66"/>
      <c r="AZ182" s="66"/>
      <c r="BA182" s="66"/>
      <c r="BB182" s="72"/>
      <c r="BC182" s="73"/>
      <c r="BD182" s="66"/>
      <c r="BE182" s="72"/>
      <c r="BF182" s="66"/>
    </row>
    <row r="183" spans="1:58" ht="28">
      <c r="A183" s="66" t="s">
        <v>2046</v>
      </c>
      <c r="B183" s="66" t="s">
        <v>2009</v>
      </c>
      <c r="C183" s="84" t="s">
        <v>2010</v>
      </c>
      <c r="D183" s="84" t="s">
        <v>2011</v>
      </c>
      <c r="E183" s="66" t="s">
        <v>2012</v>
      </c>
      <c r="F183" s="66" t="s">
        <v>1354</v>
      </c>
      <c r="G183" s="66" t="s">
        <v>1355</v>
      </c>
      <c r="H183" s="66" t="s">
        <v>1263</v>
      </c>
      <c r="I183" s="66"/>
      <c r="J183" s="66" t="s">
        <v>1211</v>
      </c>
      <c r="K183" s="66" t="s">
        <v>1212</v>
      </c>
      <c r="L183" s="66" t="s">
        <v>891</v>
      </c>
      <c r="M183" s="66" t="s">
        <v>1267</v>
      </c>
      <c r="N183" s="66" t="s">
        <v>905</v>
      </c>
      <c r="O183" s="66" t="s">
        <v>1214</v>
      </c>
      <c r="P183" s="66" t="s">
        <v>891</v>
      </c>
      <c r="Q183" s="87" t="s">
        <v>1187</v>
      </c>
      <c r="R183" s="87" t="s">
        <v>1202</v>
      </c>
      <c r="S183" s="87" t="s">
        <v>1202</v>
      </c>
      <c r="T183" s="87" t="s">
        <v>1188</v>
      </c>
      <c r="U183" s="87" t="s">
        <v>1202</v>
      </c>
      <c r="V183" s="87" t="s">
        <v>1216</v>
      </c>
      <c r="W183" s="67"/>
      <c r="X183" s="85" t="str">
        <f t="shared" si="26"/>
        <v>Belum Dinilai</v>
      </c>
      <c r="Y183" s="85" t="str">
        <f t="shared" si="27"/>
        <v>Belum Dinilai</v>
      </c>
      <c r="Z183" s="86">
        <f t="shared" si="28"/>
        <v>10</v>
      </c>
      <c r="AA183" s="86" t="str">
        <f t="shared" si="29"/>
        <v/>
      </c>
      <c r="AB183" s="86" t="str">
        <f t="shared" si="34"/>
        <v/>
      </c>
      <c r="AC183" s="68" t="s">
        <v>1202</v>
      </c>
      <c r="AD183" s="68" t="s">
        <v>1202</v>
      </c>
      <c r="AE183" s="68" t="s">
        <v>1202</v>
      </c>
      <c r="AF183" s="68" t="s">
        <v>1202</v>
      </c>
      <c r="AG183" s="68" t="s">
        <v>1202</v>
      </c>
      <c r="AH183" s="68" t="s">
        <v>1202</v>
      </c>
      <c r="AI183" s="68" t="s">
        <v>1202</v>
      </c>
      <c r="AJ183" s="68" t="s">
        <v>1202</v>
      </c>
      <c r="AK183" s="68" t="s">
        <v>1202</v>
      </c>
      <c r="AL183" s="68"/>
      <c r="AM183" s="68" t="s">
        <v>1216</v>
      </c>
      <c r="AN183" s="68" t="str">
        <f t="shared" si="35"/>
        <v>Tidak ada risiko khusus</v>
      </c>
      <c r="AO183" s="68" t="str">
        <f t="shared" si="36"/>
        <v>Tidak Ada Risiko Khusus</v>
      </c>
      <c r="AP183" s="68"/>
      <c r="AQ183" s="71">
        <f t="shared" si="30"/>
        <v>34</v>
      </c>
      <c r="AR183" s="71">
        <f t="shared" si="32"/>
        <v>0</v>
      </c>
      <c r="AS183" s="71" t="str">
        <f t="shared" si="37"/>
        <v/>
      </c>
      <c r="AT183" s="69" t="str">
        <f t="shared" si="31"/>
        <v>Belum Dapat Ditentukan</v>
      </c>
      <c r="AU183" s="66"/>
      <c r="AV183" s="66"/>
      <c r="AW183" s="66" t="s">
        <v>1191</v>
      </c>
      <c r="AX183" s="66"/>
      <c r="AY183" s="66"/>
      <c r="AZ183" s="66"/>
      <c r="BA183" s="66"/>
      <c r="BB183" s="72"/>
      <c r="BC183" s="73"/>
      <c r="BD183" s="66"/>
      <c r="BE183" s="72"/>
      <c r="BF183" s="66"/>
    </row>
    <row r="184" spans="1:58" ht="28">
      <c r="A184" s="66" t="s">
        <v>2047</v>
      </c>
      <c r="B184" s="66" t="s">
        <v>2013</v>
      </c>
      <c r="C184" s="84" t="s">
        <v>2014</v>
      </c>
      <c r="D184" s="84" t="s">
        <v>2015</v>
      </c>
      <c r="E184" s="66" t="s">
        <v>2016</v>
      </c>
      <c r="F184" s="66" t="s">
        <v>1345</v>
      </c>
      <c r="G184" s="66" t="s">
        <v>1335</v>
      </c>
      <c r="H184" s="66" t="s">
        <v>1263</v>
      </c>
      <c r="I184" s="66"/>
      <c r="J184" s="66"/>
      <c r="K184" s="66"/>
      <c r="L184" s="66" t="s">
        <v>1216</v>
      </c>
      <c r="M184" s="66"/>
      <c r="N184" s="66" t="s">
        <v>1216</v>
      </c>
      <c r="O184" s="66"/>
      <c r="P184" s="66" t="s">
        <v>1216</v>
      </c>
      <c r="Q184" s="87"/>
      <c r="R184" s="87"/>
      <c r="S184" s="87"/>
      <c r="T184" s="87"/>
      <c r="U184" s="87"/>
      <c r="V184" s="87"/>
      <c r="W184" s="67"/>
      <c r="X184" s="85" t="str">
        <f t="shared" si="26"/>
        <v>Tidak ada faktor rentan</v>
      </c>
      <c r="Y184" s="85" t="str">
        <f t="shared" si="27"/>
        <v>Tidak Ada Faktor Rentan</v>
      </c>
      <c r="Z184" s="86" t="str">
        <f t="shared" si="28"/>
        <v/>
      </c>
      <c r="AA184" s="86">
        <f t="shared" si="29"/>
        <v>0</v>
      </c>
      <c r="AB184" s="86" t="str">
        <f t="shared" si="34"/>
        <v/>
      </c>
      <c r="AC184" s="68" t="s">
        <v>1202</v>
      </c>
      <c r="AD184" s="68" t="s">
        <v>1202</v>
      </c>
      <c r="AE184" s="68" t="s">
        <v>1202</v>
      </c>
      <c r="AF184" s="68" t="s">
        <v>1202</v>
      </c>
      <c r="AG184" s="68" t="s">
        <v>1202</v>
      </c>
      <c r="AH184" s="68" t="s">
        <v>1202</v>
      </c>
      <c r="AI184" s="68" t="s">
        <v>1202</v>
      </c>
      <c r="AJ184" s="68" t="s">
        <v>1202</v>
      </c>
      <c r="AK184" s="68" t="s">
        <v>1202</v>
      </c>
      <c r="AL184" s="68"/>
      <c r="AM184" s="68" t="s">
        <v>1216</v>
      </c>
      <c r="AN184" s="68" t="str">
        <f t="shared" si="35"/>
        <v>Tidak ada risiko khusus</v>
      </c>
      <c r="AO184" s="68" t="str">
        <f t="shared" si="36"/>
        <v>Tidak Ada Risiko Khusus</v>
      </c>
      <c r="AP184" s="68"/>
      <c r="AQ184" s="71" t="str">
        <f t="shared" si="30"/>
        <v/>
      </c>
      <c r="AR184" s="71">
        <f t="shared" si="32"/>
        <v>0</v>
      </c>
      <c r="AS184" s="71" t="str">
        <f t="shared" si="37"/>
        <v/>
      </c>
      <c r="AT184" s="69" t="str">
        <f t="shared" si="31"/>
        <v>Belum Dapat Ditentukan</v>
      </c>
      <c r="AU184" s="66"/>
      <c r="AV184" s="66"/>
      <c r="AW184" s="66" t="s">
        <v>1191</v>
      </c>
      <c r="AX184" s="66"/>
      <c r="AY184" s="66"/>
      <c r="AZ184" s="66"/>
      <c r="BA184" s="66"/>
      <c r="BB184" s="72"/>
      <c r="BC184" s="73"/>
      <c r="BD184" s="66"/>
      <c r="BE184" s="72"/>
      <c r="BF184" s="66"/>
    </row>
    <row r="185" spans="1:58" ht="28">
      <c r="A185" s="66" t="s">
        <v>2048</v>
      </c>
      <c r="B185" s="66" t="s">
        <v>2017</v>
      </c>
      <c r="C185" s="84" t="s">
        <v>2018</v>
      </c>
      <c r="D185" s="84" t="s">
        <v>2019</v>
      </c>
      <c r="E185" s="66" t="s">
        <v>2020</v>
      </c>
      <c r="F185" s="66" t="s">
        <v>1345</v>
      </c>
      <c r="G185" s="66" t="s">
        <v>1335</v>
      </c>
      <c r="H185" s="66" t="s">
        <v>1263</v>
      </c>
      <c r="I185" s="66"/>
      <c r="J185" s="66"/>
      <c r="K185" s="66"/>
      <c r="L185" s="66" t="s">
        <v>1216</v>
      </c>
      <c r="M185" s="66"/>
      <c r="N185" s="66" t="s">
        <v>1216</v>
      </c>
      <c r="O185" s="66"/>
      <c r="P185" s="66" t="s">
        <v>1216</v>
      </c>
      <c r="Q185" s="87"/>
      <c r="R185" s="87"/>
      <c r="S185" s="87"/>
      <c r="T185" s="87"/>
      <c r="U185" s="87"/>
      <c r="V185" s="87"/>
      <c r="W185" s="67"/>
      <c r="X185" s="85" t="str">
        <f t="shared" si="26"/>
        <v>Tidak ada faktor rentan</v>
      </c>
      <c r="Y185" s="85" t="str">
        <f t="shared" si="27"/>
        <v>Tidak Ada Faktor Rentan</v>
      </c>
      <c r="Z185" s="86" t="str">
        <f t="shared" si="28"/>
        <v/>
      </c>
      <c r="AA185" s="86">
        <f t="shared" si="29"/>
        <v>0</v>
      </c>
      <c r="AB185" s="86" t="str">
        <f t="shared" si="34"/>
        <v/>
      </c>
      <c r="AC185" s="68" t="s">
        <v>1202</v>
      </c>
      <c r="AD185" s="68" t="s">
        <v>1202</v>
      </c>
      <c r="AE185" s="68" t="s">
        <v>1202</v>
      </c>
      <c r="AF185" s="68" t="s">
        <v>1202</v>
      </c>
      <c r="AG185" s="68" t="s">
        <v>1202</v>
      </c>
      <c r="AH185" s="68" t="s">
        <v>1202</v>
      </c>
      <c r="AI185" s="68" t="s">
        <v>1202</v>
      </c>
      <c r="AJ185" s="68" t="s">
        <v>1202</v>
      </c>
      <c r="AK185" s="68" t="s">
        <v>1202</v>
      </c>
      <c r="AL185" s="68"/>
      <c r="AM185" s="68" t="s">
        <v>1216</v>
      </c>
      <c r="AN185" s="68" t="str">
        <f t="shared" si="35"/>
        <v>Tidak ada risiko khusus</v>
      </c>
      <c r="AO185" s="68" t="str">
        <f t="shared" si="36"/>
        <v>Tidak Ada Risiko Khusus</v>
      </c>
      <c r="AP185" s="68"/>
      <c r="AQ185" s="71" t="str">
        <f t="shared" si="30"/>
        <v/>
      </c>
      <c r="AR185" s="71">
        <f t="shared" si="32"/>
        <v>0</v>
      </c>
      <c r="AS185" s="71" t="str">
        <f t="shared" si="37"/>
        <v/>
      </c>
      <c r="AT185" s="69" t="str">
        <f t="shared" si="31"/>
        <v>Belum Dapat Ditentukan</v>
      </c>
      <c r="AU185" s="66"/>
      <c r="AV185" s="66"/>
      <c r="AW185" s="66" t="s">
        <v>1191</v>
      </c>
      <c r="AX185" s="66"/>
      <c r="AY185" s="66"/>
      <c r="AZ185" s="66"/>
      <c r="BA185" s="66"/>
      <c r="BB185" s="72"/>
      <c r="BC185" s="73"/>
      <c r="BD185" s="66"/>
      <c r="BE185" s="72"/>
      <c r="BF185" s="66"/>
    </row>
    <row r="186" spans="1:58">
      <c r="A186" s="66" t="s">
        <v>2049</v>
      </c>
      <c r="B186" s="66" t="s">
        <v>2021</v>
      </c>
      <c r="C186" s="84" t="s">
        <v>2022</v>
      </c>
      <c r="D186" s="84" t="s">
        <v>2023</v>
      </c>
      <c r="E186" s="66" t="s">
        <v>1445</v>
      </c>
      <c r="F186" s="66" t="s">
        <v>1435</v>
      </c>
      <c r="G186" s="66" t="s">
        <v>1314</v>
      </c>
      <c r="H186" s="66" t="s">
        <v>1263</v>
      </c>
      <c r="I186" s="66"/>
      <c r="J186" s="66"/>
      <c r="K186" s="66"/>
      <c r="L186" s="66" t="s">
        <v>1216</v>
      </c>
      <c r="M186" s="66"/>
      <c r="N186" s="66" t="s">
        <v>1216</v>
      </c>
      <c r="O186" s="66"/>
      <c r="P186" s="66" t="s">
        <v>1216</v>
      </c>
      <c r="Q186" s="87"/>
      <c r="R186" s="87"/>
      <c r="S186" s="87"/>
      <c r="T186" s="87"/>
      <c r="U186" s="87"/>
      <c r="V186" s="87"/>
      <c r="W186" s="67"/>
      <c r="X186" s="85" t="str">
        <f t="shared" si="26"/>
        <v>Tidak ada faktor rentan</v>
      </c>
      <c r="Y186" s="85" t="str">
        <f t="shared" si="27"/>
        <v>Tidak Ada Faktor Rentan</v>
      </c>
      <c r="Z186" s="86" t="str">
        <f t="shared" si="28"/>
        <v/>
      </c>
      <c r="AA186" s="86">
        <f t="shared" si="29"/>
        <v>0</v>
      </c>
      <c r="AB186" s="86" t="str">
        <f t="shared" si="34"/>
        <v/>
      </c>
      <c r="AC186" s="68" t="s">
        <v>1202</v>
      </c>
      <c r="AD186" s="68" t="s">
        <v>1202</v>
      </c>
      <c r="AE186" s="68" t="s">
        <v>1202</v>
      </c>
      <c r="AF186" s="68" t="s">
        <v>1202</v>
      </c>
      <c r="AG186" s="68" t="s">
        <v>1202</v>
      </c>
      <c r="AH186" s="68" t="s">
        <v>1202</v>
      </c>
      <c r="AI186" s="68" t="s">
        <v>1202</v>
      </c>
      <c r="AJ186" s="68" t="s">
        <v>1202</v>
      </c>
      <c r="AK186" s="68" t="s">
        <v>1202</v>
      </c>
      <c r="AL186" s="68"/>
      <c r="AM186" s="68" t="s">
        <v>1216</v>
      </c>
      <c r="AN186" s="68" t="str">
        <f t="shared" si="35"/>
        <v>Tidak ada risiko khusus</v>
      </c>
      <c r="AO186" s="68" t="str">
        <f t="shared" si="36"/>
        <v>Tidak Ada Risiko Khusus</v>
      </c>
      <c r="AP186" s="68"/>
      <c r="AQ186" s="71" t="str">
        <f t="shared" si="30"/>
        <v/>
      </c>
      <c r="AR186" s="71">
        <f t="shared" si="32"/>
        <v>0</v>
      </c>
      <c r="AS186" s="71" t="str">
        <f t="shared" si="37"/>
        <v/>
      </c>
      <c r="AT186" s="69" t="str">
        <f t="shared" si="31"/>
        <v>Belum Dapat Ditentukan</v>
      </c>
      <c r="AU186" s="66"/>
      <c r="AV186" s="66"/>
      <c r="AW186" s="66" t="s">
        <v>1191</v>
      </c>
      <c r="AX186" s="66"/>
      <c r="AY186" s="66"/>
      <c r="AZ186" s="66"/>
      <c r="BA186" s="66"/>
      <c r="BB186" s="72"/>
      <c r="BC186" s="73"/>
      <c r="BD186" s="66"/>
      <c r="BE186" s="72"/>
      <c r="BF186" s="66"/>
    </row>
    <row r="187" spans="1:58">
      <c r="A187" s="66" t="s">
        <v>2050</v>
      </c>
      <c r="B187" s="66" t="s">
        <v>1438</v>
      </c>
      <c r="C187" s="84" t="s">
        <v>2024</v>
      </c>
      <c r="D187" s="84" t="s">
        <v>2025</v>
      </c>
      <c r="E187" s="66" t="s">
        <v>1439</v>
      </c>
      <c r="F187" s="66" t="s">
        <v>1435</v>
      </c>
      <c r="G187" s="66" t="s">
        <v>1314</v>
      </c>
      <c r="H187" s="66" t="s">
        <v>1263</v>
      </c>
      <c r="I187" s="66"/>
      <c r="J187" s="66"/>
      <c r="K187" s="66"/>
      <c r="L187" s="66" t="s">
        <v>1216</v>
      </c>
      <c r="M187" s="66"/>
      <c r="N187" s="66" t="s">
        <v>1216</v>
      </c>
      <c r="O187" s="66"/>
      <c r="P187" s="66" t="s">
        <v>1216</v>
      </c>
      <c r="Q187" s="87"/>
      <c r="R187" s="87"/>
      <c r="S187" s="87"/>
      <c r="T187" s="87"/>
      <c r="U187" s="87"/>
      <c r="V187" s="87"/>
      <c r="W187" s="67"/>
      <c r="X187" s="85" t="str">
        <f t="shared" si="26"/>
        <v>Tidak ada faktor rentan</v>
      </c>
      <c r="Y187" s="85" t="str">
        <f t="shared" si="27"/>
        <v>Tidak Ada Faktor Rentan</v>
      </c>
      <c r="Z187" s="86" t="str">
        <f t="shared" si="28"/>
        <v/>
      </c>
      <c r="AA187" s="86">
        <f t="shared" si="29"/>
        <v>0</v>
      </c>
      <c r="AB187" s="86" t="str">
        <f t="shared" si="34"/>
        <v/>
      </c>
      <c r="AC187" s="68" t="s">
        <v>1202</v>
      </c>
      <c r="AD187" s="68" t="s">
        <v>1202</v>
      </c>
      <c r="AE187" s="68" t="s">
        <v>1202</v>
      </c>
      <c r="AF187" s="68" t="s">
        <v>1202</v>
      </c>
      <c r="AG187" s="68" t="s">
        <v>1202</v>
      </c>
      <c r="AH187" s="68" t="s">
        <v>1202</v>
      </c>
      <c r="AI187" s="68" t="s">
        <v>1202</v>
      </c>
      <c r="AJ187" s="68" t="s">
        <v>1202</v>
      </c>
      <c r="AK187" s="68" t="s">
        <v>1202</v>
      </c>
      <c r="AL187" s="68"/>
      <c r="AM187" s="68" t="s">
        <v>1216</v>
      </c>
      <c r="AN187" s="68" t="str">
        <f t="shared" si="35"/>
        <v>Tidak ada risiko khusus</v>
      </c>
      <c r="AO187" s="68" t="str">
        <f t="shared" si="36"/>
        <v>Tidak Ada Risiko Khusus</v>
      </c>
      <c r="AP187" s="68"/>
      <c r="AQ187" s="71" t="str">
        <f t="shared" si="30"/>
        <v/>
      </c>
      <c r="AR187" s="71">
        <f t="shared" si="32"/>
        <v>0</v>
      </c>
      <c r="AS187" s="71" t="str">
        <f t="shared" si="37"/>
        <v/>
      </c>
      <c r="AT187" s="69" t="str">
        <f t="shared" si="31"/>
        <v>Belum Dapat Ditentukan</v>
      </c>
      <c r="AU187" s="66"/>
      <c r="AV187" s="66"/>
      <c r="AW187" s="66" t="s">
        <v>1191</v>
      </c>
      <c r="AX187" s="66"/>
      <c r="AY187" s="66"/>
      <c r="AZ187" s="66"/>
      <c r="BA187" s="66"/>
      <c r="BB187" s="72"/>
      <c r="BC187" s="73"/>
      <c r="BD187" s="66"/>
      <c r="BE187" s="72"/>
      <c r="BF187" s="66"/>
    </row>
    <row r="188" spans="1:58">
      <c r="A188" s="66" t="s">
        <v>2051</v>
      </c>
      <c r="B188" s="66" t="s">
        <v>2026</v>
      </c>
      <c r="C188" s="84" t="s">
        <v>2027</v>
      </c>
      <c r="D188" s="84" t="s">
        <v>2028</v>
      </c>
      <c r="E188" s="66" t="s">
        <v>1445</v>
      </c>
      <c r="F188" s="66" t="s">
        <v>1435</v>
      </c>
      <c r="G188" s="66" t="s">
        <v>1314</v>
      </c>
      <c r="H188" s="66" t="s">
        <v>1263</v>
      </c>
      <c r="I188" s="66"/>
      <c r="J188" s="66"/>
      <c r="K188" s="66"/>
      <c r="L188" s="66" t="s">
        <v>1216</v>
      </c>
      <c r="M188" s="66"/>
      <c r="N188" s="66" t="s">
        <v>1216</v>
      </c>
      <c r="O188" s="66"/>
      <c r="P188" s="66" t="s">
        <v>1216</v>
      </c>
      <c r="Q188" s="87"/>
      <c r="R188" s="87"/>
      <c r="S188" s="87"/>
      <c r="T188" s="87"/>
      <c r="U188" s="87"/>
      <c r="V188" s="87"/>
      <c r="W188" s="67"/>
      <c r="X188" s="85" t="str">
        <f t="shared" si="26"/>
        <v>Tidak ada faktor rentan</v>
      </c>
      <c r="Y188" s="85" t="str">
        <f t="shared" si="27"/>
        <v>Tidak Ada Faktor Rentan</v>
      </c>
      <c r="Z188" s="86" t="str">
        <f t="shared" si="28"/>
        <v/>
      </c>
      <c r="AA188" s="86">
        <f t="shared" si="29"/>
        <v>0</v>
      </c>
      <c r="AB188" s="86" t="str">
        <f t="shared" si="34"/>
        <v/>
      </c>
      <c r="AC188" s="68" t="s">
        <v>1202</v>
      </c>
      <c r="AD188" s="68" t="s">
        <v>1202</v>
      </c>
      <c r="AE188" s="68" t="s">
        <v>1202</v>
      </c>
      <c r="AF188" s="68" t="s">
        <v>1202</v>
      </c>
      <c r="AG188" s="68" t="s">
        <v>1202</v>
      </c>
      <c r="AH188" s="68" t="s">
        <v>1202</v>
      </c>
      <c r="AI188" s="68" t="s">
        <v>1202</v>
      </c>
      <c r="AJ188" s="68" t="s">
        <v>1202</v>
      </c>
      <c r="AK188" s="68" t="s">
        <v>1202</v>
      </c>
      <c r="AL188" s="68"/>
      <c r="AM188" s="68" t="s">
        <v>1216</v>
      </c>
      <c r="AN188" s="68" t="str">
        <f t="shared" si="35"/>
        <v>Tidak ada risiko khusus</v>
      </c>
      <c r="AO188" s="68" t="str">
        <f t="shared" si="36"/>
        <v>Tidak Ada Risiko Khusus</v>
      </c>
      <c r="AP188" s="68"/>
      <c r="AQ188" s="71" t="str">
        <f t="shared" si="30"/>
        <v/>
      </c>
      <c r="AR188" s="71">
        <f t="shared" si="32"/>
        <v>0</v>
      </c>
      <c r="AS188" s="71" t="str">
        <f t="shared" si="37"/>
        <v/>
      </c>
      <c r="AT188" s="69" t="str">
        <f t="shared" si="31"/>
        <v>Belum Dapat Ditentukan</v>
      </c>
      <c r="AU188" s="66"/>
      <c r="AV188" s="66"/>
      <c r="AW188" s="66" t="s">
        <v>1191</v>
      </c>
      <c r="AX188" s="66"/>
      <c r="AY188" s="66"/>
      <c r="AZ188" s="66"/>
      <c r="BA188" s="66"/>
      <c r="BB188" s="72"/>
      <c r="BC188" s="73"/>
      <c r="BD188" s="66"/>
      <c r="BE188" s="72"/>
      <c r="BF188" s="66"/>
    </row>
    <row r="189" spans="1:58">
      <c r="A189" s="66" t="s">
        <v>2052</v>
      </c>
      <c r="B189" s="66" t="s">
        <v>2029</v>
      </c>
      <c r="C189" s="84" t="s">
        <v>2030</v>
      </c>
      <c r="D189" s="84" t="s">
        <v>2031</v>
      </c>
      <c r="E189" s="66" t="s">
        <v>2032</v>
      </c>
      <c r="F189" s="66" t="s">
        <v>2033</v>
      </c>
      <c r="G189" s="66" t="s">
        <v>1329</v>
      </c>
      <c r="H189" s="66" t="s">
        <v>1263</v>
      </c>
      <c r="I189" s="66"/>
      <c r="J189" s="66"/>
      <c r="K189" s="66"/>
      <c r="L189" s="66" t="s">
        <v>1216</v>
      </c>
      <c r="M189" s="66"/>
      <c r="N189" s="66" t="s">
        <v>1216</v>
      </c>
      <c r="O189" s="66"/>
      <c r="P189" s="66" t="s">
        <v>1216</v>
      </c>
      <c r="Q189" s="87"/>
      <c r="R189" s="87"/>
      <c r="S189" s="87"/>
      <c r="T189" s="87"/>
      <c r="U189" s="87"/>
      <c r="V189" s="87"/>
      <c r="W189" s="67"/>
      <c r="X189" s="85" t="str">
        <f t="shared" si="26"/>
        <v>Tidak ada faktor rentan</v>
      </c>
      <c r="Y189" s="85" t="str">
        <f t="shared" si="27"/>
        <v>Tidak Ada Faktor Rentan</v>
      </c>
      <c r="Z189" s="86" t="str">
        <f t="shared" si="28"/>
        <v/>
      </c>
      <c r="AA189" s="86">
        <f t="shared" si="29"/>
        <v>0</v>
      </c>
      <c r="AB189" s="86" t="str">
        <f t="shared" si="34"/>
        <v/>
      </c>
      <c r="AC189" s="68" t="s">
        <v>1202</v>
      </c>
      <c r="AD189" s="68" t="s">
        <v>1202</v>
      </c>
      <c r="AE189" s="68" t="s">
        <v>1202</v>
      </c>
      <c r="AF189" s="68" t="s">
        <v>1202</v>
      </c>
      <c r="AG189" s="68" t="s">
        <v>1202</v>
      </c>
      <c r="AH189" s="68" t="s">
        <v>1202</v>
      </c>
      <c r="AI189" s="68" t="s">
        <v>1202</v>
      </c>
      <c r="AJ189" s="68" t="s">
        <v>1202</v>
      </c>
      <c r="AK189" s="68" t="s">
        <v>1202</v>
      </c>
      <c r="AL189" s="68"/>
      <c r="AM189" s="68" t="s">
        <v>1216</v>
      </c>
      <c r="AN189" s="68" t="str">
        <f t="shared" si="35"/>
        <v>Tidak ada risiko khusus</v>
      </c>
      <c r="AO189" s="68" t="str">
        <f t="shared" si="36"/>
        <v>Tidak Ada Risiko Khusus</v>
      </c>
      <c r="AP189" s="68"/>
      <c r="AQ189" s="71" t="str">
        <f t="shared" si="30"/>
        <v/>
      </c>
      <c r="AR189" s="71">
        <f t="shared" si="32"/>
        <v>0</v>
      </c>
      <c r="AS189" s="71" t="str">
        <f t="shared" si="37"/>
        <v/>
      </c>
      <c r="AT189" s="69" t="str">
        <f t="shared" si="31"/>
        <v>Belum Dapat Ditentukan</v>
      </c>
      <c r="AU189" s="66"/>
      <c r="AV189" s="66"/>
      <c r="AW189" s="66" t="s">
        <v>1191</v>
      </c>
      <c r="AX189" s="66"/>
      <c r="AY189" s="66"/>
      <c r="AZ189" s="66"/>
      <c r="BA189" s="66"/>
      <c r="BB189" s="72"/>
      <c r="BC189" s="73"/>
      <c r="BD189" s="66"/>
      <c r="BE189" s="72"/>
      <c r="BF189" s="66"/>
    </row>
    <row r="190" spans="1:58" ht="28">
      <c r="A190" s="66" t="s">
        <v>2053</v>
      </c>
      <c r="B190" s="66" t="s">
        <v>2034</v>
      </c>
      <c r="C190" s="66"/>
      <c r="D190" s="84" t="s">
        <v>2035</v>
      </c>
      <c r="E190" s="66" t="s">
        <v>1985</v>
      </c>
      <c r="F190" s="66" t="s">
        <v>1545</v>
      </c>
      <c r="G190" s="66" t="s">
        <v>1355</v>
      </c>
      <c r="H190" s="66" t="s">
        <v>1263</v>
      </c>
      <c r="I190" s="66"/>
      <c r="J190" s="66" t="s">
        <v>1197</v>
      </c>
      <c r="K190" s="66" t="s">
        <v>1212</v>
      </c>
      <c r="L190" s="66" t="s">
        <v>888</v>
      </c>
      <c r="M190" s="66" t="s">
        <v>1309</v>
      </c>
      <c r="N190" s="66" t="s">
        <v>888</v>
      </c>
      <c r="O190" s="66" t="s">
        <v>1186</v>
      </c>
      <c r="P190" s="66" t="s">
        <v>891</v>
      </c>
      <c r="Q190" s="87" t="s">
        <v>1187</v>
      </c>
      <c r="R190" s="87" t="s">
        <v>1202</v>
      </c>
      <c r="S190" s="87" t="s">
        <v>1202</v>
      </c>
      <c r="T190" s="87" t="s">
        <v>1202</v>
      </c>
      <c r="U190" s="87" t="s">
        <v>1202</v>
      </c>
      <c r="V190" s="87" t="s">
        <v>1216</v>
      </c>
      <c r="W190" s="67"/>
      <c r="X190" s="85" t="str">
        <f t="shared" si="26"/>
        <v>Belum Dinilai</v>
      </c>
      <c r="Y190" s="85" t="str">
        <f t="shared" si="27"/>
        <v>Belum Dinilai</v>
      </c>
      <c r="Z190" s="86">
        <f t="shared" si="28"/>
        <v>10</v>
      </c>
      <c r="AA190" s="86" t="str">
        <f t="shared" si="29"/>
        <v/>
      </c>
      <c r="AB190" s="86" t="str">
        <f t="shared" si="34"/>
        <v/>
      </c>
      <c r="AC190" s="68" t="s">
        <v>1202</v>
      </c>
      <c r="AD190" s="68" t="s">
        <v>1202</v>
      </c>
      <c r="AE190" s="68" t="s">
        <v>1202</v>
      </c>
      <c r="AF190" s="68" t="s">
        <v>1202</v>
      </c>
      <c r="AG190" s="68" t="s">
        <v>1202</v>
      </c>
      <c r="AH190" s="68" t="s">
        <v>1202</v>
      </c>
      <c r="AI190" s="68" t="s">
        <v>1202</v>
      </c>
      <c r="AJ190" s="68" t="s">
        <v>1202</v>
      </c>
      <c r="AK190" s="68" t="s">
        <v>1202</v>
      </c>
      <c r="AL190" s="68"/>
      <c r="AM190" s="68" t="s">
        <v>1216</v>
      </c>
      <c r="AN190" s="68" t="str">
        <f t="shared" si="35"/>
        <v>Tidak ada risiko khusus</v>
      </c>
      <c r="AO190" s="68" t="str">
        <f t="shared" si="36"/>
        <v>Tidak Ada Risiko Khusus</v>
      </c>
      <c r="AP190" s="68"/>
      <c r="AQ190" s="71">
        <f t="shared" si="30"/>
        <v>12</v>
      </c>
      <c r="AR190" s="71">
        <f t="shared" si="32"/>
        <v>0</v>
      </c>
      <c r="AS190" s="71" t="str">
        <f t="shared" si="37"/>
        <v/>
      </c>
      <c r="AT190" s="69" t="str">
        <f t="shared" si="31"/>
        <v>Belum Dapat Ditentukan</v>
      </c>
      <c r="AU190" s="66"/>
      <c r="AV190" s="66"/>
      <c r="AW190" s="66" t="s">
        <v>1191</v>
      </c>
      <c r="AX190" s="66"/>
      <c r="AY190" s="66"/>
      <c r="AZ190" s="66"/>
      <c r="BA190" s="66"/>
      <c r="BB190" s="72"/>
      <c r="BC190" s="73"/>
      <c r="BD190" s="66"/>
      <c r="BE190" s="72"/>
      <c r="BF190" s="66"/>
    </row>
    <row r="191" spans="1:58" ht="28">
      <c r="A191" s="66" t="s">
        <v>2054</v>
      </c>
      <c r="B191" s="66" t="s">
        <v>1991</v>
      </c>
      <c r="C191" s="84" t="s">
        <v>2036</v>
      </c>
      <c r="D191" s="84" t="s">
        <v>2037</v>
      </c>
      <c r="E191" s="66" t="s">
        <v>1990</v>
      </c>
      <c r="F191" s="66" t="s">
        <v>1545</v>
      </c>
      <c r="G191" s="66" t="s">
        <v>1355</v>
      </c>
      <c r="H191" s="66" t="s">
        <v>1263</v>
      </c>
      <c r="I191" s="66"/>
      <c r="J191" s="66" t="s">
        <v>1183</v>
      </c>
      <c r="K191" s="66" t="s">
        <v>1212</v>
      </c>
      <c r="L191" s="66" t="s">
        <v>888</v>
      </c>
      <c r="M191" s="66" t="s">
        <v>1185</v>
      </c>
      <c r="N191" s="66" t="s">
        <v>888</v>
      </c>
      <c r="O191" s="66" t="s">
        <v>1186</v>
      </c>
      <c r="P191" s="66" t="s">
        <v>888</v>
      </c>
      <c r="Q191" s="87" t="s">
        <v>1187</v>
      </c>
      <c r="R191" s="87" t="s">
        <v>1202</v>
      </c>
      <c r="S191" s="87" t="s">
        <v>1202</v>
      </c>
      <c r="T191" s="87" t="s">
        <v>1202</v>
      </c>
      <c r="U191" s="87" t="s">
        <v>1202</v>
      </c>
      <c r="V191" s="87" t="s">
        <v>1216</v>
      </c>
      <c r="W191" s="67"/>
      <c r="X191" s="85" t="str">
        <f t="shared" si="26"/>
        <v>Belum Dinilai</v>
      </c>
      <c r="Y191" s="85" t="str">
        <f t="shared" si="27"/>
        <v>Belum Dinilai</v>
      </c>
      <c r="Z191" s="86">
        <f t="shared" si="28"/>
        <v>10</v>
      </c>
      <c r="AA191" s="86" t="str">
        <f t="shared" si="29"/>
        <v/>
      </c>
      <c r="AB191" s="86" t="str">
        <f t="shared" si="34"/>
        <v/>
      </c>
      <c r="AC191" s="68" t="s">
        <v>1202</v>
      </c>
      <c r="AD191" s="68" t="s">
        <v>1202</v>
      </c>
      <c r="AE191" s="68" t="s">
        <v>1202</v>
      </c>
      <c r="AF191" s="68" t="s">
        <v>1202</v>
      </c>
      <c r="AG191" s="68" t="s">
        <v>1202</v>
      </c>
      <c r="AH191" s="68" t="s">
        <v>1202</v>
      </c>
      <c r="AI191" s="68" t="s">
        <v>1202</v>
      </c>
      <c r="AJ191" s="68" t="s">
        <v>1202</v>
      </c>
      <c r="AK191" s="68" t="s">
        <v>1202</v>
      </c>
      <c r="AL191" s="68"/>
      <c r="AM191" s="68" t="s">
        <v>1216</v>
      </c>
      <c r="AN191" s="68" t="str">
        <f t="shared" si="35"/>
        <v>Tidak ada risiko khusus</v>
      </c>
      <c r="AO191" s="68" t="str">
        <f t="shared" si="36"/>
        <v>Tidak Ada Risiko Khusus</v>
      </c>
      <c r="AP191" s="68"/>
      <c r="AQ191" s="71">
        <f t="shared" si="30"/>
        <v>0</v>
      </c>
      <c r="AR191" s="71">
        <f t="shared" si="32"/>
        <v>0</v>
      </c>
      <c r="AS191" s="71" t="str">
        <f t="shared" si="37"/>
        <v/>
      </c>
      <c r="AT191" s="69" t="str">
        <f t="shared" si="31"/>
        <v>Belum Dapat Ditentukan</v>
      </c>
      <c r="AU191" s="66"/>
      <c r="AV191" s="66"/>
      <c r="AW191" s="66" t="s">
        <v>1191</v>
      </c>
      <c r="AX191" s="66"/>
      <c r="AY191" s="66"/>
      <c r="AZ191" s="66"/>
      <c r="BA191" s="66"/>
      <c r="BB191" s="72"/>
      <c r="BC191" s="73"/>
      <c r="BD191" s="66"/>
      <c r="BE191" s="72"/>
      <c r="BF191" s="66"/>
    </row>
    <row r="192" spans="1:58" ht="28">
      <c r="A192" s="66" t="s">
        <v>2055</v>
      </c>
      <c r="B192" s="66" t="s">
        <v>2038</v>
      </c>
      <c r="C192" s="84" t="s">
        <v>2039</v>
      </c>
      <c r="D192" s="84" t="s">
        <v>2040</v>
      </c>
      <c r="E192" s="66" t="s">
        <v>1985</v>
      </c>
      <c r="F192" s="66" t="s">
        <v>1545</v>
      </c>
      <c r="G192" s="66" t="s">
        <v>1355</v>
      </c>
      <c r="H192" s="66" t="s">
        <v>1263</v>
      </c>
      <c r="I192" s="66"/>
      <c r="J192" s="66" t="s">
        <v>1183</v>
      </c>
      <c r="K192" s="66" t="s">
        <v>1212</v>
      </c>
      <c r="L192" s="66" t="s">
        <v>888</v>
      </c>
      <c r="M192" s="66" t="s">
        <v>1199</v>
      </c>
      <c r="N192" s="66" t="s">
        <v>888</v>
      </c>
      <c r="O192" s="66" t="s">
        <v>1186</v>
      </c>
      <c r="P192" s="66" t="s">
        <v>888</v>
      </c>
      <c r="Q192" s="87" t="s">
        <v>1187</v>
      </c>
      <c r="R192" s="87" t="s">
        <v>1202</v>
      </c>
      <c r="S192" s="87" t="s">
        <v>1202</v>
      </c>
      <c r="T192" s="87" t="s">
        <v>1202</v>
      </c>
      <c r="U192" s="87" t="s">
        <v>1188</v>
      </c>
      <c r="V192" s="87" t="s">
        <v>1216</v>
      </c>
      <c r="W192" s="67"/>
      <c r="X192" s="85" t="str">
        <f t="shared" si="26"/>
        <v>Belum Dinilai</v>
      </c>
      <c r="Y192" s="85" t="str">
        <f t="shared" si="27"/>
        <v>Belum Dinilai</v>
      </c>
      <c r="Z192" s="86">
        <f t="shared" si="28"/>
        <v>10</v>
      </c>
      <c r="AA192" s="86" t="str">
        <f t="shared" si="29"/>
        <v/>
      </c>
      <c r="AB192" s="86" t="str">
        <f t="shared" si="34"/>
        <v/>
      </c>
      <c r="AC192" s="68" t="s">
        <v>1202</v>
      </c>
      <c r="AD192" s="68" t="s">
        <v>1202</v>
      </c>
      <c r="AE192" s="68" t="s">
        <v>1202</v>
      </c>
      <c r="AF192" s="68" t="s">
        <v>1202</v>
      </c>
      <c r="AG192" s="68" t="s">
        <v>1202</v>
      </c>
      <c r="AH192" s="68" t="s">
        <v>1202</v>
      </c>
      <c r="AI192" s="68" t="s">
        <v>1202</v>
      </c>
      <c r="AJ192" s="68" t="s">
        <v>1202</v>
      </c>
      <c r="AK192" s="68" t="s">
        <v>1202</v>
      </c>
      <c r="AL192" s="68"/>
      <c r="AM192" s="68"/>
      <c r="AN192" s="68" t="str">
        <f t="shared" si="35"/>
        <v>Tidak ada risiko khusus</v>
      </c>
      <c r="AO192" s="68" t="str">
        <f t="shared" si="36"/>
        <v>Tidak Ada Risiko Khusus</v>
      </c>
      <c r="AP192" s="68"/>
      <c r="AQ192" s="71">
        <f t="shared" si="30"/>
        <v>0</v>
      </c>
      <c r="AR192" s="71">
        <f t="shared" si="32"/>
        <v>0</v>
      </c>
      <c r="AS192" s="71" t="str">
        <f t="shared" si="37"/>
        <v/>
      </c>
      <c r="AT192" s="69" t="str">
        <f t="shared" si="31"/>
        <v>Belum Dapat Ditentukan</v>
      </c>
      <c r="AU192" s="66"/>
      <c r="AV192" s="66"/>
      <c r="AW192" s="66" t="s">
        <v>1191</v>
      </c>
      <c r="AX192" s="66"/>
      <c r="AY192" s="66"/>
      <c r="AZ192" s="66"/>
      <c r="BA192" s="66"/>
      <c r="BB192" s="72"/>
      <c r="BC192" s="73"/>
      <c r="BD192" s="66"/>
      <c r="BE192" s="72"/>
      <c r="BF192" s="66"/>
    </row>
    <row r="193" spans="1:58">
      <c r="A193" s="66"/>
      <c r="B193" s="66"/>
      <c r="C193" s="66"/>
      <c r="D193" s="66"/>
      <c r="E193" s="66"/>
      <c r="F193" s="66"/>
      <c r="G193" s="66"/>
      <c r="H193" s="66"/>
      <c r="I193" s="66"/>
      <c r="J193" s="66"/>
      <c r="K193" s="66"/>
      <c r="L193" s="66"/>
      <c r="M193" s="66"/>
      <c r="N193" s="66"/>
      <c r="O193" s="66"/>
      <c r="P193" s="66"/>
      <c r="Q193" s="87"/>
      <c r="R193" s="87"/>
      <c r="S193" s="87"/>
      <c r="T193" s="87"/>
      <c r="U193" s="87"/>
      <c r="V193" s="87"/>
      <c r="W193" s="67"/>
      <c r="X193" s="85" t="str">
        <f t="shared" si="26"/>
        <v>Tidak ada faktor rentan</v>
      </c>
      <c r="Y193" s="85" t="str">
        <f t="shared" si="27"/>
        <v>Tidak Ada Faktor Rentan</v>
      </c>
      <c r="Z193" s="86" t="str">
        <f t="shared" si="28"/>
        <v/>
      </c>
      <c r="AA193" s="86">
        <f t="shared" si="29"/>
        <v>0</v>
      </c>
      <c r="AB193" s="86" t="str">
        <f t="shared" si="34"/>
        <v/>
      </c>
      <c r="AC193" s="68"/>
      <c r="AD193" s="68"/>
      <c r="AE193" s="68"/>
      <c r="AF193" s="68"/>
      <c r="AG193" s="68"/>
      <c r="AH193" s="68"/>
      <c r="AI193" s="68"/>
      <c r="AJ193" s="68"/>
      <c r="AK193" s="68"/>
      <c r="AL193" s="68"/>
      <c r="AM193" s="68"/>
      <c r="AN193" s="68" t="str">
        <f t="shared" si="35"/>
        <v>Tidak ada risiko khusus</v>
      </c>
      <c r="AO193" s="68" t="str">
        <f t="shared" si="36"/>
        <v>Tidak Ada Risiko Khusus</v>
      </c>
      <c r="AP193" s="68"/>
      <c r="AQ193" s="71" t="str">
        <f t="shared" si="30"/>
        <v/>
      </c>
      <c r="AR193" s="71">
        <f t="shared" si="32"/>
        <v>0</v>
      </c>
      <c r="AS193" s="71" t="str">
        <f t="shared" si="37"/>
        <v/>
      </c>
      <c r="AT193" s="69" t="str">
        <f t="shared" si="31"/>
        <v>Belum Dapat Ditentukan</v>
      </c>
      <c r="AU193" s="66"/>
      <c r="AV193" s="66"/>
      <c r="AW193" s="66"/>
      <c r="AX193" s="66"/>
      <c r="AY193" s="66"/>
      <c r="AZ193" s="66"/>
      <c r="BA193" s="66"/>
      <c r="BB193" s="72"/>
      <c r="BC193" s="73"/>
      <c r="BD193" s="66"/>
      <c r="BE193" s="72"/>
      <c r="BF193" s="66"/>
    </row>
    <row r="194" spans="1:58">
      <c r="A194" s="66"/>
      <c r="B194" s="66"/>
      <c r="C194" s="66"/>
      <c r="D194" s="66"/>
      <c r="E194" s="66"/>
      <c r="F194" s="66"/>
      <c r="G194" s="66"/>
      <c r="H194" s="66"/>
      <c r="I194" s="66"/>
      <c r="J194" s="66"/>
      <c r="K194" s="66"/>
      <c r="L194" s="66"/>
      <c r="M194" s="66"/>
      <c r="N194" s="66"/>
      <c r="O194" s="66"/>
      <c r="P194" s="66"/>
      <c r="Q194" s="87"/>
      <c r="R194" s="87"/>
      <c r="S194" s="87"/>
      <c r="T194" s="87"/>
      <c r="U194" s="87"/>
      <c r="V194" s="87"/>
      <c r="W194" s="67"/>
      <c r="X194" s="85" t="str">
        <f t="shared" si="26"/>
        <v>Tidak ada faktor rentan</v>
      </c>
      <c r="Y194" s="85" t="str">
        <f t="shared" si="27"/>
        <v>Tidak Ada Faktor Rentan</v>
      </c>
      <c r="Z194" s="86" t="str">
        <f t="shared" si="28"/>
        <v/>
      </c>
      <c r="AA194" s="86">
        <f t="shared" si="29"/>
        <v>0</v>
      </c>
      <c r="AB194" s="86" t="str">
        <f t="shared" si="34"/>
        <v/>
      </c>
      <c r="AC194" s="68"/>
      <c r="AD194" s="68"/>
      <c r="AE194" s="68"/>
      <c r="AF194" s="68"/>
      <c r="AG194" s="68"/>
      <c r="AH194" s="68"/>
      <c r="AI194" s="68"/>
      <c r="AJ194" s="68"/>
      <c r="AK194" s="68"/>
      <c r="AL194" s="68"/>
      <c r="AM194" s="68"/>
      <c r="AN194" s="68" t="str">
        <f t="shared" si="35"/>
        <v>Tidak ada risiko khusus</v>
      </c>
      <c r="AO194" s="68" t="str">
        <f t="shared" si="36"/>
        <v>Tidak Ada Risiko Khusus</v>
      </c>
      <c r="AP194" s="68"/>
      <c r="AQ194" s="71" t="str">
        <f t="shared" si="30"/>
        <v/>
      </c>
      <c r="AR194" s="71">
        <f t="shared" si="32"/>
        <v>0</v>
      </c>
      <c r="AS194" s="71" t="str">
        <f t="shared" si="37"/>
        <v/>
      </c>
      <c r="AT194" s="69" t="str">
        <f t="shared" si="31"/>
        <v>Belum Dapat Ditentukan</v>
      </c>
      <c r="AU194" s="66"/>
      <c r="AV194" s="66"/>
      <c r="AW194" s="66"/>
      <c r="AX194" s="66"/>
      <c r="AY194" s="66"/>
      <c r="AZ194" s="66"/>
      <c r="BA194" s="66"/>
      <c r="BB194" s="72"/>
      <c r="BC194" s="73"/>
      <c r="BD194" s="66"/>
      <c r="BE194" s="72"/>
      <c r="BF194" s="66"/>
    </row>
    <row r="195" spans="1:58">
      <c r="A195" s="66"/>
      <c r="B195" s="66"/>
      <c r="C195" s="66"/>
      <c r="D195" s="66"/>
      <c r="E195" s="66"/>
      <c r="F195" s="66"/>
      <c r="G195" s="66"/>
      <c r="H195" s="66"/>
      <c r="I195" s="66"/>
      <c r="J195" s="66"/>
      <c r="K195" s="66"/>
      <c r="L195" s="66"/>
      <c r="M195" s="66"/>
      <c r="N195" s="66"/>
      <c r="O195" s="66"/>
      <c r="P195" s="66"/>
      <c r="Q195" s="87"/>
      <c r="R195" s="87"/>
      <c r="S195" s="87"/>
      <c r="T195" s="87"/>
      <c r="U195" s="87"/>
      <c r="V195" s="87"/>
      <c r="W195" s="67"/>
      <c r="X195" s="85" t="str">
        <f t="shared" si="26"/>
        <v>Tidak ada faktor rentan</v>
      </c>
      <c r="Y195" s="85" t="str">
        <f t="shared" si="27"/>
        <v>Tidak Ada Faktor Rentan</v>
      </c>
      <c r="Z195" s="86" t="str">
        <f t="shared" si="28"/>
        <v/>
      </c>
      <c r="AA195" s="86">
        <f t="shared" si="29"/>
        <v>0</v>
      </c>
      <c r="AB195" s="86" t="str">
        <f t="shared" si="34"/>
        <v/>
      </c>
      <c r="AC195" s="68"/>
      <c r="AD195" s="68"/>
      <c r="AE195" s="68"/>
      <c r="AF195" s="68"/>
      <c r="AG195" s="68"/>
      <c r="AH195" s="68"/>
      <c r="AI195" s="68"/>
      <c r="AJ195" s="68"/>
      <c r="AK195" s="68"/>
      <c r="AL195" s="68"/>
      <c r="AM195" s="68"/>
      <c r="AN195" s="68" t="str">
        <f t="shared" si="35"/>
        <v>Tidak ada risiko khusus</v>
      </c>
      <c r="AO195" s="68" t="str">
        <f t="shared" si="36"/>
        <v>Tidak Ada Risiko Khusus</v>
      </c>
      <c r="AP195" s="68"/>
      <c r="AQ195" s="71" t="str">
        <f t="shared" si="30"/>
        <v/>
      </c>
      <c r="AR195" s="71">
        <f t="shared" si="32"/>
        <v>0</v>
      </c>
      <c r="AS195" s="71" t="str">
        <f t="shared" si="37"/>
        <v/>
      </c>
      <c r="AT195" s="69" t="str">
        <f t="shared" si="31"/>
        <v>Belum Dapat Ditentukan</v>
      </c>
      <c r="AU195" s="66"/>
      <c r="AV195" s="66"/>
      <c r="AW195" s="66"/>
      <c r="AX195" s="66"/>
      <c r="AY195" s="66"/>
      <c r="AZ195" s="66"/>
      <c r="BA195" s="66"/>
      <c r="BB195" s="72"/>
      <c r="BC195" s="73"/>
      <c r="BD195" s="66"/>
      <c r="BE195" s="72"/>
      <c r="BF195" s="66"/>
    </row>
    <row r="196" spans="1:58">
      <c r="A196" s="66"/>
      <c r="B196" s="66"/>
      <c r="C196" s="66"/>
      <c r="D196" s="66"/>
      <c r="E196" s="66"/>
      <c r="F196" s="66"/>
      <c r="G196" s="66"/>
      <c r="H196" s="66"/>
      <c r="I196" s="66"/>
      <c r="J196" s="66"/>
      <c r="K196" s="66"/>
      <c r="L196" s="66"/>
      <c r="M196" s="66"/>
      <c r="N196" s="66"/>
      <c r="O196" s="66"/>
      <c r="P196" s="66"/>
      <c r="Q196" s="87"/>
      <c r="R196" s="87"/>
      <c r="S196" s="87"/>
      <c r="T196" s="87"/>
      <c r="U196" s="87"/>
      <c r="V196" s="87"/>
      <c r="W196" s="67"/>
      <c r="X196" s="85" t="str">
        <f t="shared" si="26"/>
        <v>Tidak ada faktor rentan</v>
      </c>
      <c r="Y196" s="85" t="str">
        <f t="shared" si="27"/>
        <v>Tidak Ada Faktor Rentan</v>
      </c>
      <c r="Z196" s="86" t="str">
        <f t="shared" si="28"/>
        <v/>
      </c>
      <c r="AA196" s="86">
        <f t="shared" si="29"/>
        <v>0</v>
      </c>
      <c r="AB196" s="86" t="str">
        <f t="shared" si="34"/>
        <v/>
      </c>
      <c r="AC196" s="68"/>
      <c r="AD196" s="68"/>
      <c r="AE196" s="68"/>
      <c r="AF196" s="68"/>
      <c r="AG196" s="68"/>
      <c r="AH196" s="68"/>
      <c r="AI196" s="68"/>
      <c r="AJ196" s="68"/>
      <c r="AK196" s="68"/>
      <c r="AL196" s="68"/>
      <c r="AM196" s="68"/>
      <c r="AN196" s="68" t="str">
        <f t="shared" si="35"/>
        <v>Tidak ada risiko khusus</v>
      </c>
      <c r="AO196" s="68" t="str">
        <f t="shared" si="36"/>
        <v>Tidak Ada Risiko Khusus</v>
      </c>
      <c r="AP196" s="68"/>
      <c r="AQ196" s="71" t="str">
        <f t="shared" si="30"/>
        <v/>
      </c>
      <c r="AR196" s="71">
        <f t="shared" si="32"/>
        <v>0</v>
      </c>
      <c r="AS196" s="71" t="str">
        <f t="shared" si="37"/>
        <v/>
      </c>
      <c r="AT196" s="69" t="str">
        <f t="shared" si="31"/>
        <v>Belum Dapat Ditentukan</v>
      </c>
      <c r="AU196" s="66"/>
      <c r="AV196" s="66"/>
      <c r="AW196" s="66"/>
      <c r="AX196" s="66"/>
      <c r="AY196" s="66"/>
      <c r="AZ196" s="66"/>
      <c r="BA196" s="66"/>
      <c r="BB196" s="72"/>
      <c r="BC196" s="73"/>
      <c r="BD196" s="66"/>
      <c r="BE196" s="72"/>
      <c r="BF196" s="66"/>
    </row>
    <row r="197" spans="1:58">
      <c r="A197" s="66"/>
      <c r="B197" s="66"/>
      <c r="C197" s="66"/>
      <c r="D197" s="66"/>
      <c r="E197" s="66"/>
      <c r="F197" s="66"/>
      <c r="G197" s="66"/>
      <c r="H197" s="66"/>
      <c r="I197" s="66"/>
      <c r="J197" s="66"/>
      <c r="K197" s="66"/>
      <c r="L197" s="66"/>
      <c r="M197" s="66"/>
      <c r="N197" s="66"/>
      <c r="O197" s="66"/>
      <c r="P197" s="66"/>
      <c r="Q197" s="87"/>
      <c r="R197" s="87"/>
      <c r="S197" s="87"/>
      <c r="T197" s="87"/>
      <c r="U197" s="87"/>
      <c r="V197" s="87"/>
      <c r="W197" s="67"/>
      <c r="X197" s="85" t="str">
        <f t="shared" si="26"/>
        <v>Tidak ada faktor rentan</v>
      </c>
      <c r="Y197" s="85" t="str">
        <f t="shared" si="27"/>
        <v>Tidak Ada Faktor Rentan</v>
      </c>
      <c r="Z197" s="86" t="str">
        <f t="shared" si="28"/>
        <v/>
      </c>
      <c r="AA197" s="86">
        <f t="shared" si="29"/>
        <v>0</v>
      </c>
      <c r="AB197" s="86" t="str">
        <f t="shared" si="34"/>
        <v/>
      </c>
      <c r="AC197" s="68"/>
      <c r="AD197" s="68"/>
      <c r="AE197" s="68"/>
      <c r="AF197" s="68"/>
      <c r="AG197" s="68"/>
      <c r="AH197" s="68"/>
      <c r="AI197" s="68"/>
      <c r="AJ197" s="68"/>
      <c r="AK197" s="68"/>
      <c r="AL197" s="68"/>
      <c r="AM197" s="68"/>
      <c r="AN197" s="68" t="str">
        <f t="shared" si="35"/>
        <v>Tidak ada risiko khusus</v>
      </c>
      <c r="AO197" s="68" t="str">
        <f t="shared" si="36"/>
        <v>Tidak Ada Risiko Khusus</v>
      </c>
      <c r="AP197" s="68"/>
      <c r="AQ197" s="71" t="str">
        <f t="shared" si="30"/>
        <v/>
      </c>
      <c r="AR197" s="71">
        <f t="shared" si="32"/>
        <v>0</v>
      </c>
      <c r="AS197" s="71" t="str">
        <f t="shared" si="37"/>
        <v/>
      </c>
      <c r="AT197" s="69" t="str">
        <f t="shared" si="31"/>
        <v>Belum Dapat Ditentukan</v>
      </c>
      <c r="AU197" s="66"/>
      <c r="AV197" s="66"/>
      <c r="AW197" s="66"/>
      <c r="AX197" s="66"/>
      <c r="AY197" s="66"/>
      <c r="AZ197" s="66"/>
      <c r="BA197" s="66"/>
      <c r="BB197" s="72"/>
      <c r="BC197" s="73"/>
      <c r="BD197" s="66"/>
      <c r="BE197" s="72"/>
      <c r="BF197" s="66"/>
    </row>
    <row r="198" spans="1:58">
      <c r="A198" s="66"/>
      <c r="B198" s="66"/>
      <c r="C198" s="66"/>
      <c r="D198" s="66"/>
      <c r="E198" s="66"/>
      <c r="F198" s="66"/>
      <c r="G198" s="66"/>
      <c r="H198" s="66"/>
      <c r="I198" s="66"/>
      <c r="J198" s="66"/>
      <c r="K198" s="66"/>
      <c r="L198" s="66"/>
      <c r="M198" s="66"/>
      <c r="N198" s="66"/>
      <c r="O198" s="66"/>
      <c r="P198" s="66"/>
      <c r="Q198" s="87"/>
      <c r="R198" s="87"/>
      <c r="S198" s="87"/>
      <c r="T198" s="87"/>
      <c r="U198" s="87"/>
      <c r="V198" s="87"/>
      <c r="W198" s="67"/>
      <c r="X198" s="85" t="str">
        <f t="shared" ref="X198:X261" si="38">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85" t="str">
        <f t="shared" ref="Y198:Y261" si="39">IF(COUNTIF(R198:V198,"Belum Dinilai")&gt;0,"Belum Dinilai",IF(COUNTIF(R198:V198,"Ya")=0,"Tidak Ada Faktor Rentan",IF(COUNTIF(R198:V198,"Ya")=1,"1 Faktor Rentan","2 atau Lebih Faktor Rentan")))</f>
        <v>Tidak Ada Faktor Rentan</v>
      </c>
      <c r="Z198" s="86" t="str">
        <f t="shared" ref="Z198:Z261" si="40">IF(OR(Q198="",Q198="Belum Dinilai"),"",IF(Q198="Terverifikasi DTKS/P3KE/MBR",10,IF(Q198="Diusulkan, Belum Terverifikasi",5,0)))</f>
        <v/>
      </c>
      <c r="AA198" s="86">
        <f t="shared" ref="AA198:AA261" si="41">IF(COUNTIF(R198:V198,"Belum Dinilai")&gt;0,"",IF(COUNTIF(R198:V198,"Ya")=0,0,IF(COUNTIF(R198:V198,"Ya")=1,5,10)))</f>
        <v>0</v>
      </c>
      <c r="AB198" s="86" t="str">
        <f t="shared" si="34"/>
        <v/>
      </c>
      <c r="AC198" s="68"/>
      <c r="AD198" s="68"/>
      <c r="AE198" s="68"/>
      <c r="AF198" s="68"/>
      <c r="AG198" s="68"/>
      <c r="AH198" s="68"/>
      <c r="AI198" s="68"/>
      <c r="AJ198" s="68"/>
      <c r="AK198" s="68"/>
      <c r="AL198" s="68"/>
      <c r="AM198" s="68"/>
      <c r="AN198" s="68" t="str">
        <f t="shared" si="35"/>
        <v>Tidak ada risiko khusus</v>
      </c>
      <c r="AO198" s="68" t="str">
        <f t="shared" si="36"/>
        <v>Tidak Ada Risiko Khusus</v>
      </c>
      <c r="AP198" s="68"/>
      <c r="AQ198" s="71" t="str">
        <f t="shared" ref="AQ198:AQ261" si="42">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
      </c>
      <c r="AR198" s="71">
        <f t="shared" si="32"/>
        <v>0</v>
      </c>
      <c r="AS198" s="71" t="str">
        <f t="shared" si="37"/>
        <v/>
      </c>
      <c r="AT198" s="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Belum Dapat Ditentukan</v>
      </c>
      <c r="AU198" s="66"/>
      <c r="AV198" s="66"/>
      <c r="AW198" s="66"/>
      <c r="AX198" s="66"/>
      <c r="AY198" s="66"/>
      <c r="AZ198" s="66"/>
      <c r="BA198" s="66"/>
      <c r="BB198" s="72"/>
      <c r="BC198" s="73"/>
      <c r="BD198" s="66"/>
      <c r="BE198" s="72"/>
      <c r="BF198" s="66"/>
    </row>
    <row r="199" spans="1:58">
      <c r="A199" s="66"/>
      <c r="B199" s="66"/>
      <c r="C199" s="66"/>
      <c r="D199" s="66"/>
      <c r="E199" s="66"/>
      <c r="F199" s="66"/>
      <c r="G199" s="66"/>
      <c r="H199" s="66"/>
      <c r="I199" s="66"/>
      <c r="J199" s="66"/>
      <c r="K199" s="66"/>
      <c r="L199" s="66"/>
      <c r="M199" s="66"/>
      <c r="N199" s="66"/>
      <c r="O199" s="66"/>
      <c r="P199" s="66"/>
      <c r="Q199" s="87"/>
      <c r="R199" s="87"/>
      <c r="S199" s="87"/>
      <c r="T199" s="87"/>
      <c r="U199" s="87"/>
      <c r="V199" s="87"/>
      <c r="W199" s="67"/>
      <c r="X199" s="85" t="str">
        <f t="shared" si="38"/>
        <v>Tidak ada faktor rentan</v>
      </c>
      <c r="Y199" s="85" t="str">
        <f t="shared" si="39"/>
        <v>Tidak Ada Faktor Rentan</v>
      </c>
      <c r="Z199" s="86" t="str">
        <f t="shared" si="40"/>
        <v/>
      </c>
      <c r="AA199" s="86">
        <f t="shared" si="41"/>
        <v>0</v>
      </c>
      <c r="AB199" s="86" t="str">
        <f t="shared" si="34"/>
        <v/>
      </c>
      <c r="AC199" s="68"/>
      <c r="AD199" s="68"/>
      <c r="AE199" s="68"/>
      <c r="AF199" s="68"/>
      <c r="AG199" s="68"/>
      <c r="AH199" s="68"/>
      <c r="AI199" s="68"/>
      <c r="AJ199" s="68"/>
      <c r="AK199" s="68"/>
      <c r="AL199" s="68"/>
      <c r="AM199" s="68"/>
      <c r="AN199" s="68" t="str">
        <f t="shared" si="35"/>
        <v>Tidak ada risiko khusus</v>
      </c>
      <c r="AO199" s="68" t="str">
        <f t="shared" si="36"/>
        <v>Tidak Ada Risiko Khusus</v>
      </c>
      <c r="AP199" s="68"/>
      <c r="AQ199" s="71" t="str">
        <f t="shared" si="42"/>
        <v/>
      </c>
      <c r="AR199" s="71">
        <f t="shared" si="32"/>
        <v>0</v>
      </c>
      <c r="AS199" s="71" t="str">
        <f t="shared" si="37"/>
        <v/>
      </c>
      <c r="AT199" s="69" t="str">
        <f t="shared" si="43"/>
        <v>Belum Dapat Ditentukan</v>
      </c>
      <c r="AU199" s="66"/>
      <c r="AV199" s="66"/>
      <c r="AW199" s="66"/>
      <c r="AX199" s="66"/>
      <c r="AY199" s="66"/>
      <c r="AZ199" s="66"/>
      <c r="BA199" s="66"/>
      <c r="BB199" s="72"/>
      <c r="BC199" s="73"/>
      <c r="BD199" s="66"/>
      <c r="BE199" s="72"/>
      <c r="BF199" s="66"/>
    </row>
    <row r="200" spans="1:58">
      <c r="A200" s="66"/>
      <c r="B200" s="66"/>
      <c r="C200" s="66"/>
      <c r="D200" s="66"/>
      <c r="E200" s="66"/>
      <c r="F200" s="66"/>
      <c r="G200" s="66"/>
      <c r="H200" s="66"/>
      <c r="I200" s="66"/>
      <c r="J200" s="66"/>
      <c r="K200" s="66"/>
      <c r="L200" s="66"/>
      <c r="M200" s="66"/>
      <c r="N200" s="66"/>
      <c r="O200" s="66"/>
      <c r="P200" s="66"/>
      <c r="Q200" s="87"/>
      <c r="R200" s="87"/>
      <c r="S200" s="87"/>
      <c r="T200" s="87"/>
      <c r="U200" s="87"/>
      <c r="V200" s="87"/>
      <c r="W200" s="67"/>
      <c r="X200" s="85" t="str">
        <f t="shared" si="38"/>
        <v>Tidak ada faktor rentan</v>
      </c>
      <c r="Y200" s="85" t="str">
        <f t="shared" si="39"/>
        <v>Tidak Ada Faktor Rentan</v>
      </c>
      <c r="Z200" s="86" t="str">
        <f t="shared" si="40"/>
        <v/>
      </c>
      <c r="AA200" s="86">
        <f t="shared" si="41"/>
        <v>0</v>
      </c>
      <c r="AB200" s="86" t="str">
        <f t="shared" si="34"/>
        <v/>
      </c>
      <c r="AC200" s="68"/>
      <c r="AD200" s="68"/>
      <c r="AE200" s="68"/>
      <c r="AF200" s="68"/>
      <c r="AG200" s="68"/>
      <c r="AH200" s="68"/>
      <c r="AI200" s="68"/>
      <c r="AJ200" s="68"/>
      <c r="AK200" s="68"/>
      <c r="AL200" s="68"/>
      <c r="AM200" s="68"/>
      <c r="AN200" s="68" t="str">
        <f t="shared" si="35"/>
        <v>Tidak ada risiko khusus</v>
      </c>
      <c r="AO200" s="68" t="str">
        <f t="shared" si="36"/>
        <v>Tidak Ada Risiko Khusus</v>
      </c>
      <c r="AP200" s="68"/>
      <c r="AQ200" s="71" t="str">
        <f t="shared" si="42"/>
        <v/>
      </c>
      <c r="AR200" s="71">
        <f t="shared" ref="AR200:AR263" si="44">IF(
 OR(
  COUNTIF(AC200:AH200,"Ya")&gt;0,
  AND(AL200&lt;&gt;"",AM200="Risiko Tinggi/Darurat"),
  COUNTIF(AI200:AK200,"Ya")+IF(AND(AL200&lt;&gt;"",AM200="Risiko Sedang"),1,0)&gt;=2
 ),
 10,
 IF(
  OR(
   COUNTIF(AC200:AK200,"Belum Dinilai")&gt;0,
   AND(AL200&lt;&gt;"",OR(AM200="",AM200="Belum Dinilai")),
   AND(AL200="",OR(AM200="Risiko Sedang",AM200="Risiko Tinggi/Darurat"))
  ),
  "",
  IF(
   COUNTIF(AI200:AK200,"Ya")+IF(AND(AL200&lt;&gt;"",AM200="Risiko Sedang"),1,0)=1,
   5,
   0
  )
 )
)</f>
        <v>0</v>
      </c>
      <c r="AS200" s="71" t="str">
        <f t="shared" si="37"/>
        <v/>
      </c>
      <c r="AT200" s="69" t="str">
        <f t="shared" si="43"/>
        <v>Belum Dapat Ditentukan</v>
      </c>
      <c r="AU200" s="66"/>
      <c r="AV200" s="66"/>
      <c r="AW200" s="66"/>
      <c r="AX200" s="66"/>
      <c r="AY200" s="66"/>
      <c r="AZ200" s="66"/>
      <c r="BA200" s="66"/>
      <c r="BB200" s="72"/>
      <c r="BC200" s="73"/>
      <c r="BD200" s="66"/>
      <c r="BE200" s="72"/>
      <c r="BF200" s="66"/>
    </row>
    <row r="201" spans="1:58">
      <c r="A201" s="66"/>
      <c r="B201" s="66"/>
      <c r="C201" s="66"/>
      <c r="D201" s="66"/>
      <c r="E201" s="66"/>
      <c r="F201" s="66"/>
      <c r="G201" s="66"/>
      <c r="H201" s="66"/>
      <c r="I201" s="66"/>
      <c r="J201" s="66"/>
      <c r="K201" s="66"/>
      <c r="L201" s="66"/>
      <c r="M201" s="66"/>
      <c r="N201" s="66"/>
      <c r="O201" s="66"/>
      <c r="P201" s="66"/>
      <c r="Q201" s="87"/>
      <c r="R201" s="87"/>
      <c r="S201" s="87"/>
      <c r="T201" s="87"/>
      <c r="U201" s="87"/>
      <c r="V201" s="87"/>
      <c r="W201" s="67"/>
      <c r="X201" s="85" t="str">
        <f t="shared" si="38"/>
        <v>Tidak ada faktor rentan</v>
      </c>
      <c r="Y201" s="85" t="str">
        <f t="shared" si="39"/>
        <v>Tidak Ada Faktor Rentan</v>
      </c>
      <c r="Z201" s="86" t="str">
        <f t="shared" si="40"/>
        <v/>
      </c>
      <c r="AA201" s="86">
        <f t="shared" si="41"/>
        <v>0</v>
      </c>
      <c r="AB201" s="86" t="str">
        <f t="shared" si="34"/>
        <v/>
      </c>
      <c r="AC201" s="68"/>
      <c r="AD201" s="68"/>
      <c r="AE201" s="68"/>
      <c r="AF201" s="68"/>
      <c r="AG201" s="68"/>
      <c r="AH201" s="68"/>
      <c r="AI201" s="68"/>
      <c r="AJ201" s="68"/>
      <c r="AK201" s="68"/>
      <c r="AL201" s="68"/>
      <c r="AM201" s="68"/>
      <c r="AN201" s="68" t="str">
        <f t="shared" si="35"/>
        <v>Tidak ada risiko khusus</v>
      </c>
      <c r="AO201" s="68" t="str">
        <f t="shared" si="36"/>
        <v>Tidak Ada Risiko Khusus</v>
      </c>
      <c r="AP201" s="68"/>
      <c r="AQ201" s="71" t="str">
        <f t="shared" si="42"/>
        <v/>
      </c>
      <c r="AR201" s="71">
        <f t="shared" si="44"/>
        <v>0</v>
      </c>
      <c r="AS201" s="71" t="str">
        <f t="shared" si="37"/>
        <v/>
      </c>
      <c r="AT201" s="69" t="str">
        <f t="shared" si="43"/>
        <v>Belum Dapat Ditentukan</v>
      </c>
      <c r="AU201" s="66"/>
      <c r="AV201" s="66"/>
      <c r="AW201" s="66"/>
      <c r="AX201" s="66"/>
      <c r="AY201" s="66"/>
      <c r="AZ201" s="66"/>
      <c r="BA201" s="66"/>
      <c r="BB201" s="72"/>
      <c r="BC201" s="73"/>
      <c r="BD201" s="66"/>
      <c r="BE201" s="72"/>
      <c r="BF201" s="66"/>
    </row>
    <row r="202" spans="1:58">
      <c r="A202" s="66"/>
      <c r="B202" s="66"/>
      <c r="C202" s="66"/>
      <c r="D202" s="66"/>
      <c r="E202" s="66"/>
      <c r="F202" s="66"/>
      <c r="G202" s="66"/>
      <c r="H202" s="66"/>
      <c r="I202" s="66"/>
      <c r="J202" s="66"/>
      <c r="K202" s="66"/>
      <c r="L202" s="66"/>
      <c r="M202" s="66"/>
      <c r="N202" s="66"/>
      <c r="O202" s="66"/>
      <c r="P202" s="66"/>
      <c r="Q202" s="87"/>
      <c r="R202" s="87"/>
      <c r="S202" s="87"/>
      <c r="T202" s="87"/>
      <c r="U202" s="87"/>
      <c r="V202" s="87"/>
      <c r="W202" s="67"/>
      <c r="X202" s="85" t="str">
        <f t="shared" si="38"/>
        <v>Tidak ada faktor rentan</v>
      </c>
      <c r="Y202" s="85" t="str">
        <f t="shared" si="39"/>
        <v>Tidak Ada Faktor Rentan</v>
      </c>
      <c r="Z202" s="86" t="str">
        <f t="shared" si="40"/>
        <v/>
      </c>
      <c r="AA202" s="86">
        <f t="shared" si="41"/>
        <v>0</v>
      </c>
      <c r="AB202" s="86" t="str">
        <f t="shared" si="34"/>
        <v/>
      </c>
      <c r="AC202" s="68"/>
      <c r="AD202" s="68"/>
      <c r="AE202" s="68"/>
      <c r="AF202" s="68"/>
      <c r="AG202" s="68"/>
      <c r="AH202" s="68"/>
      <c r="AI202" s="68"/>
      <c r="AJ202" s="68"/>
      <c r="AK202" s="68"/>
      <c r="AL202" s="68"/>
      <c r="AM202" s="68"/>
      <c r="AN202" s="68" t="str">
        <f t="shared" si="35"/>
        <v>Tidak ada risiko khusus</v>
      </c>
      <c r="AO202" s="68" t="str">
        <f t="shared" si="36"/>
        <v>Tidak Ada Risiko Khusus</v>
      </c>
      <c r="AP202" s="68"/>
      <c r="AQ202" s="71" t="str">
        <f t="shared" si="42"/>
        <v/>
      </c>
      <c r="AR202" s="71">
        <f t="shared" si="44"/>
        <v>0</v>
      </c>
      <c r="AS202" s="71" t="str">
        <f t="shared" si="37"/>
        <v/>
      </c>
      <c r="AT202" s="69" t="str">
        <f t="shared" si="43"/>
        <v>Belum Dapat Ditentukan</v>
      </c>
      <c r="AU202" s="66"/>
      <c r="AV202" s="66"/>
      <c r="AW202" s="66"/>
      <c r="AX202" s="66"/>
      <c r="AY202" s="66"/>
      <c r="AZ202" s="66"/>
      <c r="BA202" s="66"/>
      <c r="BB202" s="72"/>
      <c r="BC202" s="73"/>
      <c r="BD202" s="66"/>
      <c r="BE202" s="72"/>
      <c r="BF202" s="66"/>
    </row>
    <row r="203" spans="1:58">
      <c r="A203" s="66"/>
      <c r="B203" s="66"/>
      <c r="C203" s="66"/>
      <c r="D203" s="66"/>
      <c r="E203" s="66"/>
      <c r="F203" s="66"/>
      <c r="G203" s="66"/>
      <c r="H203" s="66"/>
      <c r="I203" s="66"/>
      <c r="J203" s="66"/>
      <c r="K203" s="66"/>
      <c r="L203" s="66"/>
      <c r="M203" s="66"/>
      <c r="N203" s="66"/>
      <c r="O203" s="66"/>
      <c r="P203" s="66"/>
      <c r="Q203" s="87"/>
      <c r="R203" s="87"/>
      <c r="S203" s="87"/>
      <c r="T203" s="87"/>
      <c r="U203" s="87"/>
      <c r="V203" s="87"/>
      <c r="W203" s="67"/>
      <c r="X203" s="85" t="str">
        <f t="shared" si="38"/>
        <v>Tidak ada faktor rentan</v>
      </c>
      <c r="Y203" s="85" t="str">
        <f t="shared" si="39"/>
        <v>Tidak Ada Faktor Rentan</v>
      </c>
      <c r="Z203" s="86" t="str">
        <f t="shared" si="40"/>
        <v/>
      </c>
      <c r="AA203" s="86">
        <f t="shared" si="41"/>
        <v>0</v>
      </c>
      <c r="AB203" s="86" t="str">
        <f t="shared" si="34"/>
        <v/>
      </c>
      <c r="AC203" s="68"/>
      <c r="AD203" s="68"/>
      <c r="AE203" s="68"/>
      <c r="AF203" s="68"/>
      <c r="AG203" s="68"/>
      <c r="AH203" s="68"/>
      <c r="AI203" s="68"/>
      <c r="AJ203" s="68"/>
      <c r="AK203" s="68"/>
      <c r="AL203" s="68"/>
      <c r="AM203" s="68"/>
      <c r="AN203" s="68" t="str">
        <f t="shared" si="35"/>
        <v>Tidak ada risiko khusus</v>
      </c>
      <c r="AO203" s="68" t="str">
        <f t="shared" si="36"/>
        <v>Tidak Ada Risiko Khusus</v>
      </c>
      <c r="AP203" s="68"/>
      <c r="AQ203" s="71" t="str">
        <f t="shared" si="42"/>
        <v/>
      </c>
      <c r="AR203" s="71">
        <f t="shared" si="44"/>
        <v>0</v>
      </c>
      <c r="AS203" s="71" t="str">
        <f t="shared" si="37"/>
        <v/>
      </c>
      <c r="AT203" s="69" t="str">
        <f t="shared" si="43"/>
        <v>Belum Dapat Ditentukan</v>
      </c>
      <c r="AU203" s="66"/>
      <c r="AV203" s="66"/>
      <c r="AW203" s="66"/>
      <c r="AX203" s="66"/>
      <c r="AY203" s="66"/>
      <c r="AZ203" s="66"/>
      <c r="BA203" s="66"/>
      <c r="BB203" s="72"/>
      <c r="BC203" s="73"/>
      <c r="BD203" s="66"/>
      <c r="BE203" s="72"/>
      <c r="BF203" s="66"/>
    </row>
    <row r="204" spans="1:58">
      <c r="A204" s="66"/>
      <c r="B204" s="66"/>
      <c r="C204" s="66"/>
      <c r="D204" s="66"/>
      <c r="E204" s="66"/>
      <c r="F204" s="66"/>
      <c r="G204" s="66"/>
      <c r="H204" s="66"/>
      <c r="I204" s="66"/>
      <c r="J204" s="66"/>
      <c r="K204" s="66"/>
      <c r="L204" s="66"/>
      <c r="M204" s="66"/>
      <c r="N204" s="66"/>
      <c r="O204" s="66"/>
      <c r="P204" s="66"/>
      <c r="Q204" s="87"/>
      <c r="R204" s="87"/>
      <c r="S204" s="87"/>
      <c r="T204" s="87"/>
      <c r="U204" s="87"/>
      <c r="V204" s="87"/>
      <c r="W204" s="67"/>
      <c r="X204" s="85" t="str">
        <f t="shared" si="38"/>
        <v>Tidak ada faktor rentan</v>
      </c>
      <c r="Y204" s="85" t="str">
        <f t="shared" si="39"/>
        <v>Tidak Ada Faktor Rentan</v>
      </c>
      <c r="Z204" s="86" t="str">
        <f t="shared" si="40"/>
        <v/>
      </c>
      <c r="AA204" s="86">
        <f t="shared" si="41"/>
        <v>0</v>
      </c>
      <c r="AB204" s="86" t="str">
        <f t="shared" si="34"/>
        <v/>
      </c>
      <c r="AC204" s="68"/>
      <c r="AD204" s="68"/>
      <c r="AE204" s="68"/>
      <c r="AF204" s="68"/>
      <c r="AG204" s="68"/>
      <c r="AH204" s="68"/>
      <c r="AI204" s="68"/>
      <c r="AJ204" s="68"/>
      <c r="AK204" s="68"/>
      <c r="AL204" s="68"/>
      <c r="AM204" s="68"/>
      <c r="AN204" s="68" t="str">
        <f t="shared" si="35"/>
        <v>Tidak ada risiko khusus</v>
      </c>
      <c r="AO204" s="68" t="str">
        <f t="shared" si="36"/>
        <v>Tidak Ada Risiko Khusus</v>
      </c>
      <c r="AP204" s="68"/>
      <c r="AQ204" s="71" t="str">
        <f t="shared" si="42"/>
        <v/>
      </c>
      <c r="AR204" s="71">
        <f t="shared" si="44"/>
        <v>0</v>
      </c>
      <c r="AS204" s="71" t="str">
        <f t="shared" si="37"/>
        <v/>
      </c>
      <c r="AT204" s="69" t="str">
        <f t="shared" si="43"/>
        <v>Belum Dapat Ditentukan</v>
      </c>
      <c r="AU204" s="66"/>
      <c r="AV204" s="66"/>
      <c r="AW204" s="66"/>
      <c r="AX204" s="66"/>
      <c r="AY204" s="66"/>
      <c r="AZ204" s="66"/>
      <c r="BA204" s="66"/>
      <c r="BB204" s="72"/>
      <c r="BC204" s="73"/>
      <c r="BD204" s="66"/>
      <c r="BE204" s="72"/>
      <c r="BF204" s="66"/>
    </row>
    <row r="205" spans="1:58">
      <c r="A205" s="66"/>
      <c r="B205" s="66"/>
      <c r="C205" s="66"/>
      <c r="D205" s="66"/>
      <c r="E205" s="66"/>
      <c r="F205" s="66"/>
      <c r="G205" s="66"/>
      <c r="H205" s="66"/>
      <c r="I205" s="66"/>
      <c r="J205" s="66"/>
      <c r="K205" s="66"/>
      <c r="L205" s="66"/>
      <c r="M205" s="66"/>
      <c r="N205" s="66"/>
      <c r="O205" s="66"/>
      <c r="P205" s="66"/>
      <c r="Q205" s="87"/>
      <c r="R205" s="87"/>
      <c r="S205" s="87"/>
      <c r="T205" s="87"/>
      <c r="U205" s="87"/>
      <c r="V205" s="87"/>
      <c r="W205" s="67"/>
      <c r="X205" s="85" t="str">
        <f t="shared" si="38"/>
        <v>Tidak ada faktor rentan</v>
      </c>
      <c r="Y205" s="85" t="str">
        <f t="shared" si="39"/>
        <v>Tidak Ada Faktor Rentan</v>
      </c>
      <c r="Z205" s="86" t="str">
        <f t="shared" si="40"/>
        <v/>
      </c>
      <c r="AA205" s="86">
        <f t="shared" si="41"/>
        <v>0</v>
      </c>
      <c r="AB205" s="86" t="str">
        <f t="shared" si="34"/>
        <v/>
      </c>
      <c r="AC205" s="68"/>
      <c r="AD205" s="68"/>
      <c r="AE205" s="68"/>
      <c r="AF205" s="68"/>
      <c r="AG205" s="68"/>
      <c r="AH205" s="68"/>
      <c r="AI205" s="68"/>
      <c r="AJ205" s="68"/>
      <c r="AK205" s="68"/>
      <c r="AL205" s="68"/>
      <c r="AM205" s="68"/>
      <c r="AN205" s="68" t="str">
        <f t="shared" si="35"/>
        <v>Tidak ada risiko khusus</v>
      </c>
      <c r="AO205" s="68" t="str">
        <f t="shared" si="36"/>
        <v>Tidak Ada Risiko Khusus</v>
      </c>
      <c r="AP205" s="68"/>
      <c r="AQ205" s="71" t="str">
        <f t="shared" si="42"/>
        <v/>
      </c>
      <c r="AR205" s="71">
        <f t="shared" si="44"/>
        <v>0</v>
      </c>
      <c r="AS205" s="71" t="str">
        <f t="shared" si="37"/>
        <v/>
      </c>
      <c r="AT205" s="69" t="str">
        <f t="shared" si="43"/>
        <v>Belum Dapat Ditentukan</v>
      </c>
      <c r="AU205" s="66"/>
      <c r="AV205" s="66"/>
      <c r="AW205" s="66"/>
      <c r="AX205" s="66"/>
      <c r="AY205" s="66"/>
      <c r="AZ205" s="66"/>
      <c r="BA205" s="66"/>
      <c r="BB205" s="72"/>
      <c r="BC205" s="73"/>
      <c r="BD205" s="66"/>
      <c r="BE205" s="72"/>
      <c r="BF205" s="66"/>
    </row>
    <row r="206" spans="1:58">
      <c r="A206" s="66"/>
      <c r="B206" s="66"/>
      <c r="C206" s="66"/>
      <c r="D206" s="66"/>
      <c r="E206" s="66"/>
      <c r="F206" s="66"/>
      <c r="G206" s="66"/>
      <c r="H206" s="66"/>
      <c r="I206" s="66"/>
      <c r="J206" s="66"/>
      <c r="K206" s="66"/>
      <c r="L206" s="66"/>
      <c r="M206" s="66"/>
      <c r="N206" s="66"/>
      <c r="O206" s="66"/>
      <c r="P206" s="66"/>
      <c r="Q206" s="87"/>
      <c r="R206" s="87"/>
      <c r="S206" s="87"/>
      <c r="T206" s="87"/>
      <c r="U206" s="87"/>
      <c r="V206" s="87"/>
      <c r="W206" s="67"/>
      <c r="X206" s="85" t="str">
        <f t="shared" si="38"/>
        <v>Tidak ada faktor rentan</v>
      </c>
      <c r="Y206" s="85" t="str">
        <f t="shared" si="39"/>
        <v>Tidak Ada Faktor Rentan</v>
      </c>
      <c r="Z206" s="86" t="str">
        <f t="shared" si="40"/>
        <v/>
      </c>
      <c r="AA206" s="86">
        <f t="shared" si="41"/>
        <v>0</v>
      </c>
      <c r="AB206" s="86" t="str">
        <f t="shared" si="34"/>
        <v/>
      </c>
      <c r="AC206" s="68"/>
      <c r="AD206" s="68"/>
      <c r="AE206" s="68"/>
      <c r="AF206" s="68"/>
      <c r="AG206" s="68"/>
      <c r="AH206" s="68"/>
      <c r="AI206" s="68"/>
      <c r="AJ206" s="68"/>
      <c r="AK206" s="68"/>
      <c r="AL206" s="68"/>
      <c r="AM206" s="68"/>
      <c r="AN206" s="68" t="str">
        <f t="shared" si="35"/>
        <v>Tidak ada risiko khusus</v>
      </c>
      <c r="AO206" s="68" t="str">
        <f t="shared" si="36"/>
        <v>Tidak Ada Risiko Khusus</v>
      </c>
      <c r="AP206" s="68"/>
      <c r="AQ206" s="71" t="str">
        <f t="shared" si="42"/>
        <v/>
      </c>
      <c r="AR206" s="71">
        <f t="shared" si="44"/>
        <v>0</v>
      </c>
      <c r="AS206" s="71" t="str">
        <f t="shared" si="37"/>
        <v/>
      </c>
      <c r="AT206" s="69" t="str">
        <f t="shared" si="43"/>
        <v>Belum Dapat Ditentukan</v>
      </c>
      <c r="AU206" s="66"/>
      <c r="AV206" s="66"/>
      <c r="AW206" s="66"/>
      <c r="AX206" s="66"/>
      <c r="AY206" s="66"/>
      <c r="AZ206" s="66"/>
      <c r="BA206" s="66"/>
      <c r="BB206" s="72"/>
      <c r="BC206" s="73"/>
      <c r="BD206" s="66"/>
      <c r="BE206" s="72"/>
      <c r="BF206" s="66"/>
    </row>
    <row r="207" spans="1:58">
      <c r="A207" s="66"/>
      <c r="B207" s="66"/>
      <c r="C207" s="66"/>
      <c r="D207" s="66"/>
      <c r="E207" s="66"/>
      <c r="F207" s="66"/>
      <c r="G207" s="66"/>
      <c r="H207" s="66"/>
      <c r="I207" s="66"/>
      <c r="J207" s="66"/>
      <c r="K207" s="66"/>
      <c r="L207" s="66"/>
      <c r="M207" s="66"/>
      <c r="N207" s="66"/>
      <c r="O207" s="66"/>
      <c r="P207" s="66"/>
      <c r="Q207" s="87"/>
      <c r="R207" s="87"/>
      <c r="S207" s="87"/>
      <c r="T207" s="87"/>
      <c r="U207" s="87"/>
      <c r="V207" s="87"/>
      <c r="W207" s="67"/>
      <c r="X207" s="85" t="str">
        <f t="shared" si="38"/>
        <v>Tidak ada faktor rentan</v>
      </c>
      <c r="Y207" s="85" t="str">
        <f t="shared" si="39"/>
        <v>Tidak Ada Faktor Rentan</v>
      </c>
      <c r="Z207" s="86" t="str">
        <f t="shared" si="40"/>
        <v/>
      </c>
      <c r="AA207" s="86">
        <f t="shared" si="41"/>
        <v>0</v>
      </c>
      <c r="AB207" s="86" t="str">
        <f t="shared" si="34"/>
        <v/>
      </c>
      <c r="AC207" s="68"/>
      <c r="AD207" s="68"/>
      <c r="AE207" s="68"/>
      <c r="AF207" s="68"/>
      <c r="AG207" s="68"/>
      <c r="AH207" s="68"/>
      <c r="AI207" s="68"/>
      <c r="AJ207" s="68"/>
      <c r="AK207" s="68"/>
      <c r="AL207" s="68"/>
      <c r="AM207" s="68"/>
      <c r="AN207" s="68" t="str">
        <f t="shared" si="35"/>
        <v>Tidak ada risiko khusus</v>
      </c>
      <c r="AO207" s="68" t="str">
        <f t="shared" si="36"/>
        <v>Tidak Ada Risiko Khusus</v>
      </c>
      <c r="AP207" s="68"/>
      <c r="AQ207" s="71" t="str">
        <f t="shared" si="42"/>
        <v/>
      </c>
      <c r="AR207" s="71">
        <f t="shared" si="44"/>
        <v>0</v>
      </c>
      <c r="AS207" s="71" t="str">
        <f t="shared" si="37"/>
        <v/>
      </c>
      <c r="AT207" s="69" t="str">
        <f t="shared" si="43"/>
        <v>Belum Dapat Ditentukan</v>
      </c>
      <c r="AU207" s="66"/>
      <c r="AV207" s="66"/>
      <c r="AW207" s="66"/>
      <c r="AX207" s="66"/>
      <c r="AY207" s="66"/>
      <c r="AZ207" s="66"/>
      <c r="BA207" s="66"/>
      <c r="BB207" s="72"/>
      <c r="BC207" s="73"/>
      <c r="BD207" s="66"/>
      <c r="BE207" s="72"/>
      <c r="BF207" s="66"/>
    </row>
    <row r="208" spans="1:58">
      <c r="A208" s="66"/>
      <c r="B208" s="66"/>
      <c r="C208" s="66"/>
      <c r="D208" s="66"/>
      <c r="E208" s="66"/>
      <c r="F208" s="66"/>
      <c r="G208" s="66"/>
      <c r="H208" s="66"/>
      <c r="I208" s="66"/>
      <c r="J208" s="66"/>
      <c r="K208" s="66"/>
      <c r="L208" s="66"/>
      <c r="M208" s="66"/>
      <c r="N208" s="66"/>
      <c r="O208" s="66"/>
      <c r="P208" s="66"/>
      <c r="Q208" s="87"/>
      <c r="R208" s="87"/>
      <c r="S208" s="87"/>
      <c r="T208" s="87"/>
      <c r="U208" s="87"/>
      <c r="V208" s="87"/>
      <c r="W208" s="67"/>
      <c r="X208" s="85" t="str">
        <f t="shared" si="38"/>
        <v>Tidak ada faktor rentan</v>
      </c>
      <c r="Y208" s="85" t="str">
        <f t="shared" si="39"/>
        <v>Tidak Ada Faktor Rentan</v>
      </c>
      <c r="Z208" s="86" t="str">
        <f t="shared" si="40"/>
        <v/>
      </c>
      <c r="AA208" s="86">
        <f t="shared" si="41"/>
        <v>0</v>
      </c>
      <c r="AB208" s="86" t="str">
        <f t="shared" si="34"/>
        <v/>
      </c>
      <c r="AC208" s="68"/>
      <c r="AD208" s="68"/>
      <c r="AE208" s="68"/>
      <c r="AF208" s="68"/>
      <c r="AG208" s="68"/>
      <c r="AH208" s="68"/>
      <c r="AI208" s="68"/>
      <c r="AJ208" s="68"/>
      <c r="AK208" s="68"/>
      <c r="AL208" s="68"/>
      <c r="AM208" s="68"/>
      <c r="AN208" s="68" t="str">
        <f t="shared" si="35"/>
        <v>Tidak ada risiko khusus</v>
      </c>
      <c r="AO208" s="68" t="str">
        <f t="shared" si="36"/>
        <v>Tidak Ada Risiko Khusus</v>
      </c>
      <c r="AP208" s="68"/>
      <c r="AQ208" s="71" t="str">
        <f t="shared" si="42"/>
        <v/>
      </c>
      <c r="AR208" s="71">
        <f t="shared" si="44"/>
        <v>0</v>
      </c>
      <c r="AS208" s="71" t="str">
        <f t="shared" si="37"/>
        <v/>
      </c>
      <c r="AT208" s="69" t="str">
        <f t="shared" si="43"/>
        <v>Belum Dapat Ditentukan</v>
      </c>
      <c r="AU208" s="66"/>
      <c r="AV208" s="66"/>
      <c r="AW208" s="66"/>
      <c r="AX208" s="66"/>
      <c r="AY208" s="66"/>
      <c r="AZ208" s="66"/>
      <c r="BA208" s="66"/>
      <c r="BB208" s="72"/>
      <c r="BC208" s="73"/>
      <c r="BD208" s="66"/>
      <c r="BE208" s="72"/>
      <c r="BF208" s="66"/>
    </row>
    <row r="209" spans="1:58">
      <c r="A209" s="66"/>
      <c r="B209" s="66"/>
      <c r="C209" s="66"/>
      <c r="D209" s="66"/>
      <c r="E209" s="66"/>
      <c r="F209" s="66"/>
      <c r="G209" s="66"/>
      <c r="H209" s="66"/>
      <c r="I209" s="66"/>
      <c r="J209" s="66"/>
      <c r="K209" s="66"/>
      <c r="L209" s="66"/>
      <c r="M209" s="66"/>
      <c r="N209" s="66"/>
      <c r="O209" s="66"/>
      <c r="P209" s="66"/>
      <c r="Q209" s="87"/>
      <c r="R209" s="87"/>
      <c r="S209" s="87"/>
      <c r="T209" s="87"/>
      <c r="U209" s="87"/>
      <c r="V209" s="87"/>
      <c r="W209" s="67"/>
      <c r="X209" s="85" t="str">
        <f t="shared" si="38"/>
        <v>Tidak ada faktor rentan</v>
      </c>
      <c r="Y209" s="85" t="str">
        <f t="shared" si="39"/>
        <v>Tidak Ada Faktor Rentan</v>
      </c>
      <c r="Z209" s="86" t="str">
        <f t="shared" si="40"/>
        <v/>
      </c>
      <c r="AA209" s="86">
        <f t="shared" si="41"/>
        <v>0</v>
      </c>
      <c r="AB209" s="86" t="str">
        <f t="shared" si="34"/>
        <v/>
      </c>
      <c r="AC209" s="68"/>
      <c r="AD209" s="68"/>
      <c r="AE209" s="68"/>
      <c r="AF209" s="68"/>
      <c r="AG209" s="68"/>
      <c r="AH209" s="68"/>
      <c r="AI209" s="68"/>
      <c r="AJ209" s="68"/>
      <c r="AK209" s="68"/>
      <c r="AL209" s="68"/>
      <c r="AM209" s="68"/>
      <c r="AN209" s="68" t="str">
        <f t="shared" si="35"/>
        <v>Tidak ada risiko khusus</v>
      </c>
      <c r="AO209" s="68" t="str">
        <f t="shared" si="36"/>
        <v>Tidak Ada Risiko Khusus</v>
      </c>
      <c r="AP209" s="68"/>
      <c r="AQ209" s="71" t="str">
        <f t="shared" si="42"/>
        <v/>
      </c>
      <c r="AR209" s="71">
        <f t="shared" si="44"/>
        <v>0</v>
      </c>
      <c r="AS209" s="71" t="str">
        <f t="shared" si="37"/>
        <v/>
      </c>
      <c r="AT209" s="69" t="str">
        <f t="shared" si="43"/>
        <v>Belum Dapat Ditentukan</v>
      </c>
      <c r="AU209" s="66"/>
      <c r="AV209" s="66"/>
      <c r="AW209" s="66"/>
      <c r="AX209" s="66"/>
      <c r="AY209" s="66"/>
      <c r="AZ209" s="66"/>
      <c r="BA209" s="66"/>
      <c r="BB209" s="72"/>
      <c r="BC209" s="73"/>
      <c r="BD209" s="66"/>
      <c r="BE209" s="72"/>
      <c r="BF209" s="66"/>
    </row>
    <row r="210" spans="1:58">
      <c r="A210" s="66"/>
      <c r="B210" s="66"/>
      <c r="C210" s="66"/>
      <c r="D210" s="66"/>
      <c r="E210" s="66"/>
      <c r="F210" s="66"/>
      <c r="G210" s="66"/>
      <c r="H210" s="66"/>
      <c r="I210" s="66"/>
      <c r="J210" s="66"/>
      <c r="K210" s="66"/>
      <c r="L210" s="66"/>
      <c r="M210" s="66"/>
      <c r="N210" s="66"/>
      <c r="O210" s="66"/>
      <c r="P210" s="66"/>
      <c r="Q210" s="87"/>
      <c r="R210" s="87"/>
      <c r="S210" s="87"/>
      <c r="T210" s="87"/>
      <c r="U210" s="87"/>
      <c r="V210" s="87"/>
      <c r="W210" s="67"/>
      <c r="X210" s="85" t="str">
        <f t="shared" si="38"/>
        <v>Tidak ada faktor rentan</v>
      </c>
      <c r="Y210" s="85" t="str">
        <f t="shared" si="39"/>
        <v>Tidak Ada Faktor Rentan</v>
      </c>
      <c r="Z210" s="86" t="str">
        <f t="shared" si="40"/>
        <v/>
      </c>
      <c r="AA210" s="86">
        <f t="shared" si="41"/>
        <v>0</v>
      </c>
      <c r="AB210" s="86" t="str">
        <f t="shared" si="34"/>
        <v/>
      </c>
      <c r="AC210" s="68"/>
      <c r="AD210" s="68"/>
      <c r="AE210" s="68"/>
      <c r="AF210" s="68"/>
      <c r="AG210" s="68"/>
      <c r="AH210" s="68"/>
      <c r="AI210" s="68"/>
      <c r="AJ210" s="68"/>
      <c r="AK210" s="68"/>
      <c r="AL210" s="68"/>
      <c r="AM210" s="68"/>
      <c r="AN210" s="68" t="str">
        <f t="shared" si="35"/>
        <v>Tidak ada risiko khusus</v>
      </c>
      <c r="AO210" s="68" t="str">
        <f t="shared" si="36"/>
        <v>Tidak Ada Risiko Khusus</v>
      </c>
      <c r="AP210" s="68"/>
      <c r="AQ210" s="71" t="str">
        <f t="shared" si="42"/>
        <v/>
      </c>
      <c r="AR210" s="71">
        <f t="shared" si="44"/>
        <v>0</v>
      </c>
      <c r="AS210" s="71" t="str">
        <f t="shared" si="37"/>
        <v/>
      </c>
      <c r="AT210" s="69" t="str">
        <f t="shared" si="43"/>
        <v>Belum Dapat Ditentukan</v>
      </c>
      <c r="AU210" s="66"/>
      <c r="AV210" s="66"/>
      <c r="AW210" s="66"/>
      <c r="AX210" s="66"/>
      <c r="AY210" s="66"/>
      <c r="AZ210" s="66"/>
      <c r="BA210" s="66"/>
      <c r="BB210" s="72"/>
      <c r="BC210" s="73"/>
      <c r="BD210" s="66"/>
      <c r="BE210" s="72"/>
      <c r="BF210" s="66"/>
    </row>
    <row r="211" spans="1:58">
      <c r="A211" s="66"/>
      <c r="B211" s="66"/>
      <c r="C211" s="66"/>
      <c r="D211" s="66"/>
      <c r="E211" s="66"/>
      <c r="F211" s="66"/>
      <c r="G211" s="66"/>
      <c r="H211" s="66"/>
      <c r="I211" s="66"/>
      <c r="J211" s="66"/>
      <c r="K211" s="66"/>
      <c r="L211" s="66"/>
      <c r="M211" s="66"/>
      <c r="N211" s="66"/>
      <c r="O211" s="66"/>
      <c r="P211" s="66"/>
      <c r="Q211" s="87"/>
      <c r="R211" s="87"/>
      <c r="S211" s="87"/>
      <c r="T211" s="87"/>
      <c r="U211" s="87"/>
      <c r="V211" s="87"/>
      <c r="W211" s="67"/>
      <c r="X211" s="85" t="str">
        <f t="shared" si="38"/>
        <v>Tidak ada faktor rentan</v>
      </c>
      <c r="Y211" s="85" t="str">
        <f t="shared" si="39"/>
        <v>Tidak Ada Faktor Rentan</v>
      </c>
      <c r="Z211" s="86" t="str">
        <f t="shared" si="40"/>
        <v/>
      </c>
      <c r="AA211" s="86">
        <f t="shared" si="41"/>
        <v>0</v>
      </c>
      <c r="AB211" s="86" t="str">
        <f t="shared" si="34"/>
        <v/>
      </c>
      <c r="AC211" s="68"/>
      <c r="AD211" s="68"/>
      <c r="AE211" s="68"/>
      <c r="AF211" s="68"/>
      <c r="AG211" s="68"/>
      <c r="AH211" s="68"/>
      <c r="AI211" s="68"/>
      <c r="AJ211" s="68"/>
      <c r="AK211" s="68"/>
      <c r="AL211" s="68"/>
      <c r="AM211" s="68"/>
      <c r="AN211" s="68" t="str">
        <f t="shared" si="35"/>
        <v>Tidak ada risiko khusus</v>
      </c>
      <c r="AO211" s="68" t="str">
        <f t="shared" si="36"/>
        <v>Tidak Ada Risiko Khusus</v>
      </c>
      <c r="AP211" s="68"/>
      <c r="AQ211" s="71" t="str">
        <f t="shared" si="42"/>
        <v/>
      </c>
      <c r="AR211" s="71">
        <f t="shared" si="44"/>
        <v>0</v>
      </c>
      <c r="AS211" s="71" t="str">
        <f t="shared" si="37"/>
        <v/>
      </c>
      <c r="AT211" s="69" t="str">
        <f t="shared" si="43"/>
        <v>Belum Dapat Ditentukan</v>
      </c>
      <c r="AU211" s="66"/>
      <c r="AV211" s="66"/>
      <c r="AW211" s="66"/>
      <c r="AX211" s="66"/>
      <c r="AY211" s="66"/>
      <c r="AZ211" s="66"/>
      <c r="BA211" s="66"/>
      <c r="BB211" s="72"/>
      <c r="BC211" s="73"/>
      <c r="BD211" s="66"/>
      <c r="BE211" s="72"/>
      <c r="BF211" s="66"/>
    </row>
    <row r="212" spans="1:58">
      <c r="A212" s="66"/>
      <c r="B212" s="66"/>
      <c r="C212" s="66"/>
      <c r="D212" s="66"/>
      <c r="E212" s="66"/>
      <c r="F212" s="66"/>
      <c r="G212" s="66"/>
      <c r="H212" s="66"/>
      <c r="I212" s="66"/>
      <c r="J212" s="66"/>
      <c r="K212" s="66"/>
      <c r="L212" s="66"/>
      <c r="M212" s="66"/>
      <c r="N212" s="66"/>
      <c r="O212" s="66"/>
      <c r="P212" s="66"/>
      <c r="Q212" s="87"/>
      <c r="R212" s="87"/>
      <c r="S212" s="87"/>
      <c r="T212" s="87"/>
      <c r="U212" s="87"/>
      <c r="V212" s="87"/>
      <c r="W212" s="67"/>
      <c r="X212" s="85" t="str">
        <f t="shared" si="38"/>
        <v>Tidak ada faktor rentan</v>
      </c>
      <c r="Y212" s="85" t="str">
        <f t="shared" si="39"/>
        <v>Tidak Ada Faktor Rentan</v>
      </c>
      <c r="Z212" s="86" t="str">
        <f t="shared" si="40"/>
        <v/>
      </c>
      <c r="AA212" s="86">
        <f t="shared" si="41"/>
        <v>0</v>
      </c>
      <c r="AB212" s="86" t="str">
        <f t="shared" si="34"/>
        <v/>
      </c>
      <c r="AC212" s="68"/>
      <c r="AD212" s="68"/>
      <c r="AE212" s="68"/>
      <c r="AF212" s="68"/>
      <c r="AG212" s="68"/>
      <c r="AH212" s="68"/>
      <c r="AI212" s="68"/>
      <c r="AJ212" s="68"/>
      <c r="AK212" s="68"/>
      <c r="AL212" s="68"/>
      <c r="AM212" s="68"/>
      <c r="AN212" s="68" t="str">
        <f t="shared" si="35"/>
        <v>Tidak ada risiko khusus</v>
      </c>
      <c r="AO212" s="68" t="str">
        <f t="shared" si="36"/>
        <v>Tidak Ada Risiko Khusus</v>
      </c>
      <c r="AP212" s="68"/>
      <c r="AQ212" s="71" t="str">
        <f t="shared" si="42"/>
        <v/>
      </c>
      <c r="AR212" s="71">
        <f t="shared" si="44"/>
        <v>0</v>
      </c>
      <c r="AS212" s="71" t="str">
        <f t="shared" si="37"/>
        <v/>
      </c>
      <c r="AT212" s="69" t="str">
        <f t="shared" si="43"/>
        <v>Belum Dapat Ditentukan</v>
      </c>
      <c r="AU212" s="66"/>
      <c r="AV212" s="66"/>
      <c r="AW212" s="66"/>
      <c r="AX212" s="66"/>
      <c r="AY212" s="66"/>
      <c r="AZ212" s="66"/>
      <c r="BA212" s="66"/>
      <c r="BB212" s="72"/>
      <c r="BC212" s="73"/>
      <c r="BD212" s="66"/>
      <c r="BE212" s="72"/>
      <c r="BF212" s="66"/>
    </row>
    <row r="213" spans="1:58">
      <c r="A213" s="66"/>
      <c r="B213" s="66"/>
      <c r="C213" s="66"/>
      <c r="D213" s="66"/>
      <c r="E213" s="66"/>
      <c r="F213" s="66"/>
      <c r="G213" s="66"/>
      <c r="H213" s="66"/>
      <c r="I213" s="66"/>
      <c r="J213" s="66"/>
      <c r="K213" s="66"/>
      <c r="L213" s="66"/>
      <c r="M213" s="66"/>
      <c r="N213" s="66"/>
      <c r="O213" s="66"/>
      <c r="P213" s="66"/>
      <c r="Q213" s="87"/>
      <c r="R213" s="87"/>
      <c r="S213" s="87"/>
      <c r="T213" s="87"/>
      <c r="U213" s="87"/>
      <c r="V213" s="87"/>
      <c r="W213" s="67"/>
      <c r="X213" s="85" t="str">
        <f t="shared" si="38"/>
        <v>Tidak ada faktor rentan</v>
      </c>
      <c r="Y213" s="85" t="str">
        <f t="shared" si="39"/>
        <v>Tidak Ada Faktor Rentan</v>
      </c>
      <c r="Z213" s="86" t="str">
        <f t="shared" si="40"/>
        <v/>
      </c>
      <c r="AA213" s="86">
        <f t="shared" si="41"/>
        <v>0</v>
      </c>
      <c r="AB213" s="86" t="str">
        <f t="shared" si="34"/>
        <v/>
      </c>
      <c r="AC213" s="68"/>
      <c r="AD213" s="68"/>
      <c r="AE213" s="68"/>
      <c r="AF213" s="68"/>
      <c r="AG213" s="68"/>
      <c r="AH213" s="68"/>
      <c r="AI213" s="68"/>
      <c r="AJ213" s="68"/>
      <c r="AK213" s="68"/>
      <c r="AL213" s="68"/>
      <c r="AM213" s="68"/>
      <c r="AN213" s="68" t="str">
        <f t="shared" si="35"/>
        <v>Tidak ada risiko khusus</v>
      </c>
      <c r="AO213" s="68" t="str">
        <f t="shared" si="36"/>
        <v>Tidak Ada Risiko Khusus</v>
      </c>
      <c r="AP213" s="68"/>
      <c r="AQ213" s="71" t="str">
        <f t="shared" si="42"/>
        <v/>
      </c>
      <c r="AR213" s="71">
        <f t="shared" si="44"/>
        <v>0</v>
      </c>
      <c r="AS213" s="71" t="str">
        <f t="shared" si="37"/>
        <v/>
      </c>
      <c r="AT213" s="69" t="str">
        <f t="shared" si="43"/>
        <v>Belum Dapat Ditentukan</v>
      </c>
      <c r="AU213" s="66"/>
      <c r="AV213" s="66"/>
      <c r="AW213" s="66"/>
      <c r="AX213" s="66"/>
      <c r="AY213" s="66"/>
      <c r="AZ213" s="66"/>
      <c r="BA213" s="66"/>
      <c r="BB213" s="72"/>
      <c r="BC213" s="73"/>
      <c r="BD213" s="66"/>
      <c r="BE213" s="72"/>
      <c r="BF213" s="66"/>
    </row>
    <row r="214" spans="1:58">
      <c r="A214" s="66"/>
      <c r="B214" s="66"/>
      <c r="C214" s="66"/>
      <c r="D214" s="66"/>
      <c r="E214" s="66"/>
      <c r="F214" s="66"/>
      <c r="G214" s="66"/>
      <c r="H214" s="66"/>
      <c r="I214" s="66"/>
      <c r="J214" s="66"/>
      <c r="K214" s="66"/>
      <c r="L214" s="66"/>
      <c r="M214" s="66"/>
      <c r="N214" s="66"/>
      <c r="O214" s="66"/>
      <c r="P214" s="66"/>
      <c r="Q214" s="87"/>
      <c r="R214" s="87"/>
      <c r="S214" s="87"/>
      <c r="T214" s="87"/>
      <c r="U214" s="87"/>
      <c r="V214" s="87"/>
      <c r="W214" s="67"/>
      <c r="X214" s="85" t="str">
        <f t="shared" si="38"/>
        <v>Tidak ada faktor rentan</v>
      </c>
      <c r="Y214" s="85" t="str">
        <f t="shared" si="39"/>
        <v>Tidak Ada Faktor Rentan</v>
      </c>
      <c r="Z214" s="86" t="str">
        <f t="shared" si="40"/>
        <v/>
      </c>
      <c r="AA214" s="86">
        <f t="shared" si="41"/>
        <v>0</v>
      </c>
      <c r="AB214" s="86" t="str">
        <f t="shared" si="34"/>
        <v/>
      </c>
      <c r="AC214" s="68"/>
      <c r="AD214" s="68"/>
      <c r="AE214" s="68"/>
      <c r="AF214" s="68"/>
      <c r="AG214" s="68"/>
      <c r="AH214" s="68"/>
      <c r="AI214" s="68"/>
      <c r="AJ214" s="68"/>
      <c r="AK214" s="68"/>
      <c r="AL214" s="68"/>
      <c r="AM214" s="68"/>
      <c r="AN214" s="68" t="str">
        <f t="shared" si="35"/>
        <v>Tidak ada risiko khusus</v>
      </c>
      <c r="AO214" s="68" t="str">
        <f t="shared" si="36"/>
        <v>Tidak Ada Risiko Khusus</v>
      </c>
      <c r="AP214" s="68"/>
      <c r="AQ214" s="71" t="str">
        <f t="shared" si="42"/>
        <v/>
      </c>
      <c r="AR214" s="71">
        <f t="shared" si="44"/>
        <v>0</v>
      </c>
      <c r="AS214" s="71" t="str">
        <f t="shared" si="37"/>
        <v/>
      </c>
      <c r="AT214" s="69" t="str">
        <f t="shared" si="43"/>
        <v>Belum Dapat Ditentukan</v>
      </c>
      <c r="AU214" s="66"/>
      <c r="AV214" s="66"/>
      <c r="AW214" s="66"/>
      <c r="AX214" s="66"/>
      <c r="AY214" s="66"/>
      <c r="AZ214" s="66"/>
      <c r="BA214" s="66"/>
      <c r="BB214" s="72"/>
      <c r="BC214" s="73"/>
      <c r="BD214" s="66"/>
      <c r="BE214" s="72"/>
      <c r="BF214" s="66"/>
    </row>
    <row r="215" spans="1:58">
      <c r="A215" s="66"/>
      <c r="B215" s="66"/>
      <c r="C215" s="66"/>
      <c r="D215" s="66"/>
      <c r="E215" s="66"/>
      <c r="F215" s="66"/>
      <c r="G215" s="66"/>
      <c r="H215" s="66"/>
      <c r="I215" s="66"/>
      <c r="J215" s="66"/>
      <c r="K215" s="66"/>
      <c r="L215" s="66"/>
      <c r="M215" s="66"/>
      <c r="N215" s="66"/>
      <c r="O215" s="66"/>
      <c r="P215" s="66"/>
      <c r="Q215" s="87"/>
      <c r="R215" s="87"/>
      <c r="S215" s="87"/>
      <c r="T215" s="87"/>
      <c r="U215" s="87"/>
      <c r="V215" s="87"/>
      <c r="W215" s="67"/>
      <c r="X215" s="85" t="str">
        <f t="shared" si="38"/>
        <v>Tidak ada faktor rentan</v>
      </c>
      <c r="Y215" s="85" t="str">
        <f t="shared" si="39"/>
        <v>Tidak Ada Faktor Rentan</v>
      </c>
      <c r="Z215" s="86" t="str">
        <f t="shared" si="40"/>
        <v/>
      </c>
      <c r="AA215" s="86">
        <f t="shared" si="41"/>
        <v>0</v>
      </c>
      <c r="AB215" s="86" t="str">
        <f t="shared" si="34"/>
        <v/>
      </c>
      <c r="AC215" s="68"/>
      <c r="AD215" s="68"/>
      <c r="AE215" s="68"/>
      <c r="AF215" s="68"/>
      <c r="AG215" s="68"/>
      <c r="AH215" s="68"/>
      <c r="AI215" s="68"/>
      <c r="AJ215" s="68"/>
      <c r="AK215" s="68"/>
      <c r="AL215" s="68"/>
      <c r="AM215" s="68"/>
      <c r="AN215" s="68" t="str">
        <f t="shared" si="35"/>
        <v>Tidak ada risiko khusus</v>
      </c>
      <c r="AO215" s="68" t="str">
        <f t="shared" si="36"/>
        <v>Tidak Ada Risiko Khusus</v>
      </c>
      <c r="AP215" s="68"/>
      <c r="AQ215" s="71" t="str">
        <f t="shared" si="42"/>
        <v/>
      </c>
      <c r="AR215" s="71">
        <f t="shared" si="44"/>
        <v>0</v>
      </c>
      <c r="AS215" s="71" t="str">
        <f t="shared" si="37"/>
        <v/>
      </c>
      <c r="AT215" s="69" t="str">
        <f t="shared" si="43"/>
        <v>Belum Dapat Ditentukan</v>
      </c>
      <c r="AU215" s="66"/>
      <c r="AV215" s="66"/>
      <c r="AW215" s="66"/>
      <c r="AX215" s="66"/>
      <c r="AY215" s="66"/>
      <c r="AZ215" s="66"/>
      <c r="BA215" s="66"/>
      <c r="BB215" s="72"/>
      <c r="BC215" s="73"/>
      <c r="BD215" s="66"/>
      <c r="BE215" s="72"/>
      <c r="BF215" s="66"/>
    </row>
    <row r="216" spans="1:58">
      <c r="A216" s="66"/>
      <c r="B216" s="66"/>
      <c r="C216" s="66"/>
      <c r="D216" s="66"/>
      <c r="E216" s="66"/>
      <c r="F216" s="66"/>
      <c r="G216" s="66"/>
      <c r="H216" s="66"/>
      <c r="I216" s="66"/>
      <c r="J216" s="66"/>
      <c r="K216" s="66"/>
      <c r="L216" s="66"/>
      <c r="M216" s="66"/>
      <c r="N216" s="66"/>
      <c r="O216" s="66"/>
      <c r="P216" s="66"/>
      <c r="Q216" s="87"/>
      <c r="R216" s="87"/>
      <c r="S216" s="87"/>
      <c r="T216" s="87"/>
      <c r="U216" s="87"/>
      <c r="V216" s="87"/>
      <c r="W216" s="67"/>
      <c r="X216" s="85" t="str">
        <f t="shared" si="38"/>
        <v>Tidak ada faktor rentan</v>
      </c>
      <c r="Y216" s="85" t="str">
        <f t="shared" si="39"/>
        <v>Tidak Ada Faktor Rentan</v>
      </c>
      <c r="Z216" s="86" t="str">
        <f t="shared" si="40"/>
        <v/>
      </c>
      <c r="AA216" s="86">
        <f t="shared" si="41"/>
        <v>0</v>
      </c>
      <c r="AB216" s="86" t="str">
        <f t="shared" si="34"/>
        <v/>
      </c>
      <c r="AC216" s="68"/>
      <c r="AD216" s="68"/>
      <c r="AE216" s="68"/>
      <c r="AF216" s="68"/>
      <c r="AG216" s="68"/>
      <c r="AH216" s="68"/>
      <c r="AI216" s="68"/>
      <c r="AJ216" s="68"/>
      <c r="AK216" s="68"/>
      <c r="AL216" s="68"/>
      <c r="AM216" s="68"/>
      <c r="AN216" s="68" t="str">
        <f t="shared" si="35"/>
        <v>Tidak ada risiko khusus</v>
      </c>
      <c r="AO216" s="68" t="str">
        <f t="shared" si="36"/>
        <v>Tidak Ada Risiko Khusus</v>
      </c>
      <c r="AP216" s="68"/>
      <c r="AQ216" s="71" t="str">
        <f t="shared" si="42"/>
        <v/>
      </c>
      <c r="AR216" s="71">
        <f t="shared" si="44"/>
        <v>0</v>
      </c>
      <c r="AS216" s="71" t="str">
        <f t="shared" si="37"/>
        <v/>
      </c>
      <c r="AT216" s="69" t="str">
        <f t="shared" si="43"/>
        <v>Belum Dapat Ditentukan</v>
      </c>
      <c r="AU216" s="66"/>
      <c r="AV216" s="66"/>
      <c r="AW216" s="66"/>
      <c r="AX216" s="66"/>
      <c r="AY216" s="66"/>
      <c r="AZ216" s="66"/>
      <c r="BA216" s="66"/>
      <c r="BB216" s="72"/>
      <c r="BC216" s="73"/>
      <c r="BD216" s="66"/>
      <c r="BE216" s="72"/>
      <c r="BF216" s="66"/>
    </row>
    <row r="217" spans="1:58">
      <c r="A217" s="66"/>
      <c r="B217" s="66"/>
      <c r="C217" s="66"/>
      <c r="D217" s="66"/>
      <c r="E217" s="66"/>
      <c r="F217" s="66"/>
      <c r="G217" s="66"/>
      <c r="H217" s="66"/>
      <c r="I217" s="66"/>
      <c r="J217" s="66"/>
      <c r="K217" s="66"/>
      <c r="L217" s="66"/>
      <c r="M217" s="66"/>
      <c r="N217" s="66"/>
      <c r="O217" s="66"/>
      <c r="P217" s="66"/>
      <c r="Q217" s="87"/>
      <c r="R217" s="87"/>
      <c r="S217" s="87"/>
      <c r="T217" s="87"/>
      <c r="U217" s="87"/>
      <c r="V217" s="87"/>
      <c r="W217" s="67"/>
      <c r="X217" s="85" t="str">
        <f t="shared" si="38"/>
        <v>Tidak ada faktor rentan</v>
      </c>
      <c r="Y217" s="85" t="str">
        <f t="shared" si="39"/>
        <v>Tidak Ada Faktor Rentan</v>
      </c>
      <c r="Z217" s="86" t="str">
        <f t="shared" si="40"/>
        <v/>
      </c>
      <c r="AA217" s="86">
        <f t="shared" si="41"/>
        <v>0</v>
      </c>
      <c r="AB217" s="86" t="str">
        <f t="shared" si="34"/>
        <v/>
      </c>
      <c r="AC217" s="68"/>
      <c r="AD217" s="68"/>
      <c r="AE217" s="68"/>
      <c r="AF217" s="68"/>
      <c r="AG217" s="68"/>
      <c r="AH217" s="68"/>
      <c r="AI217" s="68"/>
      <c r="AJ217" s="68"/>
      <c r="AK217" s="68"/>
      <c r="AL217" s="68"/>
      <c r="AM217" s="68"/>
      <c r="AN217" s="68" t="str">
        <f t="shared" si="35"/>
        <v>Tidak ada risiko khusus</v>
      </c>
      <c r="AO217" s="68" t="str">
        <f t="shared" si="36"/>
        <v>Tidak Ada Risiko Khusus</v>
      </c>
      <c r="AP217" s="68"/>
      <c r="AQ217" s="71" t="str">
        <f t="shared" si="42"/>
        <v/>
      </c>
      <c r="AR217" s="71">
        <f t="shared" si="44"/>
        <v>0</v>
      </c>
      <c r="AS217" s="71" t="str">
        <f t="shared" si="37"/>
        <v/>
      </c>
      <c r="AT217" s="69" t="str">
        <f t="shared" si="43"/>
        <v>Belum Dapat Ditentukan</v>
      </c>
      <c r="AU217" s="66"/>
      <c r="AV217" s="66"/>
      <c r="AW217" s="66"/>
      <c r="AX217" s="66"/>
      <c r="AY217" s="66"/>
      <c r="AZ217" s="66"/>
      <c r="BA217" s="66"/>
      <c r="BB217" s="72"/>
      <c r="BC217" s="73"/>
      <c r="BD217" s="66"/>
      <c r="BE217" s="72"/>
      <c r="BF217" s="66"/>
    </row>
    <row r="218" spans="1:58">
      <c r="A218" s="66"/>
      <c r="B218" s="66"/>
      <c r="C218" s="66"/>
      <c r="D218" s="66"/>
      <c r="E218" s="66"/>
      <c r="F218" s="66"/>
      <c r="G218" s="66"/>
      <c r="H218" s="66"/>
      <c r="I218" s="66"/>
      <c r="J218" s="66"/>
      <c r="K218" s="66"/>
      <c r="L218" s="66"/>
      <c r="M218" s="66"/>
      <c r="N218" s="66"/>
      <c r="O218" s="66"/>
      <c r="P218" s="66"/>
      <c r="Q218" s="87"/>
      <c r="R218" s="87"/>
      <c r="S218" s="87"/>
      <c r="T218" s="87"/>
      <c r="U218" s="87"/>
      <c r="V218" s="87"/>
      <c r="W218" s="67"/>
      <c r="X218" s="85" t="str">
        <f t="shared" si="38"/>
        <v>Tidak ada faktor rentan</v>
      </c>
      <c r="Y218" s="85" t="str">
        <f t="shared" si="39"/>
        <v>Tidak Ada Faktor Rentan</v>
      </c>
      <c r="Z218" s="86" t="str">
        <f t="shared" si="40"/>
        <v/>
      </c>
      <c r="AA218" s="86">
        <f t="shared" si="41"/>
        <v>0</v>
      </c>
      <c r="AB218" s="86" t="str">
        <f t="shared" si="34"/>
        <v/>
      </c>
      <c r="AC218" s="68"/>
      <c r="AD218" s="68"/>
      <c r="AE218" s="68"/>
      <c r="AF218" s="68"/>
      <c r="AG218" s="68"/>
      <c r="AH218" s="68"/>
      <c r="AI218" s="68"/>
      <c r="AJ218" s="68"/>
      <c r="AK218" s="68"/>
      <c r="AL218" s="68"/>
      <c r="AM218" s="68"/>
      <c r="AN218" s="68" t="str">
        <f t="shared" si="35"/>
        <v>Tidak ada risiko khusus</v>
      </c>
      <c r="AO218" s="68" t="str">
        <f t="shared" si="36"/>
        <v>Tidak Ada Risiko Khusus</v>
      </c>
      <c r="AP218" s="68"/>
      <c r="AQ218" s="71" t="str">
        <f t="shared" si="42"/>
        <v/>
      </c>
      <c r="AR218" s="71">
        <f t="shared" si="44"/>
        <v>0</v>
      </c>
      <c r="AS218" s="71" t="str">
        <f t="shared" si="37"/>
        <v/>
      </c>
      <c r="AT218" s="69" t="str">
        <f t="shared" si="43"/>
        <v>Belum Dapat Ditentukan</v>
      </c>
      <c r="AU218" s="66"/>
      <c r="AV218" s="66"/>
      <c r="AW218" s="66"/>
      <c r="AX218" s="66"/>
      <c r="AY218" s="66"/>
      <c r="AZ218" s="66"/>
      <c r="BA218" s="66"/>
      <c r="BB218" s="72"/>
      <c r="BC218" s="73"/>
      <c r="BD218" s="66"/>
      <c r="BE218" s="72"/>
      <c r="BF218" s="66"/>
    </row>
    <row r="219" spans="1:58">
      <c r="A219" s="66"/>
      <c r="B219" s="66"/>
      <c r="C219" s="66"/>
      <c r="D219" s="66"/>
      <c r="E219" s="66"/>
      <c r="F219" s="66"/>
      <c r="G219" s="66"/>
      <c r="H219" s="66"/>
      <c r="I219" s="66"/>
      <c r="J219" s="66"/>
      <c r="K219" s="66"/>
      <c r="L219" s="66"/>
      <c r="M219" s="66"/>
      <c r="N219" s="66"/>
      <c r="O219" s="66"/>
      <c r="P219" s="66"/>
      <c r="Q219" s="87"/>
      <c r="R219" s="87"/>
      <c r="S219" s="87"/>
      <c r="T219" s="87"/>
      <c r="U219" s="87"/>
      <c r="V219" s="87"/>
      <c r="W219" s="67"/>
      <c r="X219" s="85" t="str">
        <f t="shared" si="38"/>
        <v>Tidak ada faktor rentan</v>
      </c>
      <c r="Y219" s="85" t="str">
        <f t="shared" si="39"/>
        <v>Tidak Ada Faktor Rentan</v>
      </c>
      <c r="Z219" s="86" t="str">
        <f t="shared" si="40"/>
        <v/>
      </c>
      <c r="AA219" s="86">
        <f t="shared" si="41"/>
        <v>0</v>
      </c>
      <c r="AB219" s="86" t="str">
        <f t="shared" si="34"/>
        <v/>
      </c>
      <c r="AC219" s="68"/>
      <c r="AD219" s="68"/>
      <c r="AE219" s="68"/>
      <c r="AF219" s="68"/>
      <c r="AG219" s="68"/>
      <c r="AH219" s="68"/>
      <c r="AI219" s="68"/>
      <c r="AJ219" s="68"/>
      <c r="AK219" s="68"/>
      <c r="AL219" s="68"/>
      <c r="AM219" s="68"/>
      <c r="AN219" s="68" t="str">
        <f t="shared" si="35"/>
        <v>Tidak ada risiko khusus</v>
      </c>
      <c r="AO219" s="68" t="str">
        <f t="shared" si="36"/>
        <v>Tidak Ada Risiko Khusus</v>
      </c>
      <c r="AP219" s="68"/>
      <c r="AQ219" s="71" t="str">
        <f t="shared" si="42"/>
        <v/>
      </c>
      <c r="AR219" s="71">
        <f t="shared" si="44"/>
        <v>0</v>
      </c>
      <c r="AS219" s="71" t="str">
        <f t="shared" si="37"/>
        <v/>
      </c>
      <c r="AT219" s="69" t="str">
        <f t="shared" si="43"/>
        <v>Belum Dapat Ditentukan</v>
      </c>
      <c r="AU219" s="66"/>
      <c r="AV219" s="66"/>
      <c r="AW219" s="66"/>
      <c r="AX219" s="66"/>
      <c r="AY219" s="66"/>
      <c r="AZ219" s="66"/>
      <c r="BA219" s="66"/>
      <c r="BB219" s="72"/>
      <c r="BC219" s="73"/>
      <c r="BD219" s="66"/>
      <c r="BE219" s="72"/>
      <c r="BF219" s="66"/>
    </row>
    <row r="220" spans="1:58">
      <c r="A220" s="66"/>
      <c r="B220" s="66"/>
      <c r="C220" s="66"/>
      <c r="D220" s="66"/>
      <c r="E220" s="66"/>
      <c r="F220" s="66"/>
      <c r="G220" s="66"/>
      <c r="H220" s="66"/>
      <c r="I220" s="66"/>
      <c r="J220" s="66"/>
      <c r="K220" s="66"/>
      <c r="L220" s="66"/>
      <c r="M220" s="66"/>
      <c r="N220" s="66"/>
      <c r="O220" s="66"/>
      <c r="P220" s="66"/>
      <c r="Q220" s="87"/>
      <c r="R220" s="87"/>
      <c r="S220" s="87"/>
      <c r="T220" s="87"/>
      <c r="U220" s="87"/>
      <c r="V220" s="87"/>
      <c r="W220" s="67"/>
      <c r="X220" s="85" t="str">
        <f t="shared" si="38"/>
        <v>Tidak ada faktor rentan</v>
      </c>
      <c r="Y220" s="85" t="str">
        <f t="shared" si="39"/>
        <v>Tidak Ada Faktor Rentan</v>
      </c>
      <c r="Z220" s="86" t="str">
        <f t="shared" si="40"/>
        <v/>
      </c>
      <c r="AA220" s="86">
        <f t="shared" si="41"/>
        <v>0</v>
      </c>
      <c r="AB220" s="86" t="str">
        <f t="shared" si="34"/>
        <v/>
      </c>
      <c r="AC220" s="68"/>
      <c r="AD220" s="68"/>
      <c r="AE220" s="68"/>
      <c r="AF220" s="68"/>
      <c r="AG220" s="68"/>
      <c r="AH220" s="68"/>
      <c r="AI220" s="68"/>
      <c r="AJ220" s="68"/>
      <c r="AK220" s="68"/>
      <c r="AL220" s="68"/>
      <c r="AM220" s="68"/>
      <c r="AN220" s="68" t="str">
        <f t="shared" si="35"/>
        <v>Tidak ada risiko khusus</v>
      </c>
      <c r="AO220" s="68" t="str">
        <f t="shared" si="36"/>
        <v>Tidak Ada Risiko Khusus</v>
      </c>
      <c r="AP220" s="68"/>
      <c r="AQ220" s="71" t="str">
        <f t="shared" si="42"/>
        <v/>
      </c>
      <c r="AR220" s="71">
        <f t="shared" si="44"/>
        <v>0</v>
      </c>
      <c r="AS220" s="71" t="str">
        <f t="shared" si="37"/>
        <v/>
      </c>
      <c r="AT220" s="69" t="str">
        <f t="shared" si="43"/>
        <v>Belum Dapat Ditentukan</v>
      </c>
      <c r="AU220" s="66"/>
      <c r="AV220" s="66"/>
      <c r="AW220" s="66"/>
      <c r="AX220" s="66"/>
      <c r="AY220" s="66"/>
      <c r="AZ220" s="66"/>
      <c r="BA220" s="66"/>
      <c r="BB220" s="72"/>
      <c r="BC220" s="73"/>
      <c r="BD220" s="66"/>
      <c r="BE220" s="72"/>
      <c r="BF220" s="66"/>
    </row>
    <row r="221" spans="1:58">
      <c r="A221" s="66"/>
      <c r="B221" s="66"/>
      <c r="C221" s="66"/>
      <c r="D221" s="66"/>
      <c r="E221" s="66"/>
      <c r="F221" s="66"/>
      <c r="G221" s="66"/>
      <c r="H221" s="66"/>
      <c r="I221" s="66"/>
      <c r="J221" s="66"/>
      <c r="K221" s="66"/>
      <c r="L221" s="66"/>
      <c r="M221" s="66"/>
      <c r="N221" s="66"/>
      <c r="O221" s="66"/>
      <c r="P221" s="66"/>
      <c r="Q221" s="87"/>
      <c r="R221" s="87"/>
      <c r="S221" s="87"/>
      <c r="T221" s="87"/>
      <c r="U221" s="87"/>
      <c r="V221" s="87"/>
      <c r="W221" s="67"/>
      <c r="X221" s="85" t="str">
        <f t="shared" si="38"/>
        <v>Tidak ada faktor rentan</v>
      </c>
      <c r="Y221" s="85" t="str">
        <f t="shared" si="39"/>
        <v>Tidak Ada Faktor Rentan</v>
      </c>
      <c r="Z221" s="86" t="str">
        <f t="shared" si="40"/>
        <v/>
      </c>
      <c r="AA221" s="86">
        <f t="shared" si="41"/>
        <v>0</v>
      </c>
      <c r="AB221" s="86" t="str">
        <f t="shared" si="34"/>
        <v/>
      </c>
      <c r="AC221" s="68"/>
      <c r="AD221" s="68"/>
      <c r="AE221" s="68"/>
      <c r="AF221" s="68"/>
      <c r="AG221" s="68"/>
      <c r="AH221" s="68"/>
      <c r="AI221" s="68"/>
      <c r="AJ221" s="68"/>
      <c r="AK221" s="68"/>
      <c r="AL221" s="68"/>
      <c r="AM221" s="68"/>
      <c r="AN221" s="68" t="str">
        <f t="shared" si="35"/>
        <v>Tidak ada risiko khusus</v>
      </c>
      <c r="AO221" s="68" t="str">
        <f t="shared" si="36"/>
        <v>Tidak Ada Risiko Khusus</v>
      </c>
      <c r="AP221" s="68"/>
      <c r="AQ221" s="71" t="str">
        <f t="shared" si="42"/>
        <v/>
      </c>
      <c r="AR221" s="71">
        <f t="shared" si="44"/>
        <v>0</v>
      </c>
      <c r="AS221" s="71" t="str">
        <f t="shared" si="37"/>
        <v/>
      </c>
      <c r="AT221" s="69" t="str">
        <f t="shared" si="43"/>
        <v>Belum Dapat Ditentukan</v>
      </c>
      <c r="AU221" s="66"/>
      <c r="AV221" s="66"/>
      <c r="AW221" s="66"/>
      <c r="AX221" s="66"/>
      <c r="AY221" s="66"/>
      <c r="AZ221" s="66"/>
      <c r="BA221" s="66"/>
      <c r="BB221" s="72"/>
      <c r="BC221" s="73"/>
      <c r="BD221" s="66"/>
      <c r="BE221" s="72"/>
      <c r="BF221" s="66"/>
    </row>
    <row r="222" spans="1:58">
      <c r="A222" s="66"/>
      <c r="B222" s="66"/>
      <c r="C222" s="66"/>
      <c r="D222" s="66"/>
      <c r="E222" s="66"/>
      <c r="F222" s="66"/>
      <c r="G222" s="66"/>
      <c r="H222" s="66"/>
      <c r="I222" s="66"/>
      <c r="J222" s="66"/>
      <c r="K222" s="66"/>
      <c r="L222" s="66"/>
      <c r="M222" s="66"/>
      <c r="N222" s="66"/>
      <c r="O222" s="66"/>
      <c r="P222" s="66"/>
      <c r="Q222" s="87"/>
      <c r="R222" s="87"/>
      <c r="S222" s="87"/>
      <c r="T222" s="87"/>
      <c r="U222" s="87"/>
      <c r="V222" s="87"/>
      <c r="W222" s="67"/>
      <c r="X222" s="85" t="str">
        <f t="shared" si="38"/>
        <v>Tidak ada faktor rentan</v>
      </c>
      <c r="Y222" s="85" t="str">
        <f t="shared" si="39"/>
        <v>Tidak Ada Faktor Rentan</v>
      </c>
      <c r="Z222" s="86" t="str">
        <f t="shared" si="40"/>
        <v/>
      </c>
      <c r="AA222" s="86">
        <f t="shared" si="41"/>
        <v>0</v>
      </c>
      <c r="AB222" s="86" t="str">
        <f t="shared" si="34"/>
        <v/>
      </c>
      <c r="AC222" s="68"/>
      <c r="AD222" s="68"/>
      <c r="AE222" s="68"/>
      <c r="AF222" s="68"/>
      <c r="AG222" s="68"/>
      <c r="AH222" s="68"/>
      <c r="AI222" s="68"/>
      <c r="AJ222" s="68"/>
      <c r="AK222" s="68"/>
      <c r="AL222" s="68"/>
      <c r="AM222" s="68"/>
      <c r="AN222" s="68" t="str">
        <f t="shared" si="35"/>
        <v>Tidak ada risiko khusus</v>
      </c>
      <c r="AO222" s="68" t="str">
        <f t="shared" si="36"/>
        <v>Tidak Ada Risiko Khusus</v>
      </c>
      <c r="AP222" s="68"/>
      <c r="AQ222" s="71" t="str">
        <f t="shared" si="42"/>
        <v/>
      </c>
      <c r="AR222" s="71">
        <f t="shared" si="44"/>
        <v>0</v>
      </c>
      <c r="AS222" s="71" t="str">
        <f t="shared" si="37"/>
        <v/>
      </c>
      <c r="AT222" s="69" t="str">
        <f t="shared" si="43"/>
        <v>Belum Dapat Ditentukan</v>
      </c>
      <c r="AU222" s="66"/>
      <c r="AV222" s="66"/>
      <c r="AW222" s="66"/>
      <c r="AX222" s="66"/>
      <c r="AY222" s="66"/>
      <c r="AZ222" s="66"/>
      <c r="BA222" s="66"/>
      <c r="BB222" s="72"/>
      <c r="BC222" s="73"/>
      <c r="BD222" s="66"/>
      <c r="BE222" s="72"/>
      <c r="BF222" s="66"/>
    </row>
    <row r="223" spans="1:58">
      <c r="A223" s="66"/>
      <c r="B223" s="66"/>
      <c r="C223" s="66"/>
      <c r="D223" s="66"/>
      <c r="E223" s="66"/>
      <c r="F223" s="66"/>
      <c r="G223" s="66"/>
      <c r="H223" s="66"/>
      <c r="I223" s="66"/>
      <c r="J223" s="66"/>
      <c r="K223" s="66"/>
      <c r="L223" s="66"/>
      <c r="M223" s="66"/>
      <c r="N223" s="66"/>
      <c r="O223" s="66"/>
      <c r="P223" s="66"/>
      <c r="Q223" s="87"/>
      <c r="R223" s="87"/>
      <c r="S223" s="87"/>
      <c r="T223" s="87"/>
      <c r="U223" s="87"/>
      <c r="V223" s="87"/>
      <c r="W223" s="67"/>
      <c r="X223" s="85" t="str">
        <f t="shared" si="38"/>
        <v>Tidak ada faktor rentan</v>
      </c>
      <c r="Y223" s="85" t="str">
        <f t="shared" si="39"/>
        <v>Tidak Ada Faktor Rentan</v>
      </c>
      <c r="Z223" s="86" t="str">
        <f t="shared" si="40"/>
        <v/>
      </c>
      <c r="AA223" s="86">
        <f t="shared" si="41"/>
        <v>0</v>
      </c>
      <c r="AB223" s="86" t="str">
        <f t="shared" si="34"/>
        <v/>
      </c>
      <c r="AC223" s="68"/>
      <c r="AD223" s="68"/>
      <c r="AE223" s="68"/>
      <c r="AF223" s="68"/>
      <c r="AG223" s="68"/>
      <c r="AH223" s="68"/>
      <c r="AI223" s="68"/>
      <c r="AJ223" s="68"/>
      <c r="AK223" s="68"/>
      <c r="AL223" s="68"/>
      <c r="AM223" s="68"/>
      <c r="AN223" s="68" t="str">
        <f t="shared" si="35"/>
        <v>Tidak ada risiko khusus</v>
      </c>
      <c r="AO223" s="68" t="str">
        <f t="shared" si="36"/>
        <v>Tidak Ada Risiko Khusus</v>
      </c>
      <c r="AP223" s="68"/>
      <c r="AQ223" s="71" t="str">
        <f t="shared" si="42"/>
        <v/>
      </c>
      <c r="AR223" s="71">
        <f t="shared" si="44"/>
        <v>0</v>
      </c>
      <c r="AS223" s="71" t="str">
        <f t="shared" si="37"/>
        <v/>
      </c>
      <c r="AT223" s="69" t="str">
        <f t="shared" si="43"/>
        <v>Belum Dapat Ditentukan</v>
      </c>
      <c r="AU223" s="66"/>
      <c r="AV223" s="66"/>
      <c r="AW223" s="66"/>
      <c r="AX223" s="66"/>
      <c r="AY223" s="66"/>
      <c r="AZ223" s="66"/>
      <c r="BA223" s="66"/>
      <c r="BB223" s="72"/>
      <c r="BC223" s="73"/>
      <c r="BD223" s="66"/>
      <c r="BE223" s="72"/>
      <c r="BF223" s="66"/>
    </row>
    <row r="224" spans="1:58">
      <c r="A224" s="66"/>
      <c r="B224" s="66"/>
      <c r="C224" s="66"/>
      <c r="D224" s="66"/>
      <c r="E224" s="66"/>
      <c r="F224" s="66"/>
      <c r="G224" s="66"/>
      <c r="H224" s="66"/>
      <c r="I224" s="66"/>
      <c r="J224" s="66"/>
      <c r="K224" s="66"/>
      <c r="L224" s="66"/>
      <c r="M224" s="66"/>
      <c r="N224" s="66"/>
      <c r="O224" s="66"/>
      <c r="P224" s="66"/>
      <c r="Q224" s="87"/>
      <c r="R224" s="87"/>
      <c r="S224" s="87"/>
      <c r="T224" s="87"/>
      <c r="U224" s="87"/>
      <c r="V224" s="87"/>
      <c r="W224" s="67"/>
      <c r="X224" s="85" t="str">
        <f t="shared" si="38"/>
        <v>Tidak ada faktor rentan</v>
      </c>
      <c r="Y224" s="85" t="str">
        <f t="shared" si="39"/>
        <v>Tidak Ada Faktor Rentan</v>
      </c>
      <c r="Z224" s="86" t="str">
        <f t="shared" si="40"/>
        <v/>
      </c>
      <c r="AA224" s="86">
        <f t="shared" si="41"/>
        <v>0</v>
      </c>
      <c r="AB224" s="86" t="str">
        <f t="shared" si="34"/>
        <v/>
      </c>
      <c r="AC224" s="68"/>
      <c r="AD224" s="68"/>
      <c r="AE224" s="68"/>
      <c r="AF224" s="68"/>
      <c r="AG224" s="68"/>
      <c r="AH224" s="68"/>
      <c r="AI224" s="68"/>
      <c r="AJ224" s="68"/>
      <c r="AK224" s="68"/>
      <c r="AL224" s="68"/>
      <c r="AM224" s="68"/>
      <c r="AN224" s="68" t="str">
        <f t="shared" si="35"/>
        <v>Tidak ada risiko khusus</v>
      </c>
      <c r="AO224" s="68" t="str">
        <f t="shared" si="36"/>
        <v>Tidak Ada Risiko Khusus</v>
      </c>
      <c r="AP224" s="68"/>
      <c r="AQ224" s="71" t="str">
        <f t="shared" si="42"/>
        <v/>
      </c>
      <c r="AR224" s="71">
        <f t="shared" si="44"/>
        <v>0</v>
      </c>
      <c r="AS224" s="71" t="str">
        <f t="shared" si="37"/>
        <v/>
      </c>
      <c r="AT224" s="69" t="str">
        <f t="shared" si="43"/>
        <v>Belum Dapat Ditentukan</v>
      </c>
      <c r="AU224" s="66"/>
      <c r="AV224" s="66"/>
      <c r="AW224" s="66"/>
      <c r="AX224" s="66"/>
      <c r="AY224" s="66"/>
      <c r="AZ224" s="66"/>
      <c r="BA224" s="66"/>
      <c r="BB224" s="72"/>
      <c r="BC224" s="73"/>
      <c r="BD224" s="66"/>
      <c r="BE224" s="72"/>
      <c r="BF224" s="66"/>
    </row>
    <row r="225" spans="1:58">
      <c r="A225" s="66"/>
      <c r="B225" s="66"/>
      <c r="C225" s="66"/>
      <c r="D225" s="66"/>
      <c r="E225" s="66"/>
      <c r="F225" s="66"/>
      <c r="G225" s="66"/>
      <c r="H225" s="66"/>
      <c r="I225" s="66"/>
      <c r="J225" s="66"/>
      <c r="K225" s="66"/>
      <c r="L225" s="66"/>
      <c r="M225" s="66"/>
      <c r="N225" s="66"/>
      <c r="O225" s="66"/>
      <c r="P225" s="66"/>
      <c r="Q225" s="87"/>
      <c r="R225" s="87"/>
      <c r="S225" s="87"/>
      <c r="T225" s="87"/>
      <c r="U225" s="87"/>
      <c r="V225" s="87"/>
      <c r="W225" s="67"/>
      <c r="X225" s="85" t="str">
        <f t="shared" si="38"/>
        <v>Tidak ada faktor rentan</v>
      </c>
      <c r="Y225" s="85" t="str">
        <f t="shared" si="39"/>
        <v>Tidak Ada Faktor Rentan</v>
      </c>
      <c r="Z225" s="86" t="str">
        <f t="shared" si="40"/>
        <v/>
      </c>
      <c r="AA225" s="86">
        <f t="shared" si="41"/>
        <v>0</v>
      </c>
      <c r="AB225" s="86" t="str">
        <f t="shared" si="34"/>
        <v/>
      </c>
      <c r="AC225" s="68"/>
      <c r="AD225" s="68"/>
      <c r="AE225" s="68"/>
      <c r="AF225" s="68"/>
      <c r="AG225" s="68"/>
      <c r="AH225" s="68"/>
      <c r="AI225" s="68"/>
      <c r="AJ225" s="68"/>
      <c r="AK225" s="68"/>
      <c r="AL225" s="68"/>
      <c r="AM225" s="68"/>
      <c r="AN225" s="68" t="str">
        <f t="shared" si="35"/>
        <v>Tidak ada risiko khusus</v>
      </c>
      <c r="AO225" s="68" t="str">
        <f t="shared" si="36"/>
        <v>Tidak Ada Risiko Khusus</v>
      </c>
      <c r="AP225" s="68"/>
      <c r="AQ225" s="71" t="str">
        <f t="shared" si="42"/>
        <v/>
      </c>
      <c r="AR225" s="71">
        <f t="shared" si="44"/>
        <v>0</v>
      </c>
      <c r="AS225" s="71" t="str">
        <f t="shared" si="37"/>
        <v/>
      </c>
      <c r="AT225" s="69" t="str">
        <f t="shared" si="43"/>
        <v>Belum Dapat Ditentukan</v>
      </c>
      <c r="AU225" s="66"/>
      <c r="AV225" s="66"/>
      <c r="AW225" s="66"/>
      <c r="AX225" s="66"/>
      <c r="AY225" s="66"/>
      <c r="AZ225" s="66"/>
      <c r="BA225" s="66"/>
      <c r="BB225" s="72"/>
      <c r="BC225" s="73"/>
      <c r="BD225" s="66"/>
      <c r="BE225" s="72"/>
      <c r="BF225" s="66"/>
    </row>
    <row r="226" spans="1:58">
      <c r="A226" s="66"/>
      <c r="B226" s="66"/>
      <c r="C226" s="66"/>
      <c r="D226" s="66"/>
      <c r="E226" s="66"/>
      <c r="F226" s="66"/>
      <c r="G226" s="66"/>
      <c r="H226" s="66"/>
      <c r="I226" s="66"/>
      <c r="J226" s="66"/>
      <c r="K226" s="66"/>
      <c r="L226" s="66"/>
      <c r="M226" s="66"/>
      <c r="N226" s="66"/>
      <c r="O226" s="66"/>
      <c r="P226" s="66"/>
      <c r="Q226" s="87"/>
      <c r="R226" s="87"/>
      <c r="S226" s="87"/>
      <c r="T226" s="87"/>
      <c r="U226" s="87"/>
      <c r="V226" s="87"/>
      <c r="W226" s="67"/>
      <c r="X226" s="85" t="str">
        <f t="shared" si="38"/>
        <v>Tidak ada faktor rentan</v>
      </c>
      <c r="Y226" s="85" t="str">
        <f t="shared" si="39"/>
        <v>Tidak Ada Faktor Rentan</v>
      </c>
      <c r="Z226" s="86" t="str">
        <f t="shared" si="40"/>
        <v/>
      </c>
      <c r="AA226" s="86">
        <f t="shared" si="41"/>
        <v>0</v>
      </c>
      <c r="AB226" s="86" t="str">
        <f t="shared" si="34"/>
        <v/>
      </c>
      <c r="AC226" s="68"/>
      <c r="AD226" s="68"/>
      <c r="AE226" s="68"/>
      <c r="AF226" s="68"/>
      <c r="AG226" s="68"/>
      <c r="AH226" s="68"/>
      <c r="AI226" s="68"/>
      <c r="AJ226" s="68"/>
      <c r="AK226" s="68"/>
      <c r="AL226" s="68"/>
      <c r="AM226" s="68"/>
      <c r="AN226" s="68" t="str">
        <f t="shared" si="35"/>
        <v>Tidak ada risiko khusus</v>
      </c>
      <c r="AO226" s="68" t="str">
        <f t="shared" si="36"/>
        <v>Tidak Ada Risiko Khusus</v>
      </c>
      <c r="AP226" s="68"/>
      <c r="AQ226" s="71" t="str">
        <f t="shared" si="42"/>
        <v/>
      </c>
      <c r="AR226" s="71">
        <f t="shared" si="44"/>
        <v>0</v>
      </c>
      <c r="AS226" s="71" t="str">
        <f t="shared" si="37"/>
        <v/>
      </c>
      <c r="AT226" s="69" t="str">
        <f t="shared" si="43"/>
        <v>Belum Dapat Ditentukan</v>
      </c>
      <c r="AU226" s="66"/>
      <c r="AV226" s="66"/>
      <c r="AW226" s="66"/>
      <c r="AX226" s="66"/>
      <c r="AY226" s="66"/>
      <c r="AZ226" s="66"/>
      <c r="BA226" s="66"/>
      <c r="BB226" s="72"/>
      <c r="BC226" s="73"/>
      <c r="BD226" s="66"/>
      <c r="BE226" s="72"/>
      <c r="BF226" s="66"/>
    </row>
    <row r="227" spans="1:58">
      <c r="A227" s="66"/>
      <c r="B227" s="66"/>
      <c r="C227" s="66"/>
      <c r="D227" s="66"/>
      <c r="E227" s="66"/>
      <c r="F227" s="66"/>
      <c r="G227" s="66"/>
      <c r="H227" s="66"/>
      <c r="I227" s="66"/>
      <c r="J227" s="66"/>
      <c r="K227" s="66"/>
      <c r="L227" s="66"/>
      <c r="M227" s="66"/>
      <c r="N227" s="66"/>
      <c r="O227" s="66"/>
      <c r="P227" s="66"/>
      <c r="Q227" s="87"/>
      <c r="R227" s="87"/>
      <c r="S227" s="87"/>
      <c r="T227" s="87"/>
      <c r="U227" s="87"/>
      <c r="V227" s="87"/>
      <c r="W227" s="67"/>
      <c r="X227" s="85" t="str">
        <f t="shared" si="38"/>
        <v>Tidak ada faktor rentan</v>
      </c>
      <c r="Y227" s="85" t="str">
        <f t="shared" si="39"/>
        <v>Tidak Ada Faktor Rentan</v>
      </c>
      <c r="Z227" s="86" t="str">
        <f t="shared" si="40"/>
        <v/>
      </c>
      <c r="AA227" s="86">
        <f t="shared" si="41"/>
        <v>0</v>
      </c>
      <c r="AB227" s="86" t="str">
        <f t="shared" si="34"/>
        <v/>
      </c>
      <c r="AC227" s="68"/>
      <c r="AD227" s="68"/>
      <c r="AE227" s="68"/>
      <c r="AF227" s="68"/>
      <c r="AG227" s="68"/>
      <c r="AH227" s="68"/>
      <c r="AI227" s="68"/>
      <c r="AJ227" s="68"/>
      <c r="AK227" s="68"/>
      <c r="AL227" s="68"/>
      <c r="AM227" s="68"/>
      <c r="AN227" s="68" t="str">
        <f t="shared" si="35"/>
        <v>Tidak ada risiko khusus</v>
      </c>
      <c r="AO227" s="68" t="str">
        <f t="shared" si="36"/>
        <v>Tidak Ada Risiko Khusus</v>
      </c>
      <c r="AP227" s="68"/>
      <c r="AQ227" s="71" t="str">
        <f t="shared" si="42"/>
        <v/>
      </c>
      <c r="AR227" s="71">
        <f t="shared" si="44"/>
        <v>0</v>
      </c>
      <c r="AS227" s="71" t="str">
        <f t="shared" si="37"/>
        <v/>
      </c>
      <c r="AT227" s="69" t="str">
        <f t="shared" si="43"/>
        <v>Belum Dapat Ditentukan</v>
      </c>
      <c r="AU227" s="66"/>
      <c r="AV227" s="66"/>
      <c r="AW227" s="66"/>
      <c r="AX227" s="66"/>
      <c r="AY227" s="66"/>
      <c r="AZ227" s="66"/>
      <c r="BA227" s="66"/>
      <c r="BB227" s="72"/>
      <c r="BC227" s="73"/>
      <c r="BD227" s="66"/>
      <c r="BE227" s="72"/>
      <c r="BF227" s="66"/>
    </row>
    <row r="228" spans="1:58">
      <c r="A228" s="66"/>
      <c r="B228" s="66"/>
      <c r="C228" s="66"/>
      <c r="D228" s="66"/>
      <c r="E228" s="66"/>
      <c r="F228" s="66"/>
      <c r="G228" s="66"/>
      <c r="H228" s="66"/>
      <c r="I228" s="66"/>
      <c r="J228" s="66"/>
      <c r="K228" s="66"/>
      <c r="L228" s="66"/>
      <c r="M228" s="66"/>
      <c r="N228" s="66"/>
      <c r="O228" s="66"/>
      <c r="P228" s="66"/>
      <c r="Q228" s="87"/>
      <c r="R228" s="87"/>
      <c r="S228" s="87"/>
      <c r="T228" s="87"/>
      <c r="U228" s="87"/>
      <c r="V228" s="87"/>
      <c r="W228" s="67"/>
      <c r="X228" s="85" t="str">
        <f t="shared" si="38"/>
        <v>Tidak ada faktor rentan</v>
      </c>
      <c r="Y228" s="85" t="str">
        <f t="shared" si="39"/>
        <v>Tidak Ada Faktor Rentan</v>
      </c>
      <c r="Z228" s="86" t="str">
        <f t="shared" si="40"/>
        <v/>
      </c>
      <c r="AA228" s="86">
        <f t="shared" si="41"/>
        <v>0</v>
      </c>
      <c r="AB228" s="86" t="str">
        <f t="shared" si="34"/>
        <v/>
      </c>
      <c r="AC228" s="68"/>
      <c r="AD228" s="68"/>
      <c r="AE228" s="68"/>
      <c r="AF228" s="68"/>
      <c r="AG228" s="68"/>
      <c r="AH228" s="68"/>
      <c r="AI228" s="68"/>
      <c r="AJ228" s="68"/>
      <c r="AK228" s="68"/>
      <c r="AL228" s="68"/>
      <c r="AM228" s="68"/>
      <c r="AN228" s="68" t="str">
        <f t="shared" si="35"/>
        <v>Tidak ada risiko khusus</v>
      </c>
      <c r="AO228" s="68" t="str">
        <f t="shared" si="36"/>
        <v>Tidak Ada Risiko Khusus</v>
      </c>
      <c r="AP228" s="68"/>
      <c r="AQ228" s="71" t="str">
        <f t="shared" si="42"/>
        <v/>
      </c>
      <c r="AR228" s="71">
        <f t="shared" si="44"/>
        <v>0</v>
      </c>
      <c r="AS228" s="71" t="str">
        <f t="shared" si="37"/>
        <v/>
      </c>
      <c r="AT228" s="69" t="str">
        <f t="shared" si="43"/>
        <v>Belum Dapat Ditentukan</v>
      </c>
      <c r="AU228" s="66"/>
      <c r="AV228" s="66"/>
      <c r="AW228" s="66"/>
      <c r="AX228" s="66"/>
      <c r="AY228" s="66"/>
      <c r="AZ228" s="66"/>
      <c r="BA228" s="66"/>
      <c r="BB228" s="72"/>
      <c r="BC228" s="73"/>
      <c r="BD228" s="66"/>
      <c r="BE228" s="72"/>
      <c r="BF228" s="66"/>
    </row>
    <row r="229" spans="1:58">
      <c r="A229" s="66"/>
      <c r="B229" s="66"/>
      <c r="C229" s="66"/>
      <c r="D229" s="66"/>
      <c r="E229" s="66"/>
      <c r="F229" s="66"/>
      <c r="G229" s="66"/>
      <c r="H229" s="66"/>
      <c r="I229" s="66"/>
      <c r="J229" s="66"/>
      <c r="K229" s="66"/>
      <c r="L229" s="66"/>
      <c r="M229" s="66"/>
      <c r="N229" s="66"/>
      <c r="O229" s="66"/>
      <c r="P229" s="66"/>
      <c r="Q229" s="87"/>
      <c r="R229" s="87"/>
      <c r="S229" s="87"/>
      <c r="T229" s="87"/>
      <c r="U229" s="87"/>
      <c r="V229" s="87"/>
      <c r="W229" s="67"/>
      <c r="X229" s="85" t="str">
        <f t="shared" si="38"/>
        <v>Tidak ada faktor rentan</v>
      </c>
      <c r="Y229" s="85" t="str">
        <f t="shared" si="39"/>
        <v>Tidak Ada Faktor Rentan</v>
      </c>
      <c r="Z229" s="86" t="str">
        <f t="shared" si="40"/>
        <v/>
      </c>
      <c r="AA229" s="86">
        <f t="shared" si="41"/>
        <v>0</v>
      </c>
      <c r="AB229" s="86" t="str">
        <f t="shared" si="34"/>
        <v/>
      </c>
      <c r="AC229" s="68"/>
      <c r="AD229" s="68"/>
      <c r="AE229" s="68"/>
      <c r="AF229" s="68"/>
      <c r="AG229" s="68"/>
      <c r="AH229" s="68"/>
      <c r="AI229" s="68"/>
      <c r="AJ229" s="68"/>
      <c r="AK229" s="68"/>
      <c r="AL229" s="68"/>
      <c r="AM229" s="68"/>
      <c r="AN229" s="68" t="str">
        <f t="shared" si="35"/>
        <v>Tidak ada risiko khusus</v>
      </c>
      <c r="AO229" s="68" t="str">
        <f t="shared" si="36"/>
        <v>Tidak Ada Risiko Khusus</v>
      </c>
      <c r="AP229" s="68"/>
      <c r="AQ229" s="71" t="str">
        <f t="shared" si="42"/>
        <v/>
      </c>
      <c r="AR229" s="71">
        <f t="shared" si="44"/>
        <v>0</v>
      </c>
      <c r="AS229" s="71" t="str">
        <f t="shared" si="37"/>
        <v/>
      </c>
      <c r="AT229" s="69" t="str">
        <f t="shared" si="43"/>
        <v>Belum Dapat Ditentukan</v>
      </c>
      <c r="AU229" s="66"/>
      <c r="AV229" s="66"/>
      <c r="AW229" s="66"/>
      <c r="AX229" s="66"/>
      <c r="AY229" s="66"/>
      <c r="AZ229" s="66"/>
      <c r="BA229" s="66"/>
      <c r="BB229" s="72"/>
      <c r="BC229" s="73"/>
      <c r="BD229" s="66"/>
      <c r="BE229" s="72"/>
      <c r="BF229" s="66"/>
    </row>
    <row r="230" spans="1:58">
      <c r="A230" s="66"/>
      <c r="B230" s="66"/>
      <c r="C230" s="66"/>
      <c r="D230" s="66"/>
      <c r="E230" s="66"/>
      <c r="F230" s="66"/>
      <c r="G230" s="66"/>
      <c r="H230" s="66"/>
      <c r="I230" s="66"/>
      <c r="J230" s="66"/>
      <c r="K230" s="66"/>
      <c r="L230" s="66"/>
      <c r="M230" s="66"/>
      <c r="N230" s="66"/>
      <c r="O230" s="66"/>
      <c r="P230" s="66"/>
      <c r="Q230" s="87"/>
      <c r="R230" s="87"/>
      <c r="S230" s="87"/>
      <c r="T230" s="87"/>
      <c r="U230" s="87"/>
      <c r="V230" s="87"/>
      <c r="W230" s="67"/>
      <c r="X230" s="85" t="str">
        <f t="shared" si="38"/>
        <v>Tidak ada faktor rentan</v>
      </c>
      <c r="Y230" s="85" t="str">
        <f t="shared" si="39"/>
        <v>Tidak Ada Faktor Rentan</v>
      </c>
      <c r="Z230" s="86" t="str">
        <f t="shared" si="40"/>
        <v/>
      </c>
      <c r="AA230" s="86">
        <f t="shared" si="41"/>
        <v>0</v>
      </c>
      <c r="AB230" s="86" t="str">
        <f t="shared" si="34"/>
        <v/>
      </c>
      <c r="AC230" s="68"/>
      <c r="AD230" s="68"/>
      <c r="AE230" s="68"/>
      <c r="AF230" s="68"/>
      <c r="AG230" s="68"/>
      <c r="AH230" s="68"/>
      <c r="AI230" s="68"/>
      <c r="AJ230" s="68"/>
      <c r="AK230" s="68"/>
      <c r="AL230" s="68"/>
      <c r="AM230" s="68"/>
      <c r="AN230" s="68" t="str">
        <f t="shared" si="35"/>
        <v>Tidak ada risiko khusus</v>
      </c>
      <c r="AO230" s="68" t="str">
        <f t="shared" si="36"/>
        <v>Tidak Ada Risiko Khusus</v>
      </c>
      <c r="AP230" s="68"/>
      <c r="AQ230" s="71" t="str">
        <f t="shared" si="42"/>
        <v/>
      </c>
      <c r="AR230" s="71">
        <f t="shared" si="44"/>
        <v>0</v>
      </c>
      <c r="AS230" s="71" t="str">
        <f t="shared" si="37"/>
        <v/>
      </c>
      <c r="AT230" s="69" t="str">
        <f t="shared" si="43"/>
        <v>Belum Dapat Ditentukan</v>
      </c>
      <c r="AU230" s="66"/>
      <c r="AV230" s="66"/>
      <c r="AW230" s="66"/>
      <c r="AX230" s="66"/>
      <c r="AY230" s="66"/>
      <c r="AZ230" s="66"/>
      <c r="BA230" s="66"/>
      <c r="BB230" s="72"/>
      <c r="BC230" s="73"/>
      <c r="BD230" s="66"/>
      <c r="BE230" s="72"/>
      <c r="BF230" s="66"/>
    </row>
    <row r="231" spans="1:58">
      <c r="A231" s="66"/>
      <c r="B231" s="66"/>
      <c r="C231" s="66"/>
      <c r="D231" s="66"/>
      <c r="E231" s="66"/>
      <c r="F231" s="66"/>
      <c r="G231" s="66"/>
      <c r="H231" s="66"/>
      <c r="I231" s="66"/>
      <c r="J231" s="66"/>
      <c r="K231" s="66"/>
      <c r="L231" s="66"/>
      <c r="M231" s="66"/>
      <c r="N231" s="66"/>
      <c r="O231" s="66"/>
      <c r="P231" s="66"/>
      <c r="Q231" s="87"/>
      <c r="R231" s="87"/>
      <c r="S231" s="87"/>
      <c r="T231" s="87"/>
      <c r="U231" s="87"/>
      <c r="V231" s="87"/>
      <c r="W231" s="67"/>
      <c r="X231" s="85" t="str">
        <f t="shared" si="38"/>
        <v>Tidak ada faktor rentan</v>
      </c>
      <c r="Y231" s="85" t="str">
        <f t="shared" si="39"/>
        <v>Tidak Ada Faktor Rentan</v>
      </c>
      <c r="Z231" s="86" t="str">
        <f t="shared" si="40"/>
        <v/>
      </c>
      <c r="AA231" s="86">
        <f t="shared" si="41"/>
        <v>0</v>
      </c>
      <c r="AB231" s="86" t="str">
        <f t="shared" ref="AB231:AB294" si="45">IF(OR(Z231="",AA231=""),"",Z231+AA231)</f>
        <v/>
      </c>
      <c r="AC231" s="68"/>
      <c r="AD231" s="68"/>
      <c r="AE231" s="68"/>
      <c r="AF231" s="68"/>
      <c r="AG231" s="68"/>
      <c r="AH231" s="68"/>
      <c r="AI231" s="68"/>
      <c r="AJ231" s="68"/>
      <c r="AK231" s="68"/>
      <c r="AL231" s="68"/>
      <c r="AM231" s="68"/>
      <c r="AN231" s="68" t="str">
        <f t="shared" ref="AN231:AN294" si="46">IF(AND(COUNTIF(AC231:AK231,"Ya")=0,AL231=""),IF(COUNTIF(AC231:AK231,"Belum Dinilai")&gt;0,"Belum Dinilai","Tidak ada risiko khusus"),IF(AC231="Ya","Bangunan berpotensi roboh; ","")&amp;IF(AD231="Ya","Bekas kebakaran dan tidak aman dihuni; ","")&amp;IF(AE231="Ya","Atap atau dinding utama hampir runtuh; ","")&amp;IF(AF231="Ya","Genangan yang membahayakan; ","")&amp;IF(AG231="Ya","Struktur rumah tidak stabil; ","")&amp;IF(AH231="Ya","Instalasi listrik berbahaya; ","")&amp;IF(AI231="Ya","Komponen bangunan lepas atau lapuk; ","")&amp;IF(AJ231="Ya","Akses keluar atau evakuasi terbatas; ","")&amp;IF(AK231="Ya","Lokasi rawan bencana; ","")&amp;IF(AL231&lt;&gt;"","Lainnya: "&amp;AL231,""))</f>
        <v>Tidak ada risiko khusus</v>
      </c>
      <c r="AO231" s="68" t="str">
        <f t="shared" ref="AO231:AO294" si="47">IF(AR231="","Belum Dinilai",IF(AR231=10,"Risiko Tinggi/Darurat",IF(AR231=5,"Risiko Sedang","Tidak Ada Risiko Khusus")))</f>
        <v>Tidak Ada Risiko Khusus</v>
      </c>
      <c r="AP231" s="68"/>
      <c r="AQ231" s="71" t="str">
        <f t="shared" si="42"/>
        <v/>
      </c>
      <c r="AR231" s="71">
        <f t="shared" si="44"/>
        <v>0</v>
      </c>
      <c r="AS231" s="71" t="str">
        <f t="shared" ref="AS231:AS294" si="48">IF(OR(AQ231="",AB231="",AR231=""),"",AQ231+AB231+AR231)</f>
        <v/>
      </c>
      <c r="AT231" s="69" t="str">
        <f t="shared" si="43"/>
        <v>Belum Dapat Ditentukan</v>
      </c>
      <c r="AU231" s="66"/>
      <c r="AV231" s="66"/>
      <c r="AW231" s="66"/>
      <c r="AX231" s="66"/>
      <c r="AY231" s="66"/>
      <c r="AZ231" s="66"/>
      <c r="BA231" s="66"/>
      <c r="BB231" s="72"/>
      <c r="BC231" s="73"/>
      <c r="BD231" s="66"/>
      <c r="BE231" s="72"/>
      <c r="BF231" s="66"/>
    </row>
    <row r="232" spans="1:58">
      <c r="A232" s="66"/>
      <c r="B232" s="66"/>
      <c r="C232" s="66"/>
      <c r="D232" s="66"/>
      <c r="E232" s="66"/>
      <c r="F232" s="66"/>
      <c r="G232" s="66"/>
      <c r="H232" s="66"/>
      <c r="I232" s="66"/>
      <c r="J232" s="66"/>
      <c r="K232" s="66"/>
      <c r="L232" s="66"/>
      <c r="M232" s="66"/>
      <c r="N232" s="66"/>
      <c r="O232" s="66"/>
      <c r="P232" s="66"/>
      <c r="Q232" s="87"/>
      <c r="R232" s="87"/>
      <c r="S232" s="87"/>
      <c r="T232" s="87"/>
      <c r="U232" s="87"/>
      <c r="V232" s="87"/>
      <c r="W232" s="67"/>
      <c r="X232" s="85" t="str">
        <f t="shared" si="38"/>
        <v>Tidak ada faktor rentan</v>
      </c>
      <c r="Y232" s="85" t="str">
        <f t="shared" si="39"/>
        <v>Tidak Ada Faktor Rentan</v>
      </c>
      <c r="Z232" s="86" t="str">
        <f t="shared" si="40"/>
        <v/>
      </c>
      <c r="AA232" s="86">
        <f t="shared" si="41"/>
        <v>0</v>
      </c>
      <c r="AB232" s="86" t="str">
        <f t="shared" si="45"/>
        <v/>
      </c>
      <c r="AC232" s="68"/>
      <c r="AD232" s="68"/>
      <c r="AE232" s="68"/>
      <c r="AF232" s="68"/>
      <c r="AG232" s="68"/>
      <c r="AH232" s="68"/>
      <c r="AI232" s="68"/>
      <c r="AJ232" s="68"/>
      <c r="AK232" s="68"/>
      <c r="AL232" s="68"/>
      <c r="AM232" s="68"/>
      <c r="AN232" s="68" t="str">
        <f t="shared" si="46"/>
        <v>Tidak ada risiko khusus</v>
      </c>
      <c r="AO232" s="68" t="str">
        <f t="shared" si="47"/>
        <v>Tidak Ada Risiko Khusus</v>
      </c>
      <c r="AP232" s="68"/>
      <c r="AQ232" s="71" t="str">
        <f t="shared" si="42"/>
        <v/>
      </c>
      <c r="AR232" s="71">
        <f t="shared" si="44"/>
        <v>0</v>
      </c>
      <c r="AS232" s="71" t="str">
        <f t="shared" si="48"/>
        <v/>
      </c>
      <c r="AT232" s="69" t="str">
        <f t="shared" si="43"/>
        <v>Belum Dapat Ditentukan</v>
      </c>
      <c r="AU232" s="66"/>
      <c r="AV232" s="66"/>
      <c r="AW232" s="66"/>
      <c r="AX232" s="66"/>
      <c r="AY232" s="66"/>
      <c r="AZ232" s="66"/>
      <c r="BA232" s="66"/>
      <c r="BB232" s="72"/>
      <c r="BC232" s="73"/>
      <c r="BD232" s="66"/>
      <c r="BE232" s="72"/>
      <c r="BF232" s="66"/>
    </row>
    <row r="233" spans="1:58">
      <c r="A233" s="66"/>
      <c r="B233" s="66"/>
      <c r="C233" s="66"/>
      <c r="D233" s="66"/>
      <c r="E233" s="66"/>
      <c r="F233" s="66"/>
      <c r="G233" s="66"/>
      <c r="H233" s="66"/>
      <c r="I233" s="66"/>
      <c r="J233" s="66"/>
      <c r="K233" s="66"/>
      <c r="L233" s="66"/>
      <c r="M233" s="66"/>
      <c r="N233" s="66"/>
      <c r="O233" s="66"/>
      <c r="P233" s="66"/>
      <c r="Q233" s="87"/>
      <c r="R233" s="87"/>
      <c r="S233" s="87"/>
      <c r="T233" s="87"/>
      <c r="U233" s="87"/>
      <c r="V233" s="87"/>
      <c r="W233" s="67"/>
      <c r="X233" s="85" t="str">
        <f t="shared" si="38"/>
        <v>Tidak ada faktor rentan</v>
      </c>
      <c r="Y233" s="85" t="str">
        <f t="shared" si="39"/>
        <v>Tidak Ada Faktor Rentan</v>
      </c>
      <c r="Z233" s="86" t="str">
        <f t="shared" si="40"/>
        <v/>
      </c>
      <c r="AA233" s="86">
        <f t="shared" si="41"/>
        <v>0</v>
      </c>
      <c r="AB233" s="86" t="str">
        <f t="shared" si="45"/>
        <v/>
      </c>
      <c r="AC233" s="68"/>
      <c r="AD233" s="68"/>
      <c r="AE233" s="68"/>
      <c r="AF233" s="68"/>
      <c r="AG233" s="68"/>
      <c r="AH233" s="68"/>
      <c r="AI233" s="68"/>
      <c r="AJ233" s="68"/>
      <c r="AK233" s="68"/>
      <c r="AL233" s="68"/>
      <c r="AM233" s="68"/>
      <c r="AN233" s="68" t="str">
        <f t="shared" si="46"/>
        <v>Tidak ada risiko khusus</v>
      </c>
      <c r="AO233" s="68" t="str">
        <f t="shared" si="47"/>
        <v>Tidak Ada Risiko Khusus</v>
      </c>
      <c r="AP233" s="68"/>
      <c r="AQ233" s="71" t="str">
        <f t="shared" si="42"/>
        <v/>
      </c>
      <c r="AR233" s="71">
        <f t="shared" si="44"/>
        <v>0</v>
      </c>
      <c r="AS233" s="71" t="str">
        <f t="shared" si="48"/>
        <v/>
      </c>
      <c r="AT233" s="69" t="str">
        <f t="shared" si="43"/>
        <v>Belum Dapat Ditentukan</v>
      </c>
      <c r="AU233" s="66"/>
      <c r="AV233" s="66"/>
      <c r="AW233" s="66"/>
      <c r="AX233" s="66"/>
      <c r="AY233" s="66"/>
      <c r="AZ233" s="66"/>
      <c r="BA233" s="66"/>
      <c r="BB233" s="72"/>
      <c r="BC233" s="73"/>
      <c r="BD233" s="66"/>
      <c r="BE233" s="72"/>
      <c r="BF233" s="66"/>
    </row>
    <row r="234" spans="1:58">
      <c r="A234" s="66"/>
      <c r="B234" s="66"/>
      <c r="C234" s="66"/>
      <c r="D234" s="66"/>
      <c r="E234" s="66"/>
      <c r="F234" s="66"/>
      <c r="G234" s="66"/>
      <c r="H234" s="66"/>
      <c r="I234" s="66"/>
      <c r="J234" s="66"/>
      <c r="K234" s="66"/>
      <c r="L234" s="66"/>
      <c r="M234" s="66"/>
      <c r="N234" s="66"/>
      <c r="O234" s="66"/>
      <c r="P234" s="66"/>
      <c r="Q234" s="87"/>
      <c r="R234" s="87"/>
      <c r="S234" s="87"/>
      <c r="T234" s="87"/>
      <c r="U234" s="87"/>
      <c r="V234" s="87"/>
      <c r="W234" s="67"/>
      <c r="X234" s="85" t="str">
        <f t="shared" si="38"/>
        <v>Tidak ada faktor rentan</v>
      </c>
      <c r="Y234" s="85" t="str">
        <f t="shared" si="39"/>
        <v>Tidak Ada Faktor Rentan</v>
      </c>
      <c r="Z234" s="86" t="str">
        <f t="shared" si="40"/>
        <v/>
      </c>
      <c r="AA234" s="86">
        <f t="shared" si="41"/>
        <v>0</v>
      </c>
      <c r="AB234" s="86" t="str">
        <f t="shared" si="45"/>
        <v/>
      </c>
      <c r="AC234" s="68"/>
      <c r="AD234" s="68"/>
      <c r="AE234" s="68"/>
      <c r="AF234" s="68"/>
      <c r="AG234" s="68"/>
      <c r="AH234" s="68"/>
      <c r="AI234" s="68"/>
      <c r="AJ234" s="68"/>
      <c r="AK234" s="68"/>
      <c r="AL234" s="68"/>
      <c r="AM234" s="68"/>
      <c r="AN234" s="68" t="str">
        <f t="shared" si="46"/>
        <v>Tidak ada risiko khusus</v>
      </c>
      <c r="AO234" s="68" t="str">
        <f t="shared" si="47"/>
        <v>Tidak Ada Risiko Khusus</v>
      </c>
      <c r="AP234" s="68"/>
      <c r="AQ234" s="71" t="str">
        <f t="shared" si="42"/>
        <v/>
      </c>
      <c r="AR234" s="71">
        <f t="shared" si="44"/>
        <v>0</v>
      </c>
      <c r="AS234" s="71" t="str">
        <f t="shared" si="48"/>
        <v/>
      </c>
      <c r="AT234" s="69" t="str">
        <f t="shared" si="43"/>
        <v>Belum Dapat Ditentukan</v>
      </c>
      <c r="AU234" s="66"/>
      <c r="AV234" s="66"/>
      <c r="AW234" s="66"/>
      <c r="AX234" s="66"/>
      <c r="AY234" s="66"/>
      <c r="AZ234" s="66"/>
      <c r="BA234" s="66"/>
      <c r="BB234" s="72"/>
      <c r="BC234" s="73"/>
      <c r="BD234" s="66"/>
      <c r="BE234" s="72"/>
      <c r="BF234" s="66"/>
    </row>
    <row r="235" spans="1:58">
      <c r="A235" s="66"/>
      <c r="B235" s="66"/>
      <c r="C235" s="66"/>
      <c r="D235" s="66"/>
      <c r="E235" s="66"/>
      <c r="F235" s="66"/>
      <c r="G235" s="66"/>
      <c r="H235" s="66"/>
      <c r="I235" s="66"/>
      <c r="J235" s="66"/>
      <c r="K235" s="66"/>
      <c r="L235" s="66"/>
      <c r="M235" s="66"/>
      <c r="N235" s="66"/>
      <c r="O235" s="66"/>
      <c r="P235" s="66"/>
      <c r="Q235" s="87"/>
      <c r="R235" s="87"/>
      <c r="S235" s="87"/>
      <c r="T235" s="87"/>
      <c r="U235" s="87"/>
      <c r="V235" s="87"/>
      <c r="W235" s="67"/>
      <c r="X235" s="85" t="str">
        <f t="shared" si="38"/>
        <v>Tidak ada faktor rentan</v>
      </c>
      <c r="Y235" s="85" t="str">
        <f t="shared" si="39"/>
        <v>Tidak Ada Faktor Rentan</v>
      </c>
      <c r="Z235" s="86" t="str">
        <f t="shared" si="40"/>
        <v/>
      </c>
      <c r="AA235" s="86">
        <f t="shared" si="41"/>
        <v>0</v>
      </c>
      <c r="AB235" s="86" t="str">
        <f t="shared" si="45"/>
        <v/>
      </c>
      <c r="AC235" s="68"/>
      <c r="AD235" s="68"/>
      <c r="AE235" s="68"/>
      <c r="AF235" s="68"/>
      <c r="AG235" s="68"/>
      <c r="AH235" s="68"/>
      <c r="AI235" s="68"/>
      <c r="AJ235" s="68"/>
      <c r="AK235" s="68"/>
      <c r="AL235" s="68"/>
      <c r="AM235" s="68"/>
      <c r="AN235" s="68" t="str">
        <f t="shared" si="46"/>
        <v>Tidak ada risiko khusus</v>
      </c>
      <c r="AO235" s="68" t="str">
        <f t="shared" si="47"/>
        <v>Tidak Ada Risiko Khusus</v>
      </c>
      <c r="AP235" s="68"/>
      <c r="AQ235" s="71" t="str">
        <f t="shared" si="42"/>
        <v/>
      </c>
      <c r="AR235" s="71">
        <f t="shared" si="44"/>
        <v>0</v>
      </c>
      <c r="AS235" s="71" t="str">
        <f t="shared" si="48"/>
        <v/>
      </c>
      <c r="AT235" s="69" t="str">
        <f t="shared" si="43"/>
        <v>Belum Dapat Ditentukan</v>
      </c>
      <c r="AU235" s="66"/>
      <c r="AV235" s="66"/>
      <c r="AW235" s="66"/>
      <c r="AX235" s="66"/>
      <c r="AY235" s="66"/>
      <c r="AZ235" s="66"/>
      <c r="BA235" s="66"/>
      <c r="BB235" s="72"/>
      <c r="BC235" s="73"/>
      <c r="BD235" s="66"/>
      <c r="BE235" s="72"/>
      <c r="BF235" s="66"/>
    </row>
    <row r="236" spans="1:58">
      <c r="A236" s="66"/>
      <c r="B236" s="66"/>
      <c r="C236" s="66"/>
      <c r="D236" s="66"/>
      <c r="E236" s="66"/>
      <c r="F236" s="66"/>
      <c r="G236" s="66"/>
      <c r="H236" s="66"/>
      <c r="I236" s="66"/>
      <c r="J236" s="66"/>
      <c r="K236" s="66"/>
      <c r="L236" s="66"/>
      <c r="M236" s="66"/>
      <c r="N236" s="66"/>
      <c r="O236" s="66"/>
      <c r="P236" s="66"/>
      <c r="Q236" s="87"/>
      <c r="R236" s="87"/>
      <c r="S236" s="87"/>
      <c r="T236" s="87"/>
      <c r="U236" s="87"/>
      <c r="V236" s="87"/>
      <c r="W236" s="67"/>
      <c r="X236" s="85" t="str">
        <f t="shared" si="38"/>
        <v>Tidak ada faktor rentan</v>
      </c>
      <c r="Y236" s="85" t="str">
        <f t="shared" si="39"/>
        <v>Tidak Ada Faktor Rentan</v>
      </c>
      <c r="Z236" s="86" t="str">
        <f t="shared" si="40"/>
        <v/>
      </c>
      <c r="AA236" s="86">
        <f t="shared" si="41"/>
        <v>0</v>
      </c>
      <c r="AB236" s="86" t="str">
        <f t="shared" si="45"/>
        <v/>
      </c>
      <c r="AC236" s="68"/>
      <c r="AD236" s="68"/>
      <c r="AE236" s="68"/>
      <c r="AF236" s="68"/>
      <c r="AG236" s="68"/>
      <c r="AH236" s="68"/>
      <c r="AI236" s="68"/>
      <c r="AJ236" s="68"/>
      <c r="AK236" s="68"/>
      <c r="AL236" s="68"/>
      <c r="AM236" s="68"/>
      <c r="AN236" s="68" t="str">
        <f t="shared" si="46"/>
        <v>Tidak ada risiko khusus</v>
      </c>
      <c r="AO236" s="68" t="str">
        <f t="shared" si="47"/>
        <v>Tidak Ada Risiko Khusus</v>
      </c>
      <c r="AP236" s="68"/>
      <c r="AQ236" s="71" t="str">
        <f t="shared" si="42"/>
        <v/>
      </c>
      <c r="AR236" s="71">
        <f t="shared" si="44"/>
        <v>0</v>
      </c>
      <c r="AS236" s="71" t="str">
        <f t="shared" si="48"/>
        <v/>
      </c>
      <c r="AT236" s="69" t="str">
        <f t="shared" si="43"/>
        <v>Belum Dapat Ditentukan</v>
      </c>
      <c r="AU236" s="66"/>
      <c r="AV236" s="66"/>
      <c r="AW236" s="66"/>
      <c r="AX236" s="66"/>
      <c r="AY236" s="66"/>
      <c r="AZ236" s="66"/>
      <c r="BA236" s="66"/>
      <c r="BB236" s="72"/>
      <c r="BC236" s="73"/>
      <c r="BD236" s="66"/>
      <c r="BE236" s="72"/>
      <c r="BF236" s="66"/>
    </row>
    <row r="237" spans="1:58">
      <c r="A237" s="66"/>
      <c r="B237" s="66"/>
      <c r="C237" s="66"/>
      <c r="D237" s="66"/>
      <c r="E237" s="66"/>
      <c r="F237" s="66"/>
      <c r="G237" s="66"/>
      <c r="H237" s="66"/>
      <c r="I237" s="66"/>
      <c r="J237" s="66"/>
      <c r="K237" s="66"/>
      <c r="L237" s="66"/>
      <c r="M237" s="66"/>
      <c r="N237" s="66"/>
      <c r="O237" s="66"/>
      <c r="P237" s="66"/>
      <c r="Q237" s="87"/>
      <c r="R237" s="87"/>
      <c r="S237" s="87"/>
      <c r="T237" s="87"/>
      <c r="U237" s="87"/>
      <c r="V237" s="87"/>
      <c r="W237" s="67"/>
      <c r="X237" s="85" t="str">
        <f t="shared" si="38"/>
        <v>Tidak ada faktor rentan</v>
      </c>
      <c r="Y237" s="85" t="str">
        <f t="shared" si="39"/>
        <v>Tidak Ada Faktor Rentan</v>
      </c>
      <c r="Z237" s="86" t="str">
        <f t="shared" si="40"/>
        <v/>
      </c>
      <c r="AA237" s="86">
        <f t="shared" si="41"/>
        <v>0</v>
      </c>
      <c r="AB237" s="86" t="str">
        <f t="shared" si="45"/>
        <v/>
      </c>
      <c r="AC237" s="68"/>
      <c r="AD237" s="68"/>
      <c r="AE237" s="68"/>
      <c r="AF237" s="68"/>
      <c r="AG237" s="68"/>
      <c r="AH237" s="68"/>
      <c r="AI237" s="68"/>
      <c r="AJ237" s="68"/>
      <c r="AK237" s="68"/>
      <c r="AL237" s="68"/>
      <c r="AM237" s="68"/>
      <c r="AN237" s="68" t="str">
        <f t="shared" si="46"/>
        <v>Tidak ada risiko khusus</v>
      </c>
      <c r="AO237" s="68" t="str">
        <f t="shared" si="47"/>
        <v>Tidak Ada Risiko Khusus</v>
      </c>
      <c r="AP237" s="68"/>
      <c r="AQ237" s="71" t="str">
        <f t="shared" si="42"/>
        <v/>
      </c>
      <c r="AR237" s="71">
        <f t="shared" si="44"/>
        <v>0</v>
      </c>
      <c r="AS237" s="71" t="str">
        <f t="shared" si="48"/>
        <v/>
      </c>
      <c r="AT237" s="69" t="str">
        <f t="shared" si="43"/>
        <v>Belum Dapat Ditentukan</v>
      </c>
      <c r="AU237" s="66"/>
      <c r="AV237" s="66"/>
      <c r="AW237" s="66"/>
      <c r="AX237" s="66"/>
      <c r="AY237" s="66"/>
      <c r="AZ237" s="66"/>
      <c r="BA237" s="66"/>
      <c r="BB237" s="72"/>
      <c r="BC237" s="73"/>
      <c r="BD237" s="66"/>
      <c r="BE237" s="72"/>
      <c r="BF237" s="66"/>
    </row>
    <row r="238" spans="1:58">
      <c r="A238" s="66"/>
      <c r="B238" s="66"/>
      <c r="C238" s="66"/>
      <c r="D238" s="66"/>
      <c r="E238" s="66"/>
      <c r="F238" s="66"/>
      <c r="G238" s="66"/>
      <c r="H238" s="66"/>
      <c r="I238" s="66"/>
      <c r="J238" s="66"/>
      <c r="K238" s="66"/>
      <c r="L238" s="66"/>
      <c r="M238" s="66"/>
      <c r="N238" s="66"/>
      <c r="O238" s="66"/>
      <c r="P238" s="66"/>
      <c r="Q238" s="87"/>
      <c r="R238" s="87"/>
      <c r="S238" s="87"/>
      <c r="T238" s="87"/>
      <c r="U238" s="87"/>
      <c r="V238" s="87"/>
      <c r="W238" s="67"/>
      <c r="X238" s="85" t="str">
        <f t="shared" si="38"/>
        <v>Tidak ada faktor rentan</v>
      </c>
      <c r="Y238" s="85" t="str">
        <f t="shared" si="39"/>
        <v>Tidak Ada Faktor Rentan</v>
      </c>
      <c r="Z238" s="86" t="str">
        <f t="shared" si="40"/>
        <v/>
      </c>
      <c r="AA238" s="86">
        <f t="shared" si="41"/>
        <v>0</v>
      </c>
      <c r="AB238" s="86" t="str">
        <f t="shared" si="45"/>
        <v/>
      </c>
      <c r="AC238" s="68"/>
      <c r="AD238" s="68"/>
      <c r="AE238" s="68"/>
      <c r="AF238" s="68"/>
      <c r="AG238" s="68"/>
      <c r="AH238" s="68"/>
      <c r="AI238" s="68"/>
      <c r="AJ238" s="68"/>
      <c r="AK238" s="68"/>
      <c r="AL238" s="68"/>
      <c r="AM238" s="68"/>
      <c r="AN238" s="68" t="str">
        <f t="shared" si="46"/>
        <v>Tidak ada risiko khusus</v>
      </c>
      <c r="AO238" s="68" t="str">
        <f t="shared" si="47"/>
        <v>Tidak Ada Risiko Khusus</v>
      </c>
      <c r="AP238" s="68"/>
      <c r="AQ238" s="71" t="str">
        <f t="shared" si="42"/>
        <v/>
      </c>
      <c r="AR238" s="71">
        <f t="shared" si="44"/>
        <v>0</v>
      </c>
      <c r="AS238" s="71" t="str">
        <f t="shared" si="48"/>
        <v/>
      </c>
      <c r="AT238" s="69" t="str">
        <f t="shared" si="43"/>
        <v>Belum Dapat Ditentukan</v>
      </c>
      <c r="AU238" s="66"/>
      <c r="AV238" s="66"/>
      <c r="AW238" s="66"/>
      <c r="AX238" s="66"/>
      <c r="AY238" s="66"/>
      <c r="AZ238" s="66"/>
      <c r="BA238" s="66"/>
      <c r="BB238" s="72"/>
      <c r="BC238" s="73"/>
      <c r="BD238" s="66"/>
      <c r="BE238" s="72"/>
      <c r="BF238" s="66"/>
    </row>
    <row r="239" spans="1:58">
      <c r="A239" s="66"/>
      <c r="B239" s="66"/>
      <c r="C239" s="66"/>
      <c r="D239" s="66"/>
      <c r="E239" s="66"/>
      <c r="F239" s="66"/>
      <c r="G239" s="66"/>
      <c r="H239" s="66"/>
      <c r="I239" s="66"/>
      <c r="J239" s="66"/>
      <c r="K239" s="66"/>
      <c r="L239" s="66"/>
      <c r="M239" s="66"/>
      <c r="N239" s="66"/>
      <c r="O239" s="66"/>
      <c r="P239" s="66"/>
      <c r="Q239" s="87"/>
      <c r="R239" s="87"/>
      <c r="S239" s="87"/>
      <c r="T239" s="87"/>
      <c r="U239" s="87"/>
      <c r="V239" s="87"/>
      <c r="W239" s="67"/>
      <c r="X239" s="85" t="str">
        <f t="shared" si="38"/>
        <v>Tidak ada faktor rentan</v>
      </c>
      <c r="Y239" s="85" t="str">
        <f t="shared" si="39"/>
        <v>Tidak Ada Faktor Rentan</v>
      </c>
      <c r="Z239" s="86" t="str">
        <f t="shared" si="40"/>
        <v/>
      </c>
      <c r="AA239" s="86">
        <f t="shared" si="41"/>
        <v>0</v>
      </c>
      <c r="AB239" s="86" t="str">
        <f t="shared" si="45"/>
        <v/>
      </c>
      <c r="AC239" s="68"/>
      <c r="AD239" s="68"/>
      <c r="AE239" s="68"/>
      <c r="AF239" s="68"/>
      <c r="AG239" s="68"/>
      <c r="AH239" s="68"/>
      <c r="AI239" s="68"/>
      <c r="AJ239" s="68"/>
      <c r="AK239" s="68"/>
      <c r="AL239" s="68"/>
      <c r="AM239" s="68"/>
      <c r="AN239" s="68" t="str">
        <f t="shared" si="46"/>
        <v>Tidak ada risiko khusus</v>
      </c>
      <c r="AO239" s="68" t="str">
        <f t="shared" si="47"/>
        <v>Tidak Ada Risiko Khusus</v>
      </c>
      <c r="AP239" s="68"/>
      <c r="AQ239" s="71" t="str">
        <f t="shared" si="42"/>
        <v/>
      </c>
      <c r="AR239" s="71">
        <f t="shared" si="44"/>
        <v>0</v>
      </c>
      <c r="AS239" s="71" t="str">
        <f t="shared" si="48"/>
        <v/>
      </c>
      <c r="AT239" s="69" t="str">
        <f t="shared" si="43"/>
        <v>Belum Dapat Ditentukan</v>
      </c>
      <c r="AU239" s="66"/>
      <c r="AV239" s="66"/>
      <c r="AW239" s="66"/>
      <c r="AX239" s="66"/>
      <c r="AY239" s="66"/>
      <c r="AZ239" s="66"/>
      <c r="BA239" s="66"/>
      <c r="BB239" s="72"/>
      <c r="BC239" s="73"/>
      <c r="BD239" s="66"/>
      <c r="BE239" s="72"/>
      <c r="BF239" s="66"/>
    </row>
    <row r="240" spans="1:58">
      <c r="A240" s="66"/>
      <c r="B240" s="66"/>
      <c r="C240" s="66"/>
      <c r="D240" s="66"/>
      <c r="E240" s="66"/>
      <c r="F240" s="66"/>
      <c r="G240" s="66"/>
      <c r="H240" s="66"/>
      <c r="I240" s="66"/>
      <c r="J240" s="66"/>
      <c r="K240" s="66"/>
      <c r="L240" s="66"/>
      <c r="M240" s="66"/>
      <c r="N240" s="66"/>
      <c r="O240" s="66"/>
      <c r="P240" s="66"/>
      <c r="Q240" s="87"/>
      <c r="R240" s="87"/>
      <c r="S240" s="87"/>
      <c r="T240" s="87"/>
      <c r="U240" s="87"/>
      <c r="V240" s="87"/>
      <c r="W240" s="67"/>
      <c r="X240" s="85" t="str">
        <f t="shared" si="38"/>
        <v>Tidak ada faktor rentan</v>
      </c>
      <c r="Y240" s="85" t="str">
        <f t="shared" si="39"/>
        <v>Tidak Ada Faktor Rentan</v>
      </c>
      <c r="Z240" s="86" t="str">
        <f t="shared" si="40"/>
        <v/>
      </c>
      <c r="AA240" s="86">
        <f t="shared" si="41"/>
        <v>0</v>
      </c>
      <c r="AB240" s="86" t="str">
        <f t="shared" si="45"/>
        <v/>
      </c>
      <c r="AC240" s="68"/>
      <c r="AD240" s="68"/>
      <c r="AE240" s="68"/>
      <c r="AF240" s="68"/>
      <c r="AG240" s="68"/>
      <c r="AH240" s="68"/>
      <c r="AI240" s="68"/>
      <c r="AJ240" s="68"/>
      <c r="AK240" s="68"/>
      <c r="AL240" s="68"/>
      <c r="AM240" s="68"/>
      <c r="AN240" s="68" t="str">
        <f t="shared" si="46"/>
        <v>Tidak ada risiko khusus</v>
      </c>
      <c r="AO240" s="68" t="str">
        <f t="shared" si="47"/>
        <v>Tidak Ada Risiko Khusus</v>
      </c>
      <c r="AP240" s="68"/>
      <c r="AQ240" s="71" t="str">
        <f t="shared" si="42"/>
        <v/>
      </c>
      <c r="AR240" s="71">
        <f t="shared" si="44"/>
        <v>0</v>
      </c>
      <c r="AS240" s="71" t="str">
        <f t="shared" si="48"/>
        <v/>
      </c>
      <c r="AT240" s="69" t="str">
        <f t="shared" si="43"/>
        <v>Belum Dapat Ditentukan</v>
      </c>
      <c r="AU240" s="66"/>
      <c r="AV240" s="66"/>
      <c r="AW240" s="66"/>
      <c r="AX240" s="66"/>
      <c r="AY240" s="66"/>
      <c r="AZ240" s="66"/>
      <c r="BA240" s="66"/>
      <c r="BB240" s="72"/>
      <c r="BC240" s="73"/>
      <c r="BD240" s="66"/>
      <c r="BE240" s="72"/>
      <c r="BF240" s="66"/>
    </row>
    <row r="241" spans="1:58">
      <c r="A241" s="66"/>
      <c r="B241" s="66"/>
      <c r="C241" s="66"/>
      <c r="D241" s="66"/>
      <c r="E241" s="66"/>
      <c r="F241" s="66"/>
      <c r="G241" s="66"/>
      <c r="H241" s="66"/>
      <c r="I241" s="66"/>
      <c r="J241" s="66"/>
      <c r="K241" s="66"/>
      <c r="L241" s="66"/>
      <c r="M241" s="66"/>
      <c r="N241" s="66"/>
      <c r="O241" s="66"/>
      <c r="P241" s="66"/>
      <c r="Q241" s="87"/>
      <c r="R241" s="87"/>
      <c r="S241" s="87"/>
      <c r="T241" s="87"/>
      <c r="U241" s="87"/>
      <c r="V241" s="87"/>
      <c r="W241" s="67"/>
      <c r="X241" s="85" t="str">
        <f t="shared" si="38"/>
        <v>Tidak ada faktor rentan</v>
      </c>
      <c r="Y241" s="85" t="str">
        <f t="shared" si="39"/>
        <v>Tidak Ada Faktor Rentan</v>
      </c>
      <c r="Z241" s="86" t="str">
        <f t="shared" si="40"/>
        <v/>
      </c>
      <c r="AA241" s="86">
        <f t="shared" si="41"/>
        <v>0</v>
      </c>
      <c r="AB241" s="86" t="str">
        <f t="shared" si="45"/>
        <v/>
      </c>
      <c r="AC241" s="68"/>
      <c r="AD241" s="68"/>
      <c r="AE241" s="68"/>
      <c r="AF241" s="68"/>
      <c r="AG241" s="68"/>
      <c r="AH241" s="68"/>
      <c r="AI241" s="68"/>
      <c r="AJ241" s="68"/>
      <c r="AK241" s="68"/>
      <c r="AL241" s="68"/>
      <c r="AM241" s="68"/>
      <c r="AN241" s="68" t="str">
        <f t="shared" si="46"/>
        <v>Tidak ada risiko khusus</v>
      </c>
      <c r="AO241" s="68" t="str">
        <f t="shared" si="47"/>
        <v>Tidak Ada Risiko Khusus</v>
      </c>
      <c r="AP241" s="68"/>
      <c r="AQ241" s="71" t="str">
        <f t="shared" si="42"/>
        <v/>
      </c>
      <c r="AR241" s="71">
        <f t="shared" si="44"/>
        <v>0</v>
      </c>
      <c r="AS241" s="71" t="str">
        <f t="shared" si="48"/>
        <v/>
      </c>
      <c r="AT241" s="69" t="str">
        <f t="shared" si="43"/>
        <v>Belum Dapat Ditentukan</v>
      </c>
      <c r="AU241" s="66"/>
      <c r="AV241" s="66"/>
      <c r="AW241" s="66"/>
      <c r="AX241" s="66"/>
      <c r="AY241" s="66"/>
      <c r="AZ241" s="66"/>
      <c r="BA241" s="66"/>
      <c r="BB241" s="72"/>
      <c r="BC241" s="73"/>
      <c r="BD241" s="66"/>
      <c r="BE241" s="72"/>
      <c r="BF241" s="66"/>
    </row>
    <row r="242" spans="1:58">
      <c r="A242" s="66"/>
      <c r="B242" s="66"/>
      <c r="C242" s="66"/>
      <c r="D242" s="66"/>
      <c r="E242" s="66"/>
      <c r="F242" s="66"/>
      <c r="G242" s="66"/>
      <c r="H242" s="66"/>
      <c r="I242" s="66"/>
      <c r="J242" s="66"/>
      <c r="K242" s="66"/>
      <c r="L242" s="66"/>
      <c r="M242" s="66"/>
      <c r="N242" s="66"/>
      <c r="O242" s="66"/>
      <c r="P242" s="66"/>
      <c r="Q242" s="87"/>
      <c r="R242" s="87"/>
      <c r="S242" s="87"/>
      <c r="T242" s="87"/>
      <c r="U242" s="87"/>
      <c r="V242" s="87"/>
      <c r="W242" s="67"/>
      <c r="X242" s="85" t="str">
        <f t="shared" si="38"/>
        <v>Tidak ada faktor rentan</v>
      </c>
      <c r="Y242" s="85" t="str">
        <f t="shared" si="39"/>
        <v>Tidak Ada Faktor Rentan</v>
      </c>
      <c r="Z242" s="86" t="str">
        <f t="shared" si="40"/>
        <v/>
      </c>
      <c r="AA242" s="86">
        <f t="shared" si="41"/>
        <v>0</v>
      </c>
      <c r="AB242" s="86" t="str">
        <f t="shared" si="45"/>
        <v/>
      </c>
      <c r="AC242" s="68"/>
      <c r="AD242" s="68"/>
      <c r="AE242" s="68"/>
      <c r="AF242" s="68"/>
      <c r="AG242" s="68"/>
      <c r="AH242" s="68"/>
      <c r="AI242" s="68"/>
      <c r="AJ242" s="68"/>
      <c r="AK242" s="68"/>
      <c r="AL242" s="68"/>
      <c r="AM242" s="68"/>
      <c r="AN242" s="68" t="str">
        <f t="shared" si="46"/>
        <v>Tidak ada risiko khusus</v>
      </c>
      <c r="AO242" s="68" t="str">
        <f t="shared" si="47"/>
        <v>Tidak Ada Risiko Khusus</v>
      </c>
      <c r="AP242" s="68"/>
      <c r="AQ242" s="71" t="str">
        <f t="shared" si="42"/>
        <v/>
      </c>
      <c r="AR242" s="71">
        <f t="shared" si="44"/>
        <v>0</v>
      </c>
      <c r="AS242" s="71" t="str">
        <f t="shared" si="48"/>
        <v/>
      </c>
      <c r="AT242" s="69" t="str">
        <f t="shared" si="43"/>
        <v>Belum Dapat Ditentukan</v>
      </c>
      <c r="AU242" s="66"/>
      <c r="AV242" s="66"/>
      <c r="AW242" s="66"/>
      <c r="AX242" s="66"/>
      <c r="AY242" s="66"/>
      <c r="AZ242" s="66"/>
      <c r="BA242" s="66"/>
      <c r="BB242" s="72"/>
      <c r="BC242" s="73"/>
      <c r="BD242" s="66"/>
      <c r="BE242" s="72"/>
      <c r="BF242" s="66"/>
    </row>
    <row r="243" spans="1:58">
      <c r="A243" s="66"/>
      <c r="B243" s="66"/>
      <c r="C243" s="66"/>
      <c r="D243" s="66"/>
      <c r="E243" s="66"/>
      <c r="F243" s="66"/>
      <c r="G243" s="66"/>
      <c r="H243" s="66"/>
      <c r="I243" s="66"/>
      <c r="J243" s="66"/>
      <c r="K243" s="66"/>
      <c r="L243" s="66"/>
      <c r="M243" s="66"/>
      <c r="N243" s="66"/>
      <c r="O243" s="66"/>
      <c r="P243" s="66"/>
      <c r="Q243" s="87"/>
      <c r="R243" s="87"/>
      <c r="S243" s="87"/>
      <c r="T243" s="87"/>
      <c r="U243" s="87"/>
      <c r="V243" s="87"/>
      <c r="W243" s="67"/>
      <c r="X243" s="85" t="str">
        <f t="shared" si="38"/>
        <v>Tidak ada faktor rentan</v>
      </c>
      <c r="Y243" s="85" t="str">
        <f t="shared" si="39"/>
        <v>Tidak Ada Faktor Rentan</v>
      </c>
      <c r="Z243" s="86" t="str">
        <f t="shared" si="40"/>
        <v/>
      </c>
      <c r="AA243" s="86">
        <f t="shared" si="41"/>
        <v>0</v>
      </c>
      <c r="AB243" s="86" t="str">
        <f t="shared" si="45"/>
        <v/>
      </c>
      <c r="AC243" s="68"/>
      <c r="AD243" s="68"/>
      <c r="AE243" s="68"/>
      <c r="AF243" s="68"/>
      <c r="AG243" s="68"/>
      <c r="AH243" s="68"/>
      <c r="AI243" s="68"/>
      <c r="AJ243" s="68"/>
      <c r="AK243" s="68"/>
      <c r="AL243" s="68"/>
      <c r="AM243" s="68"/>
      <c r="AN243" s="68" t="str">
        <f t="shared" si="46"/>
        <v>Tidak ada risiko khusus</v>
      </c>
      <c r="AO243" s="68" t="str">
        <f t="shared" si="47"/>
        <v>Tidak Ada Risiko Khusus</v>
      </c>
      <c r="AP243" s="68"/>
      <c r="AQ243" s="71" t="str">
        <f t="shared" si="42"/>
        <v/>
      </c>
      <c r="AR243" s="71">
        <f t="shared" si="44"/>
        <v>0</v>
      </c>
      <c r="AS243" s="71" t="str">
        <f t="shared" si="48"/>
        <v/>
      </c>
      <c r="AT243" s="69" t="str">
        <f t="shared" si="43"/>
        <v>Belum Dapat Ditentukan</v>
      </c>
      <c r="AU243" s="66"/>
      <c r="AV243" s="66"/>
      <c r="AW243" s="66"/>
      <c r="AX243" s="66"/>
      <c r="AY243" s="66"/>
      <c r="AZ243" s="66"/>
      <c r="BA243" s="66"/>
      <c r="BB243" s="72"/>
      <c r="BC243" s="73"/>
      <c r="BD243" s="66"/>
      <c r="BE243" s="72"/>
      <c r="BF243" s="66"/>
    </row>
    <row r="244" spans="1:58">
      <c r="A244" s="66"/>
      <c r="B244" s="66"/>
      <c r="C244" s="66"/>
      <c r="D244" s="66"/>
      <c r="E244" s="66"/>
      <c r="F244" s="66"/>
      <c r="G244" s="66"/>
      <c r="H244" s="66"/>
      <c r="I244" s="66"/>
      <c r="J244" s="66"/>
      <c r="K244" s="66"/>
      <c r="L244" s="66"/>
      <c r="M244" s="66"/>
      <c r="N244" s="66"/>
      <c r="O244" s="66"/>
      <c r="P244" s="66"/>
      <c r="Q244" s="87"/>
      <c r="R244" s="87"/>
      <c r="S244" s="87"/>
      <c r="T244" s="87"/>
      <c r="U244" s="87"/>
      <c r="V244" s="87"/>
      <c r="W244" s="67"/>
      <c r="X244" s="85" t="str">
        <f t="shared" si="38"/>
        <v>Tidak ada faktor rentan</v>
      </c>
      <c r="Y244" s="85" t="str">
        <f t="shared" si="39"/>
        <v>Tidak Ada Faktor Rentan</v>
      </c>
      <c r="Z244" s="86" t="str">
        <f t="shared" si="40"/>
        <v/>
      </c>
      <c r="AA244" s="86">
        <f t="shared" si="41"/>
        <v>0</v>
      </c>
      <c r="AB244" s="86" t="str">
        <f t="shared" si="45"/>
        <v/>
      </c>
      <c r="AC244" s="68"/>
      <c r="AD244" s="68"/>
      <c r="AE244" s="68"/>
      <c r="AF244" s="68"/>
      <c r="AG244" s="68"/>
      <c r="AH244" s="68"/>
      <c r="AI244" s="68"/>
      <c r="AJ244" s="68"/>
      <c r="AK244" s="68"/>
      <c r="AL244" s="68"/>
      <c r="AM244" s="68"/>
      <c r="AN244" s="68" t="str">
        <f t="shared" si="46"/>
        <v>Tidak ada risiko khusus</v>
      </c>
      <c r="AO244" s="68" t="str">
        <f t="shared" si="47"/>
        <v>Tidak Ada Risiko Khusus</v>
      </c>
      <c r="AP244" s="68"/>
      <c r="AQ244" s="71" t="str">
        <f t="shared" si="42"/>
        <v/>
      </c>
      <c r="AR244" s="71">
        <f t="shared" si="44"/>
        <v>0</v>
      </c>
      <c r="AS244" s="71" t="str">
        <f t="shared" si="48"/>
        <v/>
      </c>
      <c r="AT244" s="69" t="str">
        <f t="shared" si="43"/>
        <v>Belum Dapat Ditentukan</v>
      </c>
      <c r="AU244" s="66"/>
      <c r="AV244" s="66"/>
      <c r="AW244" s="66"/>
      <c r="AX244" s="66"/>
      <c r="AY244" s="66"/>
      <c r="AZ244" s="66"/>
      <c r="BA244" s="66"/>
      <c r="BB244" s="72"/>
      <c r="BC244" s="73"/>
      <c r="BD244" s="66"/>
      <c r="BE244" s="72"/>
      <c r="BF244" s="66"/>
    </row>
    <row r="245" spans="1:58">
      <c r="A245" s="66"/>
      <c r="B245" s="66"/>
      <c r="C245" s="66"/>
      <c r="D245" s="66"/>
      <c r="E245" s="66"/>
      <c r="F245" s="66"/>
      <c r="G245" s="66"/>
      <c r="H245" s="66"/>
      <c r="I245" s="66"/>
      <c r="J245" s="66"/>
      <c r="K245" s="66"/>
      <c r="L245" s="66"/>
      <c r="M245" s="66"/>
      <c r="N245" s="66"/>
      <c r="O245" s="66"/>
      <c r="P245" s="66"/>
      <c r="Q245" s="87"/>
      <c r="R245" s="87"/>
      <c r="S245" s="87"/>
      <c r="T245" s="87"/>
      <c r="U245" s="87"/>
      <c r="V245" s="87"/>
      <c r="W245" s="67"/>
      <c r="X245" s="85" t="str">
        <f t="shared" si="38"/>
        <v>Tidak ada faktor rentan</v>
      </c>
      <c r="Y245" s="85" t="str">
        <f t="shared" si="39"/>
        <v>Tidak Ada Faktor Rentan</v>
      </c>
      <c r="Z245" s="86" t="str">
        <f t="shared" si="40"/>
        <v/>
      </c>
      <c r="AA245" s="86">
        <f t="shared" si="41"/>
        <v>0</v>
      </c>
      <c r="AB245" s="86" t="str">
        <f t="shared" si="45"/>
        <v/>
      </c>
      <c r="AC245" s="68"/>
      <c r="AD245" s="68"/>
      <c r="AE245" s="68"/>
      <c r="AF245" s="68"/>
      <c r="AG245" s="68"/>
      <c r="AH245" s="68"/>
      <c r="AI245" s="68"/>
      <c r="AJ245" s="68"/>
      <c r="AK245" s="68"/>
      <c r="AL245" s="68"/>
      <c r="AM245" s="68"/>
      <c r="AN245" s="68" t="str">
        <f t="shared" si="46"/>
        <v>Tidak ada risiko khusus</v>
      </c>
      <c r="AO245" s="68" t="str">
        <f t="shared" si="47"/>
        <v>Tidak Ada Risiko Khusus</v>
      </c>
      <c r="AP245" s="68"/>
      <c r="AQ245" s="71" t="str">
        <f t="shared" si="42"/>
        <v/>
      </c>
      <c r="AR245" s="71">
        <f t="shared" si="44"/>
        <v>0</v>
      </c>
      <c r="AS245" s="71" t="str">
        <f t="shared" si="48"/>
        <v/>
      </c>
      <c r="AT245" s="69" t="str">
        <f t="shared" si="43"/>
        <v>Belum Dapat Ditentukan</v>
      </c>
      <c r="AU245" s="66"/>
      <c r="AV245" s="66"/>
      <c r="AW245" s="66"/>
      <c r="AX245" s="66"/>
      <c r="AY245" s="66"/>
      <c r="AZ245" s="66"/>
      <c r="BA245" s="66"/>
      <c r="BB245" s="72"/>
      <c r="BC245" s="73"/>
      <c r="BD245" s="66"/>
      <c r="BE245" s="72"/>
      <c r="BF245" s="66"/>
    </row>
    <row r="246" spans="1:58">
      <c r="A246" s="66"/>
      <c r="B246" s="66"/>
      <c r="C246" s="66"/>
      <c r="D246" s="66"/>
      <c r="E246" s="66"/>
      <c r="F246" s="66"/>
      <c r="G246" s="66"/>
      <c r="H246" s="66"/>
      <c r="I246" s="66"/>
      <c r="J246" s="66"/>
      <c r="K246" s="66"/>
      <c r="L246" s="66"/>
      <c r="M246" s="66"/>
      <c r="N246" s="66"/>
      <c r="O246" s="66"/>
      <c r="P246" s="66"/>
      <c r="Q246" s="87"/>
      <c r="R246" s="87"/>
      <c r="S246" s="87"/>
      <c r="T246" s="87"/>
      <c r="U246" s="87"/>
      <c r="V246" s="87"/>
      <c r="W246" s="67"/>
      <c r="X246" s="85" t="str">
        <f t="shared" si="38"/>
        <v>Tidak ada faktor rentan</v>
      </c>
      <c r="Y246" s="85" t="str">
        <f t="shared" si="39"/>
        <v>Tidak Ada Faktor Rentan</v>
      </c>
      <c r="Z246" s="86" t="str">
        <f t="shared" si="40"/>
        <v/>
      </c>
      <c r="AA246" s="86">
        <f t="shared" si="41"/>
        <v>0</v>
      </c>
      <c r="AB246" s="86" t="str">
        <f t="shared" si="45"/>
        <v/>
      </c>
      <c r="AC246" s="68"/>
      <c r="AD246" s="68"/>
      <c r="AE246" s="68"/>
      <c r="AF246" s="68"/>
      <c r="AG246" s="68"/>
      <c r="AH246" s="68"/>
      <c r="AI246" s="68"/>
      <c r="AJ246" s="68"/>
      <c r="AK246" s="68"/>
      <c r="AL246" s="68"/>
      <c r="AM246" s="68"/>
      <c r="AN246" s="68" t="str">
        <f t="shared" si="46"/>
        <v>Tidak ada risiko khusus</v>
      </c>
      <c r="AO246" s="68" t="str">
        <f t="shared" si="47"/>
        <v>Tidak Ada Risiko Khusus</v>
      </c>
      <c r="AP246" s="68"/>
      <c r="AQ246" s="71" t="str">
        <f t="shared" si="42"/>
        <v/>
      </c>
      <c r="AR246" s="71">
        <f t="shared" si="44"/>
        <v>0</v>
      </c>
      <c r="AS246" s="71" t="str">
        <f t="shared" si="48"/>
        <v/>
      </c>
      <c r="AT246" s="69" t="str">
        <f t="shared" si="43"/>
        <v>Belum Dapat Ditentukan</v>
      </c>
      <c r="AU246" s="66"/>
      <c r="AV246" s="66"/>
      <c r="AW246" s="66"/>
      <c r="AX246" s="66"/>
      <c r="AY246" s="66"/>
      <c r="AZ246" s="66"/>
      <c r="BA246" s="66"/>
      <c r="BB246" s="72"/>
      <c r="BC246" s="73"/>
      <c r="BD246" s="66"/>
      <c r="BE246" s="72"/>
      <c r="BF246" s="66"/>
    </row>
    <row r="247" spans="1:58">
      <c r="A247" s="66"/>
      <c r="B247" s="66"/>
      <c r="C247" s="66"/>
      <c r="D247" s="66"/>
      <c r="E247" s="66"/>
      <c r="F247" s="66"/>
      <c r="G247" s="66"/>
      <c r="H247" s="66"/>
      <c r="I247" s="66"/>
      <c r="J247" s="66"/>
      <c r="K247" s="66"/>
      <c r="L247" s="66"/>
      <c r="M247" s="66"/>
      <c r="N247" s="66"/>
      <c r="O247" s="66"/>
      <c r="P247" s="66"/>
      <c r="Q247" s="87"/>
      <c r="R247" s="87"/>
      <c r="S247" s="87"/>
      <c r="T247" s="87"/>
      <c r="U247" s="87"/>
      <c r="V247" s="87"/>
      <c r="W247" s="67"/>
      <c r="X247" s="85" t="str">
        <f t="shared" si="38"/>
        <v>Tidak ada faktor rentan</v>
      </c>
      <c r="Y247" s="85" t="str">
        <f t="shared" si="39"/>
        <v>Tidak Ada Faktor Rentan</v>
      </c>
      <c r="Z247" s="86" t="str">
        <f t="shared" si="40"/>
        <v/>
      </c>
      <c r="AA247" s="86">
        <f t="shared" si="41"/>
        <v>0</v>
      </c>
      <c r="AB247" s="86" t="str">
        <f t="shared" si="45"/>
        <v/>
      </c>
      <c r="AC247" s="68"/>
      <c r="AD247" s="68"/>
      <c r="AE247" s="68"/>
      <c r="AF247" s="68"/>
      <c r="AG247" s="68"/>
      <c r="AH247" s="68"/>
      <c r="AI247" s="68"/>
      <c r="AJ247" s="68"/>
      <c r="AK247" s="68"/>
      <c r="AL247" s="68"/>
      <c r="AM247" s="68"/>
      <c r="AN247" s="68" t="str">
        <f t="shared" si="46"/>
        <v>Tidak ada risiko khusus</v>
      </c>
      <c r="AO247" s="68" t="str">
        <f t="shared" si="47"/>
        <v>Tidak Ada Risiko Khusus</v>
      </c>
      <c r="AP247" s="68"/>
      <c r="AQ247" s="71" t="str">
        <f t="shared" si="42"/>
        <v/>
      </c>
      <c r="AR247" s="71">
        <f t="shared" si="44"/>
        <v>0</v>
      </c>
      <c r="AS247" s="71" t="str">
        <f t="shared" si="48"/>
        <v/>
      </c>
      <c r="AT247" s="69" t="str">
        <f t="shared" si="43"/>
        <v>Belum Dapat Ditentukan</v>
      </c>
      <c r="AU247" s="66"/>
      <c r="AV247" s="66"/>
      <c r="AW247" s="66"/>
      <c r="AX247" s="66"/>
      <c r="AY247" s="66"/>
      <c r="AZ247" s="66"/>
      <c r="BA247" s="66"/>
      <c r="BB247" s="72"/>
      <c r="BC247" s="73"/>
      <c r="BD247" s="66"/>
      <c r="BE247" s="72"/>
      <c r="BF247" s="66"/>
    </row>
    <row r="248" spans="1:58">
      <c r="A248" s="66"/>
      <c r="B248" s="66"/>
      <c r="C248" s="66"/>
      <c r="D248" s="66"/>
      <c r="E248" s="66"/>
      <c r="F248" s="66"/>
      <c r="G248" s="66"/>
      <c r="H248" s="66"/>
      <c r="I248" s="66"/>
      <c r="J248" s="66"/>
      <c r="K248" s="66"/>
      <c r="L248" s="66"/>
      <c r="M248" s="66"/>
      <c r="N248" s="66"/>
      <c r="O248" s="66"/>
      <c r="P248" s="66"/>
      <c r="Q248" s="87"/>
      <c r="R248" s="87"/>
      <c r="S248" s="87"/>
      <c r="T248" s="87"/>
      <c r="U248" s="87"/>
      <c r="V248" s="87"/>
      <c r="W248" s="67"/>
      <c r="X248" s="85" t="str">
        <f t="shared" si="38"/>
        <v>Tidak ada faktor rentan</v>
      </c>
      <c r="Y248" s="85" t="str">
        <f t="shared" si="39"/>
        <v>Tidak Ada Faktor Rentan</v>
      </c>
      <c r="Z248" s="86" t="str">
        <f t="shared" si="40"/>
        <v/>
      </c>
      <c r="AA248" s="86">
        <f t="shared" si="41"/>
        <v>0</v>
      </c>
      <c r="AB248" s="86" t="str">
        <f t="shared" si="45"/>
        <v/>
      </c>
      <c r="AC248" s="68"/>
      <c r="AD248" s="68"/>
      <c r="AE248" s="68"/>
      <c r="AF248" s="68"/>
      <c r="AG248" s="68"/>
      <c r="AH248" s="68"/>
      <c r="AI248" s="68"/>
      <c r="AJ248" s="68"/>
      <c r="AK248" s="68"/>
      <c r="AL248" s="68"/>
      <c r="AM248" s="68"/>
      <c r="AN248" s="68" t="str">
        <f t="shared" si="46"/>
        <v>Tidak ada risiko khusus</v>
      </c>
      <c r="AO248" s="68" t="str">
        <f t="shared" si="47"/>
        <v>Tidak Ada Risiko Khusus</v>
      </c>
      <c r="AP248" s="68"/>
      <c r="AQ248" s="71" t="str">
        <f t="shared" si="42"/>
        <v/>
      </c>
      <c r="AR248" s="71">
        <f t="shared" si="44"/>
        <v>0</v>
      </c>
      <c r="AS248" s="71" t="str">
        <f t="shared" si="48"/>
        <v/>
      </c>
      <c r="AT248" s="69" t="str">
        <f t="shared" si="43"/>
        <v>Belum Dapat Ditentukan</v>
      </c>
      <c r="AU248" s="66"/>
      <c r="AV248" s="66"/>
      <c r="AW248" s="66"/>
      <c r="AX248" s="66"/>
      <c r="AY248" s="66"/>
      <c r="AZ248" s="66"/>
      <c r="BA248" s="66"/>
      <c r="BB248" s="72"/>
      <c r="BC248" s="73"/>
      <c r="BD248" s="66"/>
      <c r="BE248" s="72"/>
      <c r="BF248" s="66"/>
    </row>
    <row r="249" spans="1:58">
      <c r="A249" s="66"/>
      <c r="B249" s="66"/>
      <c r="C249" s="66"/>
      <c r="D249" s="66"/>
      <c r="E249" s="66"/>
      <c r="F249" s="66"/>
      <c r="G249" s="66"/>
      <c r="H249" s="66"/>
      <c r="I249" s="66"/>
      <c r="J249" s="66"/>
      <c r="K249" s="66"/>
      <c r="L249" s="66"/>
      <c r="M249" s="66"/>
      <c r="N249" s="66"/>
      <c r="O249" s="66"/>
      <c r="P249" s="66"/>
      <c r="Q249" s="87"/>
      <c r="R249" s="87"/>
      <c r="S249" s="87"/>
      <c r="T249" s="87"/>
      <c r="U249" s="87"/>
      <c r="V249" s="87"/>
      <c r="W249" s="67"/>
      <c r="X249" s="85" t="str">
        <f t="shared" si="38"/>
        <v>Tidak ada faktor rentan</v>
      </c>
      <c r="Y249" s="85" t="str">
        <f t="shared" si="39"/>
        <v>Tidak Ada Faktor Rentan</v>
      </c>
      <c r="Z249" s="86" t="str">
        <f t="shared" si="40"/>
        <v/>
      </c>
      <c r="AA249" s="86">
        <f t="shared" si="41"/>
        <v>0</v>
      </c>
      <c r="AB249" s="86" t="str">
        <f t="shared" si="45"/>
        <v/>
      </c>
      <c r="AC249" s="68"/>
      <c r="AD249" s="68"/>
      <c r="AE249" s="68"/>
      <c r="AF249" s="68"/>
      <c r="AG249" s="68"/>
      <c r="AH249" s="68"/>
      <c r="AI249" s="68"/>
      <c r="AJ249" s="68"/>
      <c r="AK249" s="68"/>
      <c r="AL249" s="68"/>
      <c r="AM249" s="68"/>
      <c r="AN249" s="68" t="str">
        <f t="shared" si="46"/>
        <v>Tidak ada risiko khusus</v>
      </c>
      <c r="AO249" s="68" t="str">
        <f t="shared" si="47"/>
        <v>Tidak Ada Risiko Khusus</v>
      </c>
      <c r="AP249" s="68"/>
      <c r="AQ249" s="71" t="str">
        <f t="shared" si="42"/>
        <v/>
      </c>
      <c r="AR249" s="71">
        <f t="shared" si="44"/>
        <v>0</v>
      </c>
      <c r="AS249" s="71" t="str">
        <f t="shared" si="48"/>
        <v/>
      </c>
      <c r="AT249" s="69" t="str">
        <f t="shared" si="43"/>
        <v>Belum Dapat Ditentukan</v>
      </c>
      <c r="AU249" s="66"/>
      <c r="AV249" s="66"/>
      <c r="AW249" s="66"/>
      <c r="AX249" s="66"/>
      <c r="AY249" s="66"/>
      <c r="AZ249" s="66"/>
      <c r="BA249" s="66"/>
      <c r="BB249" s="72"/>
      <c r="BC249" s="73"/>
      <c r="BD249" s="66"/>
      <c r="BE249" s="72"/>
      <c r="BF249" s="66"/>
    </row>
    <row r="250" spans="1:58">
      <c r="A250" s="66"/>
      <c r="B250" s="66"/>
      <c r="C250" s="66"/>
      <c r="D250" s="66"/>
      <c r="E250" s="66"/>
      <c r="F250" s="66"/>
      <c r="G250" s="66"/>
      <c r="H250" s="66"/>
      <c r="I250" s="66"/>
      <c r="J250" s="66"/>
      <c r="K250" s="66"/>
      <c r="L250" s="66"/>
      <c r="M250" s="66"/>
      <c r="N250" s="66"/>
      <c r="O250" s="66"/>
      <c r="P250" s="66"/>
      <c r="Q250" s="87"/>
      <c r="R250" s="87"/>
      <c r="S250" s="87"/>
      <c r="T250" s="87"/>
      <c r="U250" s="87"/>
      <c r="V250" s="87"/>
      <c r="W250" s="67"/>
      <c r="X250" s="85" t="str">
        <f t="shared" si="38"/>
        <v>Tidak ada faktor rentan</v>
      </c>
      <c r="Y250" s="85" t="str">
        <f t="shared" si="39"/>
        <v>Tidak Ada Faktor Rentan</v>
      </c>
      <c r="Z250" s="86" t="str">
        <f t="shared" si="40"/>
        <v/>
      </c>
      <c r="AA250" s="86">
        <f t="shared" si="41"/>
        <v>0</v>
      </c>
      <c r="AB250" s="86" t="str">
        <f t="shared" si="45"/>
        <v/>
      </c>
      <c r="AC250" s="68"/>
      <c r="AD250" s="68"/>
      <c r="AE250" s="68"/>
      <c r="AF250" s="68"/>
      <c r="AG250" s="68"/>
      <c r="AH250" s="68"/>
      <c r="AI250" s="68"/>
      <c r="AJ250" s="68"/>
      <c r="AK250" s="68"/>
      <c r="AL250" s="68"/>
      <c r="AM250" s="68"/>
      <c r="AN250" s="68" t="str">
        <f t="shared" si="46"/>
        <v>Tidak ada risiko khusus</v>
      </c>
      <c r="AO250" s="68" t="str">
        <f t="shared" si="47"/>
        <v>Tidak Ada Risiko Khusus</v>
      </c>
      <c r="AP250" s="68"/>
      <c r="AQ250" s="71" t="str">
        <f t="shared" si="42"/>
        <v/>
      </c>
      <c r="AR250" s="71">
        <f t="shared" si="44"/>
        <v>0</v>
      </c>
      <c r="AS250" s="71" t="str">
        <f t="shared" si="48"/>
        <v/>
      </c>
      <c r="AT250" s="69" t="str">
        <f t="shared" si="43"/>
        <v>Belum Dapat Ditentukan</v>
      </c>
      <c r="AU250" s="66"/>
      <c r="AV250" s="66"/>
      <c r="AW250" s="66"/>
      <c r="AX250" s="66"/>
      <c r="AY250" s="66"/>
      <c r="AZ250" s="66"/>
      <c r="BA250" s="66"/>
      <c r="BB250" s="72"/>
      <c r="BC250" s="73"/>
      <c r="BD250" s="66"/>
      <c r="BE250" s="72"/>
      <c r="BF250" s="66"/>
    </row>
    <row r="251" spans="1:58">
      <c r="A251" s="66"/>
      <c r="B251" s="66"/>
      <c r="C251" s="66"/>
      <c r="D251" s="66"/>
      <c r="E251" s="66"/>
      <c r="F251" s="66"/>
      <c r="G251" s="66"/>
      <c r="H251" s="66"/>
      <c r="I251" s="66"/>
      <c r="J251" s="66"/>
      <c r="K251" s="66"/>
      <c r="L251" s="66"/>
      <c r="M251" s="66"/>
      <c r="N251" s="66"/>
      <c r="O251" s="66"/>
      <c r="P251" s="66"/>
      <c r="Q251" s="87"/>
      <c r="R251" s="87"/>
      <c r="S251" s="87"/>
      <c r="T251" s="87"/>
      <c r="U251" s="87"/>
      <c r="V251" s="87"/>
      <c r="W251" s="67"/>
      <c r="X251" s="85" t="str">
        <f t="shared" si="38"/>
        <v>Tidak ada faktor rentan</v>
      </c>
      <c r="Y251" s="85" t="str">
        <f t="shared" si="39"/>
        <v>Tidak Ada Faktor Rentan</v>
      </c>
      <c r="Z251" s="86" t="str">
        <f t="shared" si="40"/>
        <v/>
      </c>
      <c r="AA251" s="86">
        <f t="shared" si="41"/>
        <v>0</v>
      </c>
      <c r="AB251" s="86" t="str">
        <f t="shared" si="45"/>
        <v/>
      </c>
      <c r="AC251" s="68"/>
      <c r="AD251" s="68"/>
      <c r="AE251" s="68"/>
      <c r="AF251" s="68"/>
      <c r="AG251" s="68"/>
      <c r="AH251" s="68"/>
      <c r="AI251" s="68"/>
      <c r="AJ251" s="68"/>
      <c r="AK251" s="68"/>
      <c r="AL251" s="68"/>
      <c r="AM251" s="68"/>
      <c r="AN251" s="68" t="str">
        <f t="shared" si="46"/>
        <v>Tidak ada risiko khusus</v>
      </c>
      <c r="AO251" s="68" t="str">
        <f t="shared" si="47"/>
        <v>Tidak Ada Risiko Khusus</v>
      </c>
      <c r="AP251" s="68"/>
      <c r="AQ251" s="71" t="str">
        <f t="shared" si="42"/>
        <v/>
      </c>
      <c r="AR251" s="71">
        <f t="shared" si="44"/>
        <v>0</v>
      </c>
      <c r="AS251" s="71" t="str">
        <f t="shared" si="48"/>
        <v/>
      </c>
      <c r="AT251" s="69" t="str">
        <f t="shared" si="43"/>
        <v>Belum Dapat Ditentukan</v>
      </c>
      <c r="AU251" s="66"/>
      <c r="AV251" s="66"/>
      <c r="AW251" s="66"/>
      <c r="AX251" s="66"/>
      <c r="AY251" s="66"/>
      <c r="AZ251" s="66"/>
      <c r="BA251" s="66"/>
      <c r="BB251" s="72"/>
      <c r="BC251" s="73"/>
      <c r="BD251" s="66"/>
      <c r="BE251" s="72"/>
      <c r="BF251" s="66"/>
    </row>
    <row r="252" spans="1:58">
      <c r="A252" s="66"/>
      <c r="B252" s="66"/>
      <c r="C252" s="66"/>
      <c r="D252" s="66"/>
      <c r="E252" s="66"/>
      <c r="F252" s="66"/>
      <c r="G252" s="66"/>
      <c r="H252" s="66"/>
      <c r="I252" s="66"/>
      <c r="J252" s="66"/>
      <c r="K252" s="66"/>
      <c r="L252" s="66"/>
      <c r="M252" s="66"/>
      <c r="N252" s="66"/>
      <c r="O252" s="66"/>
      <c r="P252" s="66"/>
      <c r="Q252" s="87"/>
      <c r="R252" s="87"/>
      <c r="S252" s="87"/>
      <c r="T252" s="87"/>
      <c r="U252" s="87"/>
      <c r="V252" s="87"/>
      <c r="W252" s="67"/>
      <c r="X252" s="85" t="str">
        <f t="shared" si="38"/>
        <v>Tidak ada faktor rentan</v>
      </c>
      <c r="Y252" s="85" t="str">
        <f t="shared" si="39"/>
        <v>Tidak Ada Faktor Rentan</v>
      </c>
      <c r="Z252" s="86" t="str">
        <f t="shared" si="40"/>
        <v/>
      </c>
      <c r="AA252" s="86">
        <f t="shared" si="41"/>
        <v>0</v>
      </c>
      <c r="AB252" s="86" t="str">
        <f t="shared" si="45"/>
        <v/>
      </c>
      <c r="AC252" s="68"/>
      <c r="AD252" s="68"/>
      <c r="AE252" s="68"/>
      <c r="AF252" s="68"/>
      <c r="AG252" s="68"/>
      <c r="AH252" s="68"/>
      <c r="AI252" s="68"/>
      <c r="AJ252" s="68"/>
      <c r="AK252" s="68"/>
      <c r="AL252" s="68"/>
      <c r="AM252" s="68"/>
      <c r="AN252" s="68" t="str">
        <f t="shared" si="46"/>
        <v>Tidak ada risiko khusus</v>
      </c>
      <c r="AO252" s="68" t="str">
        <f t="shared" si="47"/>
        <v>Tidak Ada Risiko Khusus</v>
      </c>
      <c r="AP252" s="68"/>
      <c r="AQ252" s="71" t="str">
        <f t="shared" si="42"/>
        <v/>
      </c>
      <c r="AR252" s="71">
        <f t="shared" si="44"/>
        <v>0</v>
      </c>
      <c r="AS252" s="71" t="str">
        <f t="shared" si="48"/>
        <v/>
      </c>
      <c r="AT252" s="69" t="str">
        <f t="shared" si="43"/>
        <v>Belum Dapat Ditentukan</v>
      </c>
      <c r="AU252" s="66"/>
      <c r="AV252" s="66"/>
      <c r="AW252" s="66"/>
      <c r="AX252" s="66"/>
      <c r="AY252" s="66"/>
      <c r="AZ252" s="66"/>
      <c r="BA252" s="66"/>
      <c r="BB252" s="72"/>
      <c r="BC252" s="73"/>
      <c r="BD252" s="66"/>
      <c r="BE252" s="72"/>
      <c r="BF252" s="66"/>
    </row>
    <row r="253" spans="1:58">
      <c r="A253" s="66"/>
      <c r="B253" s="66"/>
      <c r="C253" s="66"/>
      <c r="D253" s="66"/>
      <c r="E253" s="66"/>
      <c r="F253" s="66"/>
      <c r="G253" s="66"/>
      <c r="H253" s="66"/>
      <c r="I253" s="66"/>
      <c r="J253" s="66"/>
      <c r="K253" s="66"/>
      <c r="L253" s="66"/>
      <c r="M253" s="66"/>
      <c r="N253" s="66"/>
      <c r="O253" s="66"/>
      <c r="P253" s="66"/>
      <c r="Q253" s="87"/>
      <c r="R253" s="87"/>
      <c r="S253" s="87"/>
      <c r="T253" s="87"/>
      <c r="U253" s="87"/>
      <c r="V253" s="87"/>
      <c r="W253" s="67"/>
      <c r="X253" s="85" t="str">
        <f t="shared" si="38"/>
        <v>Tidak ada faktor rentan</v>
      </c>
      <c r="Y253" s="85" t="str">
        <f t="shared" si="39"/>
        <v>Tidak Ada Faktor Rentan</v>
      </c>
      <c r="Z253" s="86" t="str">
        <f t="shared" si="40"/>
        <v/>
      </c>
      <c r="AA253" s="86">
        <f t="shared" si="41"/>
        <v>0</v>
      </c>
      <c r="AB253" s="86" t="str">
        <f t="shared" si="45"/>
        <v/>
      </c>
      <c r="AC253" s="68"/>
      <c r="AD253" s="68"/>
      <c r="AE253" s="68"/>
      <c r="AF253" s="68"/>
      <c r="AG253" s="68"/>
      <c r="AH253" s="68"/>
      <c r="AI253" s="68"/>
      <c r="AJ253" s="68"/>
      <c r="AK253" s="68"/>
      <c r="AL253" s="68"/>
      <c r="AM253" s="68"/>
      <c r="AN253" s="68" t="str">
        <f t="shared" si="46"/>
        <v>Tidak ada risiko khusus</v>
      </c>
      <c r="AO253" s="68" t="str">
        <f t="shared" si="47"/>
        <v>Tidak Ada Risiko Khusus</v>
      </c>
      <c r="AP253" s="68"/>
      <c r="AQ253" s="71" t="str">
        <f t="shared" si="42"/>
        <v/>
      </c>
      <c r="AR253" s="71">
        <f t="shared" si="44"/>
        <v>0</v>
      </c>
      <c r="AS253" s="71" t="str">
        <f t="shared" si="48"/>
        <v/>
      </c>
      <c r="AT253" s="69" t="str">
        <f t="shared" si="43"/>
        <v>Belum Dapat Ditentukan</v>
      </c>
      <c r="AU253" s="66"/>
      <c r="AV253" s="66"/>
      <c r="AW253" s="66"/>
      <c r="AX253" s="66"/>
      <c r="AY253" s="66"/>
      <c r="AZ253" s="66"/>
      <c r="BA253" s="66"/>
      <c r="BB253" s="72"/>
      <c r="BC253" s="73"/>
      <c r="BD253" s="66"/>
      <c r="BE253" s="72"/>
      <c r="BF253" s="66"/>
    </row>
    <row r="254" spans="1:58">
      <c r="A254" s="66"/>
      <c r="B254" s="66"/>
      <c r="C254" s="66"/>
      <c r="D254" s="66"/>
      <c r="E254" s="66"/>
      <c r="F254" s="66"/>
      <c r="G254" s="66"/>
      <c r="H254" s="66"/>
      <c r="I254" s="66"/>
      <c r="J254" s="66"/>
      <c r="K254" s="66"/>
      <c r="L254" s="66"/>
      <c r="M254" s="66"/>
      <c r="N254" s="66"/>
      <c r="O254" s="66"/>
      <c r="P254" s="66"/>
      <c r="Q254" s="87"/>
      <c r="R254" s="87"/>
      <c r="S254" s="87"/>
      <c r="T254" s="87"/>
      <c r="U254" s="87"/>
      <c r="V254" s="87"/>
      <c r="W254" s="67"/>
      <c r="X254" s="85" t="str">
        <f t="shared" si="38"/>
        <v>Tidak ada faktor rentan</v>
      </c>
      <c r="Y254" s="85" t="str">
        <f t="shared" si="39"/>
        <v>Tidak Ada Faktor Rentan</v>
      </c>
      <c r="Z254" s="86" t="str">
        <f t="shared" si="40"/>
        <v/>
      </c>
      <c r="AA254" s="86">
        <f t="shared" si="41"/>
        <v>0</v>
      </c>
      <c r="AB254" s="86" t="str">
        <f t="shared" si="45"/>
        <v/>
      </c>
      <c r="AC254" s="68"/>
      <c r="AD254" s="68"/>
      <c r="AE254" s="68"/>
      <c r="AF254" s="68"/>
      <c r="AG254" s="68"/>
      <c r="AH254" s="68"/>
      <c r="AI254" s="68"/>
      <c r="AJ254" s="68"/>
      <c r="AK254" s="68"/>
      <c r="AL254" s="68"/>
      <c r="AM254" s="68"/>
      <c r="AN254" s="68" t="str">
        <f t="shared" si="46"/>
        <v>Tidak ada risiko khusus</v>
      </c>
      <c r="AO254" s="68" t="str">
        <f t="shared" si="47"/>
        <v>Tidak Ada Risiko Khusus</v>
      </c>
      <c r="AP254" s="68"/>
      <c r="AQ254" s="71" t="str">
        <f t="shared" si="42"/>
        <v/>
      </c>
      <c r="AR254" s="71">
        <f t="shared" si="44"/>
        <v>0</v>
      </c>
      <c r="AS254" s="71" t="str">
        <f t="shared" si="48"/>
        <v/>
      </c>
      <c r="AT254" s="69" t="str">
        <f t="shared" si="43"/>
        <v>Belum Dapat Ditentukan</v>
      </c>
      <c r="AU254" s="66"/>
      <c r="AV254" s="66"/>
      <c r="AW254" s="66"/>
      <c r="AX254" s="66"/>
      <c r="AY254" s="66"/>
      <c r="AZ254" s="66"/>
      <c r="BA254" s="66"/>
      <c r="BB254" s="72"/>
      <c r="BC254" s="73"/>
      <c r="BD254" s="66"/>
      <c r="BE254" s="72"/>
      <c r="BF254" s="66"/>
    </row>
    <row r="255" spans="1:58">
      <c r="A255" s="66"/>
      <c r="B255" s="66"/>
      <c r="C255" s="66"/>
      <c r="D255" s="66"/>
      <c r="E255" s="66"/>
      <c r="F255" s="66"/>
      <c r="G255" s="66"/>
      <c r="H255" s="66"/>
      <c r="I255" s="66"/>
      <c r="J255" s="66"/>
      <c r="K255" s="66"/>
      <c r="L255" s="66"/>
      <c r="M255" s="66"/>
      <c r="N255" s="66"/>
      <c r="O255" s="66"/>
      <c r="P255" s="66"/>
      <c r="Q255" s="87"/>
      <c r="R255" s="87"/>
      <c r="S255" s="87"/>
      <c r="T255" s="87"/>
      <c r="U255" s="87"/>
      <c r="V255" s="87"/>
      <c r="W255" s="67"/>
      <c r="X255" s="85" t="str">
        <f t="shared" si="38"/>
        <v>Tidak ada faktor rentan</v>
      </c>
      <c r="Y255" s="85" t="str">
        <f t="shared" si="39"/>
        <v>Tidak Ada Faktor Rentan</v>
      </c>
      <c r="Z255" s="86" t="str">
        <f t="shared" si="40"/>
        <v/>
      </c>
      <c r="AA255" s="86">
        <f t="shared" si="41"/>
        <v>0</v>
      </c>
      <c r="AB255" s="86" t="str">
        <f t="shared" si="45"/>
        <v/>
      </c>
      <c r="AC255" s="68"/>
      <c r="AD255" s="68"/>
      <c r="AE255" s="68"/>
      <c r="AF255" s="68"/>
      <c r="AG255" s="68"/>
      <c r="AH255" s="68"/>
      <c r="AI255" s="68"/>
      <c r="AJ255" s="68"/>
      <c r="AK255" s="68"/>
      <c r="AL255" s="68"/>
      <c r="AM255" s="68"/>
      <c r="AN255" s="68" t="str">
        <f t="shared" si="46"/>
        <v>Tidak ada risiko khusus</v>
      </c>
      <c r="AO255" s="68" t="str">
        <f t="shared" si="47"/>
        <v>Tidak Ada Risiko Khusus</v>
      </c>
      <c r="AP255" s="68"/>
      <c r="AQ255" s="71" t="str">
        <f t="shared" si="42"/>
        <v/>
      </c>
      <c r="AR255" s="71">
        <f t="shared" si="44"/>
        <v>0</v>
      </c>
      <c r="AS255" s="71" t="str">
        <f t="shared" si="48"/>
        <v/>
      </c>
      <c r="AT255" s="69" t="str">
        <f t="shared" si="43"/>
        <v>Belum Dapat Ditentukan</v>
      </c>
      <c r="AU255" s="66"/>
      <c r="AV255" s="66"/>
      <c r="AW255" s="66"/>
      <c r="AX255" s="66"/>
      <c r="AY255" s="66"/>
      <c r="AZ255" s="66"/>
      <c r="BA255" s="66"/>
      <c r="BB255" s="72"/>
      <c r="BC255" s="73"/>
      <c r="BD255" s="66"/>
      <c r="BE255" s="72"/>
      <c r="BF255" s="66"/>
    </row>
    <row r="256" spans="1:58">
      <c r="A256" s="66"/>
      <c r="B256" s="66"/>
      <c r="C256" s="66"/>
      <c r="D256" s="66"/>
      <c r="E256" s="66"/>
      <c r="F256" s="66"/>
      <c r="G256" s="66"/>
      <c r="H256" s="66"/>
      <c r="I256" s="66"/>
      <c r="J256" s="66"/>
      <c r="K256" s="66"/>
      <c r="L256" s="66"/>
      <c r="M256" s="66"/>
      <c r="N256" s="66"/>
      <c r="O256" s="66"/>
      <c r="P256" s="66"/>
      <c r="Q256" s="87"/>
      <c r="R256" s="87"/>
      <c r="S256" s="87"/>
      <c r="T256" s="87"/>
      <c r="U256" s="87"/>
      <c r="V256" s="87"/>
      <c r="W256" s="67"/>
      <c r="X256" s="85" t="str">
        <f t="shared" si="38"/>
        <v>Tidak ada faktor rentan</v>
      </c>
      <c r="Y256" s="85" t="str">
        <f t="shared" si="39"/>
        <v>Tidak Ada Faktor Rentan</v>
      </c>
      <c r="Z256" s="86" t="str">
        <f t="shared" si="40"/>
        <v/>
      </c>
      <c r="AA256" s="86">
        <f t="shared" si="41"/>
        <v>0</v>
      </c>
      <c r="AB256" s="86" t="str">
        <f t="shared" si="45"/>
        <v/>
      </c>
      <c r="AC256" s="68"/>
      <c r="AD256" s="68"/>
      <c r="AE256" s="68"/>
      <c r="AF256" s="68"/>
      <c r="AG256" s="68"/>
      <c r="AH256" s="68"/>
      <c r="AI256" s="68"/>
      <c r="AJ256" s="68"/>
      <c r="AK256" s="68"/>
      <c r="AL256" s="68"/>
      <c r="AM256" s="68"/>
      <c r="AN256" s="68" t="str">
        <f t="shared" si="46"/>
        <v>Tidak ada risiko khusus</v>
      </c>
      <c r="AO256" s="68" t="str">
        <f t="shared" si="47"/>
        <v>Tidak Ada Risiko Khusus</v>
      </c>
      <c r="AP256" s="68"/>
      <c r="AQ256" s="71" t="str">
        <f t="shared" si="42"/>
        <v/>
      </c>
      <c r="AR256" s="71">
        <f t="shared" si="44"/>
        <v>0</v>
      </c>
      <c r="AS256" s="71" t="str">
        <f t="shared" si="48"/>
        <v/>
      </c>
      <c r="AT256" s="69" t="str">
        <f t="shared" si="43"/>
        <v>Belum Dapat Ditentukan</v>
      </c>
      <c r="AU256" s="66"/>
      <c r="AV256" s="66"/>
      <c r="AW256" s="66"/>
      <c r="AX256" s="66"/>
      <c r="AY256" s="66"/>
      <c r="AZ256" s="66"/>
      <c r="BA256" s="66"/>
      <c r="BB256" s="72"/>
      <c r="BC256" s="73"/>
      <c r="BD256" s="66"/>
      <c r="BE256" s="72"/>
      <c r="BF256" s="66"/>
    </row>
    <row r="257" spans="1:58">
      <c r="A257" s="66"/>
      <c r="B257" s="66"/>
      <c r="C257" s="66"/>
      <c r="D257" s="66"/>
      <c r="E257" s="66"/>
      <c r="F257" s="66"/>
      <c r="G257" s="66"/>
      <c r="H257" s="66"/>
      <c r="I257" s="66"/>
      <c r="J257" s="66"/>
      <c r="K257" s="66"/>
      <c r="L257" s="66"/>
      <c r="M257" s="66"/>
      <c r="N257" s="66"/>
      <c r="O257" s="66"/>
      <c r="P257" s="66"/>
      <c r="Q257" s="87"/>
      <c r="R257" s="87"/>
      <c r="S257" s="87"/>
      <c r="T257" s="87"/>
      <c r="U257" s="87"/>
      <c r="V257" s="87"/>
      <c r="W257" s="67"/>
      <c r="X257" s="85" t="str">
        <f t="shared" si="38"/>
        <v>Tidak ada faktor rentan</v>
      </c>
      <c r="Y257" s="85" t="str">
        <f t="shared" si="39"/>
        <v>Tidak Ada Faktor Rentan</v>
      </c>
      <c r="Z257" s="86" t="str">
        <f t="shared" si="40"/>
        <v/>
      </c>
      <c r="AA257" s="86">
        <f t="shared" si="41"/>
        <v>0</v>
      </c>
      <c r="AB257" s="86" t="str">
        <f t="shared" si="45"/>
        <v/>
      </c>
      <c r="AC257" s="68"/>
      <c r="AD257" s="68"/>
      <c r="AE257" s="68"/>
      <c r="AF257" s="68"/>
      <c r="AG257" s="68"/>
      <c r="AH257" s="68"/>
      <c r="AI257" s="68"/>
      <c r="AJ257" s="68"/>
      <c r="AK257" s="68"/>
      <c r="AL257" s="68"/>
      <c r="AM257" s="68"/>
      <c r="AN257" s="68" t="str">
        <f t="shared" si="46"/>
        <v>Tidak ada risiko khusus</v>
      </c>
      <c r="AO257" s="68" t="str">
        <f t="shared" si="47"/>
        <v>Tidak Ada Risiko Khusus</v>
      </c>
      <c r="AP257" s="68"/>
      <c r="AQ257" s="71" t="str">
        <f t="shared" si="42"/>
        <v/>
      </c>
      <c r="AR257" s="71">
        <f t="shared" si="44"/>
        <v>0</v>
      </c>
      <c r="AS257" s="71" t="str">
        <f t="shared" si="48"/>
        <v/>
      </c>
      <c r="AT257" s="69" t="str">
        <f t="shared" si="43"/>
        <v>Belum Dapat Ditentukan</v>
      </c>
      <c r="AU257" s="66"/>
      <c r="AV257" s="66"/>
      <c r="AW257" s="66"/>
      <c r="AX257" s="66"/>
      <c r="AY257" s="66"/>
      <c r="AZ257" s="66"/>
      <c r="BA257" s="66"/>
      <c r="BB257" s="72"/>
      <c r="BC257" s="73"/>
      <c r="BD257" s="66"/>
      <c r="BE257" s="72"/>
      <c r="BF257" s="66"/>
    </row>
    <row r="258" spans="1:58">
      <c r="A258" s="66"/>
      <c r="B258" s="66"/>
      <c r="C258" s="66"/>
      <c r="D258" s="66"/>
      <c r="E258" s="66"/>
      <c r="F258" s="66"/>
      <c r="G258" s="66"/>
      <c r="H258" s="66"/>
      <c r="I258" s="66"/>
      <c r="J258" s="66"/>
      <c r="K258" s="66"/>
      <c r="L258" s="66"/>
      <c r="M258" s="66"/>
      <c r="N258" s="66"/>
      <c r="O258" s="66"/>
      <c r="P258" s="66"/>
      <c r="Q258" s="87"/>
      <c r="R258" s="87"/>
      <c r="S258" s="87"/>
      <c r="T258" s="87"/>
      <c r="U258" s="87"/>
      <c r="V258" s="87"/>
      <c r="W258" s="67"/>
      <c r="X258" s="85" t="str">
        <f t="shared" si="38"/>
        <v>Tidak ada faktor rentan</v>
      </c>
      <c r="Y258" s="85" t="str">
        <f t="shared" si="39"/>
        <v>Tidak Ada Faktor Rentan</v>
      </c>
      <c r="Z258" s="86" t="str">
        <f t="shared" si="40"/>
        <v/>
      </c>
      <c r="AA258" s="86">
        <f t="shared" si="41"/>
        <v>0</v>
      </c>
      <c r="AB258" s="86" t="str">
        <f t="shared" si="45"/>
        <v/>
      </c>
      <c r="AC258" s="68"/>
      <c r="AD258" s="68"/>
      <c r="AE258" s="68"/>
      <c r="AF258" s="68"/>
      <c r="AG258" s="68"/>
      <c r="AH258" s="68"/>
      <c r="AI258" s="68"/>
      <c r="AJ258" s="68"/>
      <c r="AK258" s="68"/>
      <c r="AL258" s="68"/>
      <c r="AM258" s="68"/>
      <c r="AN258" s="68" t="str">
        <f t="shared" si="46"/>
        <v>Tidak ada risiko khusus</v>
      </c>
      <c r="AO258" s="68" t="str">
        <f t="shared" si="47"/>
        <v>Tidak Ada Risiko Khusus</v>
      </c>
      <c r="AP258" s="68"/>
      <c r="AQ258" s="71" t="str">
        <f t="shared" si="42"/>
        <v/>
      </c>
      <c r="AR258" s="71">
        <f t="shared" si="44"/>
        <v>0</v>
      </c>
      <c r="AS258" s="71" t="str">
        <f t="shared" si="48"/>
        <v/>
      </c>
      <c r="AT258" s="69" t="str">
        <f t="shared" si="43"/>
        <v>Belum Dapat Ditentukan</v>
      </c>
      <c r="AU258" s="66"/>
      <c r="AV258" s="66"/>
      <c r="AW258" s="66"/>
      <c r="AX258" s="66"/>
      <c r="AY258" s="66"/>
      <c r="AZ258" s="66"/>
      <c r="BA258" s="66"/>
      <c r="BB258" s="72"/>
      <c r="BC258" s="73"/>
      <c r="BD258" s="66"/>
      <c r="BE258" s="72"/>
      <c r="BF258" s="66"/>
    </row>
    <row r="259" spans="1:58">
      <c r="A259" s="66"/>
      <c r="B259" s="66"/>
      <c r="C259" s="66"/>
      <c r="D259" s="66"/>
      <c r="E259" s="66"/>
      <c r="F259" s="66"/>
      <c r="G259" s="66"/>
      <c r="H259" s="66"/>
      <c r="I259" s="66"/>
      <c r="J259" s="66"/>
      <c r="K259" s="66"/>
      <c r="L259" s="66"/>
      <c r="M259" s="66"/>
      <c r="N259" s="66"/>
      <c r="O259" s="66"/>
      <c r="P259" s="66"/>
      <c r="Q259" s="87"/>
      <c r="R259" s="87"/>
      <c r="S259" s="87"/>
      <c r="T259" s="87"/>
      <c r="U259" s="87"/>
      <c r="V259" s="87"/>
      <c r="W259" s="67"/>
      <c r="X259" s="85" t="str">
        <f t="shared" si="38"/>
        <v>Tidak ada faktor rentan</v>
      </c>
      <c r="Y259" s="85" t="str">
        <f t="shared" si="39"/>
        <v>Tidak Ada Faktor Rentan</v>
      </c>
      <c r="Z259" s="86" t="str">
        <f t="shared" si="40"/>
        <v/>
      </c>
      <c r="AA259" s="86">
        <f t="shared" si="41"/>
        <v>0</v>
      </c>
      <c r="AB259" s="86" t="str">
        <f t="shared" si="45"/>
        <v/>
      </c>
      <c r="AC259" s="68"/>
      <c r="AD259" s="68"/>
      <c r="AE259" s="68"/>
      <c r="AF259" s="68"/>
      <c r="AG259" s="68"/>
      <c r="AH259" s="68"/>
      <c r="AI259" s="68"/>
      <c r="AJ259" s="68"/>
      <c r="AK259" s="68"/>
      <c r="AL259" s="68"/>
      <c r="AM259" s="68"/>
      <c r="AN259" s="68" t="str">
        <f t="shared" si="46"/>
        <v>Tidak ada risiko khusus</v>
      </c>
      <c r="AO259" s="68" t="str">
        <f t="shared" si="47"/>
        <v>Tidak Ada Risiko Khusus</v>
      </c>
      <c r="AP259" s="68"/>
      <c r="AQ259" s="71" t="str">
        <f t="shared" si="42"/>
        <v/>
      </c>
      <c r="AR259" s="71">
        <f t="shared" si="44"/>
        <v>0</v>
      </c>
      <c r="AS259" s="71" t="str">
        <f t="shared" si="48"/>
        <v/>
      </c>
      <c r="AT259" s="69" t="str">
        <f t="shared" si="43"/>
        <v>Belum Dapat Ditentukan</v>
      </c>
      <c r="AU259" s="66"/>
      <c r="AV259" s="66"/>
      <c r="AW259" s="66"/>
      <c r="AX259" s="66"/>
      <c r="AY259" s="66"/>
      <c r="AZ259" s="66"/>
      <c r="BA259" s="66"/>
      <c r="BB259" s="72"/>
      <c r="BC259" s="73"/>
      <c r="BD259" s="66"/>
      <c r="BE259" s="72"/>
      <c r="BF259" s="66"/>
    </row>
    <row r="260" spans="1:58">
      <c r="A260" s="66"/>
      <c r="B260" s="66"/>
      <c r="C260" s="66"/>
      <c r="D260" s="66"/>
      <c r="E260" s="66"/>
      <c r="F260" s="66"/>
      <c r="G260" s="66"/>
      <c r="H260" s="66"/>
      <c r="I260" s="66"/>
      <c r="J260" s="66"/>
      <c r="K260" s="66"/>
      <c r="L260" s="66"/>
      <c r="M260" s="66"/>
      <c r="N260" s="66"/>
      <c r="O260" s="66"/>
      <c r="P260" s="66"/>
      <c r="Q260" s="87"/>
      <c r="R260" s="87"/>
      <c r="S260" s="87"/>
      <c r="T260" s="87"/>
      <c r="U260" s="87"/>
      <c r="V260" s="87"/>
      <c r="W260" s="67"/>
      <c r="X260" s="85" t="str">
        <f t="shared" si="38"/>
        <v>Tidak ada faktor rentan</v>
      </c>
      <c r="Y260" s="85" t="str">
        <f t="shared" si="39"/>
        <v>Tidak Ada Faktor Rentan</v>
      </c>
      <c r="Z260" s="86" t="str">
        <f t="shared" si="40"/>
        <v/>
      </c>
      <c r="AA260" s="86">
        <f t="shared" si="41"/>
        <v>0</v>
      </c>
      <c r="AB260" s="86" t="str">
        <f t="shared" si="45"/>
        <v/>
      </c>
      <c r="AC260" s="68"/>
      <c r="AD260" s="68"/>
      <c r="AE260" s="68"/>
      <c r="AF260" s="68"/>
      <c r="AG260" s="68"/>
      <c r="AH260" s="68"/>
      <c r="AI260" s="68"/>
      <c r="AJ260" s="68"/>
      <c r="AK260" s="68"/>
      <c r="AL260" s="68"/>
      <c r="AM260" s="68"/>
      <c r="AN260" s="68" t="str">
        <f t="shared" si="46"/>
        <v>Tidak ada risiko khusus</v>
      </c>
      <c r="AO260" s="68" t="str">
        <f t="shared" si="47"/>
        <v>Tidak Ada Risiko Khusus</v>
      </c>
      <c r="AP260" s="68"/>
      <c r="AQ260" s="71" t="str">
        <f t="shared" si="42"/>
        <v/>
      </c>
      <c r="AR260" s="71">
        <f t="shared" si="44"/>
        <v>0</v>
      </c>
      <c r="AS260" s="71" t="str">
        <f t="shared" si="48"/>
        <v/>
      </c>
      <c r="AT260" s="69" t="str">
        <f t="shared" si="43"/>
        <v>Belum Dapat Ditentukan</v>
      </c>
      <c r="AU260" s="66"/>
      <c r="AV260" s="66"/>
      <c r="AW260" s="66"/>
      <c r="AX260" s="66"/>
      <c r="AY260" s="66"/>
      <c r="AZ260" s="66"/>
      <c r="BA260" s="66"/>
      <c r="BB260" s="72"/>
      <c r="BC260" s="73"/>
      <c r="BD260" s="66"/>
      <c r="BE260" s="72"/>
      <c r="BF260" s="66"/>
    </row>
    <row r="261" spans="1:58">
      <c r="A261" s="66"/>
      <c r="B261" s="66"/>
      <c r="C261" s="66"/>
      <c r="D261" s="66"/>
      <c r="E261" s="66"/>
      <c r="F261" s="66"/>
      <c r="G261" s="66"/>
      <c r="H261" s="66"/>
      <c r="I261" s="66"/>
      <c r="J261" s="66"/>
      <c r="K261" s="66"/>
      <c r="L261" s="66"/>
      <c r="M261" s="66"/>
      <c r="N261" s="66"/>
      <c r="O261" s="66"/>
      <c r="P261" s="66"/>
      <c r="Q261" s="87"/>
      <c r="R261" s="87"/>
      <c r="S261" s="87"/>
      <c r="T261" s="87"/>
      <c r="U261" s="87"/>
      <c r="V261" s="87"/>
      <c r="W261" s="67"/>
      <c r="X261" s="85" t="str">
        <f t="shared" si="38"/>
        <v>Tidak ada faktor rentan</v>
      </c>
      <c r="Y261" s="85" t="str">
        <f t="shared" si="39"/>
        <v>Tidak Ada Faktor Rentan</v>
      </c>
      <c r="Z261" s="86" t="str">
        <f t="shared" si="40"/>
        <v/>
      </c>
      <c r="AA261" s="86">
        <f t="shared" si="41"/>
        <v>0</v>
      </c>
      <c r="AB261" s="86" t="str">
        <f t="shared" si="45"/>
        <v/>
      </c>
      <c r="AC261" s="68"/>
      <c r="AD261" s="68"/>
      <c r="AE261" s="68"/>
      <c r="AF261" s="68"/>
      <c r="AG261" s="68"/>
      <c r="AH261" s="68"/>
      <c r="AI261" s="68"/>
      <c r="AJ261" s="68"/>
      <c r="AK261" s="68"/>
      <c r="AL261" s="68"/>
      <c r="AM261" s="68"/>
      <c r="AN261" s="68" t="str">
        <f t="shared" si="46"/>
        <v>Tidak ada risiko khusus</v>
      </c>
      <c r="AO261" s="68" t="str">
        <f t="shared" si="47"/>
        <v>Tidak Ada Risiko Khusus</v>
      </c>
      <c r="AP261" s="68"/>
      <c r="AQ261" s="71" t="str">
        <f t="shared" si="42"/>
        <v/>
      </c>
      <c r="AR261" s="71">
        <f t="shared" si="44"/>
        <v>0</v>
      </c>
      <c r="AS261" s="71" t="str">
        <f t="shared" si="48"/>
        <v/>
      </c>
      <c r="AT261" s="69" t="str">
        <f t="shared" si="43"/>
        <v>Belum Dapat Ditentukan</v>
      </c>
      <c r="AU261" s="66"/>
      <c r="AV261" s="66"/>
      <c r="AW261" s="66"/>
      <c r="AX261" s="66"/>
      <c r="AY261" s="66"/>
      <c r="AZ261" s="66"/>
      <c r="BA261" s="66"/>
      <c r="BB261" s="72"/>
      <c r="BC261" s="73"/>
      <c r="BD261" s="66"/>
      <c r="BE261" s="72"/>
      <c r="BF261" s="66"/>
    </row>
    <row r="262" spans="1:58">
      <c r="A262" s="66"/>
      <c r="B262" s="66"/>
      <c r="C262" s="66"/>
      <c r="D262" s="66"/>
      <c r="E262" s="66"/>
      <c r="F262" s="66"/>
      <c r="G262" s="66"/>
      <c r="H262" s="66"/>
      <c r="I262" s="66"/>
      <c r="J262" s="66"/>
      <c r="K262" s="66"/>
      <c r="L262" s="66"/>
      <c r="M262" s="66"/>
      <c r="N262" s="66"/>
      <c r="O262" s="66"/>
      <c r="P262" s="66"/>
      <c r="Q262" s="87"/>
      <c r="R262" s="87"/>
      <c r="S262" s="87"/>
      <c r="T262" s="87"/>
      <c r="U262" s="87"/>
      <c r="V262" s="87"/>
      <c r="W262" s="67"/>
      <c r="X262" s="85" t="str">
        <f t="shared" ref="X262:X299" si="49">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5" t="str">
        <f t="shared" ref="Y262:Y299" si="50">IF(COUNTIF(R262:V262,"Belum Dinilai")&gt;0,"Belum Dinilai",IF(COUNTIF(R262:V262,"Ya")=0,"Tidak Ada Faktor Rentan",IF(COUNTIF(R262:V262,"Ya")=1,"1 Faktor Rentan","2 atau Lebih Faktor Rentan")))</f>
        <v>Tidak Ada Faktor Rentan</v>
      </c>
      <c r="Z262" s="86" t="str">
        <f t="shared" ref="Z262:Z299" si="51">IF(OR(Q262="",Q262="Belum Dinilai"),"",IF(Q262="Terverifikasi DTKS/P3KE/MBR",10,IF(Q262="Diusulkan, Belum Terverifikasi",5,0)))</f>
        <v/>
      </c>
      <c r="AA262" s="86">
        <f t="shared" ref="AA262:AA299" si="52">IF(COUNTIF(R262:V262,"Belum Dinilai")&gt;0,"",IF(COUNTIF(R262:V262,"Ya")=0,0,IF(COUNTIF(R262:V262,"Ya")=1,5,10)))</f>
        <v>0</v>
      </c>
      <c r="AB262" s="86" t="str">
        <f t="shared" si="45"/>
        <v/>
      </c>
      <c r="AC262" s="68"/>
      <c r="AD262" s="68"/>
      <c r="AE262" s="68"/>
      <c r="AF262" s="68"/>
      <c r="AG262" s="68"/>
      <c r="AH262" s="68"/>
      <c r="AI262" s="68"/>
      <c r="AJ262" s="68"/>
      <c r="AK262" s="68"/>
      <c r="AL262" s="68"/>
      <c r="AM262" s="68"/>
      <c r="AN262" s="68" t="str">
        <f t="shared" si="46"/>
        <v>Tidak ada risiko khusus</v>
      </c>
      <c r="AO262" s="68" t="str">
        <f t="shared" si="47"/>
        <v>Tidak Ada Risiko Khusus</v>
      </c>
      <c r="AP262" s="68"/>
      <c r="AQ262" s="71" t="str">
        <f t="shared" ref="AQ262:AQ299" si="53">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si="44"/>
        <v>0</v>
      </c>
      <c r="AS262" s="71" t="str">
        <f t="shared" si="48"/>
        <v/>
      </c>
      <c r="AT262" s="69" t="str">
        <f t="shared" ref="AT262:AT29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72"/>
      <c r="BC262" s="73"/>
      <c r="BD262" s="66"/>
      <c r="BE262" s="72"/>
      <c r="BF262" s="66"/>
    </row>
    <row r="263" spans="1:58">
      <c r="A263" s="66"/>
      <c r="B263" s="66"/>
      <c r="C263" s="66"/>
      <c r="D263" s="66"/>
      <c r="E263" s="66"/>
      <c r="F263" s="66"/>
      <c r="G263" s="66"/>
      <c r="H263" s="66"/>
      <c r="I263" s="66"/>
      <c r="J263" s="66"/>
      <c r="K263" s="66"/>
      <c r="L263" s="66"/>
      <c r="M263" s="66"/>
      <c r="N263" s="66"/>
      <c r="O263" s="66"/>
      <c r="P263" s="66"/>
      <c r="Q263" s="87"/>
      <c r="R263" s="87"/>
      <c r="S263" s="87"/>
      <c r="T263" s="87"/>
      <c r="U263" s="87"/>
      <c r="V263" s="87"/>
      <c r="W263" s="67"/>
      <c r="X263" s="85" t="str">
        <f t="shared" si="49"/>
        <v>Tidak ada faktor rentan</v>
      </c>
      <c r="Y263" s="85" t="str">
        <f t="shared" si="50"/>
        <v>Tidak Ada Faktor Rentan</v>
      </c>
      <c r="Z263" s="86" t="str">
        <f t="shared" si="51"/>
        <v/>
      </c>
      <c r="AA263" s="86">
        <f t="shared" si="52"/>
        <v>0</v>
      </c>
      <c r="AB263" s="86" t="str">
        <f t="shared" si="45"/>
        <v/>
      </c>
      <c r="AC263" s="68"/>
      <c r="AD263" s="68"/>
      <c r="AE263" s="68"/>
      <c r="AF263" s="68"/>
      <c r="AG263" s="68"/>
      <c r="AH263" s="68"/>
      <c r="AI263" s="68"/>
      <c r="AJ263" s="68"/>
      <c r="AK263" s="68"/>
      <c r="AL263" s="68"/>
      <c r="AM263" s="68"/>
      <c r="AN263" s="68" t="str">
        <f t="shared" si="46"/>
        <v>Tidak ada risiko khusus</v>
      </c>
      <c r="AO263" s="68" t="str">
        <f t="shared" si="47"/>
        <v>Tidak Ada Risiko Khusus</v>
      </c>
      <c r="AP263" s="68"/>
      <c r="AQ263" s="71" t="str">
        <f t="shared" si="53"/>
        <v/>
      </c>
      <c r="AR263" s="71">
        <f t="shared" si="44"/>
        <v>0</v>
      </c>
      <c r="AS263" s="71" t="str">
        <f t="shared" si="48"/>
        <v/>
      </c>
      <c r="AT263" s="69" t="str">
        <f t="shared" si="54"/>
        <v>Belum Dapat Ditentukan</v>
      </c>
      <c r="AU263" s="66"/>
      <c r="AV263" s="66"/>
      <c r="AW263" s="66"/>
      <c r="AX263" s="66"/>
      <c r="AY263" s="66"/>
      <c r="AZ263" s="66"/>
      <c r="BA263" s="66"/>
      <c r="BB263" s="72"/>
      <c r="BC263" s="73"/>
      <c r="BD263" s="66"/>
      <c r="BE263" s="72"/>
      <c r="BF263" s="66"/>
    </row>
    <row r="264" spans="1:58">
      <c r="A264" s="66"/>
      <c r="B264" s="66"/>
      <c r="C264" s="66"/>
      <c r="D264" s="66"/>
      <c r="E264" s="66"/>
      <c r="F264" s="66"/>
      <c r="G264" s="66"/>
      <c r="H264" s="66"/>
      <c r="I264" s="66"/>
      <c r="J264" s="66"/>
      <c r="K264" s="66"/>
      <c r="L264" s="66"/>
      <c r="M264" s="66"/>
      <c r="N264" s="66"/>
      <c r="O264" s="66"/>
      <c r="P264" s="66"/>
      <c r="Q264" s="87"/>
      <c r="R264" s="87"/>
      <c r="S264" s="87"/>
      <c r="T264" s="87"/>
      <c r="U264" s="87"/>
      <c r="V264" s="87"/>
      <c r="W264" s="67"/>
      <c r="X264" s="85" t="str">
        <f t="shared" si="49"/>
        <v>Tidak ada faktor rentan</v>
      </c>
      <c r="Y264" s="85" t="str">
        <f t="shared" si="50"/>
        <v>Tidak Ada Faktor Rentan</v>
      </c>
      <c r="Z264" s="86" t="str">
        <f t="shared" si="51"/>
        <v/>
      </c>
      <c r="AA264" s="86">
        <f t="shared" si="52"/>
        <v>0</v>
      </c>
      <c r="AB264" s="86" t="str">
        <f t="shared" si="45"/>
        <v/>
      </c>
      <c r="AC264" s="68"/>
      <c r="AD264" s="68"/>
      <c r="AE264" s="68"/>
      <c r="AF264" s="68"/>
      <c r="AG264" s="68"/>
      <c r="AH264" s="68"/>
      <c r="AI264" s="68"/>
      <c r="AJ264" s="68"/>
      <c r="AK264" s="68"/>
      <c r="AL264" s="68"/>
      <c r="AM264" s="68"/>
      <c r="AN264" s="68" t="str">
        <f t="shared" si="46"/>
        <v>Tidak ada risiko khusus</v>
      </c>
      <c r="AO264" s="68" t="str">
        <f t="shared" si="47"/>
        <v>Tidak Ada Risiko Khusus</v>
      </c>
      <c r="AP264" s="68"/>
      <c r="AQ264" s="71" t="str">
        <f t="shared" si="53"/>
        <v/>
      </c>
      <c r="AR264" s="71">
        <f t="shared" ref="AR264:AR299" si="55">IF(
 OR(
  COUNTIF(AC264:AH264,"Ya")&gt;0,
  AND(AL264&lt;&gt;"",AM264="Risiko Tinggi/Darurat"),
  COUNTIF(AI264:AK264,"Ya")+IF(AND(AL264&lt;&gt;"",AM264="Risiko Sedang"),1,0)&gt;=2
 ),
 10,
 IF(
  OR(
   COUNTIF(AC264:AK264,"Belum Dinilai")&gt;0,
   AND(AL264&lt;&gt;"",OR(AM264="",AM264="Belum Dinilai")),
   AND(AL264="",OR(AM264="Risiko Sedang",AM264="Risiko Tinggi/Darurat"))
  ),
  "",
  IF(
   COUNTIF(AI264:AK264,"Ya")+IF(AND(AL264&lt;&gt;"",AM264="Risiko Sedang"),1,0)=1,
   5,
   0
  )
 )
)</f>
        <v>0</v>
      </c>
      <c r="AS264" s="71" t="str">
        <f t="shared" si="48"/>
        <v/>
      </c>
      <c r="AT264" s="69" t="str">
        <f t="shared" si="54"/>
        <v>Belum Dapat Ditentukan</v>
      </c>
      <c r="AU264" s="66"/>
      <c r="AV264" s="66"/>
      <c r="AW264" s="66"/>
      <c r="AX264" s="66"/>
      <c r="AY264" s="66"/>
      <c r="AZ264" s="66"/>
      <c r="BA264" s="66"/>
      <c r="BB264" s="72"/>
      <c r="BC264" s="73"/>
      <c r="BD264" s="66"/>
      <c r="BE264" s="72"/>
      <c r="BF264" s="66"/>
    </row>
    <row r="265" spans="1:58">
      <c r="A265" s="66"/>
      <c r="B265" s="66"/>
      <c r="C265" s="66"/>
      <c r="D265" s="66"/>
      <c r="E265" s="66"/>
      <c r="F265" s="66"/>
      <c r="G265" s="66"/>
      <c r="H265" s="66"/>
      <c r="I265" s="66"/>
      <c r="J265" s="66"/>
      <c r="K265" s="66"/>
      <c r="L265" s="66"/>
      <c r="M265" s="66"/>
      <c r="N265" s="66"/>
      <c r="O265" s="66"/>
      <c r="P265" s="66"/>
      <c r="Q265" s="87"/>
      <c r="R265" s="87"/>
      <c r="S265" s="87"/>
      <c r="T265" s="87"/>
      <c r="U265" s="87"/>
      <c r="V265" s="87"/>
      <c r="W265" s="67"/>
      <c r="X265" s="85" t="str">
        <f t="shared" si="49"/>
        <v>Tidak ada faktor rentan</v>
      </c>
      <c r="Y265" s="85" t="str">
        <f t="shared" si="50"/>
        <v>Tidak Ada Faktor Rentan</v>
      </c>
      <c r="Z265" s="86" t="str">
        <f t="shared" si="51"/>
        <v/>
      </c>
      <c r="AA265" s="86">
        <f t="shared" si="52"/>
        <v>0</v>
      </c>
      <c r="AB265" s="86" t="str">
        <f t="shared" si="45"/>
        <v/>
      </c>
      <c r="AC265" s="68"/>
      <c r="AD265" s="68"/>
      <c r="AE265" s="68"/>
      <c r="AF265" s="68"/>
      <c r="AG265" s="68"/>
      <c r="AH265" s="68"/>
      <c r="AI265" s="68"/>
      <c r="AJ265" s="68"/>
      <c r="AK265" s="68"/>
      <c r="AL265" s="68"/>
      <c r="AM265" s="68"/>
      <c r="AN265" s="68" t="str">
        <f t="shared" si="46"/>
        <v>Tidak ada risiko khusus</v>
      </c>
      <c r="AO265" s="68" t="str">
        <f t="shared" si="47"/>
        <v>Tidak Ada Risiko Khusus</v>
      </c>
      <c r="AP265" s="68"/>
      <c r="AQ265" s="71" t="str">
        <f t="shared" si="53"/>
        <v/>
      </c>
      <c r="AR265" s="71">
        <f t="shared" si="55"/>
        <v>0</v>
      </c>
      <c r="AS265" s="71" t="str">
        <f t="shared" si="48"/>
        <v/>
      </c>
      <c r="AT265" s="69" t="str">
        <f t="shared" si="54"/>
        <v>Belum Dapat Ditentukan</v>
      </c>
      <c r="AU265" s="66"/>
      <c r="AV265" s="66"/>
      <c r="AW265" s="66"/>
      <c r="AX265" s="66"/>
      <c r="AY265" s="66"/>
      <c r="AZ265" s="66"/>
      <c r="BA265" s="66"/>
      <c r="BB265" s="72"/>
      <c r="BC265" s="73"/>
      <c r="BD265" s="66"/>
      <c r="BE265" s="72"/>
      <c r="BF265" s="66"/>
    </row>
    <row r="266" spans="1:58">
      <c r="A266" s="66"/>
      <c r="B266" s="66"/>
      <c r="C266" s="66"/>
      <c r="D266" s="66"/>
      <c r="E266" s="66"/>
      <c r="F266" s="66"/>
      <c r="G266" s="66"/>
      <c r="H266" s="66"/>
      <c r="I266" s="66"/>
      <c r="J266" s="66"/>
      <c r="K266" s="66"/>
      <c r="L266" s="66"/>
      <c r="M266" s="66"/>
      <c r="N266" s="66"/>
      <c r="O266" s="66"/>
      <c r="P266" s="66"/>
      <c r="Q266" s="87"/>
      <c r="R266" s="87"/>
      <c r="S266" s="87"/>
      <c r="T266" s="87"/>
      <c r="U266" s="87"/>
      <c r="V266" s="87"/>
      <c r="W266" s="67"/>
      <c r="X266" s="85" t="str">
        <f t="shared" si="49"/>
        <v>Tidak ada faktor rentan</v>
      </c>
      <c r="Y266" s="85" t="str">
        <f t="shared" si="50"/>
        <v>Tidak Ada Faktor Rentan</v>
      </c>
      <c r="Z266" s="86" t="str">
        <f t="shared" si="51"/>
        <v/>
      </c>
      <c r="AA266" s="86">
        <f t="shared" si="52"/>
        <v>0</v>
      </c>
      <c r="AB266" s="86" t="str">
        <f t="shared" si="45"/>
        <v/>
      </c>
      <c r="AC266" s="68"/>
      <c r="AD266" s="68"/>
      <c r="AE266" s="68"/>
      <c r="AF266" s="68"/>
      <c r="AG266" s="68"/>
      <c r="AH266" s="68"/>
      <c r="AI266" s="68"/>
      <c r="AJ266" s="68"/>
      <c r="AK266" s="68"/>
      <c r="AL266" s="68"/>
      <c r="AM266" s="68"/>
      <c r="AN266" s="68" t="str">
        <f t="shared" si="46"/>
        <v>Tidak ada risiko khusus</v>
      </c>
      <c r="AO266" s="68" t="str">
        <f t="shared" si="47"/>
        <v>Tidak Ada Risiko Khusus</v>
      </c>
      <c r="AP266" s="68"/>
      <c r="AQ266" s="71" t="str">
        <f t="shared" si="53"/>
        <v/>
      </c>
      <c r="AR266" s="71">
        <f t="shared" si="55"/>
        <v>0</v>
      </c>
      <c r="AS266" s="71" t="str">
        <f t="shared" si="48"/>
        <v/>
      </c>
      <c r="AT266" s="69" t="str">
        <f t="shared" si="54"/>
        <v>Belum Dapat Ditentukan</v>
      </c>
      <c r="AU266" s="66"/>
      <c r="AV266" s="66"/>
      <c r="AW266" s="66"/>
      <c r="AX266" s="66"/>
      <c r="AY266" s="66"/>
      <c r="AZ266" s="66"/>
      <c r="BA266" s="66"/>
      <c r="BB266" s="72"/>
      <c r="BC266" s="73"/>
      <c r="BD266" s="66"/>
      <c r="BE266" s="72"/>
      <c r="BF266" s="66"/>
    </row>
    <row r="267" spans="1:58">
      <c r="A267" s="66"/>
      <c r="B267" s="66"/>
      <c r="C267" s="66"/>
      <c r="D267" s="66"/>
      <c r="E267" s="66"/>
      <c r="F267" s="66"/>
      <c r="G267" s="66"/>
      <c r="H267" s="66"/>
      <c r="I267" s="66"/>
      <c r="J267" s="66"/>
      <c r="K267" s="66"/>
      <c r="L267" s="66"/>
      <c r="M267" s="66"/>
      <c r="N267" s="66"/>
      <c r="O267" s="66"/>
      <c r="P267" s="66"/>
      <c r="Q267" s="87"/>
      <c r="R267" s="87"/>
      <c r="S267" s="87"/>
      <c r="T267" s="87"/>
      <c r="U267" s="87"/>
      <c r="V267" s="87"/>
      <c r="W267" s="67"/>
      <c r="X267" s="85" t="str">
        <f t="shared" si="49"/>
        <v>Tidak ada faktor rentan</v>
      </c>
      <c r="Y267" s="85" t="str">
        <f t="shared" si="50"/>
        <v>Tidak Ada Faktor Rentan</v>
      </c>
      <c r="Z267" s="86" t="str">
        <f t="shared" si="51"/>
        <v/>
      </c>
      <c r="AA267" s="86">
        <f t="shared" si="52"/>
        <v>0</v>
      </c>
      <c r="AB267" s="86" t="str">
        <f t="shared" si="45"/>
        <v/>
      </c>
      <c r="AC267" s="68"/>
      <c r="AD267" s="68"/>
      <c r="AE267" s="68"/>
      <c r="AF267" s="68"/>
      <c r="AG267" s="68"/>
      <c r="AH267" s="68"/>
      <c r="AI267" s="68"/>
      <c r="AJ267" s="68"/>
      <c r="AK267" s="68"/>
      <c r="AL267" s="68"/>
      <c r="AM267" s="68"/>
      <c r="AN267" s="68" t="str">
        <f t="shared" si="46"/>
        <v>Tidak ada risiko khusus</v>
      </c>
      <c r="AO267" s="68" t="str">
        <f t="shared" si="47"/>
        <v>Tidak Ada Risiko Khusus</v>
      </c>
      <c r="AP267" s="68"/>
      <c r="AQ267" s="71" t="str">
        <f t="shared" si="53"/>
        <v/>
      </c>
      <c r="AR267" s="71">
        <f t="shared" si="55"/>
        <v>0</v>
      </c>
      <c r="AS267" s="71" t="str">
        <f t="shared" si="48"/>
        <v/>
      </c>
      <c r="AT267" s="69" t="str">
        <f t="shared" si="54"/>
        <v>Belum Dapat Ditentukan</v>
      </c>
      <c r="AU267" s="66"/>
      <c r="AV267" s="66"/>
      <c r="AW267" s="66"/>
      <c r="AX267" s="66"/>
      <c r="AY267" s="66"/>
      <c r="AZ267" s="66"/>
      <c r="BA267" s="66"/>
      <c r="BB267" s="72"/>
      <c r="BC267" s="73"/>
      <c r="BD267" s="66"/>
      <c r="BE267" s="72"/>
      <c r="BF267" s="66"/>
    </row>
    <row r="268" spans="1:58">
      <c r="A268" s="66"/>
      <c r="B268" s="66"/>
      <c r="C268" s="66"/>
      <c r="D268" s="66"/>
      <c r="E268" s="66"/>
      <c r="F268" s="66"/>
      <c r="G268" s="66"/>
      <c r="H268" s="66"/>
      <c r="I268" s="66"/>
      <c r="J268" s="66"/>
      <c r="K268" s="66"/>
      <c r="L268" s="66"/>
      <c r="M268" s="66"/>
      <c r="N268" s="66"/>
      <c r="O268" s="66"/>
      <c r="P268" s="66"/>
      <c r="Q268" s="87"/>
      <c r="R268" s="87"/>
      <c r="S268" s="87"/>
      <c r="T268" s="87"/>
      <c r="U268" s="87"/>
      <c r="V268" s="87"/>
      <c r="W268" s="67"/>
      <c r="X268" s="85" t="str">
        <f t="shared" si="49"/>
        <v>Tidak ada faktor rentan</v>
      </c>
      <c r="Y268" s="85" t="str">
        <f t="shared" si="50"/>
        <v>Tidak Ada Faktor Rentan</v>
      </c>
      <c r="Z268" s="86" t="str">
        <f t="shared" si="51"/>
        <v/>
      </c>
      <c r="AA268" s="86">
        <f t="shared" si="52"/>
        <v>0</v>
      </c>
      <c r="AB268" s="86" t="str">
        <f t="shared" si="45"/>
        <v/>
      </c>
      <c r="AC268" s="68"/>
      <c r="AD268" s="68"/>
      <c r="AE268" s="68"/>
      <c r="AF268" s="68"/>
      <c r="AG268" s="68"/>
      <c r="AH268" s="68"/>
      <c r="AI268" s="68"/>
      <c r="AJ268" s="68"/>
      <c r="AK268" s="68"/>
      <c r="AL268" s="68"/>
      <c r="AM268" s="68"/>
      <c r="AN268" s="68" t="str">
        <f t="shared" si="46"/>
        <v>Tidak ada risiko khusus</v>
      </c>
      <c r="AO268" s="68" t="str">
        <f t="shared" si="47"/>
        <v>Tidak Ada Risiko Khusus</v>
      </c>
      <c r="AP268" s="68"/>
      <c r="AQ268" s="71" t="str">
        <f t="shared" si="53"/>
        <v/>
      </c>
      <c r="AR268" s="71">
        <f t="shared" si="55"/>
        <v>0</v>
      </c>
      <c r="AS268" s="71" t="str">
        <f t="shared" si="48"/>
        <v/>
      </c>
      <c r="AT268" s="69" t="str">
        <f t="shared" si="54"/>
        <v>Belum Dapat Ditentukan</v>
      </c>
      <c r="AU268" s="66"/>
      <c r="AV268" s="66"/>
      <c r="AW268" s="66"/>
      <c r="AX268" s="66"/>
      <c r="AY268" s="66"/>
      <c r="AZ268" s="66"/>
      <c r="BA268" s="66"/>
      <c r="BB268" s="72"/>
      <c r="BC268" s="73"/>
      <c r="BD268" s="66"/>
      <c r="BE268" s="72"/>
      <c r="BF268" s="66"/>
    </row>
    <row r="269" spans="1:58">
      <c r="A269" s="66"/>
      <c r="B269" s="66"/>
      <c r="C269" s="66"/>
      <c r="D269" s="66"/>
      <c r="E269" s="66"/>
      <c r="F269" s="66"/>
      <c r="G269" s="66"/>
      <c r="H269" s="66"/>
      <c r="I269" s="66"/>
      <c r="J269" s="66"/>
      <c r="K269" s="66"/>
      <c r="L269" s="66"/>
      <c r="M269" s="66"/>
      <c r="N269" s="66"/>
      <c r="O269" s="66"/>
      <c r="P269" s="66"/>
      <c r="Q269" s="87"/>
      <c r="R269" s="87"/>
      <c r="S269" s="87"/>
      <c r="T269" s="87"/>
      <c r="U269" s="87"/>
      <c r="V269" s="87"/>
      <c r="W269" s="67"/>
      <c r="X269" s="85" t="str">
        <f t="shared" si="49"/>
        <v>Tidak ada faktor rentan</v>
      </c>
      <c r="Y269" s="85" t="str">
        <f t="shared" si="50"/>
        <v>Tidak Ada Faktor Rentan</v>
      </c>
      <c r="Z269" s="86" t="str">
        <f t="shared" si="51"/>
        <v/>
      </c>
      <c r="AA269" s="86">
        <f t="shared" si="52"/>
        <v>0</v>
      </c>
      <c r="AB269" s="86" t="str">
        <f t="shared" si="45"/>
        <v/>
      </c>
      <c r="AC269" s="68"/>
      <c r="AD269" s="68"/>
      <c r="AE269" s="68"/>
      <c r="AF269" s="68"/>
      <c r="AG269" s="68"/>
      <c r="AH269" s="68"/>
      <c r="AI269" s="68"/>
      <c r="AJ269" s="68"/>
      <c r="AK269" s="68"/>
      <c r="AL269" s="68"/>
      <c r="AM269" s="68"/>
      <c r="AN269" s="68" t="str">
        <f t="shared" si="46"/>
        <v>Tidak ada risiko khusus</v>
      </c>
      <c r="AO269" s="68" t="str">
        <f t="shared" si="47"/>
        <v>Tidak Ada Risiko Khusus</v>
      </c>
      <c r="AP269" s="68"/>
      <c r="AQ269" s="71" t="str">
        <f t="shared" si="53"/>
        <v/>
      </c>
      <c r="AR269" s="71">
        <f t="shared" si="55"/>
        <v>0</v>
      </c>
      <c r="AS269" s="71" t="str">
        <f t="shared" si="48"/>
        <v/>
      </c>
      <c r="AT269" s="69" t="str">
        <f t="shared" si="54"/>
        <v>Belum Dapat Ditentukan</v>
      </c>
      <c r="AU269" s="66"/>
      <c r="AV269" s="66"/>
      <c r="AW269" s="66"/>
      <c r="AX269" s="66"/>
      <c r="AY269" s="66"/>
      <c r="AZ269" s="66"/>
      <c r="BA269" s="66"/>
      <c r="BB269" s="72"/>
      <c r="BC269" s="73"/>
      <c r="BD269" s="66"/>
      <c r="BE269" s="72"/>
      <c r="BF269" s="66"/>
    </row>
    <row r="270" spans="1:58">
      <c r="A270" s="66"/>
      <c r="B270" s="66"/>
      <c r="C270" s="66"/>
      <c r="D270" s="66"/>
      <c r="E270" s="66"/>
      <c r="F270" s="66"/>
      <c r="G270" s="66"/>
      <c r="H270" s="66"/>
      <c r="I270" s="66"/>
      <c r="J270" s="66"/>
      <c r="K270" s="66"/>
      <c r="L270" s="66"/>
      <c r="M270" s="66"/>
      <c r="N270" s="66"/>
      <c r="O270" s="66"/>
      <c r="P270" s="66"/>
      <c r="Q270" s="87"/>
      <c r="R270" s="87"/>
      <c r="S270" s="87"/>
      <c r="T270" s="87"/>
      <c r="U270" s="87"/>
      <c r="V270" s="87"/>
      <c r="W270" s="67"/>
      <c r="X270" s="85" t="str">
        <f t="shared" si="49"/>
        <v>Tidak ada faktor rentan</v>
      </c>
      <c r="Y270" s="85" t="str">
        <f t="shared" si="50"/>
        <v>Tidak Ada Faktor Rentan</v>
      </c>
      <c r="Z270" s="86" t="str">
        <f t="shared" si="51"/>
        <v/>
      </c>
      <c r="AA270" s="86">
        <f t="shared" si="52"/>
        <v>0</v>
      </c>
      <c r="AB270" s="86" t="str">
        <f t="shared" si="45"/>
        <v/>
      </c>
      <c r="AC270" s="68"/>
      <c r="AD270" s="68"/>
      <c r="AE270" s="68"/>
      <c r="AF270" s="68"/>
      <c r="AG270" s="68"/>
      <c r="AH270" s="68"/>
      <c r="AI270" s="68"/>
      <c r="AJ270" s="68"/>
      <c r="AK270" s="68"/>
      <c r="AL270" s="68"/>
      <c r="AM270" s="68"/>
      <c r="AN270" s="68" t="str">
        <f t="shared" si="46"/>
        <v>Tidak ada risiko khusus</v>
      </c>
      <c r="AO270" s="68" t="str">
        <f t="shared" si="47"/>
        <v>Tidak Ada Risiko Khusus</v>
      </c>
      <c r="AP270" s="68"/>
      <c r="AQ270" s="71" t="str">
        <f t="shared" si="53"/>
        <v/>
      </c>
      <c r="AR270" s="71">
        <f t="shared" si="55"/>
        <v>0</v>
      </c>
      <c r="AS270" s="71" t="str">
        <f t="shared" si="48"/>
        <v/>
      </c>
      <c r="AT270" s="69" t="str">
        <f t="shared" si="54"/>
        <v>Belum Dapat Ditentukan</v>
      </c>
      <c r="AU270" s="66"/>
      <c r="AV270" s="66"/>
      <c r="AW270" s="66"/>
      <c r="AX270" s="66"/>
      <c r="AY270" s="66"/>
      <c r="AZ270" s="66"/>
      <c r="BA270" s="66"/>
      <c r="BB270" s="72"/>
      <c r="BC270" s="73"/>
      <c r="BD270" s="66"/>
      <c r="BE270" s="72"/>
      <c r="BF270" s="66"/>
    </row>
    <row r="271" spans="1:58">
      <c r="A271" s="66"/>
      <c r="B271" s="66"/>
      <c r="C271" s="66"/>
      <c r="D271" s="66"/>
      <c r="E271" s="66"/>
      <c r="F271" s="66"/>
      <c r="G271" s="66"/>
      <c r="H271" s="66"/>
      <c r="I271" s="66"/>
      <c r="J271" s="66"/>
      <c r="K271" s="66"/>
      <c r="L271" s="66"/>
      <c r="M271" s="66"/>
      <c r="N271" s="66"/>
      <c r="O271" s="66"/>
      <c r="P271" s="66"/>
      <c r="Q271" s="87"/>
      <c r="R271" s="87"/>
      <c r="S271" s="87"/>
      <c r="T271" s="87"/>
      <c r="U271" s="87"/>
      <c r="V271" s="87"/>
      <c r="W271" s="67"/>
      <c r="X271" s="85" t="str">
        <f t="shared" si="49"/>
        <v>Tidak ada faktor rentan</v>
      </c>
      <c r="Y271" s="85" t="str">
        <f t="shared" si="50"/>
        <v>Tidak Ada Faktor Rentan</v>
      </c>
      <c r="Z271" s="86" t="str">
        <f t="shared" si="51"/>
        <v/>
      </c>
      <c r="AA271" s="86">
        <f t="shared" si="52"/>
        <v>0</v>
      </c>
      <c r="AB271" s="86" t="str">
        <f t="shared" si="45"/>
        <v/>
      </c>
      <c r="AC271" s="68"/>
      <c r="AD271" s="68"/>
      <c r="AE271" s="68"/>
      <c r="AF271" s="68"/>
      <c r="AG271" s="68"/>
      <c r="AH271" s="68"/>
      <c r="AI271" s="68"/>
      <c r="AJ271" s="68"/>
      <c r="AK271" s="68"/>
      <c r="AL271" s="68"/>
      <c r="AM271" s="68"/>
      <c r="AN271" s="68" t="str">
        <f t="shared" si="46"/>
        <v>Tidak ada risiko khusus</v>
      </c>
      <c r="AO271" s="68" t="str">
        <f t="shared" si="47"/>
        <v>Tidak Ada Risiko Khusus</v>
      </c>
      <c r="AP271" s="68"/>
      <c r="AQ271" s="71" t="str">
        <f t="shared" si="53"/>
        <v/>
      </c>
      <c r="AR271" s="71">
        <f t="shared" si="55"/>
        <v>0</v>
      </c>
      <c r="AS271" s="71" t="str">
        <f t="shared" si="48"/>
        <v/>
      </c>
      <c r="AT271" s="69" t="str">
        <f t="shared" si="54"/>
        <v>Belum Dapat Ditentukan</v>
      </c>
      <c r="AU271" s="66"/>
      <c r="AV271" s="66"/>
      <c r="AW271" s="66"/>
      <c r="AX271" s="66"/>
      <c r="AY271" s="66"/>
      <c r="AZ271" s="66"/>
      <c r="BA271" s="66"/>
      <c r="BB271" s="72"/>
      <c r="BC271" s="73"/>
      <c r="BD271" s="66"/>
      <c r="BE271" s="72"/>
      <c r="BF271" s="66"/>
    </row>
    <row r="272" spans="1:58">
      <c r="A272" s="66"/>
      <c r="B272" s="66"/>
      <c r="C272" s="66"/>
      <c r="D272" s="66"/>
      <c r="E272" s="66"/>
      <c r="F272" s="66"/>
      <c r="G272" s="66"/>
      <c r="H272" s="66"/>
      <c r="I272" s="66"/>
      <c r="J272" s="66"/>
      <c r="K272" s="66"/>
      <c r="L272" s="66"/>
      <c r="M272" s="66"/>
      <c r="N272" s="66"/>
      <c r="O272" s="66"/>
      <c r="P272" s="66"/>
      <c r="Q272" s="87"/>
      <c r="R272" s="87"/>
      <c r="S272" s="87"/>
      <c r="T272" s="87"/>
      <c r="U272" s="87"/>
      <c r="V272" s="87"/>
      <c r="W272" s="67"/>
      <c r="X272" s="85" t="str">
        <f t="shared" si="49"/>
        <v>Tidak ada faktor rentan</v>
      </c>
      <c r="Y272" s="85" t="str">
        <f t="shared" si="50"/>
        <v>Tidak Ada Faktor Rentan</v>
      </c>
      <c r="Z272" s="86" t="str">
        <f t="shared" si="51"/>
        <v/>
      </c>
      <c r="AA272" s="86">
        <f t="shared" si="52"/>
        <v>0</v>
      </c>
      <c r="AB272" s="86" t="str">
        <f t="shared" si="45"/>
        <v/>
      </c>
      <c r="AC272" s="68"/>
      <c r="AD272" s="68"/>
      <c r="AE272" s="68"/>
      <c r="AF272" s="68"/>
      <c r="AG272" s="68"/>
      <c r="AH272" s="68"/>
      <c r="AI272" s="68"/>
      <c r="AJ272" s="68"/>
      <c r="AK272" s="68"/>
      <c r="AL272" s="68"/>
      <c r="AM272" s="68"/>
      <c r="AN272" s="68" t="str">
        <f t="shared" si="46"/>
        <v>Tidak ada risiko khusus</v>
      </c>
      <c r="AO272" s="68" t="str">
        <f t="shared" si="47"/>
        <v>Tidak Ada Risiko Khusus</v>
      </c>
      <c r="AP272" s="68"/>
      <c r="AQ272" s="71" t="str">
        <f t="shared" si="53"/>
        <v/>
      </c>
      <c r="AR272" s="71">
        <f t="shared" si="55"/>
        <v>0</v>
      </c>
      <c r="AS272" s="71" t="str">
        <f t="shared" si="48"/>
        <v/>
      </c>
      <c r="AT272" s="69" t="str">
        <f t="shared" si="54"/>
        <v>Belum Dapat Ditentukan</v>
      </c>
      <c r="AU272" s="66"/>
      <c r="AV272" s="66"/>
      <c r="AW272" s="66"/>
      <c r="AX272" s="66"/>
      <c r="AY272" s="66"/>
      <c r="AZ272" s="66"/>
      <c r="BA272" s="66"/>
      <c r="BB272" s="72"/>
      <c r="BC272" s="73"/>
      <c r="BD272" s="66"/>
      <c r="BE272" s="72"/>
      <c r="BF272" s="66"/>
    </row>
    <row r="273" spans="1:58">
      <c r="A273" s="66"/>
      <c r="B273" s="66"/>
      <c r="C273" s="66"/>
      <c r="D273" s="66"/>
      <c r="E273" s="66"/>
      <c r="F273" s="66"/>
      <c r="G273" s="66"/>
      <c r="H273" s="66"/>
      <c r="I273" s="66"/>
      <c r="J273" s="66"/>
      <c r="K273" s="66"/>
      <c r="L273" s="66"/>
      <c r="M273" s="66"/>
      <c r="N273" s="66"/>
      <c r="O273" s="66"/>
      <c r="P273" s="66"/>
      <c r="Q273" s="87"/>
      <c r="R273" s="87"/>
      <c r="S273" s="87"/>
      <c r="T273" s="87"/>
      <c r="U273" s="87"/>
      <c r="V273" s="87"/>
      <c r="W273" s="67"/>
      <c r="X273" s="85" t="str">
        <f t="shared" si="49"/>
        <v>Tidak ada faktor rentan</v>
      </c>
      <c r="Y273" s="85" t="str">
        <f t="shared" si="50"/>
        <v>Tidak Ada Faktor Rentan</v>
      </c>
      <c r="Z273" s="86" t="str">
        <f t="shared" si="51"/>
        <v/>
      </c>
      <c r="AA273" s="86">
        <f t="shared" si="52"/>
        <v>0</v>
      </c>
      <c r="AB273" s="86" t="str">
        <f t="shared" si="45"/>
        <v/>
      </c>
      <c r="AC273" s="68"/>
      <c r="AD273" s="68"/>
      <c r="AE273" s="68"/>
      <c r="AF273" s="68"/>
      <c r="AG273" s="68"/>
      <c r="AH273" s="68"/>
      <c r="AI273" s="68"/>
      <c r="AJ273" s="68"/>
      <c r="AK273" s="68"/>
      <c r="AL273" s="68"/>
      <c r="AM273" s="68"/>
      <c r="AN273" s="68" t="str">
        <f t="shared" si="46"/>
        <v>Tidak ada risiko khusus</v>
      </c>
      <c r="AO273" s="68" t="str">
        <f t="shared" si="47"/>
        <v>Tidak Ada Risiko Khusus</v>
      </c>
      <c r="AP273" s="68"/>
      <c r="AQ273" s="71" t="str">
        <f t="shared" si="53"/>
        <v/>
      </c>
      <c r="AR273" s="71">
        <f t="shared" si="55"/>
        <v>0</v>
      </c>
      <c r="AS273" s="71" t="str">
        <f t="shared" si="48"/>
        <v/>
      </c>
      <c r="AT273" s="69" t="str">
        <f t="shared" si="54"/>
        <v>Belum Dapat Ditentukan</v>
      </c>
      <c r="AU273" s="66"/>
      <c r="AV273" s="66"/>
      <c r="AW273" s="66"/>
      <c r="AX273" s="66"/>
      <c r="AY273" s="66"/>
      <c r="AZ273" s="66"/>
      <c r="BA273" s="66"/>
      <c r="BB273" s="72"/>
      <c r="BC273" s="73"/>
      <c r="BD273" s="66"/>
      <c r="BE273" s="72"/>
      <c r="BF273" s="66"/>
    </row>
    <row r="274" spans="1:58">
      <c r="A274" s="66"/>
      <c r="B274" s="66"/>
      <c r="C274" s="66"/>
      <c r="D274" s="66"/>
      <c r="E274" s="66"/>
      <c r="F274" s="66"/>
      <c r="G274" s="66"/>
      <c r="H274" s="66"/>
      <c r="I274" s="66"/>
      <c r="J274" s="66"/>
      <c r="K274" s="66"/>
      <c r="L274" s="66"/>
      <c r="M274" s="66"/>
      <c r="N274" s="66"/>
      <c r="O274" s="66"/>
      <c r="P274" s="66"/>
      <c r="Q274" s="87"/>
      <c r="R274" s="87"/>
      <c r="S274" s="87"/>
      <c r="T274" s="87"/>
      <c r="U274" s="87"/>
      <c r="V274" s="87"/>
      <c r="W274" s="67"/>
      <c r="X274" s="85" t="str">
        <f t="shared" si="49"/>
        <v>Tidak ada faktor rentan</v>
      </c>
      <c r="Y274" s="85" t="str">
        <f t="shared" si="50"/>
        <v>Tidak Ada Faktor Rentan</v>
      </c>
      <c r="Z274" s="86" t="str">
        <f t="shared" si="51"/>
        <v/>
      </c>
      <c r="AA274" s="86">
        <f t="shared" si="52"/>
        <v>0</v>
      </c>
      <c r="AB274" s="86" t="str">
        <f t="shared" si="45"/>
        <v/>
      </c>
      <c r="AC274" s="68"/>
      <c r="AD274" s="68"/>
      <c r="AE274" s="68"/>
      <c r="AF274" s="68"/>
      <c r="AG274" s="68"/>
      <c r="AH274" s="68"/>
      <c r="AI274" s="68"/>
      <c r="AJ274" s="68"/>
      <c r="AK274" s="68"/>
      <c r="AL274" s="68"/>
      <c r="AM274" s="68"/>
      <c r="AN274" s="68" t="str">
        <f t="shared" si="46"/>
        <v>Tidak ada risiko khusus</v>
      </c>
      <c r="AO274" s="68" t="str">
        <f t="shared" si="47"/>
        <v>Tidak Ada Risiko Khusus</v>
      </c>
      <c r="AP274" s="68"/>
      <c r="AQ274" s="71" t="str">
        <f t="shared" si="53"/>
        <v/>
      </c>
      <c r="AR274" s="71">
        <f t="shared" si="55"/>
        <v>0</v>
      </c>
      <c r="AS274" s="71" t="str">
        <f t="shared" si="48"/>
        <v/>
      </c>
      <c r="AT274" s="69" t="str">
        <f t="shared" si="54"/>
        <v>Belum Dapat Ditentukan</v>
      </c>
      <c r="AU274" s="66"/>
      <c r="AV274" s="66"/>
      <c r="AW274" s="66"/>
      <c r="AX274" s="66"/>
      <c r="AY274" s="66"/>
      <c r="AZ274" s="66"/>
      <c r="BA274" s="66"/>
      <c r="BB274" s="72"/>
      <c r="BC274" s="73"/>
      <c r="BD274" s="66"/>
      <c r="BE274" s="72"/>
      <c r="BF274" s="66"/>
    </row>
    <row r="275" spans="1:58">
      <c r="A275" s="66"/>
      <c r="B275" s="66"/>
      <c r="C275" s="66"/>
      <c r="D275" s="66"/>
      <c r="E275" s="66"/>
      <c r="F275" s="66"/>
      <c r="G275" s="66"/>
      <c r="H275" s="66"/>
      <c r="I275" s="66"/>
      <c r="J275" s="66"/>
      <c r="K275" s="66"/>
      <c r="L275" s="66"/>
      <c r="M275" s="66"/>
      <c r="N275" s="66"/>
      <c r="O275" s="66"/>
      <c r="P275" s="66"/>
      <c r="Q275" s="87"/>
      <c r="R275" s="87"/>
      <c r="S275" s="87"/>
      <c r="T275" s="87"/>
      <c r="U275" s="87"/>
      <c r="V275" s="87"/>
      <c r="W275" s="67"/>
      <c r="X275" s="85" t="str">
        <f t="shared" si="49"/>
        <v>Tidak ada faktor rentan</v>
      </c>
      <c r="Y275" s="85" t="str">
        <f t="shared" si="50"/>
        <v>Tidak Ada Faktor Rentan</v>
      </c>
      <c r="Z275" s="86" t="str">
        <f t="shared" si="51"/>
        <v/>
      </c>
      <c r="AA275" s="86">
        <f t="shared" si="52"/>
        <v>0</v>
      </c>
      <c r="AB275" s="86" t="str">
        <f t="shared" si="45"/>
        <v/>
      </c>
      <c r="AC275" s="68"/>
      <c r="AD275" s="68"/>
      <c r="AE275" s="68"/>
      <c r="AF275" s="68"/>
      <c r="AG275" s="68"/>
      <c r="AH275" s="68"/>
      <c r="AI275" s="68"/>
      <c r="AJ275" s="68"/>
      <c r="AK275" s="68"/>
      <c r="AL275" s="68"/>
      <c r="AM275" s="68"/>
      <c r="AN275" s="68" t="str">
        <f t="shared" si="46"/>
        <v>Tidak ada risiko khusus</v>
      </c>
      <c r="AO275" s="68" t="str">
        <f t="shared" si="47"/>
        <v>Tidak Ada Risiko Khusus</v>
      </c>
      <c r="AP275" s="68"/>
      <c r="AQ275" s="71" t="str">
        <f t="shared" si="53"/>
        <v/>
      </c>
      <c r="AR275" s="71">
        <f t="shared" si="55"/>
        <v>0</v>
      </c>
      <c r="AS275" s="71" t="str">
        <f t="shared" si="48"/>
        <v/>
      </c>
      <c r="AT275" s="69" t="str">
        <f t="shared" si="54"/>
        <v>Belum Dapat Ditentukan</v>
      </c>
      <c r="AU275" s="66"/>
      <c r="AV275" s="66"/>
      <c r="AW275" s="66"/>
      <c r="AX275" s="66"/>
      <c r="AY275" s="66"/>
      <c r="AZ275" s="66"/>
      <c r="BA275" s="66"/>
      <c r="BB275" s="72"/>
      <c r="BC275" s="73"/>
      <c r="BD275" s="66"/>
      <c r="BE275" s="72"/>
      <c r="BF275" s="66"/>
    </row>
    <row r="276" spans="1:58">
      <c r="A276" s="66"/>
      <c r="B276" s="66"/>
      <c r="C276" s="66"/>
      <c r="D276" s="66"/>
      <c r="E276" s="66"/>
      <c r="F276" s="66"/>
      <c r="G276" s="66"/>
      <c r="H276" s="66"/>
      <c r="I276" s="66"/>
      <c r="J276" s="66"/>
      <c r="K276" s="66"/>
      <c r="L276" s="66"/>
      <c r="M276" s="66"/>
      <c r="N276" s="66"/>
      <c r="O276" s="66"/>
      <c r="P276" s="66"/>
      <c r="Q276" s="87"/>
      <c r="R276" s="87"/>
      <c r="S276" s="87"/>
      <c r="T276" s="87"/>
      <c r="U276" s="87"/>
      <c r="V276" s="87"/>
      <c r="W276" s="67"/>
      <c r="X276" s="85" t="str">
        <f t="shared" si="49"/>
        <v>Tidak ada faktor rentan</v>
      </c>
      <c r="Y276" s="85" t="str">
        <f t="shared" si="50"/>
        <v>Tidak Ada Faktor Rentan</v>
      </c>
      <c r="Z276" s="86" t="str">
        <f t="shared" si="51"/>
        <v/>
      </c>
      <c r="AA276" s="86">
        <f t="shared" si="52"/>
        <v>0</v>
      </c>
      <c r="AB276" s="86" t="str">
        <f t="shared" si="45"/>
        <v/>
      </c>
      <c r="AC276" s="68"/>
      <c r="AD276" s="68"/>
      <c r="AE276" s="68"/>
      <c r="AF276" s="68"/>
      <c r="AG276" s="68"/>
      <c r="AH276" s="68"/>
      <c r="AI276" s="68"/>
      <c r="AJ276" s="68"/>
      <c r="AK276" s="68"/>
      <c r="AL276" s="68"/>
      <c r="AM276" s="68"/>
      <c r="AN276" s="68" t="str">
        <f t="shared" si="46"/>
        <v>Tidak ada risiko khusus</v>
      </c>
      <c r="AO276" s="68" t="str">
        <f t="shared" si="47"/>
        <v>Tidak Ada Risiko Khusus</v>
      </c>
      <c r="AP276" s="68"/>
      <c r="AQ276" s="71" t="str">
        <f t="shared" si="53"/>
        <v/>
      </c>
      <c r="AR276" s="71">
        <f t="shared" si="55"/>
        <v>0</v>
      </c>
      <c r="AS276" s="71" t="str">
        <f t="shared" si="48"/>
        <v/>
      </c>
      <c r="AT276" s="69" t="str">
        <f t="shared" si="54"/>
        <v>Belum Dapat Ditentukan</v>
      </c>
      <c r="AU276" s="66"/>
      <c r="AV276" s="66"/>
      <c r="AW276" s="66"/>
      <c r="AX276" s="66"/>
      <c r="AY276" s="66"/>
      <c r="AZ276" s="66"/>
      <c r="BA276" s="66"/>
      <c r="BB276" s="72"/>
      <c r="BC276" s="73"/>
      <c r="BD276" s="66"/>
      <c r="BE276" s="72"/>
      <c r="BF276" s="66"/>
    </row>
    <row r="277" spans="1:58">
      <c r="A277" s="66"/>
      <c r="B277" s="66"/>
      <c r="C277" s="66"/>
      <c r="D277" s="66"/>
      <c r="E277" s="66"/>
      <c r="F277" s="66"/>
      <c r="G277" s="66"/>
      <c r="H277" s="66"/>
      <c r="I277" s="66"/>
      <c r="J277" s="66"/>
      <c r="K277" s="66"/>
      <c r="L277" s="66"/>
      <c r="M277" s="66"/>
      <c r="N277" s="66"/>
      <c r="O277" s="66"/>
      <c r="P277" s="66"/>
      <c r="Q277" s="87"/>
      <c r="R277" s="87"/>
      <c r="S277" s="87"/>
      <c r="T277" s="87"/>
      <c r="U277" s="87"/>
      <c r="V277" s="87"/>
      <c r="W277" s="67"/>
      <c r="X277" s="85" t="str">
        <f t="shared" si="49"/>
        <v>Tidak ada faktor rentan</v>
      </c>
      <c r="Y277" s="85" t="str">
        <f t="shared" si="50"/>
        <v>Tidak Ada Faktor Rentan</v>
      </c>
      <c r="Z277" s="86" t="str">
        <f t="shared" si="51"/>
        <v/>
      </c>
      <c r="AA277" s="86">
        <f t="shared" si="52"/>
        <v>0</v>
      </c>
      <c r="AB277" s="86" t="str">
        <f t="shared" si="45"/>
        <v/>
      </c>
      <c r="AC277" s="68"/>
      <c r="AD277" s="68"/>
      <c r="AE277" s="68"/>
      <c r="AF277" s="68"/>
      <c r="AG277" s="68"/>
      <c r="AH277" s="68"/>
      <c r="AI277" s="68"/>
      <c r="AJ277" s="68"/>
      <c r="AK277" s="68"/>
      <c r="AL277" s="68"/>
      <c r="AM277" s="68"/>
      <c r="AN277" s="68" t="str">
        <f t="shared" si="46"/>
        <v>Tidak ada risiko khusus</v>
      </c>
      <c r="AO277" s="68" t="str">
        <f t="shared" si="47"/>
        <v>Tidak Ada Risiko Khusus</v>
      </c>
      <c r="AP277" s="68"/>
      <c r="AQ277" s="71" t="str">
        <f t="shared" si="53"/>
        <v/>
      </c>
      <c r="AR277" s="71">
        <f t="shared" si="55"/>
        <v>0</v>
      </c>
      <c r="AS277" s="71" t="str">
        <f t="shared" si="48"/>
        <v/>
      </c>
      <c r="AT277" s="69" t="str">
        <f t="shared" si="54"/>
        <v>Belum Dapat Ditentukan</v>
      </c>
      <c r="AU277" s="66"/>
      <c r="AV277" s="66"/>
      <c r="AW277" s="66"/>
      <c r="AX277" s="66"/>
      <c r="AY277" s="66"/>
      <c r="AZ277" s="66"/>
      <c r="BA277" s="66"/>
      <c r="BB277" s="72"/>
      <c r="BC277" s="73"/>
      <c r="BD277" s="66"/>
      <c r="BE277" s="72"/>
      <c r="BF277" s="66"/>
    </row>
    <row r="278" spans="1:58">
      <c r="A278" s="66"/>
      <c r="B278" s="66"/>
      <c r="C278" s="66"/>
      <c r="D278" s="66"/>
      <c r="E278" s="66"/>
      <c r="F278" s="66"/>
      <c r="G278" s="66"/>
      <c r="H278" s="66"/>
      <c r="I278" s="66"/>
      <c r="J278" s="66"/>
      <c r="K278" s="66"/>
      <c r="L278" s="66"/>
      <c r="M278" s="66"/>
      <c r="N278" s="66"/>
      <c r="O278" s="66"/>
      <c r="P278" s="66"/>
      <c r="Q278" s="87"/>
      <c r="R278" s="87"/>
      <c r="S278" s="87"/>
      <c r="T278" s="87"/>
      <c r="U278" s="87"/>
      <c r="V278" s="87"/>
      <c r="W278" s="67"/>
      <c r="X278" s="85" t="str">
        <f t="shared" si="49"/>
        <v>Tidak ada faktor rentan</v>
      </c>
      <c r="Y278" s="85" t="str">
        <f t="shared" si="50"/>
        <v>Tidak Ada Faktor Rentan</v>
      </c>
      <c r="Z278" s="86" t="str">
        <f t="shared" si="51"/>
        <v/>
      </c>
      <c r="AA278" s="86">
        <f t="shared" si="52"/>
        <v>0</v>
      </c>
      <c r="AB278" s="86" t="str">
        <f t="shared" si="45"/>
        <v/>
      </c>
      <c r="AC278" s="68"/>
      <c r="AD278" s="68"/>
      <c r="AE278" s="68"/>
      <c r="AF278" s="68"/>
      <c r="AG278" s="68"/>
      <c r="AH278" s="68"/>
      <c r="AI278" s="68"/>
      <c r="AJ278" s="68"/>
      <c r="AK278" s="68"/>
      <c r="AL278" s="68"/>
      <c r="AM278" s="68"/>
      <c r="AN278" s="68" t="str">
        <f t="shared" si="46"/>
        <v>Tidak ada risiko khusus</v>
      </c>
      <c r="AO278" s="68" t="str">
        <f t="shared" si="47"/>
        <v>Tidak Ada Risiko Khusus</v>
      </c>
      <c r="AP278" s="68"/>
      <c r="AQ278" s="71" t="str">
        <f t="shared" si="53"/>
        <v/>
      </c>
      <c r="AR278" s="71">
        <f t="shared" si="55"/>
        <v>0</v>
      </c>
      <c r="AS278" s="71" t="str">
        <f t="shared" si="48"/>
        <v/>
      </c>
      <c r="AT278" s="69" t="str">
        <f t="shared" si="54"/>
        <v>Belum Dapat Ditentukan</v>
      </c>
      <c r="AU278" s="66"/>
      <c r="AV278" s="66"/>
      <c r="AW278" s="66"/>
      <c r="AX278" s="66"/>
      <c r="AY278" s="66"/>
      <c r="AZ278" s="66"/>
      <c r="BA278" s="66"/>
      <c r="BB278" s="72"/>
      <c r="BC278" s="73"/>
      <c r="BD278" s="66"/>
      <c r="BE278" s="72"/>
      <c r="BF278" s="66"/>
    </row>
    <row r="279" spans="1:58">
      <c r="A279" s="66"/>
      <c r="B279" s="66"/>
      <c r="C279" s="66"/>
      <c r="D279" s="66"/>
      <c r="E279" s="66"/>
      <c r="F279" s="66"/>
      <c r="G279" s="66"/>
      <c r="H279" s="66"/>
      <c r="I279" s="66"/>
      <c r="J279" s="66"/>
      <c r="K279" s="66"/>
      <c r="L279" s="66"/>
      <c r="M279" s="66"/>
      <c r="N279" s="66"/>
      <c r="O279" s="66"/>
      <c r="P279" s="66"/>
      <c r="Q279" s="87"/>
      <c r="R279" s="87"/>
      <c r="S279" s="87"/>
      <c r="T279" s="87"/>
      <c r="U279" s="87"/>
      <c r="V279" s="87"/>
      <c r="W279" s="67"/>
      <c r="X279" s="85" t="str">
        <f t="shared" si="49"/>
        <v>Tidak ada faktor rentan</v>
      </c>
      <c r="Y279" s="85" t="str">
        <f t="shared" si="50"/>
        <v>Tidak Ada Faktor Rentan</v>
      </c>
      <c r="Z279" s="86" t="str">
        <f t="shared" si="51"/>
        <v/>
      </c>
      <c r="AA279" s="86">
        <f t="shared" si="52"/>
        <v>0</v>
      </c>
      <c r="AB279" s="86" t="str">
        <f t="shared" si="45"/>
        <v/>
      </c>
      <c r="AC279" s="68"/>
      <c r="AD279" s="68"/>
      <c r="AE279" s="68"/>
      <c r="AF279" s="68"/>
      <c r="AG279" s="68"/>
      <c r="AH279" s="68"/>
      <c r="AI279" s="68"/>
      <c r="AJ279" s="68"/>
      <c r="AK279" s="68"/>
      <c r="AL279" s="68"/>
      <c r="AM279" s="68"/>
      <c r="AN279" s="68" t="str">
        <f t="shared" si="46"/>
        <v>Tidak ada risiko khusus</v>
      </c>
      <c r="AO279" s="68" t="str">
        <f t="shared" si="47"/>
        <v>Tidak Ada Risiko Khusus</v>
      </c>
      <c r="AP279" s="68"/>
      <c r="AQ279" s="71" t="str">
        <f t="shared" si="53"/>
        <v/>
      </c>
      <c r="AR279" s="71">
        <f t="shared" si="55"/>
        <v>0</v>
      </c>
      <c r="AS279" s="71" t="str">
        <f t="shared" si="48"/>
        <v/>
      </c>
      <c r="AT279" s="69" t="str">
        <f t="shared" si="54"/>
        <v>Belum Dapat Ditentukan</v>
      </c>
      <c r="AU279" s="66"/>
      <c r="AV279" s="66"/>
      <c r="AW279" s="66"/>
      <c r="AX279" s="66"/>
      <c r="AY279" s="66"/>
      <c r="AZ279" s="66"/>
      <c r="BA279" s="66"/>
      <c r="BB279" s="72"/>
      <c r="BC279" s="73"/>
      <c r="BD279" s="66"/>
      <c r="BE279" s="72"/>
      <c r="BF279" s="66"/>
    </row>
    <row r="280" spans="1:58">
      <c r="A280" s="66"/>
      <c r="B280" s="66"/>
      <c r="C280" s="66"/>
      <c r="D280" s="66"/>
      <c r="E280" s="66"/>
      <c r="F280" s="66"/>
      <c r="G280" s="66"/>
      <c r="H280" s="66"/>
      <c r="I280" s="66"/>
      <c r="J280" s="66"/>
      <c r="K280" s="66"/>
      <c r="L280" s="66"/>
      <c r="M280" s="66"/>
      <c r="N280" s="66"/>
      <c r="O280" s="66"/>
      <c r="P280" s="66"/>
      <c r="Q280" s="87"/>
      <c r="R280" s="87"/>
      <c r="S280" s="87"/>
      <c r="T280" s="87"/>
      <c r="U280" s="87"/>
      <c r="V280" s="87"/>
      <c r="W280" s="67"/>
      <c r="X280" s="85" t="str">
        <f t="shared" si="49"/>
        <v>Tidak ada faktor rentan</v>
      </c>
      <c r="Y280" s="85" t="str">
        <f t="shared" si="50"/>
        <v>Tidak Ada Faktor Rentan</v>
      </c>
      <c r="Z280" s="86" t="str">
        <f t="shared" si="51"/>
        <v/>
      </c>
      <c r="AA280" s="86">
        <f t="shared" si="52"/>
        <v>0</v>
      </c>
      <c r="AB280" s="86" t="str">
        <f t="shared" si="45"/>
        <v/>
      </c>
      <c r="AC280" s="68"/>
      <c r="AD280" s="68"/>
      <c r="AE280" s="68"/>
      <c r="AF280" s="68"/>
      <c r="AG280" s="68"/>
      <c r="AH280" s="68"/>
      <c r="AI280" s="68"/>
      <c r="AJ280" s="68"/>
      <c r="AK280" s="68"/>
      <c r="AL280" s="68"/>
      <c r="AM280" s="68"/>
      <c r="AN280" s="68" t="str">
        <f t="shared" si="46"/>
        <v>Tidak ada risiko khusus</v>
      </c>
      <c r="AO280" s="68" t="str">
        <f t="shared" si="47"/>
        <v>Tidak Ada Risiko Khusus</v>
      </c>
      <c r="AP280" s="68"/>
      <c r="AQ280" s="71" t="str">
        <f t="shared" si="53"/>
        <v/>
      </c>
      <c r="AR280" s="71">
        <f t="shared" si="55"/>
        <v>0</v>
      </c>
      <c r="AS280" s="71" t="str">
        <f t="shared" si="48"/>
        <v/>
      </c>
      <c r="AT280" s="69" t="str">
        <f t="shared" si="54"/>
        <v>Belum Dapat Ditentukan</v>
      </c>
      <c r="AU280" s="66"/>
      <c r="AV280" s="66"/>
      <c r="AW280" s="66"/>
      <c r="AX280" s="66"/>
      <c r="AY280" s="66"/>
      <c r="AZ280" s="66"/>
      <c r="BA280" s="66"/>
      <c r="BB280" s="72"/>
      <c r="BC280" s="73"/>
      <c r="BD280" s="66"/>
      <c r="BE280" s="72"/>
      <c r="BF280" s="66"/>
    </row>
    <row r="281" spans="1:58">
      <c r="A281" s="66"/>
      <c r="B281" s="66"/>
      <c r="C281" s="66"/>
      <c r="D281" s="66"/>
      <c r="E281" s="66"/>
      <c r="F281" s="66"/>
      <c r="G281" s="66"/>
      <c r="H281" s="66"/>
      <c r="I281" s="66"/>
      <c r="J281" s="66"/>
      <c r="K281" s="66"/>
      <c r="L281" s="66"/>
      <c r="M281" s="66"/>
      <c r="N281" s="66"/>
      <c r="O281" s="66"/>
      <c r="P281" s="66"/>
      <c r="Q281" s="87"/>
      <c r="R281" s="87"/>
      <c r="S281" s="87"/>
      <c r="T281" s="87"/>
      <c r="U281" s="87"/>
      <c r="V281" s="87"/>
      <c r="W281" s="67"/>
      <c r="X281" s="85" t="str">
        <f t="shared" si="49"/>
        <v>Tidak ada faktor rentan</v>
      </c>
      <c r="Y281" s="85" t="str">
        <f t="shared" si="50"/>
        <v>Tidak Ada Faktor Rentan</v>
      </c>
      <c r="Z281" s="86" t="str">
        <f t="shared" si="51"/>
        <v/>
      </c>
      <c r="AA281" s="86">
        <f t="shared" si="52"/>
        <v>0</v>
      </c>
      <c r="AB281" s="86" t="str">
        <f t="shared" si="45"/>
        <v/>
      </c>
      <c r="AC281" s="68"/>
      <c r="AD281" s="68"/>
      <c r="AE281" s="68"/>
      <c r="AF281" s="68"/>
      <c r="AG281" s="68"/>
      <c r="AH281" s="68"/>
      <c r="AI281" s="68"/>
      <c r="AJ281" s="68"/>
      <c r="AK281" s="68"/>
      <c r="AL281" s="68"/>
      <c r="AM281" s="68"/>
      <c r="AN281" s="68" t="str">
        <f t="shared" si="46"/>
        <v>Tidak ada risiko khusus</v>
      </c>
      <c r="AO281" s="68" t="str">
        <f t="shared" si="47"/>
        <v>Tidak Ada Risiko Khusus</v>
      </c>
      <c r="AP281" s="68"/>
      <c r="AQ281" s="71" t="str">
        <f t="shared" si="53"/>
        <v/>
      </c>
      <c r="AR281" s="71">
        <f t="shared" si="55"/>
        <v>0</v>
      </c>
      <c r="AS281" s="71" t="str">
        <f t="shared" si="48"/>
        <v/>
      </c>
      <c r="AT281" s="69" t="str">
        <f t="shared" si="54"/>
        <v>Belum Dapat Ditentukan</v>
      </c>
      <c r="AU281" s="66"/>
      <c r="AV281" s="66"/>
      <c r="AW281" s="66"/>
      <c r="AX281" s="66"/>
      <c r="AY281" s="66"/>
      <c r="AZ281" s="66"/>
      <c r="BA281" s="66"/>
      <c r="BB281" s="72"/>
      <c r="BC281" s="73"/>
      <c r="BD281" s="66"/>
      <c r="BE281" s="72"/>
      <c r="BF281" s="66"/>
    </row>
    <row r="282" spans="1:58">
      <c r="A282" s="66"/>
      <c r="B282" s="66"/>
      <c r="C282" s="66"/>
      <c r="D282" s="66"/>
      <c r="E282" s="66"/>
      <c r="F282" s="66"/>
      <c r="G282" s="66"/>
      <c r="H282" s="66"/>
      <c r="I282" s="66"/>
      <c r="J282" s="66"/>
      <c r="K282" s="66"/>
      <c r="L282" s="66"/>
      <c r="M282" s="66"/>
      <c r="N282" s="66"/>
      <c r="O282" s="66"/>
      <c r="P282" s="66"/>
      <c r="Q282" s="87"/>
      <c r="R282" s="87"/>
      <c r="S282" s="87"/>
      <c r="T282" s="87"/>
      <c r="U282" s="87"/>
      <c r="V282" s="87"/>
      <c r="W282" s="67"/>
      <c r="X282" s="85" t="str">
        <f t="shared" si="49"/>
        <v>Tidak ada faktor rentan</v>
      </c>
      <c r="Y282" s="85" t="str">
        <f t="shared" si="50"/>
        <v>Tidak Ada Faktor Rentan</v>
      </c>
      <c r="Z282" s="86" t="str">
        <f t="shared" si="51"/>
        <v/>
      </c>
      <c r="AA282" s="86">
        <f t="shared" si="52"/>
        <v>0</v>
      </c>
      <c r="AB282" s="86" t="str">
        <f t="shared" si="45"/>
        <v/>
      </c>
      <c r="AC282" s="68"/>
      <c r="AD282" s="68"/>
      <c r="AE282" s="68"/>
      <c r="AF282" s="68"/>
      <c r="AG282" s="68"/>
      <c r="AH282" s="68"/>
      <c r="AI282" s="68"/>
      <c r="AJ282" s="68"/>
      <c r="AK282" s="68"/>
      <c r="AL282" s="68"/>
      <c r="AM282" s="68"/>
      <c r="AN282" s="68" t="str">
        <f t="shared" si="46"/>
        <v>Tidak ada risiko khusus</v>
      </c>
      <c r="AO282" s="68" t="str">
        <f t="shared" si="47"/>
        <v>Tidak Ada Risiko Khusus</v>
      </c>
      <c r="AP282" s="68"/>
      <c r="AQ282" s="71" t="str">
        <f t="shared" si="53"/>
        <v/>
      </c>
      <c r="AR282" s="71">
        <f t="shared" si="55"/>
        <v>0</v>
      </c>
      <c r="AS282" s="71" t="str">
        <f t="shared" si="48"/>
        <v/>
      </c>
      <c r="AT282" s="69" t="str">
        <f t="shared" si="54"/>
        <v>Belum Dapat Ditentukan</v>
      </c>
      <c r="AU282" s="66"/>
      <c r="AV282" s="66"/>
      <c r="AW282" s="66"/>
      <c r="AX282" s="66"/>
      <c r="AY282" s="66"/>
      <c r="AZ282" s="66"/>
      <c r="BA282" s="66"/>
      <c r="BB282" s="72"/>
      <c r="BC282" s="73"/>
      <c r="BD282" s="66"/>
      <c r="BE282" s="72"/>
      <c r="BF282" s="66"/>
    </row>
    <row r="283" spans="1:58">
      <c r="A283" s="66"/>
      <c r="B283" s="66"/>
      <c r="C283" s="66"/>
      <c r="D283" s="66"/>
      <c r="E283" s="66"/>
      <c r="F283" s="66"/>
      <c r="G283" s="66"/>
      <c r="H283" s="66"/>
      <c r="I283" s="66"/>
      <c r="J283" s="66"/>
      <c r="K283" s="66"/>
      <c r="L283" s="66"/>
      <c r="M283" s="66"/>
      <c r="N283" s="66"/>
      <c r="O283" s="66"/>
      <c r="P283" s="66"/>
      <c r="Q283" s="87"/>
      <c r="R283" s="87"/>
      <c r="S283" s="87"/>
      <c r="T283" s="87"/>
      <c r="U283" s="87"/>
      <c r="V283" s="87"/>
      <c r="W283" s="67"/>
      <c r="X283" s="85" t="str">
        <f t="shared" si="49"/>
        <v>Tidak ada faktor rentan</v>
      </c>
      <c r="Y283" s="85" t="str">
        <f t="shared" si="50"/>
        <v>Tidak Ada Faktor Rentan</v>
      </c>
      <c r="Z283" s="86" t="str">
        <f t="shared" si="51"/>
        <v/>
      </c>
      <c r="AA283" s="86">
        <f t="shared" si="52"/>
        <v>0</v>
      </c>
      <c r="AB283" s="86" t="str">
        <f t="shared" si="45"/>
        <v/>
      </c>
      <c r="AC283" s="68"/>
      <c r="AD283" s="68"/>
      <c r="AE283" s="68"/>
      <c r="AF283" s="68"/>
      <c r="AG283" s="68"/>
      <c r="AH283" s="68"/>
      <c r="AI283" s="68"/>
      <c r="AJ283" s="68"/>
      <c r="AK283" s="68"/>
      <c r="AL283" s="68"/>
      <c r="AM283" s="68"/>
      <c r="AN283" s="68" t="str">
        <f t="shared" si="46"/>
        <v>Tidak ada risiko khusus</v>
      </c>
      <c r="AO283" s="68" t="str">
        <f t="shared" si="47"/>
        <v>Tidak Ada Risiko Khusus</v>
      </c>
      <c r="AP283" s="68"/>
      <c r="AQ283" s="71" t="str">
        <f t="shared" si="53"/>
        <v/>
      </c>
      <c r="AR283" s="71">
        <f t="shared" si="55"/>
        <v>0</v>
      </c>
      <c r="AS283" s="71" t="str">
        <f t="shared" si="48"/>
        <v/>
      </c>
      <c r="AT283" s="69" t="str">
        <f t="shared" si="54"/>
        <v>Belum Dapat Ditentukan</v>
      </c>
      <c r="AU283" s="66"/>
      <c r="AV283" s="66"/>
      <c r="AW283" s="66"/>
      <c r="AX283" s="66"/>
      <c r="AY283" s="66"/>
      <c r="AZ283" s="66"/>
      <c r="BA283" s="66"/>
      <c r="BB283" s="72"/>
      <c r="BC283" s="73"/>
      <c r="BD283" s="66"/>
      <c r="BE283" s="72"/>
      <c r="BF283" s="66"/>
    </row>
    <row r="284" spans="1:58">
      <c r="A284" s="66"/>
      <c r="B284" s="66"/>
      <c r="C284" s="66"/>
      <c r="D284" s="66"/>
      <c r="E284" s="66"/>
      <c r="F284" s="66"/>
      <c r="G284" s="66"/>
      <c r="H284" s="66"/>
      <c r="I284" s="66"/>
      <c r="J284" s="66"/>
      <c r="K284" s="66"/>
      <c r="L284" s="66"/>
      <c r="M284" s="66"/>
      <c r="N284" s="66"/>
      <c r="O284" s="66"/>
      <c r="P284" s="66"/>
      <c r="Q284" s="87"/>
      <c r="R284" s="87"/>
      <c r="S284" s="87"/>
      <c r="T284" s="87"/>
      <c r="U284" s="87"/>
      <c r="V284" s="87"/>
      <c r="W284" s="67"/>
      <c r="X284" s="85" t="str">
        <f t="shared" si="49"/>
        <v>Tidak ada faktor rentan</v>
      </c>
      <c r="Y284" s="85" t="str">
        <f t="shared" si="50"/>
        <v>Tidak Ada Faktor Rentan</v>
      </c>
      <c r="Z284" s="86" t="str">
        <f t="shared" si="51"/>
        <v/>
      </c>
      <c r="AA284" s="86">
        <f t="shared" si="52"/>
        <v>0</v>
      </c>
      <c r="AB284" s="86" t="str">
        <f t="shared" si="45"/>
        <v/>
      </c>
      <c r="AC284" s="68"/>
      <c r="AD284" s="68"/>
      <c r="AE284" s="68"/>
      <c r="AF284" s="68"/>
      <c r="AG284" s="68"/>
      <c r="AH284" s="68"/>
      <c r="AI284" s="68"/>
      <c r="AJ284" s="68"/>
      <c r="AK284" s="68"/>
      <c r="AL284" s="68"/>
      <c r="AM284" s="68"/>
      <c r="AN284" s="68" t="str">
        <f t="shared" si="46"/>
        <v>Tidak ada risiko khusus</v>
      </c>
      <c r="AO284" s="68" t="str">
        <f t="shared" si="47"/>
        <v>Tidak Ada Risiko Khusus</v>
      </c>
      <c r="AP284" s="68"/>
      <c r="AQ284" s="71" t="str">
        <f t="shared" si="53"/>
        <v/>
      </c>
      <c r="AR284" s="71">
        <f t="shared" si="55"/>
        <v>0</v>
      </c>
      <c r="AS284" s="71" t="str">
        <f t="shared" si="48"/>
        <v/>
      </c>
      <c r="AT284" s="69" t="str">
        <f t="shared" si="54"/>
        <v>Belum Dapat Ditentukan</v>
      </c>
      <c r="AU284" s="66"/>
      <c r="AV284" s="66"/>
      <c r="AW284" s="66"/>
      <c r="AX284" s="66"/>
      <c r="AY284" s="66"/>
      <c r="AZ284" s="66"/>
      <c r="BA284" s="66"/>
      <c r="BB284" s="72"/>
      <c r="BC284" s="73"/>
      <c r="BD284" s="66"/>
      <c r="BE284" s="72"/>
      <c r="BF284" s="66"/>
    </row>
    <row r="285" spans="1:58">
      <c r="A285" s="66"/>
      <c r="B285" s="66"/>
      <c r="C285" s="66"/>
      <c r="D285" s="66"/>
      <c r="E285" s="66"/>
      <c r="F285" s="66"/>
      <c r="G285" s="66"/>
      <c r="H285" s="66"/>
      <c r="I285" s="66"/>
      <c r="J285" s="66"/>
      <c r="K285" s="66"/>
      <c r="L285" s="66"/>
      <c r="M285" s="66"/>
      <c r="N285" s="66"/>
      <c r="O285" s="66"/>
      <c r="P285" s="66"/>
      <c r="Q285" s="87"/>
      <c r="R285" s="87"/>
      <c r="S285" s="87"/>
      <c r="T285" s="87"/>
      <c r="U285" s="87"/>
      <c r="V285" s="87"/>
      <c r="W285" s="67"/>
      <c r="X285" s="85" t="str">
        <f t="shared" si="49"/>
        <v>Tidak ada faktor rentan</v>
      </c>
      <c r="Y285" s="85" t="str">
        <f t="shared" si="50"/>
        <v>Tidak Ada Faktor Rentan</v>
      </c>
      <c r="Z285" s="86" t="str">
        <f t="shared" si="51"/>
        <v/>
      </c>
      <c r="AA285" s="86">
        <f t="shared" si="52"/>
        <v>0</v>
      </c>
      <c r="AB285" s="86" t="str">
        <f t="shared" si="45"/>
        <v/>
      </c>
      <c r="AC285" s="68"/>
      <c r="AD285" s="68"/>
      <c r="AE285" s="68"/>
      <c r="AF285" s="68"/>
      <c r="AG285" s="68"/>
      <c r="AH285" s="68"/>
      <c r="AI285" s="68"/>
      <c r="AJ285" s="68"/>
      <c r="AK285" s="68"/>
      <c r="AL285" s="68"/>
      <c r="AM285" s="68"/>
      <c r="AN285" s="68" t="str">
        <f t="shared" si="46"/>
        <v>Tidak ada risiko khusus</v>
      </c>
      <c r="AO285" s="68" t="str">
        <f t="shared" si="47"/>
        <v>Tidak Ada Risiko Khusus</v>
      </c>
      <c r="AP285" s="68"/>
      <c r="AQ285" s="71" t="str">
        <f t="shared" si="53"/>
        <v/>
      </c>
      <c r="AR285" s="71">
        <f t="shared" si="55"/>
        <v>0</v>
      </c>
      <c r="AS285" s="71" t="str">
        <f t="shared" si="48"/>
        <v/>
      </c>
      <c r="AT285" s="69" t="str">
        <f t="shared" si="54"/>
        <v>Belum Dapat Ditentukan</v>
      </c>
      <c r="AU285" s="66"/>
      <c r="AV285" s="66"/>
      <c r="AW285" s="66"/>
      <c r="AX285" s="66"/>
      <c r="AY285" s="66"/>
      <c r="AZ285" s="66"/>
      <c r="BA285" s="66"/>
      <c r="BB285" s="72"/>
      <c r="BC285" s="73"/>
      <c r="BD285" s="66"/>
      <c r="BE285" s="72"/>
      <c r="BF285" s="66"/>
    </row>
    <row r="286" spans="1:58">
      <c r="A286" s="66"/>
      <c r="B286" s="66"/>
      <c r="C286" s="66"/>
      <c r="D286" s="66"/>
      <c r="E286" s="66"/>
      <c r="F286" s="66"/>
      <c r="G286" s="66"/>
      <c r="H286" s="66"/>
      <c r="I286" s="66"/>
      <c r="J286" s="66"/>
      <c r="K286" s="66"/>
      <c r="L286" s="66"/>
      <c r="M286" s="66"/>
      <c r="N286" s="66"/>
      <c r="O286" s="66"/>
      <c r="P286" s="66"/>
      <c r="Q286" s="87"/>
      <c r="R286" s="87"/>
      <c r="S286" s="87"/>
      <c r="T286" s="87"/>
      <c r="U286" s="87"/>
      <c r="V286" s="87"/>
      <c r="W286" s="67"/>
      <c r="X286" s="85" t="str">
        <f t="shared" si="49"/>
        <v>Tidak ada faktor rentan</v>
      </c>
      <c r="Y286" s="85" t="str">
        <f t="shared" si="50"/>
        <v>Tidak Ada Faktor Rentan</v>
      </c>
      <c r="Z286" s="86" t="str">
        <f t="shared" si="51"/>
        <v/>
      </c>
      <c r="AA286" s="86">
        <f t="shared" si="52"/>
        <v>0</v>
      </c>
      <c r="AB286" s="86" t="str">
        <f t="shared" si="45"/>
        <v/>
      </c>
      <c r="AC286" s="68"/>
      <c r="AD286" s="68"/>
      <c r="AE286" s="68"/>
      <c r="AF286" s="68"/>
      <c r="AG286" s="68"/>
      <c r="AH286" s="68"/>
      <c r="AI286" s="68"/>
      <c r="AJ286" s="68"/>
      <c r="AK286" s="68"/>
      <c r="AL286" s="68"/>
      <c r="AM286" s="68"/>
      <c r="AN286" s="68" t="str">
        <f t="shared" si="46"/>
        <v>Tidak ada risiko khusus</v>
      </c>
      <c r="AO286" s="68" t="str">
        <f t="shared" si="47"/>
        <v>Tidak Ada Risiko Khusus</v>
      </c>
      <c r="AP286" s="68"/>
      <c r="AQ286" s="71" t="str">
        <f t="shared" si="53"/>
        <v/>
      </c>
      <c r="AR286" s="71">
        <f t="shared" si="55"/>
        <v>0</v>
      </c>
      <c r="AS286" s="71" t="str">
        <f t="shared" si="48"/>
        <v/>
      </c>
      <c r="AT286" s="69" t="str">
        <f t="shared" si="54"/>
        <v>Belum Dapat Ditentukan</v>
      </c>
      <c r="AU286" s="66"/>
      <c r="AV286" s="66"/>
      <c r="AW286" s="66"/>
      <c r="AX286" s="66"/>
      <c r="AY286" s="66"/>
      <c r="AZ286" s="66"/>
      <c r="BA286" s="66"/>
      <c r="BB286" s="72"/>
      <c r="BC286" s="73"/>
      <c r="BD286" s="66"/>
      <c r="BE286" s="72"/>
      <c r="BF286" s="66"/>
    </row>
    <row r="287" spans="1:58">
      <c r="A287" s="66"/>
      <c r="B287" s="66"/>
      <c r="C287" s="66"/>
      <c r="D287" s="66"/>
      <c r="E287" s="66"/>
      <c r="F287" s="66"/>
      <c r="G287" s="66"/>
      <c r="H287" s="66"/>
      <c r="I287" s="66"/>
      <c r="J287" s="66"/>
      <c r="K287" s="66"/>
      <c r="L287" s="66"/>
      <c r="M287" s="66"/>
      <c r="N287" s="66"/>
      <c r="O287" s="66"/>
      <c r="P287" s="66"/>
      <c r="Q287" s="87"/>
      <c r="R287" s="87"/>
      <c r="S287" s="87"/>
      <c r="T287" s="87"/>
      <c r="U287" s="87"/>
      <c r="V287" s="87"/>
      <c r="W287" s="67"/>
      <c r="X287" s="85" t="str">
        <f t="shared" si="49"/>
        <v>Tidak ada faktor rentan</v>
      </c>
      <c r="Y287" s="85" t="str">
        <f t="shared" si="50"/>
        <v>Tidak Ada Faktor Rentan</v>
      </c>
      <c r="Z287" s="86" t="str">
        <f t="shared" si="51"/>
        <v/>
      </c>
      <c r="AA287" s="86">
        <f t="shared" si="52"/>
        <v>0</v>
      </c>
      <c r="AB287" s="86" t="str">
        <f t="shared" si="45"/>
        <v/>
      </c>
      <c r="AC287" s="68"/>
      <c r="AD287" s="68"/>
      <c r="AE287" s="68"/>
      <c r="AF287" s="68"/>
      <c r="AG287" s="68"/>
      <c r="AH287" s="68"/>
      <c r="AI287" s="68"/>
      <c r="AJ287" s="68"/>
      <c r="AK287" s="68"/>
      <c r="AL287" s="68"/>
      <c r="AM287" s="68"/>
      <c r="AN287" s="68" t="str">
        <f t="shared" si="46"/>
        <v>Tidak ada risiko khusus</v>
      </c>
      <c r="AO287" s="68" t="str">
        <f t="shared" si="47"/>
        <v>Tidak Ada Risiko Khusus</v>
      </c>
      <c r="AP287" s="68"/>
      <c r="AQ287" s="71" t="str">
        <f t="shared" si="53"/>
        <v/>
      </c>
      <c r="AR287" s="71">
        <f t="shared" si="55"/>
        <v>0</v>
      </c>
      <c r="AS287" s="71" t="str">
        <f t="shared" si="48"/>
        <v/>
      </c>
      <c r="AT287" s="69" t="str">
        <f t="shared" si="54"/>
        <v>Belum Dapat Ditentukan</v>
      </c>
      <c r="AU287" s="66"/>
      <c r="AV287" s="66"/>
      <c r="AW287" s="66"/>
      <c r="AX287" s="66"/>
      <c r="AY287" s="66"/>
      <c r="AZ287" s="66"/>
      <c r="BA287" s="66"/>
      <c r="BB287" s="72"/>
      <c r="BC287" s="73"/>
      <c r="BD287" s="66"/>
      <c r="BE287" s="72"/>
      <c r="BF287" s="66"/>
    </row>
    <row r="288" spans="1:58">
      <c r="A288" s="66"/>
      <c r="B288" s="66"/>
      <c r="C288" s="66"/>
      <c r="D288" s="66"/>
      <c r="E288" s="66"/>
      <c r="F288" s="66"/>
      <c r="G288" s="66"/>
      <c r="H288" s="66"/>
      <c r="I288" s="66"/>
      <c r="J288" s="66"/>
      <c r="K288" s="66"/>
      <c r="L288" s="66"/>
      <c r="M288" s="66"/>
      <c r="N288" s="66"/>
      <c r="O288" s="66"/>
      <c r="P288" s="66"/>
      <c r="Q288" s="87"/>
      <c r="R288" s="87"/>
      <c r="S288" s="87"/>
      <c r="T288" s="87"/>
      <c r="U288" s="87"/>
      <c r="V288" s="87"/>
      <c r="W288" s="67"/>
      <c r="X288" s="85" t="str">
        <f t="shared" si="49"/>
        <v>Tidak ada faktor rentan</v>
      </c>
      <c r="Y288" s="85" t="str">
        <f t="shared" si="50"/>
        <v>Tidak Ada Faktor Rentan</v>
      </c>
      <c r="Z288" s="86" t="str">
        <f t="shared" si="51"/>
        <v/>
      </c>
      <c r="AA288" s="86">
        <f t="shared" si="52"/>
        <v>0</v>
      </c>
      <c r="AB288" s="86" t="str">
        <f t="shared" si="45"/>
        <v/>
      </c>
      <c r="AC288" s="68"/>
      <c r="AD288" s="68"/>
      <c r="AE288" s="68"/>
      <c r="AF288" s="68"/>
      <c r="AG288" s="68"/>
      <c r="AH288" s="68"/>
      <c r="AI288" s="68"/>
      <c r="AJ288" s="68"/>
      <c r="AK288" s="68"/>
      <c r="AL288" s="68"/>
      <c r="AM288" s="68"/>
      <c r="AN288" s="68" t="str">
        <f t="shared" si="46"/>
        <v>Tidak ada risiko khusus</v>
      </c>
      <c r="AO288" s="68" t="str">
        <f t="shared" si="47"/>
        <v>Tidak Ada Risiko Khusus</v>
      </c>
      <c r="AP288" s="68"/>
      <c r="AQ288" s="71" t="str">
        <f t="shared" si="53"/>
        <v/>
      </c>
      <c r="AR288" s="71">
        <f t="shared" si="55"/>
        <v>0</v>
      </c>
      <c r="AS288" s="71" t="str">
        <f t="shared" si="48"/>
        <v/>
      </c>
      <c r="AT288" s="69" t="str">
        <f t="shared" si="54"/>
        <v>Belum Dapat Ditentukan</v>
      </c>
      <c r="AU288" s="66"/>
      <c r="AV288" s="66"/>
      <c r="AW288" s="66"/>
      <c r="AX288" s="66"/>
      <c r="AY288" s="66"/>
      <c r="AZ288" s="66"/>
      <c r="BA288" s="66"/>
      <c r="BB288" s="72"/>
      <c r="BC288" s="73"/>
      <c r="BD288" s="66"/>
      <c r="BE288" s="72"/>
      <c r="BF288" s="66"/>
    </row>
    <row r="289" spans="1:58">
      <c r="A289" s="66"/>
      <c r="B289" s="66"/>
      <c r="C289" s="66"/>
      <c r="D289" s="66"/>
      <c r="E289" s="66"/>
      <c r="F289" s="66"/>
      <c r="G289" s="66"/>
      <c r="H289" s="66"/>
      <c r="I289" s="66"/>
      <c r="J289" s="66"/>
      <c r="K289" s="66"/>
      <c r="L289" s="66"/>
      <c r="M289" s="66"/>
      <c r="N289" s="66"/>
      <c r="O289" s="66"/>
      <c r="P289" s="66"/>
      <c r="Q289" s="87"/>
      <c r="R289" s="87"/>
      <c r="S289" s="87"/>
      <c r="T289" s="87"/>
      <c r="U289" s="87"/>
      <c r="V289" s="87"/>
      <c r="W289" s="67"/>
      <c r="X289" s="85" t="str">
        <f t="shared" si="49"/>
        <v>Tidak ada faktor rentan</v>
      </c>
      <c r="Y289" s="85" t="str">
        <f t="shared" si="50"/>
        <v>Tidak Ada Faktor Rentan</v>
      </c>
      <c r="Z289" s="86" t="str">
        <f t="shared" si="51"/>
        <v/>
      </c>
      <c r="AA289" s="86">
        <f t="shared" si="52"/>
        <v>0</v>
      </c>
      <c r="AB289" s="86" t="str">
        <f t="shared" si="45"/>
        <v/>
      </c>
      <c r="AC289" s="68"/>
      <c r="AD289" s="68"/>
      <c r="AE289" s="68"/>
      <c r="AF289" s="68"/>
      <c r="AG289" s="68"/>
      <c r="AH289" s="68"/>
      <c r="AI289" s="68"/>
      <c r="AJ289" s="68"/>
      <c r="AK289" s="68"/>
      <c r="AL289" s="68"/>
      <c r="AM289" s="68"/>
      <c r="AN289" s="68" t="str">
        <f t="shared" si="46"/>
        <v>Tidak ada risiko khusus</v>
      </c>
      <c r="AO289" s="68" t="str">
        <f t="shared" si="47"/>
        <v>Tidak Ada Risiko Khusus</v>
      </c>
      <c r="AP289" s="68"/>
      <c r="AQ289" s="71" t="str">
        <f t="shared" si="53"/>
        <v/>
      </c>
      <c r="AR289" s="71">
        <f t="shared" si="55"/>
        <v>0</v>
      </c>
      <c r="AS289" s="71" t="str">
        <f t="shared" si="48"/>
        <v/>
      </c>
      <c r="AT289" s="69" t="str">
        <f t="shared" si="54"/>
        <v>Belum Dapat Ditentukan</v>
      </c>
      <c r="AU289" s="66"/>
      <c r="AV289" s="66"/>
      <c r="AW289" s="66"/>
      <c r="AX289" s="66"/>
      <c r="AY289" s="66"/>
      <c r="AZ289" s="66"/>
      <c r="BA289" s="66"/>
      <c r="BB289" s="72"/>
      <c r="BC289" s="73"/>
      <c r="BD289" s="66"/>
      <c r="BE289" s="72"/>
      <c r="BF289" s="66"/>
    </row>
    <row r="290" spans="1:58">
      <c r="A290" s="66"/>
      <c r="B290" s="66"/>
      <c r="C290" s="66"/>
      <c r="D290" s="66"/>
      <c r="E290" s="66"/>
      <c r="F290" s="66"/>
      <c r="G290" s="66"/>
      <c r="H290" s="66"/>
      <c r="I290" s="66"/>
      <c r="J290" s="66"/>
      <c r="K290" s="66"/>
      <c r="L290" s="66"/>
      <c r="M290" s="66"/>
      <c r="N290" s="66"/>
      <c r="O290" s="66"/>
      <c r="P290" s="66"/>
      <c r="Q290" s="87"/>
      <c r="R290" s="87"/>
      <c r="S290" s="87"/>
      <c r="T290" s="87"/>
      <c r="U290" s="87"/>
      <c r="V290" s="87"/>
      <c r="W290" s="67"/>
      <c r="X290" s="85" t="str">
        <f t="shared" si="49"/>
        <v>Tidak ada faktor rentan</v>
      </c>
      <c r="Y290" s="85" t="str">
        <f t="shared" si="50"/>
        <v>Tidak Ada Faktor Rentan</v>
      </c>
      <c r="Z290" s="86" t="str">
        <f t="shared" si="51"/>
        <v/>
      </c>
      <c r="AA290" s="86">
        <f t="shared" si="52"/>
        <v>0</v>
      </c>
      <c r="AB290" s="86" t="str">
        <f t="shared" si="45"/>
        <v/>
      </c>
      <c r="AC290" s="68"/>
      <c r="AD290" s="68"/>
      <c r="AE290" s="68"/>
      <c r="AF290" s="68"/>
      <c r="AG290" s="68"/>
      <c r="AH290" s="68"/>
      <c r="AI290" s="68"/>
      <c r="AJ290" s="68"/>
      <c r="AK290" s="68"/>
      <c r="AL290" s="68"/>
      <c r="AM290" s="68"/>
      <c r="AN290" s="68" t="str">
        <f t="shared" si="46"/>
        <v>Tidak ada risiko khusus</v>
      </c>
      <c r="AO290" s="68" t="str">
        <f t="shared" si="47"/>
        <v>Tidak Ada Risiko Khusus</v>
      </c>
      <c r="AP290" s="68"/>
      <c r="AQ290" s="71" t="str">
        <f t="shared" si="53"/>
        <v/>
      </c>
      <c r="AR290" s="71">
        <f t="shared" si="55"/>
        <v>0</v>
      </c>
      <c r="AS290" s="71" t="str">
        <f t="shared" si="48"/>
        <v/>
      </c>
      <c r="AT290" s="69" t="str">
        <f t="shared" si="54"/>
        <v>Belum Dapat Ditentukan</v>
      </c>
      <c r="AU290" s="66"/>
      <c r="AV290" s="66"/>
      <c r="AW290" s="66"/>
      <c r="AX290" s="66"/>
      <c r="AY290" s="66"/>
      <c r="AZ290" s="66"/>
      <c r="BA290" s="66"/>
      <c r="BB290" s="72"/>
      <c r="BC290" s="73"/>
      <c r="BD290" s="66"/>
      <c r="BE290" s="72"/>
      <c r="BF290" s="66"/>
    </row>
    <row r="291" spans="1:58">
      <c r="A291" s="66"/>
      <c r="B291" s="66"/>
      <c r="C291" s="66"/>
      <c r="D291" s="66"/>
      <c r="E291" s="66"/>
      <c r="F291" s="66"/>
      <c r="G291" s="66"/>
      <c r="H291" s="66"/>
      <c r="I291" s="66"/>
      <c r="J291" s="66"/>
      <c r="K291" s="66"/>
      <c r="L291" s="66"/>
      <c r="M291" s="66"/>
      <c r="N291" s="66"/>
      <c r="O291" s="66"/>
      <c r="P291" s="66"/>
      <c r="Q291" s="87"/>
      <c r="R291" s="87"/>
      <c r="S291" s="87"/>
      <c r="T291" s="87"/>
      <c r="U291" s="87"/>
      <c r="V291" s="87"/>
      <c r="W291" s="67"/>
      <c r="X291" s="85" t="str">
        <f t="shared" si="49"/>
        <v>Tidak ada faktor rentan</v>
      </c>
      <c r="Y291" s="85" t="str">
        <f t="shared" si="50"/>
        <v>Tidak Ada Faktor Rentan</v>
      </c>
      <c r="Z291" s="86" t="str">
        <f t="shared" si="51"/>
        <v/>
      </c>
      <c r="AA291" s="86">
        <f t="shared" si="52"/>
        <v>0</v>
      </c>
      <c r="AB291" s="86" t="str">
        <f t="shared" si="45"/>
        <v/>
      </c>
      <c r="AC291" s="68"/>
      <c r="AD291" s="68"/>
      <c r="AE291" s="68"/>
      <c r="AF291" s="68"/>
      <c r="AG291" s="68"/>
      <c r="AH291" s="68"/>
      <c r="AI291" s="68"/>
      <c r="AJ291" s="68"/>
      <c r="AK291" s="68"/>
      <c r="AL291" s="68"/>
      <c r="AM291" s="68"/>
      <c r="AN291" s="68" t="str">
        <f t="shared" si="46"/>
        <v>Tidak ada risiko khusus</v>
      </c>
      <c r="AO291" s="68" t="str">
        <f t="shared" si="47"/>
        <v>Tidak Ada Risiko Khusus</v>
      </c>
      <c r="AP291" s="68"/>
      <c r="AQ291" s="71" t="str">
        <f t="shared" si="53"/>
        <v/>
      </c>
      <c r="AR291" s="71">
        <f t="shared" si="55"/>
        <v>0</v>
      </c>
      <c r="AS291" s="71" t="str">
        <f t="shared" si="48"/>
        <v/>
      </c>
      <c r="AT291" s="69" t="str">
        <f t="shared" si="54"/>
        <v>Belum Dapat Ditentukan</v>
      </c>
      <c r="AU291" s="66"/>
      <c r="AV291" s="66"/>
      <c r="AW291" s="66"/>
      <c r="AX291" s="66"/>
      <c r="AY291" s="66"/>
      <c r="AZ291" s="66"/>
      <c r="BA291" s="66"/>
      <c r="BB291" s="72"/>
      <c r="BC291" s="73"/>
      <c r="BD291" s="66"/>
      <c r="BE291" s="72"/>
      <c r="BF291" s="66"/>
    </row>
    <row r="292" spans="1:58">
      <c r="A292" s="66"/>
      <c r="B292" s="66"/>
      <c r="C292" s="66"/>
      <c r="D292" s="66"/>
      <c r="E292" s="66"/>
      <c r="F292" s="66"/>
      <c r="G292" s="66"/>
      <c r="H292" s="66"/>
      <c r="I292" s="66"/>
      <c r="J292" s="66"/>
      <c r="K292" s="66"/>
      <c r="L292" s="66"/>
      <c r="M292" s="66"/>
      <c r="N292" s="66"/>
      <c r="O292" s="66"/>
      <c r="P292" s="66"/>
      <c r="Q292" s="87"/>
      <c r="R292" s="87"/>
      <c r="S292" s="87"/>
      <c r="T292" s="87"/>
      <c r="U292" s="87"/>
      <c r="V292" s="87"/>
      <c r="W292" s="67"/>
      <c r="X292" s="85" t="str">
        <f t="shared" si="49"/>
        <v>Tidak ada faktor rentan</v>
      </c>
      <c r="Y292" s="85" t="str">
        <f t="shared" si="50"/>
        <v>Tidak Ada Faktor Rentan</v>
      </c>
      <c r="Z292" s="86" t="str">
        <f t="shared" si="51"/>
        <v/>
      </c>
      <c r="AA292" s="86">
        <f t="shared" si="52"/>
        <v>0</v>
      </c>
      <c r="AB292" s="86" t="str">
        <f t="shared" si="45"/>
        <v/>
      </c>
      <c r="AC292" s="68"/>
      <c r="AD292" s="68"/>
      <c r="AE292" s="68"/>
      <c r="AF292" s="68"/>
      <c r="AG292" s="68"/>
      <c r="AH292" s="68"/>
      <c r="AI292" s="68"/>
      <c r="AJ292" s="68"/>
      <c r="AK292" s="68"/>
      <c r="AL292" s="68"/>
      <c r="AM292" s="68"/>
      <c r="AN292" s="68" t="str">
        <f t="shared" si="46"/>
        <v>Tidak ada risiko khusus</v>
      </c>
      <c r="AO292" s="68" t="str">
        <f t="shared" si="47"/>
        <v>Tidak Ada Risiko Khusus</v>
      </c>
      <c r="AP292" s="68"/>
      <c r="AQ292" s="71" t="str">
        <f t="shared" si="53"/>
        <v/>
      </c>
      <c r="AR292" s="71">
        <f t="shared" si="55"/>
        <v>0</v>
      </c>
      <c r="AS292" s="71" t="str">
        <f t="shared" si="48"/>
        <v/>
      </c>
      <c r="AT292" s="69" t="str">
        <f t="shared" si="54"/>
        <v>Belum Dapat Ditentukan</v>
      </c>
      <c r="AU292" s="66"/>
      <c r="AV292" s="66"/>
      <c r="AW292" s="66"/>
      <c r="AX292" s="66"/>
      <c r="AY292" s="66"/>
      <c r="AZ292" s="66"/>
      <c r="BA292" s="66"/>
      <c r="BB292" s="72"/>
      <c r="BC292" s="73"/>
      <c r="BD292" s="66"/>
      <c r="BE292" s="72"/>
      <c r="BF292" s="66"/>
    </row>
    <row r="293" spans="1:58">
      <c r="A293" s="66"/>
      <c r="B293" s="66"/>
      <c r="C293" s="66"/>
      <c r="D293" s="66"/>
      <c r="E293" s="66"/>
      <c r="F293" s="66"/>
      <c r="G293" s="66"/>
      <c r="H293" s="66"/>
      <c r="I293" s="66"/>
      <c r="J293" s="66"/>
      <c r="K293" s="66"/>
      <c r="L293" s="66"/>
      <c r="M293" s="66"/>
      <c r="N293" s="66"/>
      <c r="O293" s="66"/>
      <c r="P293" s="66"/>
      <c r="Q293" s="87"/>
      <c r="R293" s="87"/>
      <c r="S293" s="87"/>
      <c r="T293" s="87"/>
      <c r="U293" s="87"/>
      <c r="V293" s="87"/>
      <c r="W293" s="67"/>
      <c r="X293" s="85" t="str">
        <f t="shared" si="49"/>
        <v>Tidak ada faktor rentan</v>
      </c>
      <c r="Y293" s="85" t="str">
        <f t="shared" si="50"/>
        <v>Tidak Ada Faktor Rentan</v>
      </c>
      <c r="Z293" s="86" t="str">
        <f t="shared" si="51"/>
        <v/>
      </c>
      <c r="AA293" s="86">
        <f t="shared" si="52"/>
        <v>0</v>
      </c>
      <c r="AB293" s="86" t="str">
        <f t="shared" si="45"/>
        <v/>
      </c>
      <c r="AC293" s="68"/>
      <c r="AD293" s="68"/>
      <c r="AE293" s="68"/>
      <c r="AF293" s="68"/>
      <c r="AG293" s="68"/>
      <c r="AH293" s="68"/>
      <c r="AI293" s="68"/>
      <c r="AJ293" s="68"/>
      <c r="AK293" s="68"/>
      <c r="AL293" s="68"/>
      <c r="AM293" s="68"/>
      <c r="AN293" s="68" t="str">
        <f t="shared" si="46"/>
        <v>Tidak ada risiko khusus</v>
      </c>
      <c r="AO293" s="68" t="str">
        <f t="shared" si="47"/>
        <v>Tidak Ada Risiko Khusus</v>
      </c>
      <c r="AP293" s="68"/>
      <c r="AQ293" s="71" t="str">
        <f t="shared" si="53"/>
        <v/>
      </c>
      <c r="AR293" s="71">
        <f t="shared" si="55"/>
        <v>0</v>
      </c>
      <c r="AS293" s="71" t="str">
        <f t="shared" si="48"/>
        <v/>
      </c>
      <c r="AT293" s="69" t="str">
        <f t="shared" si="54"/>
        <v>Belum Dapat Ditentukan</v>
      </c>
      <c r="AU293" s="66"/>
      <c r="AV293" s="66"/>
      <c r="AW293" s="66"/>
      <c r="AX293" s="66"/>
      <c r="AY293" s="66"/>
      <c r="AZ293" s="66"/>
      <c r="BA293" s="66"/>
      <c r="BB293" s="72"/>
      <c r="BC293" s="73"/>
      <c r="BD293" s="66"/>
      <c r="BE293" s="72"/>
      <c r="BF293" s="66"/>
    </row>
    <row r="294" spans="1:58">
      <c r="A294" s="66"/>
      <c r="B294" s="66"/>
      <c r="C294" s="66"/>
      <c r="D294" s="66"/>
      <c r="E294" s="66"/>
      <c r="F294" s="66"/>
      <c r="G294" s="66"/>
      <c r="H294" s="66"/>
      <c r="I294" s="66"/>
      <c r="J294" s="66"/>
      <c r="K294" s="66"/>
      <c r="L294" s="66"/>
      <c r="M294" s="66"/>
      <c r="N294" s="66"/>
      <c r="O294" s="66"/>
      <c r="P294" s="66"/>
      <c r="Q294" s="87"/>
      <c r="R294" s="87"/>
      <c r="S294" s="87"/>
      <c r="T294" s="87"/>
      <c r="U294" s="87"/>
      <c r="V294" s="87"/>
      <c r="W294" s="67"/>
      <c r="X294" s="85" t="str">
        <f t="shared" si="49"/>
        <v>Tidak ada faktor rentan</v>
      </c>
      <c r="Y294" s="85" t="str">
        <f t="shared" si="50"/>
        <v>Tidak Ada Faktor Rentan</v>
      </c>
      <c r="Z294" s="86" t="str">
        <f t="shared" si="51"/>
        <v/>
      </c>
      <c r="AA294" s="86">
        <f t="shared" si="52"/>
        <v>0</v>
      </c>
      <c r="AB294" s="86" t="str">
        <f t="shared" si="45"/>
        <v/>
      </c>
      <c r="AC294" s="68"/>
      <c r="AD294" s="68"/>
      <c r="AE294" s="68"/>
      <c r="AF294" s="68"/>
      <c r="AG294" s="68"/>
      <c r="AH294" s="68"/>
      <c r="AI294" s="68"/>
      <c r="AJ294" s="68"/>
      <c r="AK294" s="68"/>
      <c r="AL294" s="68"/>
      <c r="AM294" s="68"/>
      <c r="AN294" s="68" t="str">
        <f t="shared" si="46"/>
        <v>Tidak ada risiko khusus</v>
      </c>
      <c r="AO294" s="68" t="str">
        <f t="shared" si="47"/>
        <v>Tidak Ada Risiko Khusus</v>
      </c>
      <c r="AP294" s="68"/>
      <c r="AQ294" s="71" t="str">
        <f t="shared" si="53"/>
        <v/>
      </c>
      <c r="AR294" s="71">
        <f t="shared" si="55"/>
        <v>0</v>
      </c>
      <c r="AS294" s="71" t="str">
        <f t="shared" si="48"/>
        <v/>
      </c>
      <c r="AT294" s="69" t="str">
        <f t="shared" si="54"/>
        <v>Belum Dapat Ditentukan</v>
      </c>
      <c r="AU294" s="66"/>
      <c r="AV294" s="66"/>
      <c r="AW294" s="66"/>
      <c r="AX294" s="66"/>
      <c r="AY294" s="66"/>
      <c r="AZ294" s="66"/>
      <c r="BA294" s="66"/>
      <c r="BB294" s="72"/>
      <c r="BC294" s="73"/>
      <c r="BD294" s="66"/>
      <c r="BE294" s="72"/>
      <c r="BF294" s="66"/>
    </row>
    <row r="295" spans="1:58">
      <c r="A295" s="66"/>
      <c r="B295" s="66"/>
      <c r="C295" s="66"/>
      <c r="D295" s="66"/>
      <c r="E295" s="66"/>
      <c r="F295" s="66"/>
      <c r="G295" s="66"/>
      <c r="H295" s="66"/>
      <c r="I295" s="66"/>
      <c r="J295" s="66"/>
      <c r="K295" s="66"/>
      <c r="L295" s="66"/>
      <c r="M295" s="66"/>
      <c r="N295" s="66"/>
      <c r="O295" s="66"/>
      <c r="P295" s="66"/>
      <c r="Q295" s="87"/>
      <c r="R295" s="87"/>
      <c r="S295" s="87"/>
      <c r="T295" s="87"/>
      <c r="U295" s="87"/>
      <c r="V295" s="87"/>
      <c r="W295" s="67"/>
      <c r="X295" s="85" t="str">
        <f t="shared" si="49"/>
        <v>Tidak ada faktor rentan</v>
      </c>
      <c r="Y295" s="85" t="str">
        <f t="shared" si="50"/>
        <v>Tidak Ada Faktor Rentan</v>
      </c>
      <c r="Z295" s="86" t="str">
        <f t="shared" si="51"/>
        <v/>
      </c>
      <c r="AA295" s="86">
        <f t="shared" si="52"/>
        <v>0</v>
      </c>
      <c r="AB295" s="86" t="str">
        <f t="shared" ref="AB295:AB299" si="56">IF(OR(Z295="",AA295=""),"",Z295+AA295)</f>
        <v/>
      </c>
      <c r="AC295" s="68"/>
      <c r="AD295" s="68"/>
      <c r="AE295" s="68"/>
      <c r="AF295" s="68"/>
      <c r="AG295" s="68"/>
      <c r="AH295" s="68"/>
      <c r="AI295" s="68"/>
      <c r="AJ295" s="68"/>
      <c r="AK295" s="68"/>
      <c r="AL295" s="68"/>
      <c r="AM295" s="68"/>
      <c r="AN295" s="68" t="str">
        <f t="shared" ref="AN295:AN299" si="57">IF(AND(COUNTIF(AC295:AK295,"Ya")=0,AL295=""),IF(COUNTIF(AC295:AK295,"Belum Dinilai")&gt;0,"Belum Dinilai","Tidak ada risiko khusus"),IF(AC295="Ya","Bangunan berpotensi roboh; ","")&amp;IF(AD295="Ya","Bekas kebakaran dan tidak aman dihuni; ","")&amp;IF(AE295="Ya","Atap atau dinding utama hampir runtuh; ","")&amp;IF(AF295="Ya","Genangan yang membahayakan; ","")&amp;IF(AG295="Ya","Struktur rumah tidak stabil; ","")&amp;IF(AH295="Ya","Instalasi listrik berbahaya; ","")&amp;IF(AI295="Ya","Komponen bangunan lepas atau lapuk; ","")&amp;IF(AJ295="Ya","Akses keluar atau evakuasi terbatas; ","")&amp;IF(AK295="Ya","Lokasi rawan bencana; ","")&amp;IF(AL295&lt;&gt;"","Lainnya: "&amp;AL295,""))</f>
        <v>Tidak ada risiko khusus</v>
      </c>
      <c r="AO295" s="68" t="str">
        <f t="shared" ref="AO295:AO299" si="58">IF(AR295="","Belum Dinilai",IF(AR295=10,"Risiko Tinggi/Darurat",IF(AR295=5,"Risiko Sedang","Tidak Ada Risiko Khusus")))</f>
        <v>Tidak Ada Risiko Khusus</v>
      </c>
      <c r="AP295" s="68"/>
      <c r="AQ295" s="71" t="str">
        <f t="shared" si="53"/>
        <v/>
      </c>
      <c r="AR295" s="71">
        <f t="shared" si="55"/>
        <v>0</v>
      </c>
      <c r="AS295" s="71" t="str">
        <f t="shared" ref="AS295:AS299" si="59">IF(OR(AQ295="",AB295="",AR295=""),"",AQ295+AB295+AR295)</f>
        <v/>
      </c>
      <c r="AT295" s="69" t="str">
        <f t="shared" si="54"/>
        <v>Belum Dapat Ditentukan</v>
      </c>
      <c r="AU295" s="66"/>
      <c r="AV295" s="66"/>
      <c r="AW295" s="66"/>
      <c r="AX295" s="66"/>
      <c r="AY295" s="66"/>
      <c r="AZ295" s="66"/>
      <c r="BA295" s="66"/>
      <c r="BB295" s="72"/>
      <c r="BC295" s="73"/>
      <c r="BD295" s="66"/>
      <c r="BE295" s="72"/>
      <c r="BF295" s="66"/>
    </row>
    <row r="296" spans="1:58">
      <c r="A296" s="66"/>
      <c r="B296" s="66"/>
      <c r="C296" s="66"/>
      <c r="D296" s="66"/>
      <c r="E296" s="66"/>
      <c r="F296" s="66"/>
      <c r="G296" s="66"/>
      <c r="H296" s="66"/>
      <c r="I296" s="66"/>
      <c r="J296" s="66"/>
      <c r="K296" s="66"/>
      <c r="L296" s="66"/>
      <c r="M296" s="66"/>
      <c r="N296" s="66"/>
      <c r="O296" s="66"/>
      <c r="P296" s="66"/>
      <c r="Q296" s="87"/>
      <c r="R296" s="87"/>
      <c r="S296" s="87"/>
      <c r="T296" s="87"/>
      <c r="U296" s="87"/>
      <c r="V296" s="87"/>
      <c r="W296" s="67"/>
      <c r="X296" s="85" t="str">
        <f t="shared" si="49"/>
        <v>Tidak ada faktor rentan</v>
      </c>
      <c r="Y296" s="85" t="str">
        <f t="shared" si="50"/>
        <v>Tidak Ada Faktor Rentan</v>
      </c>
      <c r="Z296" s="86" t="str">
        <f t="shared" si="51"/>
        <v/>
      </c>
      <c r="AA296" s="86">
        <f t="shared" si="52"/>
        <v>0</v>
      </c>
      <c r="AB296" s="86" t="str">
        <f t="shared" si="56"/>
        <v/>
      </c>
      <c r="AC296" s="68"/>
      <c r="AD296" s="68"/>
      <c r="AE296" s="68"/>
      <c r="AF296" s="68"/>
      <c r="AG296" s="68"/>
      <c r="AH296" s="68"/>
      <c r="AI296" s="68"/>
      <c r="AJ296" s="68"/>
      <c r="AK296" s="68"/>
      <c r="AL296" s="68"/>
      <c r="AM296" s="68"/>
      <c r="AN296" s="68" t="str">
        <f t="shared" si="57"/>
        <v>Tidak ada risiko khusus</v>
      </c>
      <c r="AO296" s="68" t="str">
        <f t="shared" si="58"/>
        <v>Tidak Ada Risiko Khusus</v>
      </c>
      <c r="AP296" s="68"/>
      <c r="AQ296" s="71" t="str">
        <f t="shared" si="53"/>
        <v/>
      </c>
      <c r="AR296" s="71">
        <f t="shared" si="55"/>
        <v>0</v>
      </c>
      <c r="AS296" s="71" t="str">
        <f t="shared" si="59"/>
        <v/>
      </c>
      <c r="AT296" s="69" t="str">
        <f t="shared" si="54"/>
        <v>Belum Dapat Ditentukan</v>
      </c>
      <c r="AU296" s="66"/>
      <c r="AV296" s="66"/>
      <c r="AW296" s="66"/>
      <c r="AX296" s="66"/>
      <c r="AY296" s="66"/>
      <c r="AZ296" s="66"/>
      <c r="BA296" s="66"/>
      <c r="BB296" s="72"/>
      <c r="BC296" s="73"/>
      <c r="BD296" s="66"/>
      <c r="BE296" s="72"/>
      <c r="BF296" s="66"/>
    </row>
    <row r="297" spans="1:58">
      <c r="A297" s="66"/>
      <c r="B297" s="66"/>
      <c r="C297" s="66"/>
      <c r="D297" s="66"/>
      <c r="E297" s="66"/>
      <c r="F297" s="66"/>
      <c r="G297" s="66"/>
      <c r="H297" s="66"/>
      <c r="I297" s="66"/>
      <c r="J297" s="66"/>
      <c r="K297" s="66"/>
      <c r="L297" s="66"/>
      <c r="M297" s="66"/>
      <c r="N297" s="66"/>
      <c r="O297" s="66"/>
      <c r="P297" s="66"/>
      <c r="Q297" s="87"/>
      <c r="R297" s="87"/>
      <c r="S297" s="87"/>
      <c r="T297" s="87"/>
      <c r="U297" s="87"/>
      <c r="V297" s="87"/>
      <c r="W297" s="67"/>
      <c r="X297" s="85" t="str">
        <f t="shared" si="49"/>
        <v>Tidak ada faktor rentan</v>
      </c>
      <c r="Y297" s="85" t="str">
        <f t="shared" si="50"/>
        <v>Tidak Ada Faktor Rentan</v>
      </c>
      <c r="Z297" s="86" t="str">
        <f t="shared" si="51"/>
        <v/>
      </c>
      <c r="AA297" s="86">
        <f t="shared" si="52"/>
        <v>0</v>
      </c>
      <c r="AB297" s="86" t="str">
        <f t="shared" si="56"/>
        <v/>
      </c>
      <c r="AC297" s="68"/>
      <c r="AD297" s="68"/>
      <c r="AE297" s="68"/>
      <c r="AF297" s="68"/>
      <c r="AG297" s="68"/>
      <c r="AH297" s="68"/>
      <c r="AI297" s="68"/>
      <c r="AJ297" s="68"/>
      <c r="AK297" s="68"/>
      <c r="AL297" s="68"/>
      <c r="AM297" s="68"/>
      <c r="AN297" s="68" t="str">
        <f t="shared" si="57"/>
        <v>Tidak ada risiko khusus</v>
      </c>
      <c r="AO297" s="68" t="str">
        <f t="shared" si="58"/>
        <v>Tidak Ada Risiko Khusus</v>
      </c>
      <c r="AP297" s="68"/>
      <c r="AQ297" s="71" t="str">
        <f t="shared" si="53"/>
        <v/>
      </c>
      <c r="AR297" s="71">
        <f t="shared" si="55"/>
        <v>0</v>
      </c>
      <c r="AS297" s="71" t="str">
        <f t="shared" si="59"/>
        <v/>
      </c>
      <c r="AT297" s="69" t="str">
        <f t="shared" si="54"/>
        <v>Belum Dapat Ditentukan</v>
      </c>
      <c r="AU297" s="66"/>
      <c r="AV297" s="66"/>
      <c r="AW297" s="66"/>
      <c r="AX297" s="66"/>
      <c r="AY297" s="66"/>
      <c r="AZ297" s="66"/>
      <c r="BA297" s="66"/>
      <c r="BB297" s="72"/>
      <c r="BC297" s="73"/>
      <c r="BD297" s="66"/>
      <c r="BE297" s="72"/>
      <c r="BF297" s="66"/>
    </row>
    <row r="298" spans="1:58">
      <c r="A298" s="66"/>
      <c r="B298" s="66"/>
      <c r="C298" s="66"/>
      <c r="D298" s="66"/>
      <c r="E298" s="66"/>
      <c r="F298" s="66"/>
      <c r="G298" s="66"/>
      <c r="H298" s="66"/>
      <c r="I298" s="66"/>
      <c r="J298" s="66"/>
      <c r="K298" s="66"/>
      <c r="L298" s="66"/>
      <c r="M298" s="66"/>
      <c r="N298" s="66"/>
      <c r="O298" s="66"/>
      <c r="P298" s="66"/>
      <c r="Q298" s="87"/>
      <c r="R298" s="87"/>
      <c r="S298" s="87"/>
      <c r="T298" s="87"/>
      <c r="U298" s="87"/>
      <c r="V298" s="87"/>
      <c r="W298" s="67"/>
      <c r="X298" s="85" t="str">
        <f t="shared" si="49"/>
        <v>Tidak ada faktor rentan</v>
      </c>
      <c r="Y298" s="85" t="str">
        <f t="shared" si="50"/>
        <v>Tidak Ada Faktor Rentan</v>
      </c>
      <c r="Z298" s="86" t="str">
        <f t="shared" si="51"/>
        <v/>
      </c>
      <c r="AA298" s="86">
        <f t="shared" si="52"/>
        <v>0</v>
      </c>
      <c r="AB298" s="86" t="str">
        <f t="shared" si="56"/>
        <v/>
      </c>
      <c r="AC298" s="68"/>
      <c r="AD298" s="68"/>
      <c r="AE298" s="68"/>
      <c r="AF298" s="68"/>
      <c r="AG298" s="68"/>
      <c r="AH298" s="68"/>
      <c r="AI298" s="68"/>
      <c r="AJ298" s="68"/>
      <c r="AK298" s="68"/>
      <c r="AL298" s="68"/>
      <c r="AM298" s="68"/>
      <c r="AN298" s="68" t="str">
        <f t="shared" si="57"/>
        <v>Tidak ada risiko khusus</v>
      </c>
      <c r="AO298" s="68" t="str">
        <f t="shared" si="58"/>
        <v>Tidak Ada Risiko Khusus</v>
      </c>
      <c r="AP298" s="68"/>
      <c r="AQ298" s="71" t="str">
        <f t="shared" si="53"/>
        <v/>
      </c>
      <c r="AR298" s="71">
        <f t="shared" si="55"/>
        <v>0</v>
      </c>
      <c r="AS298" s="71" t="str">
        <f t="shared" si="59"/>
        <v/>
      </c>
      <c r="AT298" s="69" t="str">
        <f t="shared" si="54"/>
        <v>Belum Dapat Ditentukan</v>
      </c>
      <c r="AU298" s="66"/>
      <c r="AV298" s="66"/>
      <c r="AW298" s="66"/>
      <c r="AX298" s="66"/>
      <c r="AY298" s="66"/>
      <c r="AZ298" s="66"/>
      <c r="BA298" s="66"/>
      <c r="BB298" s="72"/>
      <c r="BC298" s="73"/>
      <c r="BD298" s="66"/>
      <c r="BE298" s="72"/>
      <c r="BF298" s="66"/>
    </row>
    <row r="299" spans="1:58">
      <c r="A299" s="66"/>
      <c r="B299" s="66"/>
      <c r="C299" s="66"/>
      <c r="D299" s="66"/>
      <c r="E299" s="66"/>
      <c r="F299" s="66"/>
      <c r="G299" s="66"/>
      <c r="H299" s="66"/>
      <c r="I299" s="66"/>
      <c r="J299" s="66"/>
      <c r="K299" s="66"/>
      <c r="L299" s="66"/>
      <c r="M299" s="66"/>
      <c r="N299" s="66"/>
      <c r="O299" s="66"/>
      <c r="P299" s="66"/>
      <c r="Q299" s="87"/>
      <c r="R299" s="87"/>
      <c r="S299" s="87"/>
      <c r="T299" s="87"/>
      <c r="U299" s="87"/>
      <c r="V299" s="87"/>
      <c r="W299" s="67"/>
      <c r="X299" s="85" t="str">
        <f t="shared" si="49"/>
        <v>Tidak ada faktor rentan</v>
      </c>
      <c r="Y299" s="85" t="str">
        <f t="shared" si="50"/>
        <v>Tidak Ada Faktor Rentan</v>
      </c>
      <c r="Z299" s="86" t="str">
        <f t="shared" si="51"/>
        <v/>
      </c>
      <c r="AA299" s="86">
        <f t="shared" si="52"/>
        <v>0</v>
      </c>
      <c r="AB299" s="86" t="str">
        <f t="shared" si="56"/>
        <v/>
      </c>
      <c r="AC299" s="68"/>
      <c r="AD299" s="68"/>
      <c r="AE299" s="68"/>
      <c r="AF299" s="68"/>
      <c r="AG299" s="68"/>
      <c r="AH299" s="68"/>
      <c r="AI299" s="68"/>
      <c r="AJ299" s="68"/>
      <c r="AK299" s="68"/>
      <c r="AL299" s="68"/>
      <c r="AM299" s="68"/>
      <c r="AN299" s="68" t="str">
        <f t="shared" si="57"/>
        <v>Tidak ada risiko khusus</v>
      </c>
      <c r="AO299" s="68" t="str">
        <f t="shared" si="58"/>
        <v>Tidak Ada Risiko Khusus</v>
      </c>
      <c r="AP299" s="68"/>
      <c r="AQ299" s="71" t="str">
        <f t="shared" si="53"/>
        <v/>
      </c>
      <c r="AR299" s="71">
        <f t="shared" si="55"/>
        <v>0</v>
      </c>
      <c r="AS299" s="71" t="str">
        <f t="shared" si="59"/>
        <v/>
      </c>
      <c r="AT299" s="69" t="str">
        <f t="shared" si="54"/>
        <v>Belum Dapat Ditentukan</v>
      </c>
      <c r="AU299" s="66"/>
      <c r="AV299" s="66"/>
      <c r="AW299" s="66"/>
      <c r="AX299" s="66"/>
      <c r="AY299" s="66"/>
      <c r="AZ299" s="66"/>
      <c r="BA299" s="66"/>
      <c r="BB299" s="72"/>
      <c r="BC299" s="73"/>
      <c r="BD299" s="66"/>
      <c r="BE299" s="72"/>
      <c r="BF299" s="66"/>
    </row>
  </sheetData>
  <mergeCells count="3">
    <mergeCell ref="A1:BF1"/>
    <mergeCell ref="A2:BF2"/>
    <mergeCell ref="A3:BF3"/>
  </mergeCells>
  <phoneticPr fontId="17" type="noConversion"/>
  <conditionalFormatting sqref="AS6:AS299">
    <cfRule type="dataBar" priority="18">
      <dataBar>
        <cfvo type="min"/>
        <cfvo type="max"/>
        <color rgb="FF175B72"/>
      </dataBar>
    </cfRule>
    <cfRule type="dataBar" priority="19">
      <dataBar>
        <cfvo type="min"/>
        <cfvo type="max"/>
        <color rgb="FF175B72"/>
      </dataBar>
      <extLst>
        <ext xmlns:x14="http://schemas.microsoft.com/office/spreadsheetml/2009/9/main" uri="{B025F937-C7B1-47D3-B67F-A62EFF666E3E}">
          <x14:id>{F9E022C4-3B22-B009-E329-60A807F0F2F5}</x14:id>
        </ext>
      </extLst>
    </cfRule>
  </conditionalFormatting>
  <dataValidations count="18">
    <dataValidation type="list" sqref="G6:G299" xr:uid="{00000000-0002-0000-0600-000000000000}">
      <formula1>$BH$2:$BH$9</formula1>
    </dataValidation>
    <dataValidation type="list" sqref="H6:H299" xr:uid="{00000000-0002-0000-0600-000001000000}">
      <formula1>$BI$2:$BI$5</formula1>
    </dataValidation>
    <dataValidation type="list" sqref="J6:J299" xr:uid="{00000000-0002-0000-0600-000002000000}">
      <formula1>$BJ$2:$BJ$5</formula1>
    </dataValidation>
    <dataValidation type="list" sqref="K6:K299" xr:uid="{00000000-0002-0000-0600-000003000000}">
      <formula1>$BK$2:$BK$11</formula1>
    </dataValidation>
    <dataValidation type="list" sqref="L6:L299" xr:uid="{00000000-0002-0000-0600-000004000000}">
      <formula1>$BL$2:$BL$7</formula1>
    </dataValidation>
    <dataValidation type="list" sqref="M6:M299" xr:uid="{00000000-0002-0000-0600-000005000000}">
      <formula1>$BM$2:$BM$12</formula1>
    </dataValidation>
    <dataValidation type="list" sqref="N6:N299" xr:uid="{00000000-0002-0000-0600-000006000000}">
      <formula1>$BN$2:$BN$7</formula1>
    </dataValidation>
    <dataValidation type="list" sqref="O6:O299" xr:uid="{00000000-0002-0000-0600-000007000000}">
      <formula1>$BO$2:$BO$10</formula1>
    </dataValidation>
    <dataValidation type="list" sqref="P6:P299" xr:uid="{00000000-0002-0000-0600-000008000000}">
      <formula1>$BP$2:$BP$7</formula1>
    </dataValidation>
    <dataValidation type="list" sqref="Q6:Q299" xr:uid="{00000000-0002-0000-0600-000009000000}">
      <formula1>$BQ$2:$BQ$5</formula1>
    </dataValidation>
    <dataValidation type="list" sqref="AC6:AK299 R6:V299" xr:uid="{00000000-0002-0000-0600-00000A000000}">
      <formula1>$BR$2:$BR$4</formula1>
    </dataValidation>
    <dataValidation type="list" sqref="AM6:AM299" xr:uid="{00000000-0002-0000-0600-000018000000}">
      <formula1>$BS$2:$BS$4</formula1>
    </dataValidation>
    <dataValidation type="list" sqref="AU6:AU299" xr:uid="{00000000-0002-0000-0600-000019000000}">
      <formula1>$BT$2:$BT$3</formula1>
    </dataValidation>
    <dataValidation type="list" sqref="AV6:AV299" xr:uid="{00000000-0002-0000-0600-00001A000000}">
      <formula1>$BU$2:$BU$3</formula1>
    </dataValidation>
    <dataValidation type="list" sqref="AW6:AW299" xr:uid="{00000000-0002-0000-0600-00001B000000}">
      <formula1>$BV$2:$BV$5</formula1>
    </dataValidation>
    <dataValidation type="list" sqref="AX6:AX299" xr:uid="{00000000-0002-0000-0600-00001C000000}">
      <formula1>$BW$2:$BW$9</formula1>
    </dataValidation>
    <dataValidation type="list" sqref="AZ6:AZ299" xr:uid="{00000000-0002-0000-0600-00001D000000}">
      <formula1>$BX$2:$BX$6</formula1>
    </dataValidation>
    <dataValidation type="list" sqref="BD6:BD299" xr:uid="{00000000-0002-0000-0600-00001E000000}">
      <formula1>$BY$2:$BY$6</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F9E022C4-3B22-B009-E329-60A807F0F2F5}">
            <x14:dataBar>
              <x14:cfvo type="min"/>
              <x14:cfvo type="max"/>
              <x14:negativeFillColor auto="1"/>
              <x14:axisColor auto="1"/>
            </x14:dataBar>
          </x14:cfRule>
          <xm:sqref>AS6:AS299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142" t="s">
        <v>874</v>
      </c>
      <c r="B1" s="142"/>
      <c r="C1" s="142"/>
      <c r="D1" s="142"/>
      <c r="E1" s="142"/>
      <c r="F1" s="142"/>
      <c r="G1" s="142"/>
      <c r="H1" s="142"/>
      <c r="I1" s="142"/>
      <c r="J1" s="142"/>
      <c r="K1" s="142"/>
      <c r="L1" s="142"/>
      <c r="M1" s="142"/>
      <c r="N1" s="142"/>
    </row>
    <row r="2" spans="1:14">
      <c r="A2" s="144" t="s">
        <v>875</v>
      </c>
      <c r="B2" s="144"/>
      <c r="C2" s="144"/>
      <c r="D2" s="144"/>
      <c r="E2" s="144"/>
      <c r="F2" s="144"/>
      <c r="G2" s="144"/>
      <c r="H2" s="144"/>
      <c r="I2" s="144"/>
      <c r="J2" s="144"/>
      <c r="K2" s="144"/>
      <c r="L2" s="144"/>
      <c r="M2" s="144"/>
      <c r="N2" s="144"/>
    </row>
    <row r="3" spans="1:14">
      <c r="A3" s="145" t="s">
        <v>847</v>
      </c>
      <c r="B3" s="145"/>
      <c r="C3" s="145"/>
      <c r="D3" s="145"/>
      <c r="E3" s="145"/>
      <c r="F3" s="145"/>
      <c r="G3" s="145"/>
      <c r="H3" s="145"/>
      <c r="I3" s="145"/>
      <c r="J3" s="145"/>
      <c r="K3" s="145"/>
      <c r="L3" s="145"/>
      <c r="M3" s="145"/>
      <c r="N3" s="14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957</v>
      </c>
      <c r="B6" s="57" t="s">
        <v>884</v>
      </c>
      <c r="C6" s="8" t="s">
        <v>885</v>
      </c>
      <c r="D6" s="17" t="s">
        <v>886</v>
      </c>
      <c r="E6" s="38" t="s">
        <v>854</v>
      </c>
      <c r="F6" s="4"/>
      <c r="G6" s="8" t="s">
        <v>887</v>
      </c>
      <c r="H6" s="8" t="s">
        <v>888</v>
      </c>
      <c r="I6" s="4"/>
      <c r="J6" s="17"/>
      <c r="K6" s="8"/>
      <c r="L6" s="8"/>
      <c r="M6" s="11"/>
      <c r="N6" s="32"/>
    </row>
    <row r="7" spans="1:14">
      <c r="A7" s="30" t="s">
        <v>958</v>
      </c>
      <c r="B7" s="57" t="s">
        <v>884</v>
      </c>
      <c r="C7" s="8" t="s">
        <v>885</v>
      </c>
      <c r="D7" s="18" t="s">
        <v>886</v>
      </c>
      <c r="E7" s="39" t="s">
        <v>858</v>
      </c>
      <c r="F7" s="5"/>
      <c r="G7" s="9" t="s">
        <v>887</v>
      </c>
      <c r="H7" s="9" t="s">
        <v>888</v>
      </c>
      <c r="I7" s="5"/>
      <c r="J7" s="18"/>
      <c r="K7" s="9"/>
      <c r="L7" s="9"/>
      <c r="M7" s="12"/>
      <c r="N7" s="33"/>
    </row>
    <row r="8" spans="1:14">
      <c r="A8" s="30" t="s">
        <v>959</v>
      </c>
      <c r="B8" s="57" t="s">
        <v>884</v>
      </c>
      <c r="C8" s="8" t="s">
        <v>885</v>
      </c>
      <c r="D8" s="18" t="s">
        <v>886</v>
      </c>
      <c r="E8" s="39" t="s">
        <v>859</v>
      </c>
      <c r="F8" s="5"/>
      <c r="G8" s="9" t="s">
        <v>887</v>
      </c>
      <c r="H8" s="9" t="s">
        <v>888</v>
      </c>
      <c r="I8" s="5"/>
      <c r="J8" s="18"/>
      <c r="K8" s="9"/>
      <c r="L8" s="9"/>
      <c r="M8" s="12"/>
      <c r="N8" s="33"/>
    </row>
    <row r="9" spans="1:14">
      <c r="A9" s="30" t="s">
        <v>960</v>
      </c>
      <c r="B9" s="57" t="s">
        <v>884</v>
      </c>
      <c r="C9" s="8" t="s">
        <v>885</v>
      </c>
      <c r="D9" s="18" t="s">
        <v>889</v>
      </c>
      <c r="E9" s="39" t="s">
        <v>854</v>
      </c>
      <c r="F9" s="5"/>
      <c r="G9" s="9" t="s">
        <v>890</v>
      </c>
      <c r="H9" s="9" t="s">
        <v>888</v>
      </c>
      <c r="I9" s="5"/>
      <c r="J9" s="18"/>
      <c r="K9" s="9"/>
      <c r="L9" s="9"/>
      <c r="M9" s="12"/>
      <c r="N9" s="33"/>
    </row>
    <row r="10" spans="1:14">
      <c r="A10" s="30" t="s">
        <v>961</v>
      </c>
      <c r="B10" s="57" t="s">
        <v>884</v>
      </c>
      <c r="C10" s="8" t="s">
        <v>885</v>
      </c>
      <c r="D10" s="18" t="s">
        <v>889</v>
      </c>
      <c r="E10" s="39" t="s">
        <v>858</v>
      </c>
      <c r="F10" s="5"/>
      <c r="G10" s="9" t="s">
        <v>890</v>
      </c>
      <c r="H10" s="9" t="s">
        <v>891</v>
      </c>
      <c r="I10" s="5"/>
      <c r="J10" s="18"/>
      <c r="K10" s="9"/>
      <c r="L10" s="9"/>
      <c r="M10" s="12"/>
      <c r="N10" s="33"/>
    </row>
    <row r="11" spans="1:14">
      <c r="A11" s="30" t="s">
        <v>962</v>
      </c>
      <c r="B11" s="57" t="s">
        <v>884</v>
      </c>
      <c r="C11" s="8" t="s">
        <v>885</v>
      </c>
      <c r="D11" s="18" t="s">
        <v>889</v>
      </c>
      <c r="E11" s="39" t="s">
        <v>859</v>
      </c>
      <c r="F11" s="5"/>
      <c r="G11" s="9" t="s">
        <v>890</v>
      </c>
      <c r="H11" s="9" t="s">
        <v>888</v>
      </c>
      <c r="I11" s="5"/>
      <c r="J11" s="18"/>
      <c r="K11" s="9"/>
      <c r="L11" s="9"/>
      <c r="M11" s="12"/>
      <c r="N11" s="33"/>
    </row>
    <row r="12" spans="1:14">
      <c r="A12" s="30" t="s">
        <v>963</v>
      </c>
      <c r="B12" s="57" t="s">
        <v>884</v>
      </c>
      <c r="C12" s="8" t="s">
        <v>885</v>
      </c>
      <c r="D12" s="18" t="s">
        <v>889</v>
      </c>
      <c r="E12" s="39" t="s">
        <v>861</v>
      </c>
      <c r="F12" s="5"/>
      <c r="G12" s="9" t="s">
        <v>890</v>
      </c>
      <c r="H12" s="9" t="s">
        <v>888</v>
      </c>
      <c r="I12" s="5"/>
      <c r="J12" s="18"/>
      <c r="K12" s="9"/>
      <c r="L12" s="9"/>
      <c r="M12" s="12"/>
      <c r="N12" s="33"/>
    </row>
    <row r="13" spans="1:14">
      <c r="A13" s="30" t="s">
        <v>964</v>
      </c>
      <c r="B13" s="57" t="s">
        <v>884</v>
      </c>
      <c r="C13" s="8" t="s">
        <v>885</v>
      </c>
      <c r="D13" s="18" t="s">
        <v>889</v>
      </c>
      <c r="E13" s="39" t="s">
        <v>862</v>
      </c>
      <c r="F13" s="5"/>
      <c r="G13" s="9" t="s">
        <v>887</v>
      </c>
      <c r="H13" s="9" t="s">
        <v>891</v>
      </c>
      <c r="I13" s="5"/>
      <c r="J13" s="18"/>
      <c r="K13" s="9"/>
      <c r="L13" s="9"/>
      <c r="M13" s="12"/>
      <c r="N13" s="33"/>
    </row>
    <row r="14" spans="1:14">
      <c r="A14" s="30" t="s">
        <v>965</v>
      </c>
      <c r="B14" s="57" t="s">
        <v>884</v>
      </c>
      <c r="C14" s="8" t="s">
        <v>885</v>
      </c>
      <c r="D14" s="18" t="s">
        <v>889</v>
      </c>
      <c r="E14" s="39" t="s">
        <v>863</v>
      </c>
      <c r="F14" s="5"/>
      <c r="G14" s="9" t="s">
        <v>890</v>
      </c>
      <c r="H14" s="9" t="s">
        <v>891</v>
      </c>
      <c r="I14" s="5"/>
      <c r="J14" s="18"/>
      <c r="K14" s="9"/>
      <c r="L14" s="9"/>
      <c r="M14" s="12"/>
      <c r="N14" s="33"/>
    </row>
    <row r="15" spans="1:14">
      <c r="A15" s="30" t="s">
        <v>966</v>
      </c>
      <c r="B15" s="57" t="s">
        <v>884</v>
      </c>
      <c r="C15" s="8" t="s">
        <v>885</v>
      </c>
      <c r="D15" s="18" t="s">
        <v>889</v>
      </c>
      <c r="E15" s="39" t="s">
        <v>864</v>
      </c>
      <c r="F15" s="5"/>
      <c r="G15" s="9" t="s">
        <v>890</v>
      </c>
      <c r="H15" s="9" t="s">
        <v>891</v>
      </c>
      <c r="I15" s="5"/>
      <c r="J15" s="18"/>
      <c r="K15" s="9"/>
      <c r="L15" s="9"/>
      <c r="M15" s="12"/>
      <c r="N15" s="33"/>
    </row>
    <row r="16" spans="1:14">
      <c r="A16" s="30" t="s">
        <v>967</v>
      </c>
      <c r="B16" s="57" t="s">
        <v>884</v>
      </c>
      <c r="C16" s="8" t="s">
        <v>885</v>
      </c>
      <c r="D16" s="18" t="s">
        <v>889</v>
      </c>
      <c r="E16" s="39" t="s">
        <v>865</v>
      </c>
      <c r="F16" s="5"/>
      <c r="G16" s="9" t="s">
        <v>890</v>
      </c>
      <c r="H16" s="9" t="s">
        <v>888</v>
      </c>
      <c r="I16" s="5"/>
      <c r="J16" s="18"/>
      <c r="K16" s="9"/>
      <c r="L16" s="9"/>
      <c r="M16" s="12"/>
      <c r="N16" s="33"/>
    </row>
    <row r="17" spans="1:14">
      <c r="A17" s="30" t="s">
        <v>968</v>
      </c>
      <c r="B17" s="57" t="s">
        <v>884</v>
      </c>
      <c r="C17" s="8" t="s">
        <v>885</v>
      </c>
      <c r="D17" s="18" t="s">
        <v>889</v>
      </c>
      <c r="E17" s="39" t="s">
        <v>892</v>
      </c>
      <c r="F17" s="5"/>
      <c r="G17" s="9" t="s">
        <v>887</v>
      </c>
      <c r="H17" s="9" t="s">
        <v>888</v>
      </c>
      <c r="I17" s="5"/>
      <c r="J17" s="18"/>
      <c r="K17" s="9"/>
      <c r="L17" s="9"/>
      <c r="M17" s="12"/>
      <c r="N17" s="33"/>
    </row>
    <row r="18" spans="1:14">
      <c r="A18" s="30" t="s">
        <v>969</v>
      </c>
      <c r="B18" s="57" t="s">
        <v>884</v>
      </c>
      <c r="C18" s="8" t="s">
        <v>885</v>
      </c>
      <c r="D18" s="18" t="s">
        <v>889</v>
      </c>
      <c r="E18" s="39" t="s">
        <v>893</v>
      </c>
      <c r="F18" s="5"/>
      <c r="G18" s="9" t="s">
        <v>894</v>
      </c>
      <c r="H18" s="9" t="s">
        <v>895</v>
      </c>
      <c r="I18" s="5"/>
      <c r="J18" s="18"/>
      <c r="K18" s="9"/>
      <c r="L18" s="9"/>
      <c r="M18" s="12"/>
      <c r="N18" s="33"/>
    </row>
    <row r="19" spans="1:14">
      <c r="A19" s="30" t="s">
        <v>970</v>
      </c>
      <c r="B19" s="57" t="s">
        <v>884</v>
      </c>
      <c r="C19" s="8" t="s">
        <v>885</v>
      </c>
      <c r="D19" s="18" t="s">
        <v>889</v>
      </c>
      <c r="E19" s="39" t="s">
        <v>896</v>
      </c>
      <c r="F19" s="5"/>
      <c r="G19" s="9" t="s">
        <v>894</v>
      </c>
      <c r="H19" s="9" t="s">
        <v>895</v>
      </c>
      <c r="I19" s="5"/>
      <c r="J19" s="18"/>
      <c r="K19" s="9"/>
      <c r="L19" s="9"/>
      <c r="M19" s="12"/>
      <c r="N19" s="33"/>
    </row>
    <row r="20" spans="1:14">
      <c r="A20" s="30" t="s">
        <v>971</v>
      </c>
      <c r="B20" s="57" t="s">
        <v>884</v>
      </c>
      <c r="C20" s="8" t="s">
        <v>885</v>
      </c>
      <c r="D20" s="18" t="s">
        <v>889</v>
      </c>
      <c r="E20" s="39" t="s">
        <v>897</v>
      </c>
      <c r="F20" s="5"/>
      <c r="G20" s="9" t="s">
        <v>894</v>
      </c>
      <c r="H20" s="9" t="s">
        <v>895</v>
      </c>
      <c r="I20" s="5"/>
      <c r="J20" s="18"/>
      <c r="K20" s="9"/>
      <c r="L20" s="9"/>
      <c r="M20" s="12"/>
      <c r="N20" s="33"/>
    </row>
    <row r="21" spans="1:14">
      <c r="A21" s="30" t="s">
        <v>972</v>
      </c>
      <c r="B21" s="57" t="s">
        <v>884</v>
      </c>
      <c r="C21" s="8" t="s">
        <v>885</v>
      </c>
      <c r="D21" s="18" t="s">
        <v>889</v>
      </c>
      <c r="E21" s="39" t="s">
        <v>898</v>
      </c>
      <c r="F21" s="5"/>
      <c r="G21" s="9" t="s">
        <v>887</v>
      </c>
      <c r="H21" s="9" t="s">
        <v>891</v>
      </c>
      <c r="I21" s="5"/>
      <c r="J21" s="18"/>
      <c r="K21" s="9"/>
      <c r="L21" s="9"/>
      <c r="M21" s="12"/>
      <c r="N21" s="33"/>
    </row>
    <row r="22" spans="1:14">
      <c r="A22" s="30" t="s">
        <v>973</v>
      </c>
      <c r="B22" s="57" t="s">
        <v>884</v>
      </c>
      <c r="C22" s="8" t="s">
        <v>885</v>
      </c>
      <c r="D22" s="18" t="s">
        <v>889</v>
      </c>
      <c r="E22" s="39" t="s">
        <v>899</v>
      </c>
      <c r="F22" s="5"/>
      <c r="G22" s="9" t="s">
        <v>887</v>
      </c>
      <c r="H22" s="9" t="s">
        <v>891</v>
      </c>
      <c r="I22" s="5"/>
      <c r="J22" s="18"/>
      <c r="K22" s="9"/>
      <c r="L22" s="9"/>
      <c r="M22" s="12"/>
      <c r="N22" s="33"/>
    </row>
    <row r="23" spans="1:14">
      <c r="A23" s="30" t="s">
        <v>974</v>
      </c>
      <c r="B23" s="57" t="s">
        <v>884</v>
      </c>
      <c r="C23" s="8" t="s">
        <v>885</v>
      </c>
      <c r="D23" s="18" t="s">
        <v>889</v>
      </c>
      <c r="E23" s="39" t="s">
        <v>900</v>
      </c>
      <c r="F23" s="5"/>
      <c r="G23" s="9" t="s">
        <v>887</v>
      </c>
      <c r="H23" s="9" t="s">
        <v>891</v>
      </c>
      <c r="I23" s="5"/>
      <c r="J23" s="18"/>
      <c r="K23" s="9"/>
      <c r="L23" s="9"/>
      <c r="M23" s="12"/>
      <c r="N23" s="33"/>
    </row>
    <row r="24" spans="1:14">
      <c r="A24" s="30" t="s">
        <v>975</v>
      </c>
      <c r="B24" s="57" t="s">
        <v>884</v>
      </c>
      <c r="C24" s="8" t="s">
        <v>885</v>
      </c>
      <c r="D24" s="18" t="s">
        <v>889</v>
      </c>
      <c r="E24" s="39" t="s">
        <v>901</v>
      </c>
      <c r="F24" s="5"/>
      <c r="G24" s="9" t="s">
        <v>890</v>
      </c>
      <c r="H24" s="9" t="s">
        <v>891</v>
      </c>
      <c r="I24" s="5"/>
      <c r="J24" s="18"/>
      <c r="K24" s="9"/>
      <c r="L24" s="9"/>
      <c r="M24" s="12"/>
      <c r="N24" s="33"/>
    </row>
    <row r="25" spans="1:14">
      <c r="A25" s="30" t="s">
        <v>976</v>
      </c>
      <c r="B25" s="57" t="s">
        <v>884</v>
      </c>
      <c r="C25" s="8" t="s">
        <v>885</v>
      </c>
      <c r="D25" s="18" t="s">
        <v>889</v>
      </c>
      <c r="E25" s="39" t="s">
        <v>902</v>
      </c>
      <c r="F25" s="5"/>
      <c r="G25" s="9" t="s">
        <v>890</v>
      </c>
      <c r="H25" s="9" t="s">
        <v>891</v>
      </c>
      <c r="I25" s="5"/>
      <c r="J25" s="18"/>
      <c r="K25" s="9"/>
      <c r="L25" s="9"/>
      <c r="M25" s="12"/>
      <c r="N25" s="33"/>
    </row>
    <row r="26" spans="1:14">
      <c r="A26" s="30" t="s">
        <v>977</v>
      </c>
      <c r="B26" s="57" t="s">
        <v>884</v>
      </c>
      <c r="C26" s="8" t="s">
        <v>885</v>
      </c>
      <c r="D26" s="18" t="s">
        <v>889</v>
      </c>
      <c r="E26" s="39" t="s">
        <v>903</v>
      </c>
      <c r="F26" s="5"/>
      <c r="G26" s="9" t="s">
        <v>890</v>
      </c>
      <c r="H26" s="9" t="s">
        <v>891</v>
      </c>
      <c r="I26" s="5"/>
      <c r="J26" s="18"/>
      <c r="K26" s="9"/>
      <c r="L26" s="9"/>
      <c r="M26" s="12"/>
      <c r="N26" s="33"/>
    </row>
    <row r="27" spans="1:14">
      <c r="A27" s="30" t="s">
        <v>978</v>
      </c>
      <c r="B27" s="57" t="s">
        <v>884</v>
      </c>
      <c r="C27" s="8" t="s">
        <v>885</v>
      </c>
      <c r="D27" s="18" t="s">
        <v>889</v>
      </c>
      <c r="E27" s="39" t="s">
        <v>904</v>
      </c>
      <c r="F27" s="5"/>
      <c r="G27" s="9" t="s">
        <v>887</v>
      </c>
      <c r="H27" s="9" t="s">
        <v>905</v>
      </c>
      <c r="I27" s="5"/>
      <c r="J27" s="18"/>
      <c r="K27" s="9"/>
      <c r="L27" s="9"/>
      <c r="M27" s="12"/>
      <c r="N27" s="33"/>
    </row>
    <row r="28" spans="1:14">
      <c r="A28" s="30" t="s">
        <v>979</v>
      </c>
      <c r="B28" s="57" t="s">
        <v>884</v>
      </c>
      <c r="C28" s="8" t="s">
        <v>885</v>
      </c>
      <c r="D28" s="18" t="s">
        <v>889</v>
      </c>
      <c r="E28" s="39" t="s">
        <v>906</v>
      </c>
      <c r="F28" s="5"/>
      <c r="G28" s="9" t="s">
        <v>890</v>
      </c>
      <c r="H28" s="9" t="s">
        <v>891</v>
      </c>
      <c r="I28" s="5"/>
      <c r="J28" s="18"/>
      <c r="K28" s="9"/>
      <c r="L28" s="9"/>
      <c r="M28" s="12"/>
      <c r="N28" s="33"/>
    </row>
    <row r="29" spans="1:14">
      <c r="A29" s="30" t="s">
        <v>980</v>
      </c>
      <c r="B29" s="57" t="s">
        <v>884</v>
      </c>
      <c r="C29" s="8" t="s">
        <v>885</v>
      </c>
      <c r="D29" s="18" t="s">
        <v>889</v>
      </c>
      <c r="E29" s="39" t="s">
        <v>907</v>
      </c>
      <c r="F29" s="5"/>
      <c r="G29" s="9" t="s">
        <v>890</v>
      </c>
      <c r="H29" s="9" t="s">
        <v>888</v>
      </c>
      <c r="I29" s="5"/>
      <c r="J29" s="18"/>
      <c r="K29" s="9"/>
      <c r="L29" s="9"/>
      <c r="M29" s="12"/>
      <c r="N29" s="33"/>
    </row>
    <row r="30" spans="1:14">
      <c r="A30" s="30" t="s">
        <v>981</v>
      </c>
      <c r="B30" s="57" t="s">
        <v>884</v>
      </c>
      <c r="C30" s="8" t="s">
        <v>885</v>
      </c>
      <c r="D30" s="18" t="s">
        <v>889</v>
      </c>
      <c r="E30" s="39" t="s">
        <v>908</v>
      </c>
      <c r="F30" s="5"/>
      <c r="G30" s="9" t="s">
        <v>890</v>
      </c>
      <c r="H30" s="9" t="s">
        <v>888</v>
      </c>
      <c r="I30" s="5"/>
      <c r="J30" s="18"/>
      <c r="K30" s="9"/>
      <c r="L30" s="9"/>
      <c r="M30" s="12"/>
      <c r="N30" s="33"/>
    </row>
    <row r="31" spans="1:14">
      <c r="A31" s="30" t="s">
        <v>982</v>
      </c>
      <c r="B31" s="57" t="s">
        <v>884</v>
      </c>
      <c r="C31" s="8" t="s">
        <v>885</v>
      </c>
      <c r="D31" s="18" t="s">
        <v>889</v>
      </c>
      <c r="E31" s="39" t="s">
        <v>909</v>
      </c>
      <c r="F31" s="5"/>
      <c r="G31" s="9" t="s">
        <v>887</v>
      </c>
      <c r="H31" s="9" t="s">
        <v>891</v>
      </c>
      <c r="I31" s="5"/>
      <c r="J31" s="18"/>
      <c r="K31" s="9"/>
      <c r="L31" s="9"/>
      <c r="M31" s="12"/>
      <c r="N31" s="33"/>
    </row>
    <row r="32" spans="1:14">
      <c r="A32" s="30" t="s">
        <v>983</v>
      </c>
      <c r="B32" s="57" t="s">
        <v>884</v>
      </c>
      <c r="C32" s="8" t="s">
        <v>885</v>
      </c>
      <c r="D32" s="18" t="s">
        <v>889</v>
      </c>
      <c r="E32" s="39" t="s">
        <v>910</v>
      </c>
      <c r="F32" s="5"/>
      <c r="G32" s="9" t="s">
        <v>887</v>
      </c>
      <c r="H32" s="9" t="s">
        <v>891</v>
      </c>
      <c r="I32" s="5"/>
      <c r="J32" s="18"/>
      <c r="K32" s="9"/>
      <c r="L32" s="9"/>
      <c r="M32" s="12"/>
      <c r="N32" s="33"/>
    </row>
    <row r="33" spans="1:14">
      <c r="A33" s="30" t="s">
        <v>984</v>
      </c>
      <c r="B33" s="57" t="s">
        <v>884</v>
      </c>
      <c r="C33" s="8" t="s">
        <v>885</v>
      </c>
      <c r="D33" s="18" t="s">
        <v>911</v>
      </c>
      <c r="E33" s="39" t="s">
        <v>854</v>
      </c>
      <c r="F33" s="5"/>
      <c r="G33" s="9" t="s">
        <v>890</v>
      </c>
      <c r="H33" s="9" t="s">
        <v>905</v>
      </c>
      <c r="I33" s="5"/>
      <c r="J33" s="18"/>
      <c r="K33" s="9"/>
      <c r="L33" s="9"/>
      <c r="M33" s="12"/>
      <c r="N33" s="33"/>
    </row>
    <row r="34" spans="1:14">
      <c r="A34" s="30" t="s">
        <v>985</v>
      </c>
      <c r="B34" s="57" t="s">
        <v>884</v>
      </c>
      <c r="C34" s="8" t="s">
        <v>885</v>
      </c>
      <c r="D34" s="18" t="s">
        <v>911</v>
      </c>
      <c r="E34" s="39" t="s">
        <v>858</v>
      </c>
      <c r="F34" s="5"/>
      <c r="G34" s="9" t="s">
        <v>890</v>
      </c>
      <c r="H34" s="9" t="s">
        <v>905</v>
      </c>
      <c r="I34" s="5"/>
      <c r="J34" s="18"/>
      <c r="K34" s="9"/>
      <c r="L34" s="9"/>
      <c r="M34" s="12"/>
      <c r="N34" s="33"/>
    </row>
    <row r="35" spans="1:14">
      <c r="A35" s="30" t="s">
        <v>986</v>
      </c>
      <c r="B35" s="57" t="s">
        <v>884</v>
      </c>
      <c r="C35" s="8" t="s">
        <v>885</v>
      </c>
      <c r="D35" s="18" t="s">
        <v>911</v>
      </c>
      <c r="E35" s="39" t="s">
        <v>859</v>
      </c>
      <c r="F35" s="5"/>
      <c r="G35" s="9" t="s">
        <v>890</v>
      </c>
      <c r="H35" s="9" t="s">
        <v>891</v>
      </c>
      <c r="I35" s="5"/>
      <c r="J35" s="18"/>
      <c r="K35" s="9"/>
      <c r="L35" s="9"/>
      <c r="M35" s="12"/>
      <c r="N35" s="33"/>
    </row>
    <row r="36" spans="1:14">
      <c r="A36" s="30" t="s">
        <v>987</v>
      </c>
      <c r="B36" s="57" t="s">
        <v>884</v>
      </c>
      <c r="C36" s="8" t="s">
        <v>885</v>
      </c>
      <c r="D36" s="18" t="s">
        <v>911</v>
      </c>
      <c r="E36" s="39" t="s">
        <v>861</v>
      </c>
      <c r="F36" s="5"/>
      <c r="G36" s="9" t="s">
        <v>890</v>
      </c>
      <c r="H36" s="9" t="s">
        <v>891</v>
      </c>
      <c r="I36" s="5"/>
      <c r="J36" s="18"/>
      <c r="K36" s="9"/>
      <c r="L36" s="9"/>
      <c r="M36" s="12"/>
      <c r="N36" s="33"/>
    </row>
    <row r="37" spans="1:14">
      <c r="A37" s="30" t="s">
        <v>988</v>
      </c>
      <c r="B37" s="57" t="s">
        <v>884</v>
      </c>
      <c r="C37" s="8" t="s">
        <v>885</v>
      </c>
      <c r="D37" s="18" t="s">
        <v>911</v>
      </c>
      <c r="E37" s="39" t="s">
        <v>862</v>
      </c>
      <c r="F37" s="5"/>
      <c r="G37" s="9" t="s">
        <v>894</v>
      </c>
      <c r="H37" s="9" t="s">
        <v>895</v>
      </c>
      <c r="I37" s="5"/>
      <c r="J37" s="18"/>
      <c r="K37" s="9"/>
      <c r="L37" s="9"/>
      <c r="M37" s="12"/>
      <c r="N37" s="33"/>
    </row>
    <row r="38" spans="1:14">
      <c r="A38" s="30" t="s">
        <v>989</v>
      </c>
      <c r="B38" s="57" t="s">
        <v>884</v>
      </c>
      <c r="C38" s="8" t="s">
        <v>885</v>
      </c>
      <c r="D38" s="18" t="s">
        <v>911</v>
      </c>
      <c r="E38" s="39" t="s">
        <v>863</v>
      </c>
      <c r="F38" s="5"/>
      <c r="G38" s="9" t="s">
        <v>894</v>
      </c>
      <c r="H38" s="9" t="s">
        <v>895</v>
      </c>
      <c r="I38" s="5"/>
      <c r="J38" s="18"/>
      <c r="K38" s="9"/>
      <c r="L38" s="9"/>
      <c r="M38" s="12"/>
      <c r="N38" s="33"/>
    </row>
    <row r="39" spans="1:14">
      <c r="A39" s="30" t="s">
        <v>990</v>
      </c>
      <c r="B39" s="57" t="s">
        <v>884</v>
      </c>
      <c r="C39" s="8" t="s">
        <v>885</v>
      </c>
      <c r="D39" s="18" t="s">
        <v>911</v>
      </c>
      <c r="E39" s="39" t="s">
        <v>864</v>
      </c>
      <c r="F39" s="5"/>
      <c r="G39" s="9" t="s">
        <v>887</v>
      </c>
      <c r="H39" s="9" t="s">
        <v>891</v>
      </c>
      <c r="I39" s="5"/>
      <c r="J39" s="18"/>
      <c r="K39" s="9"/>
      <c r="L39" s="9"/>
      <c r="M39" s="12"/>
      <c r="N39" s="33"/>
    </row>
    <row r="40" spans="1:14">
      <c r="A40" s="30" t="s">
        <v>991</v>
      </c>
      <c r="B40" s="57" t="s">
        <v>884</v>
      </c>
      <c r="C40" s="8" t="s">
        <v>885</v>
      </c>
      <c r="D40" s="18" t="s">
        <v>911</v>
      </c>
      <c r="E40" s="39" t="s">
        <v>865</v>
      </c>
      <c r="F40" s="5"/>
      <c r="G40" s="9" t="s">
        <v>890</v>
      </c>
      <c r="H40" s="9" t="s">
        <v>891</v>
      </c>
      <c r="I40" s="5"/>
      <c r="J40" s="18"/>
      <c r="K40" s="9"/>
      <c r="L40" s="9"/>
      <c r="M40" s="12"/>
      <c r="N40" s="33"/>
    </row>
    <row r="41" spans="1:14">
      <c r="A41" s="30" t="s">
        <v>992</v>
      </c>
      <c r="B41" s="57" t="s">
        <v>884</v>
      </c>
      <c r="C41" s="8" t="s">
        <v>885</v>
      </c>
      <c r="D41" s="18" t="s">
        <v>911</v>
      </c>
      <c r="E41" s="39" t="s">
        <v>892</v>
      </c>
      <c r="F41" s="5"/>
      <c r="G41" s="9" t="s">
        <v>887</v>
      </c>
      <c r="H41" s="9" t="s">
        <v>905</v>
      </c>
      <c r="I41" s="5"/>
      <c r="J41" s="18"/>
      <c r="K41" s="9"/>
      <c r="L41" s="9"/>
      <c r="M41" s="12"/>
      <c r="N41" s="33"/>
    </row>
    <row r="42" spans="1:14">
      <c r="A42" s="30" t="s">
        <v>993</v>
      </c>
      <c r="B42" s="57" t="s">
        <v>884</v>
      </c>
      <c r="C42" s="8" t="s">
        <v>885</v>
      </c>
      <c r="D42" s="18" t="s">
        <v>911</v>
      </c>
      <c r="E42" s="39" t="s">
        <v>893</v>
      </c>
      <c r="F42" s="5"/>
      <c r="G42" s="9" t="s">
        <v>887</v>
      </c>
      <c r="H42" s="9" t="s">
        <v>905</v>
      </c>
      <c r="I42" s="5"/>
      <c r="J42" s="18"/>
      <c r="K42" s="9"/>
      <c r="L42" s="9"/>
      <c r="M42" s="12"/>
      <c r="N42" s="33"/>
    </row>
    <row r="43" spans="1:14">
      <c r="A43" s="30" t="s">
        <v>994</v>
      </c>
      <c r="B43" s="57" t="s">
        <v>884</v>
      </c>
      <c r="C43" s="8" t="s">
        <v>885</v>
      </c>
      <c r="D43" s="18" t="s">
        <v>911</v>
      </c>
      <c r="E43" s="39" t="s">
        <v>896</v>
      </c>
      <c r="F43" s="5"/>
      <c r="G43" s="9" t="s">
        <v>887</v>
      </c>
      <c r="H43" s="9" t="s">
        <v>905</v>
      </c>
      <c r="I43" s="5"/>
      <c r="J43" s="18"/>
      <c r="K43" s="9"/>
      <c r="L43" s="9"/>
      <c r="M43" s="12"/>
      <c r="N43" s="33"/>
    </row>
    <row r="44" spans="1:14">
      <c r="A44" s="30" t="s">
        <v>995</v>
      </c>
      <c r="B44" s="57" t="s">
        <v>884</v>
      </c>
      <c r="C44" s="8" t="s">
        <v>885</v>
      </c>
      <c r="D44" s="18" t="s">
        <v>911</v>
      </c>
      <c r="E44" s="39" t="s">
        <v>897</v>
      </c>
      <c r="F44" s="5"/>
      <c r="G44" s="9" t="s">
        <v>890</v>
      </c>
      <c r="H44" s="9" t="s">
        <v>891</v>
      </c>
      <c r="I44" s="5"/>
      <c r="J44" s="18"/>
      <c r="K44" s="9"/>
      <c r="L44" s="9"/>
      <c r="M44" s="12"/>
      <c r="N44" s="33"/>
    </row>
    <row r="45" spans="1:14">
      <c r="A45" s="30" t="s">
        <v>996</v>
      </c>
      <c r="B45" s="57" t="s">
        <v>884</v>
      </c>
      <c r="C45" s="8" t="s">
        <v>885</v>
      </c>
      <c r="D45" s="18" t="s">
        <v>911</v>
      </c>
      <c r="E45" s="39" t="s">
        <v>898</v>
      </c>
      <c r="F45" s="5"/>
      <c r="G45" s="9" t="s">
        <v>887</v>
      </c>
      <c r="H45" s="9" t="s">
        <v>905</v>
      </c>
      <c r="I45" s="5"/>
      <c r="J45" s="18"/>
      <c r="K45" s="9"/>
      <c r="L45" s="9"/>
      <c r="M45" s="12"/>
      <c r="N45" s="33"/>
    </row>
    <row r="46" spans="1:14">
      <c r="A46" s="30" t="s">
        <v>997</v>
      </c>
      <c r="B46" s="57" t="s">
        <v>884</v>
      </c>
      <c r="C46" s="8" t="s">
        <v>885</v>
      </c>
      <c r="D46" s="18" t="s">
        <v>911</v>
      </c>
      <c r="E46" s="39" t="s">
        <v>899</v>
      </c>
      <c r="F46" s="5"/>
      <c r="G46" s="9" t="s">
        <v>890</v>
      </c>
      <c r="H46" s="9" t="s">
        <v>891</v>
      </c>
      <c r="I46" s="5"/>
      <c r="J46" s="18"/>
      <c r="K46" s="9"/>
      <c r="L46" s="9"/>
      <c r="M46" s="12"/>
      <c r="N46" s="33"/>
    </row>
    <row r="47" spans="1:14">
      <c r="A47" s="30" t="s">
        <v>998</v>
      </c>
      <c r="B47" s="57" t="s">
        <v>884</v>
      </c>
      <c r="C47" s="8" t="s">
        <v>885</v>
      </c>
      <c r="D47" s="18" t="s">
        <v>911</v>
      </c>
      <c r="E47" s="39" t="s">
        <v>900</v>
      </c>
      <c r="F47" s="5"/>
      <c r="G47" s="9" t="s">
        <v>890</v>
      </c>
      <c r="H47" s="9" t="s">
        <v>891</v>
      </c>
      <c r="I47" s="5"/>
      <c r="J47" s="18"/>
      <c r="K47" s="9"/>
      <c r="L47" s="9"/>
      <c r="M47" s="12"/>
      <c r="N47" s="33"/>
    </row>
    <row r="48" spans="1:14">
      <c r="A48" s="30" t="s">
        <v>999</v>
      </c>
      <c r="B48" s="57" t="s">
        <v>884</v>
      </c>
      <c r="C48" s="8" t="s">
        <v>885</v>
      </c>
      <c r="D48" s="18" t="s">
        <v>911</v>
      </c>
      <c r="E48" s="39" t="s">
        <v>901</v>
      </c>
      <c r="F48" s="5"/>
      <c r="G48" s="9" t="s">
        <v>890</v>
      </c>
      <c r="H48" s="9" t="s">
        <v>891</v>
      </c>
      <c r="I48" s="5"/>
      <c r="J48" s="18"/>
      <c r="K48" s="9"/>
      <c r="L48" s="9"/>
      <c r="M48" s="12"/>
      <c r="N48" s="33"/>
    </row>
    <row r="49" spans="1:14">
      <c r="A49" s="30" t="s">
        <v>1000</v>
      </c>
      <c r="B49" s="57" t="s">
        <v>884</v>
      </c>
      <c r="C49" s="8" t="s">
        <v>885</v>
      </c>
      <c r="D49" s="18" t="s">
        <v>911</v>
      </c>
      <c r="E49" s="39" t="s">
        <v>902</v>
      </c>
      <c r="F49" s="5"/>
      <c r="G49" s="9" t="s">
        <v>890</v>
      </c>
      <c r="H49" s="9" t="s">
        <v>891</v>
      </c>
      <c r="I49" s="5"/>
      <c r="J49" s="18"/>
      <c r="K49" s="9"/>
      <c r="L49" s="9"/>
      <c r="M49" s="12"/>
      <c r="N49" s="33"/>
    </row>
    <row r="50" spans="1:14">
      <c r="A50" s="30" t="s">
        <v>1001</v>
      </c>
      <c r="B50" s="57" t="s">
        <v>884</v>
      </c>
      <c r="C50" s="8" t="s">
        <v>885</v>
      </c>
      <c r="D50" s="18" t="s">
        <v>911</v>
      </c>
      <c r="E50" s="39" t="s">
        <v>903</v>
      </c>
      <c r="F50" s="5"/>
      <c r="G50" s="9" t="s">
        <v>890</v>
      </c>
      <c r="H50" s="9" t="s">
        <v>891</v>
      </c>
      <c r="I50" s="5"/>
      <c r="J50" s="18"/>
      <c r="K50" s="9"/>
      <c r="L50" s="9"/>
      <c r="M50" s="12"/>
      <c r="N50" s="33"/>
    </row>
    <row r="51" spans="1:14">
      <c r="A51" s="30" t="s">
        <v>1002</v>
      </c>
      <c r="B51" s="57" t="s">
        <v>884</v>
      </c>
      <c r="C51" s="8" t="s">
        <v>885</v>
      </c>
      <c r="D51" s="18" t="s">
        <v>911</v>
      </c>
      <c r="E51" s="39" t="s">
        <v>904</v>
      </c>
      <c r="F51" s="5"/>
      <c r="G51" s="9" t="s">
        <v>890</v>
      </c>
      <c r="H51" s="9" t="s">
        <v>905</v>
      </c>
      <c r="I51" s="5"/>
      <c r="J51" s="18"/>
      <c r="K51" s="9"/>
      <c r="L51" s="9"/>
      <c r="M51" s="12"/>
      <c r="N51" s="33"/>
    </row>
    <row r="52" spans="1:14">
      <c r="A52" s="30" t="s">
        <v>1003</v>
      </c>
      <c r="B52" s="57" t="s">
        <v>884</v>
      </c>
      <c r="C52" s="8" t="s">
        <v>885</v>
      </c>
      <c r="D52" s="18" t="s">
        <v>911</v>
      </c>
      <c r="E52" s="39" t="s">
        <v>906</v>
      </c>
      <c r="F52" s="5"/>
      <c r="G52" s="9" t="s">
        <v>890</v>
      </c>
      <c r="H52" s="9" t="s">
        <v>905</v>
      </c>
      <c r="I52" s="5"/>
      <c r="J52" s="18"/>
      <c r="K52" s="9"/>
      <c r="L52" s="9"/>
      <c r="M52" s="12"/>
      <c r="N52" s="33"/>
    </row>
    <row r="53" spans="1:14">
      <c r="A53" s="30" t="s">
        <v>1004</v>
      </c>
      <c r="B53" s="57" t="s">
        <v>884</v>
      </c>
      <c r="C53" s="8" t="s">
        <v>885</v>
      </c>
      <c r="D53" s="18" t="s">
        <v>911</v>
      </c>
      <c r="E53" s="39" t="s">
        <v>907</v>
      </c>
      <c r="F53" s="5"/>
      <c r="G53" s="9" t="s">
        <v>890</v>
      </c>
      <c r="H53" s="9" t="s">
        <v>891</v>
      </c>
      <c r="I53" s="5"/>
      <c r="J53" s="18"/>
      <c r="K53" s="9"/>
      <c r="L53" s="9"/>
      <c r="M53" s="12"/>
      <c r="N53" s="33"/>
    </row>
    <row r="54" spans="1:14">
      <c r="A54" s="30" t="s">
        <v>1005</v>
      </c>
      <c r="B54" s="57" t="s">
        <v>884</v>
      </c>
      <c r="C54" s="8" t="s">
        <v>885</v>
      </c>
      <c r="D54" s="18" t="s">
        <v>911</v>
      </c>
      <c r="E54" s="39" t="s">
        <v>908</v>
      </c>
      <c r="F54" s="5"/>
      <c r="G54" s="9" t="s">
        <v>887</v>
      </c>
      <c r="H54" s="9" t="s">
        <v>905</v>
      </c>
      <c r="I54" s="5"/>
      <c r="J54" s="18"/>
      <c r="K54" s="9"/>
      <c r="L54" s="9"/>
      <c r="M54" s="12"/>
      <c r="N54" s="33"/>
    </row>
    <row r="55" spans="1:14">
      <c r="A55" s="30" t="s">
        <v>1006</v>
      </c>
      <c r="B55" s="57" t="s">
        <v>884</v>
      </c>
      <c r="C55" s="8" t="s">
        <v>885</v>
      </c>
      <c r="D55" s="18" t="s">
        <v>911</v>
      </c>
      <c r="E55" s="39" t="s">
        <v>909</v>
      </c>
      <c r="F55" s="5"/>
      <c r="G55" s="9" t="s">
        <v>894</v>
      </c>
      <c r="H55" s="9" t="s">
        <v>895</v>
      </c>
      <c r="I55" s="5"/>
      <c r="J55" s="18"/>
      <c r="K55" s="9"/>
      <c r="L55" s="9"/>
      <c r="M55" s="12"/>
      <c r="N55" s="33"/>
    </row>
    <row r="56" spans="1:14">
      <c r="A56" s="30" t="s">
        <v>1007</v>
      </c>
      <c r="B56" s="57" t="s">
        <v>884</v>
      </c>
      <c r="C56" s="8" t="s">
        <v>885</v>
      </c>
      <c r="D56" s="18" t="s">
        <v>911</v>
      </c>
      <c r="E56" s="39" t="s">
        <v>910</v>
      </c>
      <c r="F56" s="5"/>
      <c r="G56" s="9" t="s">
        <v>894</v>
      </c>
      <c r="H56" s="9" t="s">
        <v>895</v>
      </c>
      <c r="I56" s="5"/>
      <c r="J56" s="18"/>
      <c r="K56" s="9"/>
      <c r="L56" s="9"/>
      <c r="M56" s="12"/>
      <c r="N56" s="33"/>
    </row>
    <row r="57" spans="1:14">
      <c r="A57" s="30" t="s">
        <v>1008</v>
      </c>
      <c r="B57" s="57" t="s">
        <v>884</v>
      </c>
      <c r="C57" s="8" t="s">
        <v>885</v>
      </c>
      <c r="D57" s="18" t="s">
        <v>912</v>
      </c>
      <c r="E57" s="39" t="s">
        <v>854</v>
      </c>
      <c r="F57" s="5"/>
      <c r="G57" s="9" t="s">
        <v>890</v>
      </c>
      <c r="H57" s="9" t="s">
        <v>891</v>
      </c>
      <c r="I57" s="5"/>
      <c r="J57" s="18"/>
      <c r="K57" s="9"/>
      <c r="L57" s="9"/>
      <c r="M57" s="12"/>
      <c r="N57" s="33"/>
    </row>
    <row r="58" spans="1:14">
      <c r="A58" s="30" t="s">
        <v>1009</v>
      </c>
      <c r="B58" s="57" t="s">
        <v>884</v>
      </c>
      <c r="C58" s="8" t="s">
        <v>885</v>
      </c>
      <c r="D58" s="18" t="s">
        <v>912</v>
      </c>
      <c r="E58" s="39" t="s">
        <v>858</v>
      </c>
      <c r="F58" s="5"/>
      <c r="G58" s="9" t="s">
        <v>890</v>
      </c>
      <c r="H58" s="9" t="s">
        <v>891</v>
      </c>
      <c r="I58" s="5"/>
      <c r="J58" s="18"/>
      <c r="K58" s="9"/>
      <c r="L58" s="9"/>
      <c r="M58" s="12"/>
      <c r="N58" s="33"/>
    </row>
    <row r="59" spans="1:14">
      <c r="A59" s="30" t="s">
        <v>1010</v>
      </c>
      <c r="B59" s="57" t="s">
        <v>884</v>
      </c>
      <c r="C59" s="8" t="s">
        <v>885</v>
      </c>
      <c r="D59" s="18" t="s">
        <v>912</v>
      </c>
      <c r="E59" s="39" t="s">
        <v>859</v>
      </c>
      <c r="F59" s="5"/>
      <c r="G59" s="9" t="s">
        <v>890</v>
      </c>
      <c r="H59" s="9" t="s">
        <v>891</v>
      </c>
      <c r="I59" s="5"/>
      <c r="J59" s="18"/>
      <c r="K59" s="9"/>
      <c r="L59" s="9"/>
      <c r="M59" s="12"/>
      <c r="N59" s="33"/>
    </row>
    <row r="60" spans="1:14">
      <c r="A60" s="30" t="s">
        <v>1011</v>
      </c>
      <c r="B60" s="57" t="s">
        <v>884</v>
      </c>
      <c r="C60" s="8" t="s">
        <v>885</v>
      </c>
      <c r="D60" s="18" t="s">
        <v>912</v>
      </c>
      <c r="E60" s="39" t="s">
        <v>861</v>
      </c>
      <c r="F60" s="5"/>
      <c r="G60" s="9" t="s">
        <v>890</v>
      </c>
      <c r="H60" s="9" t="s">
        <v>905</v>
      </c>
      <c r="I60" s="5"/>
      <c r="J60" s="18"/>
      <c r="K60" s="9"/>
      <c r="L60" s="9"/>
      <c r="M60" s="12"/>
      <c r="N60" s="33"/>
    </row>
    <row r="61" spans="1:14">
      <c r="A61" s="30" t="s">
        <v>1012</v>
      </c>
      <c r="B61" s="57" t="s">
        <v>884</v>
      </c>
      <c r="C61" s="8" t="s">
        <v>885</v>
      </c>
      <c r="D61" s="18" t="s">
        <v>912</v>
      </c>
      <c r="E61" s="39" t="s">
        <v>862</v>
      </c>
      <c r="F61" s="5"/>
      <c r="G61" s="9" t="s">
        <v>890</v>
      </c>
      <c r="H61" s="9" t="s">
        <v>891</v>
      </c>
      <c r="I61" s="5"/>
      <c r="J61" s="18"/>
      <c r="K61" s="9"/>
      <c r="L61" s="9"/>
      <c r="M61" s="12"/>
      <c r="N61" s="33"/>
    </row>
    <row r="62" spans="1:14">
      <c r="A62" s="30" t="s">
        <v>1013</v>
      </c>
      <c r="B62" s="57" t="s">
        <v>884</v>
      </c>
      <c r="C62" s="8" t="s">
        <v>885</v>
      </c>
      <c r="D62" s="18" t="s">
        <v>912</v>
      </c>
      <c r="E62" s="39" t="s">
        <v>863</v>
      </c>
      <c r="F62" s="5"/>
      <c r="G62" s="9" t="s">
        <v>890</v>
      </c>
      <c r="H62" s="9" t="s">
        <v>888</v>
      </c>
      <c r="I62" s="5"/>
      <c r="J62" s="18"/>
      <c r="K62" s="9"/>
      <c r="L62" s="9"/>
      <c r="M62" s="12"/>
      <c r="N62" s="33"/>
    </row>
    <row r="63" spans="1:14">
      <c r="A63" s="30" t="s">
        <v>1014</v>
      </c>
      <c r="B63" s="57" t="s">
        <v>884</v>
      </c>
      <c r="C63" s="8" t="s">
        <v>885</v>
      </c>
      <c r="D63" s="18" t="s">
        <v>912</v>
      </c>
      <c r="E63" s="39" t="s">
        <v>864</v>
      </c>
      <c r="F63" s="5"/>
      <c r="G63" s="9" t="s">
        <v>890</v>
      </c>
      <c r="H63" s="9" t="s">
        <v>891</v>
      </c>
      <c r="I63" s="5"/>
      <c r="J63" s="18"/>
      <c r="K63" s="9"/>
      <c r="L63" s="9"/>
      <c r="M63" s="12"/>
      <c r="N63" s="33"/>
    </row>
    <row r="64" spans="1:14">
      <c r="A64" s="30" t="s">
        <v>1015</v>
      </c>
      <c r="B64" s="57" t="s">
        <v>884</v>
      </c>
      <c r="C64" s="8" t="s">
        <v>885</v>
      </c>
      <c r="D64" s="18" t="s">
        <v>912</v>
      </c>
      <c r="E64" s="39" t="s">
        <v>865</v>
      </c>
      <c r="F64" s="5"/>
      <c r="G64" s="9" t="s">
        <v>890</v>
      </c>
      <c r="H64" s="9" t="s">
        <v>891</v>
      </c>
      <c r="I64" s="5"/>
      <c r="J64" s="18"/>
      <c r="K64" s="9"/>
      <c r="L64" s="9"/>
      <c r="M64" s="12"/>
      <c r="N64" s="33"/>
    </row>
    <row r="65" spans="1:14">
      <c r="A65" s="30" t="s">
        <v>1016</v>
      </c>
      <c r="B65" s="57" t="s">
        <v>884</v>
      </c>
      <c r="C65" s="8" t="s">
        <v>885</v>
      </c>
      <c r="D65" s="18" t="s">
        <v>912</v>
      </c>
      <c r="E65" s="39" t="s">
        <v>892</v>
      </c>
      <c r="F65" s="5"/>
      <c r="G65" s="9" t="s">
        <v>890</v>
      </c>
      <c r="H65" s="9" t="s">
        <v>905</v>
      </c>
      <c r="I65" s="5"/>
      <c r="J65" s="18"/>
      <c r="K65" s="9"/>
      <c r="L65" s="9"/>
      <c r="M65" s="12"/>
      <c r="N65" s="33"/>
    </row>
    <row r="66" spans="1:14">
      <c r="A66" s="30" t="s">
        <v>1017</v>
      </c>
      <c r="B66" s="57" t="s">
        <v>884</v>
      </c>
      <c r="C66" s="8" t="s">
        <v>885</v>
      </c>
      <c r="D66" s="18" t="s">
        <v>912</v>
      </c>
      <c r="E66" s="39" t="s">
        <v>893</v>
      </c>
      <c r="F66" s="5"/>
      <c r="G66" s="9" t="s">
        <v>890</v>
      </c>
      <c r="H66" s="9" t="s">
        <v>888</v>
      </c>
      <c r="I66" s="5"/>
      <c r="J66" s="18"/>
      <c r="K66" s="9"/>
      <c r="L66" s="9"/>
      <c r="M66" s="12"/>
      <c r="N66" s="33"/>
    </row>
    <row r="67" spans="1:14">
      <c r="A67" s="30" t="s">
        <v>1018</v>
      </c>
      <c r="B67" s="57" t="s">
        <v>884</v>
      </c>
      <c r="C67" s="8" t="s">
        <v>885</v>
      </c>
      <c r="D67" s="18" t="s">
        <v>912</v>
      </c>
      <c r="E67" s="39" t="s">
        <v>896</v>
      </c>
      <c r="F67" s="5"/>
      <c r="G67" s="9" t="s">
        <v>890</v>
      </c>
      <c r="H67" s="9" t="s">
        <v>888</v>
      </c>
      <c r="I67" s="5"/>
      <c r="J67" s="18"/>
      <c r="K67" s="9"/>
      <c r="L67" s="9"/>
      <c r="M67" s="12"/>
      <c r="N67" s="33"/>
    </row>
    <row r="68" spans="1:14">
      <c r="A68" s="30" t="s">
        <v>1019</v>
      </c>
      <c r="B68" s="57" t="s">
        <v>884</v>
      </c>
      <c r="C68" s="8" t="s">
        <v>885</v>
      </c>
      <c r="D68" s="18" t="s">
        <v>912</v>
      </c>
      <c r="E68" s="39" t="s">
        <v>897</v>
      </c>
      <c r="F68" s="5"/>
      <c r="G68" s="9" t="s">
        <v>890</v>
      </c>
      <c r="H68" s="9" t="s">
        <v>888</v>
      </c>
      <c r="I68" s="5"/>
      <c r="J68" s="18"/>
      <c r="K68" s="9"/>
      <c r="L68" s="9"/>
      <c r="M68" s="12"/>
      <c r="N68" s="33"/>
    </row>
    <row r="69" spans="1:14">
      <c r="A69" s="30" t="s">
        <v>1020</v>
      </c>
      <c r="B69" s="57" t="s">
        <v>884</v>
      </c>
      <c r="C69" s="8" t="s">
        <v>885</v>
      </c>
      <c r="D69" s="18" t="s">
        <v>912</v>
      </c>
      <c r="E69" s="39" t="s">
        <v>898</v>
      </c>
      <c r="F69" s="5"/>
      <c r="G69" s="9" t="s">
        <v>890</v>
      </c>
      <c r="H69" s="9" t="s">
        <v>905</v>
      </c>
      <c r="I69" s="5"/>
      <c r="J69" s="18"/>
      <c r="K69" s="9"/>
      <c r="L69" s="9"/>
      <c r="M69" s="12"/>
      <c r="N69" s="33"/>
    </row>
    <row r="70" spans="1:14">
      <c r="A70" s="30" t="s">
        <v>1021</v>
      </c>
      <c r="B70" s="57" t="s">
        <v>884</v>
      </c>
      <c r="C70" s="8" t="s">
        <v>885</v>
      </c>
      <c r="D70" s="18" t="s">
        <v>912</v>
      </c>
      <c r="E70" s="39" t="s">
        <v>899</v>
      </c>
      <c r="F70" s="5"/>
      <c r="G70" s="9" t="s">
        <v>890</v>
      </c>
      <c r="H70" s="9" t="s">
        <v>891</v>
      </c>
      <c r="I70" s="5"/>
      <c r="J70" s="18"/>
      <c r="K70" s="9"/>
      <c r="L70" s="9"/>
      <c r="M70" s="12"/>
      <c r="N70" s="33"/>
    </row>
    <row r="71" spans="1:14">
      <c r="A71" s="30" t="s">
        <v>1022</v>
      </c>
      <c r="B71" s="57" t="s">
        <v>884</v>
      </c>
      <c r="C71" s="8" t="s">
        <v>885</v>
      </c>
      <c r="D71" s="18" t="s">
        <v>912</v>
      </c>
      <c r="E71" s="39" t="s">
        <v>900</v>
      </c>
      <c r="F71" s="5"/>
      <c r="G71" s="9" t="s">
        <v>890</v>
      </c>
      <c r="H71" s="9" t="s">
        <v>891</v>
      </c>
      <c r="I71" s="5"/>
      <c r="J71" s="18"/>
      <c r="K71" s="9"/>
      <c r="L71" s="9"/>
      <c r="M71" s="12"/>
      <c r="N71" s="33"/>
    </row>
    <row r="72" spans="1:14">
      <c r="A72" s="30" t="s">
        <v>1023</v>
      </c>
      <c r="B72" s="57" t="s">
        <v>884</v>
      </c>
      <c r="C72" s="8" t="s">
        <v>885</v>
      </c>
      <c r="D72" s="18" t="s">
        <v>912</v>
      </c>
      <c r="E72" s="39" t="s">
        <v>901</v>
      </c>
      <c r="F72" s="5"/>
      <c r="G72" s="9" t="s">
        <v>890</v>
      </c>
      <c r="H72" s="9" t="s">
        <v>891</v>
      </c>
      <c r="I72" s="5"/>
      <c r="J72" s="18"/>
      <c r="K72" s="9"/>
      <c r="L72" s="9"/>
      <c r="M72" s="12"/>
      <c r="N72" s="33"/>
    </row>
    <row r="73" spans="1:14">
      <c r="A73" s="30" t="s">
        <v>1024</v>
      </c>
      <c r="B73" s="57" t="s">
        <v>884</v>
      </c>
      <c r="C73" s="8" t="s">
        <v>885</v>
      </c>
      <c r="D73" s="18" t="s">
        <v>912</v>
      </c>
      <c r="E73" s="39" t="s">
        <v>902</v>
      </c>
      <c r="F73" s="5"/>
      <c r="G73" s="9" t="s">
        <v>887</v>
      </c>
      <c r="H73" s="9" t="s">
        <v>891</v>
      </c>
      <c r="I73" s="5"/>
      <c r="J73" s="18"/>
      <c r="K73" s="9"/>
      <c r="L73" s="9"/>
      <c r="M73" s="12"/>
      <c r="N73" s="33"/>
    </row>
    <row r="74" spans="1:14">
      <c r="A74" s="30" t="s">
        <v>1025</v>
      </c>
      <c r="B74" s="57" t="s">
        <v>884</v>
      </c>
      <c r="C74" s="8" t="s">
        <v>885</v>
      </c>
      <c r="D74" s="18" t="s">
        <v>912</v>
      </c>
      <c r="E74" s="39" t="s">
        <v>903</v>
      </c>
      <c r="F74" s="5"/>
      <c r="G74" s="9" t="s">
        <v>890</v>
      </c>
      <c r="H74" s="9" t="s">
        <v>891</v>
      </c>
      <c r="I74" s="5"/>
      <c r="J74" s="18"/>
      <c r="K74" s="9"/>
      <c r="L74" s="9"/>
      <c r="M74" s="12"/>
      <c r="N74" s="33"/>
    </row>
    <row r="75" spans="1:14">
      <c r="A75" s="30" t="s">
        <v>1026</v>
      </c>
      <c r="B75" s="57" t="s">
        <v>884</v>
      </c>
      <c r="C75" s="8" t="s">
        <v>885</v>
      </c>
      <c r="D75" s="18" t="s">
        <v>912</v>
      </c>
      <c r="E75" s="39" t="s">
        <v>904</v>
      </c>
      <c r="F75" s="5"/>
      <c r="G75" s="9" t="s">
        <v>890</v>
      </c>
      <c r="H75" s="9" t="s">
        <v>905</v>
      </c>
      <c r="I75" s="5"/>
      <c r="J75" s="18"/>
      <c r="K75" s="9"/>
      <c r="L75" s="9"/>
      <c r="M75" s="12"/>
      <c r="N75" s="33"/>
    </row>
    <row r="76" spans="1:14">
      <c r="A76" s="30" t="s">
        <v>1027</v>
      </c>
      <c r="B76" s="57" t="s">
        <v>884</v>
      </c>
      <c r="C76" s="8" t="s">
        <v>885</v>
      </c>
      <c r="D76" s="18" t="s">
        <v>912</v>
      </c>
      <c r="E76" s="39" t="s">
        <v>906</v>
      </c>
      <c r="F76" s="5"/>
      <c r="G76" s="9" t="s">
        <v>890</v>
      </c>
      <c r="H76" s="9" t="s">
        <v>891</v>
      </c>
      <c r="I76" s="5"/>
      <c r="J76" s="18"/>
      <c r="K76" s="9"/>
      <c r="L76" s="9"/>
      <c r="M76" s="12"/>
      <c r="N76" s="33"/>
    </row>
    <row r="77" spans="1:14">
      <c r="A77" s="30" t="s">
        <v>1028</v>
      </c>
      <c r="B77" s="57" t="s">
        <v>884</v>
      </c>
      <c r="C77" s="8" t="s">
        <v>885</v>
      </c>
      <c r="D77" s="18" t="s">
        <v>912</v>
      </c>
      <c r="E77" s="39" t="s">
        <v>907</v>
      </c>
      <c r="F77" s="5"/>
      <c r="G77" s="9" t="s">
        <v>890</v>
      </c>
      <c r="H77" s="9" t="s">
        <v>891</v>
      </c>
      <c r="I77" s="5"/>
      <c r="J77" s="18"/>
      <c r="K77" s="9"/>
      <c r="L77" s="9"/>
      <c r="M77" s="12"/>
      <c r="N77" s="33"/>
    </row>
    <row r="78" spans="1:14">
      <c r="A78" s="30" t="s">
        <v>1029</v>
      </c>
      <c r="B78" s="57" t="s">
        <v>884</v>
      </c>
      <c r="C78" s="8" t="s">
        <v>885</v>
      </c>
      <c r="D78" s="18" t="s">
        <v>912</v>
      </c>
      <c r="E78" s="39" t="s">
        <v>908</v>
      </c>
      <c r="F78" s="5"/>
      <c r="G78" s="9" t="s">
        <v>890</v>
      </c>
      <c r="H78" s="9" t="s">
        <v>891</v>
      </c>
      <c r="I78" s="5"/>
      <c r="J78" s="18"/>
      <c r="K78" s="9"/>
      <c r="L78" s="9"/>
      <c r="M78" s="12"/>
      <c r="N78" s="33"/>
    </row>
    <row r="79" spans="1:14">
      <c r="A79" s="30" t="s">
        <v>1030</v>
      </c>
      <c r="B79" s="57" t="s">
        <v>884</v>
      </c>
      <c r="C79" s="8" t="s">
        <v>885</v>
      </c>
      <c r="D79" s="18" t="s">
        <v>912</v>
      </c>
      <c r="E79" s="39" t="s">
        <v>909</v>
      </c>
      <c r="F79" s="5"/>
      <c r="G79" s="9" t="s">
        <v>887</v>
      </c>
      <c r="H79" s="9" t="s">
        <v>905</v>
      </c>
      <c r="I79" s="5"/>
      <c r="J79" s="18"/>
      <c r="K79" s="9"/>
      <c r="L79" s="9"/>
      <c r="M79" s="12"/>
      <c r="N79" s="33"/>
    </row>
    <row r="80" spans="1:14">
      <c r="A80" s="30" t="s">
        <v>1031</v>
      </c>
      <c r="B80" s="57" t="s">
        <v>884</v>
      </c>
      <c r="C80" s="8" t="s">
        <v>885</v>
      </c>
      <c r="D80" s="18" t="s">
        <v>912</v>
      </c>
      <c r="E80" s="39" t="s">
        <v>910</v>
      </c>
      <c r="F80" s="5"/>
      <c r="G80" s="9" t="s">
        <v>887</v>
      </c>
      <c r="H80" s="9" t="s">
        <v>905</v>
      </c>
      <c r="I80" s="5"/>
      <c r="J80" s="18"/>
      <c r="K80" s="9"/>
      <c r="L80" s="9"/>
      <c r="M80" s="12"/>
      <c r="N80" s="33"/>
    </row>
    <row r="81" spans="1:14">
      <c r="A81" s="30" t="s">
        <v>1032</v>
      </c>
      <c r="B81" s="57" t="s">
        <v>884</v>
      </c>
      <c r="C81" s="8" t="s">
        <v>885</v>
      </c>
      <c r="D81" s="18" t="s">
        <v>913</v>
      </c>
      <c r="E81" s="39" t="s">
        <v>854</v>
      </c>
      <c r="F81" s="5"/>
      <c r="G81" s="9" t="s">
        <v>890</v>
      </c>
      <c r="H81" s="9" t="s">
        <v>891</v>
      </c>
      <c r="I81" s="5"/>
      <c r="J81" s="18"/>
      <c r="K81" s="9"/>
      <c r="L81" s="9"/>
      <c r="M81" s="12"/>
      <c r="N81" s="33"/>
    </row>
    <row r="82" spans="1:14">
      <c r="A82" s="30" t="s">
        <v>1033</v>
      </c>
      <c r="B82" s="57" t="s">
        <v>884</v>
      </c>
      <c r="C82" s="8" t="s">
        <v>885</v>
      </c>
      <c r="D82" s="18" t="s">
        <v>913</v>
      </c>
      <c r="E82" s="39" t="s">
        <v>858</v>
      </c>
      <c r="F82" s="5"/>
      <c r="G82" s="9" t="s">
        <v>890</v>
      </c>
      <c r="H82" s="9" t="s">
        <v>888</v>
      </c>
      <c r="I82" s="5"/>
      <c r="J82" s="18"/>
      <c r="K82" s="9"/>
      <c r="L82" s="9"/>
      <c r="M82" s="12"/>
      <c r="N82" s="33"/>
    </row>
    <row r="83" spans="1:14">
      <c r="A83" s="30" t="s">
        <v>1034</v>
      </c>
      <c r="B83" s="57" t="s">
        <v>884</v>
      </c>
      <c r="C83" s="8" t="s">
        <v>885</v>
      </c>
      <c r="D83" s="18" t="s">
        <v>913</v>
      </c>
      <c r="E83" s="39" t="s">
        <v>859</v>
      </c>
      <c r="F83" s="5"/>
      <c r="G83" s="9" t="s">
        <v>887</v>
      </c>
      <c r="H83" s="9" t="s">
        <v>888</v>
      </c>
      <c r="I83" s="5"/>
      <c r="J83" s="18"/>
      <c r="K83" s="9"/>
      <c r="L83" s="9"/>
      <c r="M83" s="12"/>
      <c r="N83" s="33"/>
    </row>
    <row r="84" spans="1:14">
      <c r="A84" s="30" t="s">
        <v>1035</v>
      </c>
      <c r="B84" s="57" t="s">
        <v>884</v>
      </c>
      <c r="C84" s="8" t="s">
        <v>885</v>
      </c>
      <c r="D84" s="18" t="s">
        <v>913</v>
      </c>
      <c r="E84" s="39" t="s">
        <v>861</v>
      </c>
      <c r="F84" s="5"/>
      <c r="G84" s="9" t="s">
        <v>890</v>
      </c>
      <c r="H84" s="9" t="s">
        <v>888</v>
      </c>
      <c r="I84" s="5"/>
      <c r="J84" s="18"/>
      <c r="K84" s="9"/>
      <c r="L84" s="9"/>
      <c r="M84" s="12"/>
      <c r="N84" s="33"/>
    </row>
    <row r="85" spans="1:14">
      <c r="A85" s="30" t="s">
        <v>1036</v>
      </c>
      <c r="B85" s="57" t="s">
        <v>884</v>
      </c>
      <c r="C85" s="8" t="s">
        <v>885</v>
      </c>
      <c r="D85" s="18" t="s">
        <v>913</v>
      </c>
      <c r="E85" s="39" t="s">
        <v>862</v>
      </c>
      <c r="F85" s="5"/>
      <c r="G85" s="9" t="s">
        <v>890</v>
      </c>
      <c r="H85" s="9" t="s">
        <v>888</v>
      </c>
      <c r="I85" s="5"/>
      <c r="J85" s="18"/>
      <c r="K85" s="9"/>
      <c r="L85" s="9"/>
      <c r="M85" s="12"/>
      <c r="N85" s="33"/>
    </row>
    <row r="86" spans="1:14">
      <c r="A86" s="30" t="s">
        <v>1037</v>
      </c>
      <c r="B86" s="57" t="s">
        <v>884</v>
      </c>
      <c r="C86" s="8" t="s">
        <v>885</v>
      </c>
      <c r="D86" s="18" t="s">
        <v>913</v>
      </c>
      <c r="E86" s="39" t="s">
        <v>863</v>
      </c>
      <c r="F86" s="5"/>
      <c r="G86" s="9" t="s">
        <v>890</v>
      </c>
      <c r="H86" s="9" t="s">
        <v>888</v>
      </c>
      <c r="I86" s="5"/>
      <c r="J86" s="18"/>
      <c r="K86" s="9"/>
      <c r="L86" s="9"/>
      <c r="M86" s="12"/>
      <c r="N86" s="33"/>
    </row>
    <row r="87" spans="1:14">
      <c r="A87" s="30" t="s">
        <v>1038</v>
      </c>
      <c r="B87" s="57" t="s">
        <v>884</v>
      </c>
      <c r="C87" s="8" t="s">
        <v>885</v>
      </c>
      <c r="D87" s="18" t="s">
        <v>913</v>
      </c>
      <c r="E87" s="39" t="s">
        <v>864</v>
      </c>
      <c r="F87" s="5"/>
      <c r="G87" s="9" t="s">
        <v>890</v>
      </c>
      <c r="H87" s="9" t="s">
        <v>888</v>
      </c>
      <c r="I87" s="5"/>
      <c r="J87" s="18"/>
      <c r="K87" s="9"/>
      <c r="L87" s="9"/>
      <c r="M87" s="12"/>
      <c r="N87" s="33"/>
    </row>
    <row r="88" spans="1:14">
      <c r="A88" s="30" t="s">
        <v>1039</v>
      </c>
      <c r="B88" s="57" t="s">
        <v>884</v>
      </c>
      <c r="C88" s="8" t="s">
        <v>885</v>
      </c>
      <c r="D88" s="18" t="s">
        <v>913</v>
      </c>
      <c r="E88" s="39" t="s">
        <v>865</v>
      </c>
      <c r="F88" s="5"/>
      <c r="G88" s="9" t="s">
        <v>890</v>
      </c>
      <c r="H88" s="9" t="s">
        <v>888</v>
      </c>
      <c r="I88" s="5"/>
      <c r="J88" s="18"/>
      <c r="K88" s="9"/>
      <c r="L88" s="9"/>
      <c r="M88" s="12"/>
      <c r="N88" s="33"/>
    </row>
    <row r="89" spans="1:14">
      <c r="A89" s="30" t="s">
        <v>1040</v>
      </c>
      <c r="B89" s="57" t="s">
        <v>884</v>
      </c>
      <c r="C89" s="8" t="s">
        <v>885</v>
      </c>
      <c r="D89" s="18" t="s">
        <v>913</v>
      </c>
      <c r="E89" s="39" t="s">
        <v>892</v>
      </c>
      <c r="F89" s="5"/>
      <c r="G89" s="9" t="s">
        <v>890</v>
      </c>
      <c r="H89" s="9" t="s">
        <v>888</v>
      </c>
      <c r="I89" s="5"/>
      <c r="J89" s="18"/>
      <c r="K89" s="9"/>
      <c r="L89" s="9"/>
      <c r="M89" s="12"/>
      <c r="N89" s="33"/>
    </row>
    <row r="90" spans="1:14">
      <c r="A90" s="30" t="s">
        <v>1041</v>
      </c>
      <c r="B90" s="57" t="s">
        <v>884</v>
      </c>
      <c r="C90" s="8" t="s">
        <v>885</v>
      </c>
      <c r="D90" s="18" t="s">
        <v>913</v>
      </c>
      <c r="E90" s="39" t="s">
        <v>893</v>
      </c>
      <c r="F90" s="5"/>
      <c r="G90" s="9" t="s">
        <v>887</v>
      </c>
      <c r="H90" s="9" t="s">
        <v>891</v>
      </c>
      <c r="I90" s="5"/>
      <c r="J90" s="18"/>
      <c r="K90" s="9"/>
      <c r="L90" s="9"/>
      <c r="M90" s="12"/>
      <c r="N90" s="33"/>
    </row>
    <row r="91" spans="1:14">
      <c r="A91" s="30" t="s">
        <v>1042</v>
      </c>
      <c r="B91" s="57" t="s">
        <v>884</v>
      </c>
      <c r="C91" s="8" t="s">
        <v>885</v>
      </c>
      <c r="D91" s="18" t="s">
        <v>913</v>
      </c>
      <c r="E91" s="39" t="s">
        <v>896</v>
      </c>
      <c r="F91" s="5"/>
      <c r="G91" s="9" t="s">
        <v>887</v>
      </c>
      <c r="H91" s="9" t="s">
        <v>891</v>
      </c>
      <c r="I91" s="5"/>
      <c r="J91" s="18"/>
      <c r="K91" s="9"/>
      <c r="L91" s="9"/>
      <c r="M91" s="12"/>
      <c r="N91" s="33"/>
    </row>
    <row r="92" spans="1:14">
      <c r="A92" s="30" t="s">
        <v>1043</v>
      </c>
      <c r="B92" s="57" t="s">
        <v>884</v>
      </c>
      <c r="C92" s="8" t="s">
        <v>885</v>
      </c>
      <c r="D92" s="18" t="s">
        <v>913</v>
      </c>
      <c r="E92" s="39" t="s">
        <v>897</v>
      </c>
      <c r="F92" s="5"/>
      <c r="G92" s="9" t="s">
        <v>887</v>
      </c>
      <c r="H92" s="9" t="s">
        <v>891</v>
      </c>
      <c r="I92" s="5"/>
      <c r="J92" s="18"/>
      <c r="K92" s="9"/>
      <c r="L92" s="9"/>
      <c r="M92" s="12"/>
      <c r="N92" s="33"/>
    </row>
    <row r="93" spans="1:14">
      <c r="A93" s="30" t="s">
        <v>1044</v>
      </c>
      <c r="B93" s="57" t="s">
        <v>884</v>
      </c>
      <c r="C93" s="8" t="s">
        <v>885</v>
      </c>
      <c r="D93" s="18" t="s">
        <v>913</v>
      </c>
      <c r="E93" s="39" t="s">
        <v>898</v>
      </c>
      <c r="F93" s="5"/>
      <c r="G93" s="9" t="s">
        <v>890</v>
      </c>
      <c r="H93" s="9" t="s">
        <v>888</v>
      </c>
      <c r="I93" s="5"/>
      <c r="J93" s="18"/>
      <c r="K93" s="9"/>
      <c r="L93" s="9"/>
      <c r="M93" s="12"/>
      <c r="N93" s="33"/>
    </row>
    <row r="94" spans="1:14">
      <c r="A94" s="30" t="s">
        <v>1045</v>
      </c>
      <c r="B94" s="57" t="s">
        <v>884</v>
      </c>
      <c r="C94" s="8" t="s">
        <v>885</v>
      </c>
      <c r="D94" s="18" t="s">
        <v>913</v>
      </c>
      <c r="E94" s="39" t="s">
        <v>899</v>
      </c>
      <c r="F94" s="5"/>
      <c r="G94" s="9" t="s">
        <v>890</v>
      </c>
      <c r="H94" s="9" t="s">
        <v>888</v>
      </c>
      <c r="I94" s="5"/>
      <c r="J94" s="18"/>
      <c r="K94" s="9"/>
      <c r="L94" s="9"/>
      <c r="M94" s="12"/>
      <c r="N94" s="33"/>
    </row>
    <row r="95" spans="1:14">
      <c r="A95" s="30" t="s">
        <v>1046</v>
      </c>
      <c r="B95" s="57" t="s">
        <v>884</v>
      </c>
      <c r="C95" s="8" t="s">
        <v>885</v>
      </c>
      <c r="D95" s="18" t="s">
        <v>913</v>
      </c>
      <c r="E95" s="39" t="s">
        <v>900</v>
      </c>
      <c r="F95" s="5"/>
      <c r="G95" s="9" t="s">
        <v>890</v>
      </c>
      <c r="H95" s="9" t="s">
        <v>888</v>
      </c>
      <c r="I95" s="5"/>
      <c r="J95" s="18"/>
      <c r="K95" s="9"/>
      <c r="L95" s="9"/>
      <c r="M95" s="12"/>
      <c r="N95" s="33"/>
    </row>
    <row r="96" spans="1:14">
      <c r="A96" s="30" t="s">
        <v>1047</v>
      </c>
      <c r="B96" s="57" t="s">
        <v>884</v>
      </c>
      <c r="C96" s="8" t="s">
        <v>885</v>
      </c>
      <c r="D96" s="18" t="s">
        <v>913</v>
      </c>
      <c r="E96" s="39" t="s">
        <v>901</v>
      </c>
      <c r="F96" s="5"/>
      <c r="G96" s="9" t="s">
        <v>890</v>
      </c>
      <c r="H96" s="9" t="s">
        <v>891</v>
      </c>
      <c r="I96" s="5"/>
      <c r="J96" s="18"/>
      <c r="K96" s="9"/>
      <c r="L96" s="9"/>
      <c r="M96" s="12"/>
      <c r="N96" s="33"/>
    </row>
    <row r="97" spans="1:14">
      <c r="A97" s="30" t="s">
        <v>1048</v>
      </c>
      <c r="B97" s="57" t="s">
        <v>884</v>
      </c>
      <c r="C97" s="8" t="s">
        <v>885</v>
      </c>
      <c r="D97" s="18" t="s">
        <v>913</v>
      </c>
      <c r="E97" s="39" t="s">
        <v>902</v>
      </c>
      <c r="F97" s="5"/>
      <c r="G97" s="9" t="s">
        <v>890</v>
      </c>
      <c r="H97" s="9" t="s">
        <v>888</v>
      </c>
      <c r="I97" s="5"/>
      <c r="J97" s="18"/>
      <c r="K97" s="9"/>
      <c r="L97" s="9"/>
      <c r="M97" s="12"/>
      <c r="N97" s="33"/>
    </row>
    <row r="98" spans="1:14">
      <c r="A98" s="30" t="s">
        <v>1049</v>
      </c>
      <c r="B98" s="57" t="s">
        <v>884</v>
      </c>
      <c r="C98" s="8" t="s">
        <v>885</v>
      </c>
      <c r="D98" s="18" t="s">
        <v>913</v>
      </c>
      <c r="E98" s="39" t="s">
        <v>903</v>
      </c>
      <c r="F98" s="5"/>
      <c r="G98" s="9" t="s">
        <v>890</v>
      </c>
      <c r="H98" s="9" t="s">
        <v>888</v>
      </c>
      <c r="I98" s="5"/>
      <c r="J98" s="18"/>
      <c r="K98" s="9"/>
      <c r="L98" s="9"/>
      <c r="M98" s="12"/>
      <c r="N98" s="33"/>
    </row>
    <row r="99" spans="1:14">
      <c r="A99" s="30" t="s">
        <v>1050</v>
      </c>
      <c r="B99" s="57" t="s">
        <v>884</v>
      </c>
      <c r="C99" s="8" t="s">
        <v>885</v>
      </c>
      <c r="D99" s="18" t="s">
        <v>913</v>
      </c>
      <c r="E99" s="39" t="s">
        <v>904</v>
      </c>
      <c r="F99" s="5"/>
      <c r="G99" s="9" t="s">
        <v>890</v>
      </c>
      <c r="H99" s="9" t="s">
        <v>888</v>
      </c>
      <c r="I99" s="5"/>
      <c r="J99" s="18"/>
      <c r="K99" s="9"/>
      <c r="L99" s="9"/>
      <c r="M99" s="12"/>
      <c r="N99" s="33"/>
    </row>
    <row r="100" spans="1:14">
      <c r="A100" s="30" t="s">
        <v>1051</v>
      </c>
      <c r="B100" s="57" t="s">
        <v>884</v>
      </c>
      <c r="C100" s="8" t="s">
        <v>885</v>
      </c>
      <c r="D100" s="18" t="s">
        <v>913</v>
      </c>
      <c r="E100" s="39" t="s">
        <v>906</v>
      </c>
      <c r="F100" s="5"/>
      <c r="G100" s="9" t="s">
        <v>887</v>
      </c>
      <c r="H100" s="9" t="s">
        <v>888</v>
      </c>
      <c r="I100" s="5"/>
      <c r="J100" s="18"/>
      <c r="K100" s="9"/>
      <c r="L100" s="9"/>
      <c r="M100" s="12"/>
      <c r="N100" s="33"/>
    </row>
    <row r="101" spans="1:14">
      <c r="A101" s="30" t="s">
        <v>1052</v>
      </c>
      <c r="B101" s="57" t="s">
        <v>884</v>
      </c>
      <c r="C101" s="8" t="s">
        <v>885</v>
      </c>
      <c r="D101" s="18" t="s">
        <v>913</v>
      </c>
      <c r="E101" s="39" t="s">
        <v>907</v>
      </c>
      <c r="F101" s="5"/>
      <c r="G101" s="9" t="s">
        <v>887</v>
      </c>
      <c r="H101" s="9" t="s">
        <v>891</v>
      </c>
      <c r="I101" s="5"/>
      <c r="J101" s="18"/>
      <c r="K101" s="9"/>
      <c r="L101" s="9"/>
      <c r="M101" s="12"/>
      <c r="N101" s="33"/>
    </row>
    <row r="102" spans="1:14">
      <c r="A102" s="30" t="s">
        <v>1053</v>
      </c>
      <c r="B102" s="57" t="s">
        <v>884</v>
      </c>
      <c r="C102" s="8" t="s">
        <v>885</v>
      </c>
      <c r="D102" s="18" t="s">
        <v>913</v>
      </c>
      <c r="E102" s="39" t="s">
        <v>908</v>
      </c>
      <c r="F102" s="5"/>
      <c r="G102" s="9" t="s">
        <v>890</v>
      </c>
      <c r="H102" s="9" t="s">
        <v>888</v>
      </c>
      <c r="I102" s="5"/>
      <c r="J102" s="18"/>
      <c r="K102" s="9"/>
      <c r="L102" s="9"/>
      <c r="M102" s="12"/>
      <c r="N102" s="33"/>
    </row>
    <row r="103" spans="1:14">
      <c r="A103" s="30" t="s">
        <v>1054</v>
      </c>
      <c r="B103" s="57" t="s">
        <v>884</v>
      </c>
      <c r="C103" s="8" t="s">
        <v>885</v>
      </c>
      <c r="D103" s="18" t="s">
        <v>913</v>
      </c>
      <c r="E103" s="39" t="s">
        <v>909</v>
      </c>
      <c r="F103" s="5"/>
      <c r="G103" s="9" t="s">
        <v>887</v>
      </c>
      <c r="H103" s="9" t="s">
        <v>891</v>
      </c>
      <c r="I103" s="5"/>
      <c r="J103" s="18"/>
      <c r="K103" s="9"/>
      <c r="L103" s="9"/>
      <c r="M103" s="12"/>
      <c r="N103" s="33"/>
    </row>
    <row r="104" spans="1:14">
      <c r="A104" s="30" t="s">
        <v>1055</v>
      </c>
      <c r="B104" s="57" t="s">
        <v>884</v>
      </c>
      <c r="C104" s="8" t="s">
        <v>885</v>
      </c>
      <c r="D104" s="18" t="s">
        <v>913</v>
      </c>
      <c r="E104" s="39" t="s">
        <v>910</v>
      </c>
      <c r="F104" s="5"/>
      <c r="G104" s="9" t="s">
        <v>890</v>
      </c>
      <c r="H104" s="9" t="s">
        <v>888</v>
      </c>
      <c r="I104" s="5"/>
      <c r="J104" s="18"/>
      <c r="K104" s="9"/>
      <c r="L104" s="9"/>
      <c r="M104" s="12"/>
      <c r="N104" s="33"/>
    </row>
    <row r="105" spans="1:14">
      <c r="A105" s="30" t="s">
        <v>1056</v>
      </c>
      <c r="B105" s="57" t="s">
        <v>884</v>
      </c>
      <c r="C105" s="8" t="s">
        <v>914</v>
      </c>
      <c r="D105" s="18" t="s">
        <v>886</v>
      </c>
      <c r="E105" s="39" t="s">
        <v>854</v>
      </c>
      <c r="F105" s="5"/>
      <c r="G105" s="9" t="s">
        <v>894</v>
      </c>
      <c r="H105" s="9" t="s">
        <v>895</v>
      </c>
      <c r="I105" s="5"/>
      <c r="J105" s="18"/>
      <c r="K105" s="9"/>
      <c r="L105" s="9"/>
      <c r="M105" s="12"/>
      <c r="N105" s="33"/>
    </row>
    <row r="106" spans="1:14">
      <c r="A106" s="30" t="s">
        <v>1057</v>
      </c>
      <c r="B106" s="57" t="s">
        <v>884</v>
      </c>
      <c r="C106" s="8" t="s">
        <v>914</v>
      </c>
      <c r="D106" s="18" t="s">
        <v>886</v>
      </c>
      <c r="E106" s="39" t="s">
        <v>858</v>
      </c>
      <c r="F106" s="5"/>
      <c r="G106" s="9" t="s">
        <v>890</v>
      </c>
      <c r="H106" s="9" t="s">
        <v>891</v>
      </c>
      <c r="I106" s="5"/>
      <c r="J106" s="18"/>
      <c r="K106" s="9"/>
      <c r="L106" s="9"/>
      <c r="M106" s="12"/>
      <c r="N106" s="33"/>
    </row>
    <row r="107" spans="1:14">
      <c r="A107" s="30" t="s">
        <v>1058</v>
      </c>
      <c r="B107" s="57" t="s">
        <v>884</v>
      </c>
      <c r="C107" s="8" t="s">
        <v>914</v>
      </c>
      <c r="D107" s="18" t="s">
        <v>886</v>
      </c>
      <c r="E107" s="39" t="s">
        <v>859</v>
      </c>
      <c r="F107" s="5"/>
      <c r="G107" s="9" t="s">
        <v>890</v>
      </c>
      <c r="H107" s="9" t="s">
        <v>891</v>
      </c>
      <c r="I107" s="5"/>
      <c r="J107" s="18"/>
      <c r="K107" s="9"/>
      <c r="L107" s="9"/>
      <c r="M107" s="12"/>
      <c r="N107" s="33"/>
    </row>
    <row r="108" spans="1:14">
      <c r="A108" s="30" t="s">
        <v>1059</v>
      </c>
      <c r="B108" s="57" t="s">
        <v>884</v>
      </c>
      <c r="C108" s="8" t="s">
        <v>914</v>
      </c>
      <c r="D108" s="18" t="s">
        <v>889</v>
      </c>
      <c r="E108" s="39" t="s">
        <v>854</v>
      </c>
      <c r="F108" s="5"/>
      <c r="G108" s="9" t="s">
        <v>894</v>
      </c>
      <c r="H108" s="9" t="s">
        <v>895</v>
      </c>
      <c r="I108" s="5"/>
      <c r="J108" s="18"/>
      <c r="K108" s="9"/>
      <c r="L108" s="9"/>
      <c r="M108" s="12"/>
      <c r="N108" s="33"/>
    </row>
    <row r="109" spans="1:14">
      <c r="A109" s="30" t="s">
        <v>1060</v>
      </c>
      <c r="B109" s="57" t="s">
        <v>884</v>
      </c>
      <c r="C109" s="8" t="s">
        <v>914</v>
      </c>
      <c r="D109" s="18" t="s">
        <v>889</v>
      </c>
      <c r="E109" s="39" t="s">
        <v>858</v>
      </c>
      <c r="F109" s="5"/>
      <c r="G109" s="9" t="s">
        <v>890</v>
      </c>
      <c r="H109" s="9" t="s">
        <v>888</v>
      </c>
      <c r="I109" s="5"/>
      <c r="J109" s="18"/>
      <c r="K109" s="9"/>
      <c r="L109" s="9"/>
      <c r="M109" s="12"/>
      <c r="N109" s="33"/>
    </row>
    <row r="110" spans="1:14">
      <c r="A110" s="30" t="s">
        <v>1061</v>
      </c>
      <c r="B110" s="57" t="s">
        <v>884</v>
      </c>
      <c r="C110" s="8" t="s">
        <v>914</v>
      </c>
      <c r="D110" s="18" t="s">
        <v>889</v>
      </c>
      <c r="E110" s="39" t="s">
        <v>859</v>
      </c>
      <c r="F110" s="5"/>
      <c r="G110" s="9" t="s">
        <v>890</v>
      </c>
      <c r="H110" s="9" t="s">
        <v>888</v>
      </c>
      <c r="I110" s="5"/>
      <c r="J110" s="18"/>
      <c r="K110" s="9"/>
      <c r="L110" s="9"/>
      <c r="M110" s="12"/>
      <c r="N110" s="33"/>
    </row>
    <row r="111" spans="1:14">
      <c r="A111" s="30" t="s">
        <v>1062</v>
      </c>
      <c r="B111" s="57" t="s">
        <v>884</v>
      </c>
      <c r="C111" s="8" t="s">
        <v>914</v>
      </c>
      <c r="D111" s="18" t="s">
        <v>889</v>
      </c>
      <c r="E111" s="39" t="s">
        <v>861</v>
      </c>
      <c r="F111" s="5"/>
      <c r="G111" s="9" t="s">
        <v>890</v>
      </c>
      <c r="H111" s="9" t="s">
        <v>891</v>
      </c>
      <c r="I111" s="5"/>
      <c r="J111" s="18"/>
      <c r="K111" s="9"/>
      <c r="L111" s="9"/>
      <c r="M111" s="12"/>
      <c r="N111" s="33"/>
    </row>
    <row r="112" spans="1:14">
      <c r="A112" s="30" t="s">
        <v>1063</v>
      </c>
      <c r="B112" s="57" t="s">
        <v>884</v>
      </c>
      <c r="C112" s="8" t="s">
        <v>914</v>
      </c>
      <c r="D112" s="18" t="s">
        <v>889</v>
      </c>
      <c r="E112" s="39" t="s">
        <v>862</v>
      </c>
      <c r="F112" s="5"/>
      <c r="G112" s="9" t="s">
        <v>890</v>
      </c>
      <c r="H112" s="9" t="s">
        <v>891</v>
      </c>
      <c r="I112" s="5"/>
      <c r="J112" s="18"/>
      <c r="K112" s="9"/>
      <c r="L112" s="9"/>
      <c r="M112" s="12"/>
      <c r="N112" s="33"/>
    </row>
    <row r="113" spans="1:14">
      <c r="A113" s="30" t="s">
        <v>1064</v>
      </c>
      <c r="B113" s="57" t="s">
        <v>884</v>
      </c>
      <c r="C113" s="8" t="s">
        <v>914</v>
      </c>
      <c r="D113" s="18" t="s">
        <v>889</v>
      </c>
      <c r="E113" s="39" t="s">
        <v>863</v>
      </c>
      <c r="F113" s="5"/>
      <c r="G113" s="9" t="s">
        <v>887</v>
      </c>
      <c r="H113" s="9" t="s">
        <v>891</v>
      </c>
      <c r="I113" s="5"/>
      <c r="J113" s="18"/>
      <c r="K113" s="9"/>
      <c r="L113" s="9"/>
      <c r="M113" s="12"/>
      <c r="N113" s="33"/>
    </row>
    <row r="114" spans="1:14">
      <c r="A114" s="30" t="s">
        <v>1065</v>
      </c>
      <c r="B114" s="57" t="s">
        <v>884</v>
      </c>
      <c r="C114" s="8" t="s">
        <v>914</v>
      </c>
      <c r="D114" s="18" t="s">
        <v>889</v>
      </c>
      <c r="E114" s="39" t="s">
        <v>864</v>
      </c>
      <c r="F114" s="5"/>
      <c r="G114" s="9" t="s">
        <v>890</v>
      </c>
      <c r="H114" s="9" t="s">
        <v>891</v>
      </c>
      <c r="I114" s="5"/>
      <c r="J114" s="18"/>
      <c r="K114" s="9"/>
      <c r="L114" s="9"/>
      <c r="M114" s="12"/>
      <c r="N114" s="33"/>
    </row>
    <row r="115" spans="1:14">
      <c r="A115" s="30" t="s">
        <v>1066</v>
      </c>
      <c r="B115" s="57" t="s">
        <v>884</v>
      </c>
      <c r="C115" s="8" t="s">
        <v>914</v>
      </c>
      <c r="D115" s="18" t="s">
        <v>889</v>
      </c>
      <c r="E115" s="39" t="s">
        <v>865</v>
      </c>
      <c r="F115" s="5"/>
      <c r="G115" s="9" t="s">
        <v>890</v>
      </c>
      <c r="H115" s="9" t="s">
        <v>891</v>
      </c>
      <c r="I115" s="5"/>
      <c r="J115" s="18"/>
      <c r="K115" s="9"/>
      <c r="L115" s="9"/>
      <c r="M115" s="12"/>
      <c r="N115" s="33"/>
    </row>
    <row r="116" spans="1:14">
      <c r="A116" s="30" t="s">
        <v>1067</v>
      </c>
      <c r="B116" s="57" t="s">
        <v>884</v>
      </c>
      <c r="C116" s="8" t="s">
        <v>914</v>
      </c>
      <c r="D116" s="18" t="s">
        <v>889</v>
      </c>
      <c r="E116" s="39" t="s">
        <v>892</v>
      </c>
      <c r="F116" s="5"/>
      <c r="G116" s="9" t="s">
        <v>890</v>
      </c>
      <c r="H116" s="9" t="s">
        <v>888</v>
      </c>
      <c r="I116" s="5"/>
      <c r="J116" s="18"/>
      <c r="K116" s="9"/>
      <c r="L116" s="9"/>
      <c r="M116" s="12"/>
      <c r="N116" s="33"/>
    </row>
    <row r="117" spans="1:14">
      <c r="A117" s="30" t="s">
        <v>1068</v>
      </c>
      <c r="B117" s="57" t="s">
        <v>884</v>
      </c>
      <c r="C117" s="8" t="s">
        <v>914</v>
      </c>
      <c r="D117" s="18" t="s">
        <v>889</v>
      </c>
      <c r="E117" s="39" t="s">
        <v>893</v>
      </c>
      <c r="F117" s="5"/>
      <c r="G117" s="9" t="s">
        <v>894</v>
      </c>
      <c r="H117" s="9" t="s">
        <v>895</v>
      </c>
      <c r="I117" s="5"/>
      <c r="J117" s="18"/>
      <c r="K117" s="9"/>
      <c r="L117" s="9"/>
      <c r="M117" s="12"/>
      <c r="N117" s="33"/>
    </row>
    <row r="118" spans="1:14">
      <c r="A118" s="30" t="s">
        <v>1069</v>
      </c>
      <c r="B118" s="57" t="s">
        <v>884</v>
      </c>
      <c r="C118" s="8" t="s">
        <v>914</v>
      </c>
      <c r="D118" s="18" t="s">
        <v>889</v>
      </c>
      <c r="E118" s="39" t="s">
        <v>896</v>
      </c>
      <c r="F118" s="5"/>
      <c r="G118" s="9" t="s">
        <v>890</v>
      </c>
      <c r="H118" s="9" t="s">
        <v>891</v>
      </c>
      <c r="I118" s="5"/>
      <c r="J118" s="18"/>
      <c r="K118" s="9"/>
      <c r="L118" s="9"/>
      <c r="M118" s="12"/>
      <c r="N118" s="33"/>
    </row>
    <row r="119" spans="1:14">
      <c r="A119" s="30" t="s">
        <v>1070</v>
      </c>
      <c r="B119" s="57" t="s">
        <v>884</v>
      </c>
      <c r="C119" s="8" t="s">
        <v>914</v>
      </c>
      <c r="D119" s="18" t="s">
        <v>889</v>
      </c>
      <c r="E119" s="39" t="s">
        <v>897</v>
      </c>
      <c r="F119" s="5"/>
      <c r="G119" s="9" t="s">
        <v>890</v>
      </c>
      <c r="H119" s="9" t="s">
        <v>888</v>
      </c>
      <c r="I119" s="5"/>
      <c r="J119" s="18"/>
      <c r="K119" s="9"/>
      <c r="L119" s="9"/>
      <c r="M119" s="12"/>
      <c r="N119" s="33"/>
    </row>
    <row r="120" spans="1:14">
      <c r="A120" s="30" t="s">
        <v>1071</v>
      </c>
      <c r="B120" s="57" t="s">
        <v>884</v>
      </c>
      <c r="C120" s="8" t="s">
        <v>914</v>
      </c>
      <c r="D120" s="18" t="s">
        <v>889</v>
      </c>
      <c r="E120" s="39" t="s">
        <v>898</v>
      </c>
      <c r="F120" s="5"/>
      <c r="G120" s="9" t="s">
        <v>887</v>
      </c>
      <c r="H120" s="9" t="s">
        <v>891</v>
      </c>
      <c r="I120" s="5"/>
      <c r="J120" s="18"/>
      <c r="K120" s="9"/>
      <c r="L120" s="9"/>
      <c r="M120" s="12"/>
      <c r="N120" s="33"/>
    </row>
    <row r="121" spans="1:14">
      <c r="A121" s="30" t="s">
        <v>1072</v>
      </c>
      <c r="B121" s="57" t="s">
        <v>884</v>
      </c>
      <c r="C121" s="8" t="s">
        <v>914</v>
      </c>
      <c r="D121" s="18" t="s">
        <v>889</v>
      </c>
      <c r="E121" s="39" t="s">
        <v>899</v>
      </c>
      <c r="F121" s="5"/>
      <c r="G121" s="9" t="s">
        <v>894</v>
      </c>
      <c r="H121" s="9" t="s">
        <v>895</v>
      </c>
      <c r="I121" s="5"/>
      <c r="J121" s="18"/>
      <c r="K121" s="9"/>
      <c r="L121" s="9"/>
      <c r="M121" s="12"/>
      <c r="N121" s="33"/>
    </row>
    <row r="122" spans="1:14">
      <c r="A122" s="30" t="s">
        <v>1073</v>
      </c>
      <c r="B122" s="57" t="s">
        <v>884</v>
      </c>
      <c r="C122" s="8" t="s">
        <v>914</v>
      </c>
      <c r="D122" s="18" t="s">
        <v>889</v>
      </c>
      <c r="E122" s="39" t="s">
        <v>900</v>
      </c>
      <c r="F122" s="5"/>
      <c r="G122" s="9" t="s">
        <v>894</v>
      </c>
      <c r="H122" s="9" t="s">
        <v>895</v>
      </c>
      <c r="I122" s="5"/>
      <c r="J122" s="18"/>
      <c r="K122" s="9"/>
      <c r="L122" s="9"/>
      <c r="M122" s="12"/>
      <c r="N122" s="33"/>
    </row>
    <row r="123" spans="1:14">
      <c r="A123" s="30" t="s">
        <v>1074</v>
      </c>
      <c r="B123" s="57" t="s">
        <v>884</v>
      </c>
      <c r="C123" s="8" t="s">
        <v>914</v>
      </c>
      <c r="D123" s="18" t="s">
        <v>889</v>
      </c>
      <c r="E123" s="39" t="s">
        <v>901</v>
      </c>
      <c r="F123" s="5"/>
      <c r="G123" s="9" t="s">
        <v>890</v>
      </c>
      <c r="H123" s="9" t="s">
        <v>891</v>
      </c>
      <c r="I123" s="5"/>
      <c r="J123" s="18"/>
      <c r="K123" s="9"/>
      <c r="L123" s="9"/>
      <c r="M123" s="12"/>
      <c r="N123" s="33"/>
    </row>
    <row r="124" spans="1:14">
      <c r="A124" s="30" t="s">
        <v>1075</v>
      </c>
      <c r="B124" s="57" t="s">
        <v>884</v>
      </c>
      <c r="C124" s="8" t="s">
        <v>914</v>
      </c>
      <c r="D124" s="18" t="s">
        <v>889</v>
      </c>
      <c r="E124" s="39" t="s">
        <v>902</v>
      </c>
      <c r="F124" s="5"/>
      <c r="G124" s="9" t="s">
        <v>887</v>
      </c>
      <c r="H124" s="9" t="s">
        <v>905</v>
      </c>
      <c r="I124" s="5"/>
      <c r="J124" s="18"/>
      <c r="K124" s="9"/>
      <c r="L124" s="9"/>
      <c r="M124" s="12"/>
      <c r="N124" s="33"/>
    </row>
    <row r="125" spans="1:14">
      <c r="A125" s="30" t="s">
        <v>1076</v>
      </c>
      <c r="B125" s="57" t="s">
        <v>884</v>
      </c>
      <c r="C125" s="8" t="s">
        <v>914</v>
      </c>
      <c r="D125" s="18" t="s">
        <v>889</v>
      </c>
      <c r="E125" s="39" t="s">
        <v>903</v>
      </c>
      <c r="F125" s="5"/>
      <c r="G125" s="9" t="s">
        <v>890</v>
      </c>
      <c r="H125" s="9" t="s">
        <v>888</v>
      </c>
      <c r="I125" s="5"/>
      <c r="J125" s="18"/>
      <c r="K125" s="9"/>
      <c r="L125" s="9"/>
      <c r="M125" s="12"/>
      <c r="N125" s="33"/>
    </row>
    <row r="126" spans="1:14">
      <c r="A126" s="30" t="s">
        <v>1077</v>
      </c>
      <c r="B126" s="57" t="s">
        <v>884</v>
      </c>
      <c r="C126" s="8" t="s">
        <v>914</v>
      </c>
      <c r="D126" s="18" t="s">
        <v>889</v>
      </c>
      <c r="E126" s="39" t="s">
        <v>904</v>
      </c>
      <c r="F126" s="5"/>
      <c r="G126" s="9" t="s">
        <v>890</v>
      </c>
      <c r="H126" s="9" t="s">
        <v>891</v>
      </c>
      <c r="I126" s="5"/>
      <c r="J126" s="18"/>
      <c r="K126" s="9"/>
      <c r="L126" s="9"/>
      <c r="M126" s="12"/>
      <c r="N126" s="33"/>
    </row>
    <row r="127" spans="1:14">
      <c r="A127" s="30" t="s">
        <v>1078</v>
      </c>
      <c r="B127" s="57" t="s">
        <v>884</v>
      </c>
      <c r="C127" s="8" t="s">
        <v>914</v>
      </c>
      <c r="D127" s="18" t="s">
        <v>889</v>
      </c>
      <c r="E127" s="39" t="s">
        <v>906</v>
      </c>
      <c r="F127" s="5"/>
      <c r="G127" s="9" t="s">
        <v>890</v>
      </c>
      <c r="H127" s="9" t="s">
        <v>891</v>
      </c>
      <c r="I127" s="5"/>
      <c r="J127" s="18"/>
      <c r="K127" s="9"/>
      <c r="L127" s="9"/>
      <c r="M127" s="12"/>
      <c r="N127" s="33"/>
    </row>
    <row r="128" spans="1:14">
      <c r="A128" s="30" t="s">
        <v>1079</v>
      </c>
      <c r="B128" s="57" t="s">
        <v>884</v>
      </c>
      <c r="C128" s="8" t="s">
        <v>914</v>
      </c>
      <c r="D128" s="18" t="s">
        <v>889</v>
      </c>
      <c r="E128" s="39" t="s">
        <v>907</v>
      </c>
      <c r="F128" s="5"/>
      <c r="G128" s="9" t="s">
        <v>894</v>
      </c>
      <c r="H128" s="9" t="s">
        <v>895</v>
      </c>
      <c r="I128" s="5"/>
      <c r="J128" s="18"/>
      <c r="K128" s="9"/>
      <c r="L128" s="9"/>
      <c r="M128" s="12"/>
      <c r="N128" s="33"/>
    </row>
    <row r="129" spans="1:14">
      <c r="A129" s="30" t="s">
        <v>1080</v>
      </c>
      <c r="B129" s="57" t="s">
        <v>884</v>
      </c>
      <c r="C129" s="8" t="s">
        <v>914</v>
      </c>
      <c r="D129" s="18" t="s">
        <v>889</v>
      </c>
      <c r="E129" s="39" t="s">
        <v>908</v>
      </c>
      <c r="F129" s="5"/>
      <c r="G129" s="9" t="s">
        <v>890</v>
      </c>
      <c r="H129" s="9" t="s">
        <v>891</v>
      </c>
      <c r="I129" s="5"/>
      <c r="J129" s="18"/>
      <c r="K129" s="9"/>
      <c r="L129" s="9"/>
      <c r="M129" s="12"/>
      <c r="N129" s="33"/>
    </row>
    <row r="130" spans="1:14">
      <c r="A130" s="30" t="s">
        <v>1081</v>
      </c>
      <c r="B130" s="57" t="s">
        <v>884</v>
      </c>
      <c r="C130" s="8" t="s">
        <v>914</v>
      </c>
      <c r="D130" s="18" t="s">
        <v>889</v>
      </c>
      <c r="E130" s="39" t="s">
        <v>909</v>
      </c>
      <c r="F130" s="5"/>
      <c r="G130" s="9" t="s">
        <v>890</v>
      </c>
      <c r="H130" s="9" t="s">
        <v>891</v>
      </c>
      <c r="I130" s="5"/>
      <c r="J130" s="18"/>
      <c r="K130" s="9"/>
      <c r="L130" s="9"/>
      <c r="M130" s="12"/>
      <c r="N130" s="33"/>
    </row>
    <row r="131" spans="1:14">
      <c r="A131" s="30" t="s">
        <v>1082</v>
      </c>
      <c r="B131" s="57" t="s">
        <v>884</v>
      </c>
      <c r="C131" s="8" t="s">
        <v>914</v>
      </c>
      <c r="D131" s="18" t="s">
        <v>889</v>
      </c>
      <c r="E131" s="39" t="s">
        <v>910</v>
      </c>
      <c r="F131" s="5"/>
      <c r="G131" s="9" t="s">
        <v>890</v>
      </c>
      <c r="H131" s="9" t="s">
        <v>895</v>
      </c>
      <c r="I131" s="5"/>
      <c r="J131" s="18"/>
      <c r="K131" s="9"/>
      <c r="L131" s="9"/>
      <c r="M131" s="12"/>
      <c r="N131" s="33"/>
    </row>
    <row r="132" spans="1:14">
      <c r="A132" s="30" t="s">
        <v>1083</v>
      </c>
      <c r="B132" s="57" t="s">
        <v>884</v>
      </c>
      <c r="C132" s="8" t="s">
        <v>914</v>
      </c>
      <c r="D132" s="18" t="s">
        <v>911</v>
      </c>
      <c r="E132" s="39" t="s">
        <v>854</v>
      </c>
      <c r="F132" s="5"/>
      <c r="G132" s="9" t="s">
        <v>890</v>
      </c>
      <c r="H132" s="9" t="s">
        <v>888</v>
      </c>
      <c r="I132" s="5"/>
      <c r="J132" s="18"/>
      <c r="K132" s="9"/>
      <c r="L132" s="9"/>
      <c r="M132" s="12"/>
      <c r="N132" s="33"/>
    </row>
    <row r="133" spans="1:14">
      <c r="A133" s="30" t="s">
        <v>1084</v>
      </c>
      <c r="B133" s="57" t="s">
        <v>884</v>
      </c>
      <c r="C133" s="8" t="s">
        <v>914</v>
      </c>
      <c r="D133" s="18" t="s">
        <v>911</v>
      </c>
      <c r="E133" s="39" t="s">
        <v>858</v>
      </c>
      <c r="F133" s="5"/>
      <c r="G133" s="9" t="s">
        <v>890</v>
      </c>
      <c r="H133" s="9" t="s">
        <v>891</v>
      </c>
      <c r="I133" s="5"/>
      <c r="J133" s="18"/>
      <c r="K133" s="9"/>
      <c r="L133" s="9"/>
      <c r="M133" s="12"/>
      <c r="N133" s="33"/>
    </row>
    <row r="134" spans="1:14">
      <c r="A134" s="30" t="s">
        <v>1085</v>
      </c>
      <c r="B134" s="57" t="s">
        <v>884</v>
      </c>
      <c r="C134" s="8" t="s">
        <v>914</v>
      </c>
      <c r="D134" s="18" t="s">
        <v>911</v>
      </c>
      <c r="E134" s="39" t="s">
        <v>859</v>
      </c>
      <c r="F134" s="5"/>
      <c r="G134" s="9" t="s">
        <v>890</v>
      </c>
      <c r="H134" s="9" t="s">
        <v>891</v>
      </c>
      <c r="I134" s="5"/>
      <c r="J134" s="18"/>
      <c r="K134" s="9"/>
      <c r="L134" s="9"/>
      <c r="M134" s="12"/>
      <c r="N134" s="33"/>
    </row>
    <row r="135" spans="1:14">
      <c r="A135" s="30" t="s">
        <v>1086</v>
      </c>
      <c r="B135" s="57" t="s">
        <v>884</v>
      </c>
      <c r="C135" s="8" t="s">
        <v>914</v>
      </c>
      <c r="D135" s="18" t="s">
        <v>911</v>
      </c>
      <c r="E135" s="39" t="s">
        <v>861</v>
      </c>
      <c r="F135" s="5"/>
      <c r="G135" s="9" t="s">
        <v>890</v>
      </c>
      <c r="H135" s="9" t="s">
        <v>891</v>
      </c>
      <c r="I135" s="5"/>
      <c r="J135" s="18"/>
      <c r="K135" s="9"/>
      <c r="L135" s="9"/>
      <c r="M135" s="12"/>
      <c r="N135" s="33"/>
    </row>
    <row r="136" spans="1:14">
      <c r="A136" s="30" t="s">
        <v>1087</v>
      </c>
      <c r="B136" s="57" t="s">
        <v>884</v>
      </c>
      <c r="C136" s="8" t="s">
        <v>914</v>
      </c>
      <c r="D136" s="18" t="s">
        <v>911</v>
      </c>
      <c r="E136" s="39" t="s">
        <v>862</v>
      </c>
      <c r="F136" s="5"/>
      <c r="G136" s="9" t="s">
        <v>890</v>
      </c>
      <c r="H136" s="9" t="s">
        <v>891</v>
      </c>
      <c r="I136" s="5"/>
      <c r="J136" s="18"/>
      <c r="K136" s="9"/>
      <c r="L136" s="9"/>
      <c r="M136" s="12"/>
      <c r="N136" s="33"/>
    </row>
    <row r="137" spans="1:14">
      <c r="A137" s="30" t="s">
        <v>1088</v>
      </c>
      <c r="B137" s="57" t="s">
        <v>884</v>
      </c>
      <c r="C137" s="8" t="s">
        <v>914</v>
      </c>
      <c r="D137" s="18" t="s">
        <v>911</v>
      </c>
      <c r="E137" s="39" t="s">
        <v>863</v>
      </c>
      <c r="F137" s="5"/>
      <c r="G137" s="9" t="s">
        <v>890</v>
      </c>
      <c r="H137" s="9" t="s">
        <v>895</v>
      </c>
      <c r="I137" s="5"/>
      <c r="J137" s="18"/>
      <c r="K137" s="9"/>
      <c r="L137" s="9"/>
      <c r="M137" s="12"/>
      <c r="N137" s="33"/>
    </row>
    <row r="138" spans="1:14">
      <c r="A138" s="30" t="s">
        <v>1089</v>
      </c>
      <c r="B138" s="57" t="s">
        <v>884</v>
      </c>
      <c r="C138" s="8" t="s">
        <v>914</v>
      </c>
      <c r="D138" s="18" t="s">
        <v>911</v>
      </c>
      <c r="E138" s="39" t="s">
        <v>864</v>
      </c>
      <c r="F138" s="5"/>
      <c r="G138" s="9" t="s">
        <v>890</v>
      </c>
      <c r="H138" s="9" t="s">
        <v>891</v>
      </c>
      <c r="I138" s="5"/>
      <c r="J138" s="18"/>
      <c r="K138" s="9"/>
      <c r="L138" s="9"/>
      <c r="M138" s="12"/>
      <c r="N138" s="33"/>
    </row>
    <row r="139" spans="1:14">
      <c r="A139" s="30" t="s">
        <v>1090</v>
      </c>
      <c r="B139" s="57" t="s">
        <v>884</v>
      </c>
      <c r="C139" s="8" t="s">
        <v>914</v>
      </c>
      <c r="D139" s="18" t="s">
        <v>911</v>
      </c>
      <c r="E139" s="39" t="s">
        <v>865</v>
      </c>
      <c r="F139" s="5"/>
      <c r="G139" s="9" t="s">
        <v>890</v>
      </c>
      <c r="H139" s="9" t="s">
        <v>888</v>
      </c>
      <c r="I139" s="5"/>
      <c r="J139" s="18"/>
      <c r="K139" s="9"/>
      <c r="L139" s="9"/>
      <c r="M139" s="12"/>
      <c r="N139" s="33"/>
    </row>
    <row r="140" spans="1:14">
      <c r="A140" s="30" t="s">
        <v>1091</v>
      </c>
      <c r="B140" s="57" t="s">
        <v>884</v>
      </c>
      <c r="C140" s="8" t="s">
        <v>914</v>
      </c>
      <c r="D140" s="18" t="s">
        <v>911</v>
      </c>
      <c r="E140" s="39" t="s">
        <v>892</v>
      </c>
      <c r="F140" s="5"/>
      <c r="G140" s="9" t="s">
        <v>890</v>
      </c>
      <c r="H140" s="9" t="s">
        <v>891</v>
      </c>
      <c r="I140" s="5"/>
      <c r="J140" s="18"/>
      <c r="K140" s="9"/>
      <c r="L140" s="9"/>
      <c r="M140" s="12"/>
      <c r="N140" s="33"/>
    </row>
    <row r="141" spans="1:14">
      <c r="A141" s="30" t="s">
        <v>1092</v>
      </c>
      <c r="B141" s="57" t="s">
        <v>884</v>
      </c>
      <c r="C141" s="8" t="s">
        <v>914</v>
      </c>
      <c r="D141" s="18" t="s">
        <v>911</v>
      </c>
      <c r="E141" s="39" t="s">
        <v>893</v>
      </c>
      <c r="F141" s="5"/>
      <c r="G141" s="9" t="s">
        <v>890</v>
      </c>
      <c r="H141" s="9" t="s">
        <v>891</v>
      </c>
      <c r="I141" s="5"/>
      <c r="J141" s="18"/>
      <c r="K141" s="9"/>
      <c r="L141" s="9"/>
      <c r="M141" s="12"/>
      <c r="N141" s="33"/>
    </row>
    <row r="142" spans="1:14">
      <c r="A142" s="30" t="s">
        <v>1093</v>
      </c>
      <c r="B142" s="57" t="s">
        <v>884</v>
      </c>
      <c r="C142" s="8" t="s">
        <v>914</v>
      </c>
      <c r="D142" s="18" t="s">
        <v>911</v>
      </c>
      <c r="E142" s="39" t="s">
        <v>896</v>
      </c>
      <c r="F142" s="5"/>
      <c r="G142" s="9" t="s">
        <v>890</v>
      </c>
      <c r="H142" s="9" t="s">
        <v>888</v>
      </c>
      <c r="I142" s="5"/>
      <c r="J142" s="18"/>
      <c r="K142" s="9"/>
      <c r="L142" s="9"/>
      <c r="M142" s="12"/>
      <c r="N142" s="33"/>
    </row>
    <row r="143" spans="1:14">
      <c r="A143" s="30" t="s">
        <v>1094</v>
      </c>
      <c r="B143" s="57" t="s">
        <v>884</v>
      </c>
      <c r="C143" s="8" t="s">
        <v>914</v>
      </c>
      <c r="D143" s="18" t="s">
        <v>911</v>
      </c>
      <c r="E143" s="39" t="s">
        <v>897</v>
      </c>
      <c r="F143" s="5"/>
      <c r="G143" s="9" t="s">
        <v>890</v>
      </c>
      <c r="H143" s="9" t="s">
        <v>891</v>
      </c>
      <c r="I143" s="5"/>
      <c r="J143" s="18"/>
      <c r="K143" s="9"/>
      <c r="L143" s="9"/>
      <c r="M143" s="12"/>
      <c r="N143" s="33"/>
    </row>
    <row r="144" spans="1:14">
      <c r="A144" s="30" t="s">
        <v>1095</v>
      </c>
      <c r="B144" s="57" t="s">
        <v>884</v>
      </c>
      <c r="C144" s="8" t="s">
        <v>914</v>
      </c>
      <c r="D144" s="18" t="s">
        <v>911</v>
      </c>
      <c r="E144" s="39" t="s">
        <v>898</v>
      </c>
      <c r="F144" s="5"/>
      <c r="G144" s="9" t="s">
        <v>890</v>
      </c>
      <c r="H144" s="9" t="s">
        <v>891</v>
      </c>
      <c r="I144" s="5"/>
      <c r="J144" s="18"/>
      <c r="K144" s="9"/>
      <c r="L144" s="9"/>
      <c r="M144" s="12"/>
      <c r="N144" s="33"/>
    </row>
    <row r="145" spans="1:14">
      <c r="A145" s="30" t="s">
        <v>1096</v>
      </c>
      <c r="B145" s="57" t="s">
        <v>884</v>
      </c>
      <c r="C145" s="8" t="s">
        <v>914</v>
      </c>
      <c r="D145" s="18" t="s">
        <v>911</v>
      </c>
      <c r="E145" s="39" t="s">
        <v>899</v>
      </c>
      <c r="F145" s="5"/>
      <c r="G145" s="9" t="s">
        <v>890</v>
      </c>
      <c r="H145" s="9" t="s">
        <v>891</v>
      </c>
      <c r="I145" s="5"/>
      <c r="J145" s="18"/>
      <c r="K145" s="9"/>
      <c r="L145" s="9"/>
      <c r="M145" s="12"/>
      <c r="N145" s="33"/>
    </row>
    <row r="146" spans="1:14">
      <c r="A146" s="30" t="s">
        <v>1097</v>
      </c>
      <c r="B146" s="57" t="s">
        <v>884</v>
      </c>
      <c r="C146" s="8" t="s">
        <v>914</v>
      </c>
      <c r="D146" s="18" t="s">
        <v>911</v>
      </c>
      <c r="E146" s="39" t="s">
        <v>900</v>
      </c>
      <c r="F146" s="5"/>
      <c r="G146" s="9" t="s">
        <v>887</v>
      </c>
      <c r="H146" s="9" t="s">
        <v>891</v>
      </c>
      <c r="I146" s="5"/>
      <c r="J146" s="18"/>
      <c r="K146" s="9"/>
      <c r="L146" s="9"/>
      <c r="M146" s="12"/>
      <c r="N146" s="33"/>
    </row>
    <row r="147" spans="1:14">
      <c r="A147" s="30" t="s">
        <v>1098</v>
      </c>
      <c r="B147" s="57" t="s">
        <v>884</v>
      </c>
      <c r="C147" s="8" t="s">
        <v>914</v>
      </c>
      <c r="D147" s="18" t="s">
        <v>911</v>
      </c>
      <c r="E147" s="39" t="s">
        <v>901</v>
      </c>
      <c r="F147" s="5"/>
      <c r="G147" s="9" t="s">
        <v>887</v>
      </c>
      <c r="H147" s="9" t="s">
        <v>888</v>
      </c>
      <c r="I147" s="5"/>
      <c r="J147" s="18"/>
      <c r="K147" s="9"/>
      <c r="L147" s="9"/>
      <c r="M147" s="12"/>
      <c r="N147" s="33"/>
    </row>
    <row r="148" spans="1:14">
      <c r="A148" s="30" t="s">
        <v>1099</v>
      </c>
      <c r="B148" s="57" t="s">
        <v>884</v>
      </c>
      <c r="C148" s="8" t="s">
        <v>914</v>
      </c>
      <c r="D148" s="18" t="s">
        <v>911</v>
      </c>
      <c r="E148" s="39" t="s">
        <v>902</v>
      </c>
      <c r="F148" s="5"/>
      <c r="G148" s="9" t="s">
        <v>894</v>
      </c>
      <c r="H148" s="9" t="s">
        <v>895</v>
      </c>
      <c r="I148" s="5"/>
      <c r="J148" s="18"/>
      <c r="K148" s="9"/>
      <c r="L148" s="9"/>
      <c r="M148" s="12"/>
      <c r="N148" s="33"/>
    </row>
    <row r="149" spans="1:14">
      <c r="A149" s="30" t="s">
        <v>1100</v>
      </c>
      <c r="B149" s="57" t="s">
        <v>884</v>
      </c>
      <c r="C149" s="8" t="s">
        <v>914</v>
      </c>
      <c r="D149" s="18" t="s">
        <v>911</v>
      </c>
      <c r="E149" s="39" t="s">
        <v>903</v>
      </c>
      <c r="F149" s="5"/>
      <c r="G149" s="9" t="s">
        <v>890</v>
      </c>
      <c r="H149" s="9" t="s">
        <v>891</v>
      </c>
      <c r="I149" s="5"/>
      <c r="J149" s="18"/>
      <c r="K149" s="9"/>
      <c r="L149" s="9"/>
      <c r="M149" s="12"/>
      <c r="N149" s="33"/>
    </row>
    <row r="150" spans="1:14">
      <c r="A150" s="30" t="s">
        <v>1101</v>
      </c>
      <c r="B150" s="57" t="s">
        <v>884</v>
      </c>
      <c r="C150" s="8" t="s">
        <v>914</v>
      </c>
      <c r="D150" s="18" t="s">
        <v>911</v>
      </c>
      <c r="E150" s="39" t="s">
        <v>904</v>
      </c>
      <c r="F150" s="5"/>
      <c r="G150" s="9" t="s">
        <v>890</v>
      </c>
      <c r="H150" s="9" t="s">
        <v>888</v>
      </c>
      <c r="I150" s="5"/>
      <c r="J150" s="18"/>
      <c r="K150" s="9"/>
      <c r="L150" s="9"/>
      <c r="M150" s="12"/>
      <c r="N150" s="33"/>
    </row>
    <row r="151" spans="1:14">
      <c r="A151" s="30" t="s">
        <v>1102</v>
      </c>
      <c r="B151" s="57" t="s">
        <v>884</v>
      </c>
      <c r="C151" s="8" t="s">
        <v>914</v>
      </c>
      <c r="D151" s="18" t="s">
        <v>911</v>
      </c>
      <c r="E151" s="39" t="s">
        <v>906</v>
      </c>
      <c r="F151" s="5"/>
      <c r="G151" s="9" t="s">
        <v>890</v>
      </c>
      <c r="H151" s="9" t="s">
        <v>905</v>
      </c>
      <c r="I151" s="5"/>
      <c r="J151" s="18"/>
      <c r="K151" s="9"/>
      <c r="L151" s="9"/>
      <c r="M151" s="12"/>
      <c r="N151" s="33"/>
    </row>
    <row r="152" spans="1:14">
      <c r="A152" s="30" t="s">
        <v>1103</v>
      </c>
      <c r="B152" s="57" t="s">
        <v>884</v>
      </c>
      <c r="C152" s="8" t="s">
        <v>914</v>
      </c>
      <c r="D152" s="18" t="s">
        <v>911</v>
      </c>
      <c r="E152" s="39" t="s">
        <v>907</v>
      </c>
      <c r="F152" s="5"/>
      <c r="G152" s="9" t="s">
        <v>890</v>
      </c>
      <c r="H152" s="9" t="s">
        <v>891</v>
      </c>
      <c r="I152" s="5"/>
      <c r="J152" s="18"/>
      <c r="K152" s="9"/>
      <c r="L152" s="9"/>
      <c r="M152" s="12"/>
      <c r="N152" s="33"/>
    </row>
    <row r="153" spans="1:14">
      <c r="A153" s="30" t="s">
        <v>1104</v>
      </c>
      <c r="B153" s="57" t="s">
        <v>884</v>
      </c>
      <c r="C153" s="8" t="s">
        <v>914</v>
      </c>
      <c r="D153" s="18" t="s">
        <v>911</v>
      </c>
      <c r="E153" s="39" t="s">
        <v>908</v>
      </c>
      <c r="F153" s="5"/>
      <c r="G153" s="9" t="s">
        <v>890</v>
      </c>
      <c r="H153" s="9" t="s">
        <v>888</v>
      </c>
      <c r="I153" s="5"/>
      <c r="J153" s="18"/>
      <c r="K153" s="9"/>
      <c r="L153" s="9"/>
      <c r="M153" s="12"/>
      <c r="N153" s="33"/>
    </row>
    <row r="154" spans="1:14">
      <c r="A154" s="30" t="s">
        <v>1105</v>
      </c>
      <c r="B154" s="57" t="s">
        <v>884</v>
      </c>
      <c r="C154" s="8" t="s">
        <v>914</v>
      </c>
      <c r="D154" s="18" t="s">
        <v>911</v>
      </c>
      <c r="E154" s="39" t="s">
        <v>909</v>
      </c>
      <c r="F154" s="5"/>
      <c r="G154" s="9" t="s">
        <v>890</v>
      </c>
      <c r="H154" s="9" t="s">
        <v>891</v>
      </c>
      <c r="I154" s="5"/>
      <c r="J154" s="18"/>
      <c r="K154" s="9"/>
      <c r="L154" s="9"/>
      <c r="M154" s="12"/>
      <c r="N154" s="33"/>
    </row>
    <row r="155" spans="1:14">
      <c r="A155" s="30" t="s">
        <v>1106</v>
      </c>
      <c r="B155" s="57" t="s">
        <v>884</v>
      </c>
      <c r="C155" s="8" t="s">
        <v>914</v>
      </c>
      <c r="D155" s="18" t="s">
        <v>911</v>
      </c>
      <c r="E155" s="39" t="s">
        <v>910</v>
      </c>
      <c r="F155" s="5"/>
      <c r="G155" s="9" t="s">
        <v>890</v>
      </c>
      <c r="H155" s="9" t="s">
        <v>888</v>
      </c>
      <c r="I155" s="5"/>
      <c r="J155" s="18"/>
      <c r="K155" s="9"/>
      <c r="L155" s="9"/>
      <c r="M155" s="12"/>
      <c r="N155" s="33"/>
    </row>
    <row r="156" spans="1:14">
      <c r="A156" s="30" t="s">
        <v>1107</v>
      </c>
      <c r="B156" s="57" t="s">
        <v>884</v>
      </c>
      <c r="C156" s="8" t="s">
        <v>914</v>
      </c>
      <c r="D156" s="18" t="s">
        <v>912</v>
      </c>
      <c r="E156" s="39" t="s">
        <v>854</v>
      </c>
      <c r="F156" s="5"/>
      <c r="G156" s="9" t="s">
        <v>890</v>
      </c>
      <c r="H156" s="9" t="s">
        <v>888</v>
      </c>
      <c r="I156" s="5"/>
      <c r="J156" s="18"/>
      <c r="K156" s="9"/>
      <c r="L156" s="9"/>
      <c r="M156" s="12"/>
      <c r="N156" s="33"/>
    </row>
    <row r="157" spans="1:14">
      <c r="A157" s="30" t="s">
        <v>1108</v>
      </c>
      <c r="B157" s="57" t="s">
        <v>884</v>
      </c>
      <c r="C157" s="8" t="s">
        <v>914</v>
      </c>
      <c r="D157" s="18" t="s">
        <v>912</v>
      </c>
      <c r="E157" s="39" t="s">
        <v>858</v>
      </c>
      <c r="F157" s="5"/>
      <c r="G157" s="9" t="s">
        <v>890</v>
      </c>
      <c r="H157" s="9" t="s">
        <v>888</v>
      </c>
      <c r="I157" s="5"/>
      <c r="J157" s="18"/>
      <c r="K157" s="9"/>
      <c r="L157" s="9"/>
      <c r="M157" s="12"/>
      <c r="N157" s="33"/>
    </row>
    <row r="158" spans="1:14">
      <c r="A158" s="30" t="s">
        <v>1109</v>
      </c>
      <c r="B158" s="57" t="s">
        <v>884</v>
      </c>
      <c r="C158" s="8" t="s">
        <v>914</v>
      </c>
      <c r="D158" s="18" t="s">
        <v>912</v>
      </c>
      <c r="E158" s="39" t="s">
        <v>859</v>
      </c>
      <c r="F158" s="5"/>
      <c r="G158" s="9" t="s">
        <v>890</v>
      </c>
      <c r="H158" s="9" t="s">
        <v>888</v>
      </c>
      <c r="I158" s="5"/>
      <c r="J158" s="18"/>
      <c r="K158" s="9"/>
      <c r="L158" s="9"/>
      <c r="M158" s="12"/>
      <c r="N158" s="33"/>
    </row>
    <row r="159" spans="1:14">
      <c r="A159" s="30" t="s">
        <v>1110</v>
      </c>
      <c r="B159" s="57" t="s">
        <v>884</v>
      </c>
      <c r="C159" s="8" t="s">
        <v>914</v>
      </c>
      <c r="D159" s="18" t="s">
        <v>912</v>
      </c>
      <c r="E159" s="39" t="s">
        <v>861</v>
      </c>
      <c r="F159" s="5"/>
      <c r="G159" s="9" t="s">
        <v>887</v>
      </c>
      <c r="H159" s="9" t="s">
        <v>905</v>
      </c>
      <c r="I159" s="5"/>
      <c r="J159" s="18"/>
      <c r="K159" s="9"/>
      <c r="L159" s="9"/>
      <c r="M159" s="12"/>
      <c r="N159" s="33"/>
    </row>
    <row r="160" spans="1:14">
      <c r="A160" s="30" t="s">
        <v>1111</v>
      </c>
      <c r="B160" s="57" t="s">
        <v>884</v>
      </c>
      <c r="C160" s="8" t="s">
        <v>914</v>
      </c>
      <c r="D160" s="18" t="s">
        <v>912</v>
      </c>
      <c r="E160" s="39" t="s">
        <v>862</v>
      </c>
      <c r="F160" s="5"/>
      <c r="G160" s="9" t="s">
        <v>890</v>
      </c>
      <c r="H160" s="9" t="s">
        <v>891</v>
      </c>
      <c r="I160" s="5"/>
      <c r="J160" s="18"/>
      <c r="K160" s="9"/>
      <c r="L160" s="9"/>
      <c r="M160" s="12"/>
      <c r="N160" s="33"/>
    </row>
    <row r="161" spans="1:14">
      <c r="A161" s="30" t="s">
        <v>1112</v>
      </c>
      <c r="B161" s="57" t="s">
        <v>884</v>
      </c>
      <c r="C161" s="8" t="s">
        <v>914</v>
      </c>
      <c r="D161" s="18" t="s">
        <v>912</v>
      </c>
      <c r="E161" s="39" t="s">
        <v>863</v>
      </c>
      <c r="F161" s="5"/>
      <c r="G161" s="9" t="s">
        <v>890</v>
      </c>
      <c r="H161" s="9" t="s">
        <v>895</v>
      </c>
      <c r="I161" s="5"/>
      <c r="J161" s="18"/>
      <c r="K161" s="9"/>
      <c r="L161" s="9"/>
      <c r="M161" s="12"/>
      <c r="N161" s="33"/>
    </row>
    <row r="162" spans="1:14">
      <c r="A162" s="30" t="s">
        <v>1113</v>
      </c>
      <c r="B162" s="57" t="s">
        <v>884</v>
      </c>
      <c r="C162" s="8" t="s">
        <v>914</v>
      </c>
      <c r="D162" s="18" t="s">
        <v>912</v>
      </c>
      <c r="E162" s="39" t="s">
        <v>864</v>
      </c>
      <c r="F162" s="5"/>
      <c r="G162" s="9" t="s">
        <v>890</v>
      </c>
      <c r="H162" s="9" t="s">
        <v>891</v>
      </c>
      <c r="I162" s="5"/>
      <c r="J162" s="18"/>
      <c r="K162" s="9"/>
      <c r="L162" s="9"/>
      <c r="M162" s="12"/>
      <c r="N162" s="33"/>
    </row>
    <row r="163" spans="1:14">
      <c r="A163" s="30" t="s">
        <v>1114</v>
      </c>
      <c r="B163" s="57" t="s">
        <v>884</v>
      </c>
      <c r="C163" s="8" t="s">
        <v>914</v>
      </c>
      <c r="D163" s="18" t="s">
        <v>912</v>
      </c>
      <c r="E163" s="39" t="s">
        <v>865</v>
      </c>
      <c r="F163" s="5"/>
      <c r="G163" s="9" t="s">
        <v>890</v>
      </c>
      <c r="H163" s="9" t="s">
        <v>888</v>
      </c>
      <c r="I163" s="5"/>
      <c r="J163" s="18"/>
      <c r="K163" s="9"/>
      <c r="L163" s="9"/>
      <c r="M163" s="12"/>
      <c r="N163" s="33"/>
    </row>
    <row r="164" spans="1:14">
      <c r="A164" s="30" t="s">
        <v>1115</v>
      </c>
      <c r="B164" s="57" t="s">
        <v>884</v>
      </c>
      <c r="C164" s="8" t="s">
        <v>914</v>
      </c>
      <c r="D164" s="18" t="s">
        <v>912</v>
      </c>
      <c r="E164" s="39" t="s">
        <v>892</v>
      </c>
      <c r="F164" s="5"/>
      <c r="G164" s="9" t="s">
        <v>890</v>
      </c>
      <c r="H164" s="9" t="s">
        <v>888</v>
      </c>
      <c r="I164" s="5"/>
      <c r="J164" s="18"/>
      <c r="K164" s="9"/>
      <c r="L164" s="9"/>
      <c r="M164" s="12"/>
      <c r="N164" s="33"/>
    </row>
    <row r="165" spans="1:14">
      <c r="A165" s="30" t="s">
        <v>1116</v>
      </c>
      <c r="B165" s="57" t="s">
        <v>884</v>
      </c>
      <c r="C165" s="8" t="s">
        <v>914</v>
      </c>
      <c r="D165" s="18" t="s">
        <v>912</v>
      </c>
      <c r="E165" s="39" t="s">
        <v>893</v>
      </c>
      <c r="F165" s="5"/>
      <c r="G165" s="9" t="s">
        <v>890</v>
      </c>
      <c r="H165" s="9" t="s">
        <v>888</v>
      </c>
      <c r="I165" s="5"/>
      <c r="J165" s="18"/>
      <c r="K165" s="9"/>
      <c r="L165" s="9"/>
      <c r="M165" s="12"/>
      <c r="N165" s="33"/>
    </row>
    <row r="166" spans="1:14">
      <c r="A166" s="30" t="s">
        <v>1117</v>
      </c>
      <c r="B166" s="57" t="s">
        <v>884</v>
      </c>
      <c r="C166" s="8" t="s">
        <v>914</v>
      </c>
      <c r="D166" s="18" t="s">
        <v>912</v>
      </c>
      <c r="E166" s="39" t="s">
        <v>896</v>
      </c>
      <c r="F166" s="5"/>
      <c r="G166" s="9" t="s">
        <v>890</v>
      </c>
      <c r="H166" s="9" t="s">
        <v>888</v>
      </c>
      <c r="I166" s="5"/>
      <c r="J166" s="18"/>
      <c r="K166" s="9"/>
      <c r="L166" s="9"/>
      <c r="M166" s="12"/>
      <c r="N166" s="33"/>
    </row>
    <row r="167" spans="1:14">
      <c r="A167" s="30" t="s">
        <v>1118</v>
      </c>
      <c r="B167" s="57" t="s">
        <v>884</v>
      </c>
      <c r="C167" s="8" t="s">
        <v>914</v>
      </c>
      <c r="D167" s="18" t="s">
        <v>912</v>
      </c>
      <c r="E167" s="39" t="s">
        <v>897</v>
      </c>
      <c r="F167" s="5"/>
      <c r="G167" s="9" t="s">
        <v>890</v>
      </c>
      <c r="H167" s="9" t="s">
        <v>888</v>
      </c>
      <c r="I167" s="5"/>
      <c r="J167" s="18"/>
      <c r="K167" s="9"/>
      <c r="L167" s="9"/>
      <c r="M167" s="12"/>
      <c r="N167" s="33"/>
    </row>
    <row r="168" spans="1:14">
      <c r="A168" s="30" t="s">
        <v>1119</v>
      </c>
      <c r="B168" s="57" t="s">
        <v>884</v>
      </c>
      <c r="C168" s="8" t="s">
        <v>914</v>
      </c>
      <c r="D168" s="18" t="s">
        <v>912</v>
      </c>
      <c r="E168" s="39" t="s">
        <v>898</v>
      </c>
      <c r="F168" s="5"/>
      <c r="G168" s="9" t="s">
        <v>887</v>
      </c>
      <c r="H168" s="9" t="s">
        <v>891</v>
      </c>
      <c r="I168" s="5"/>
      <c r="J168" s="18"/>
      <c r="K168" s="9"/>
      <c r="L168" s="9"/>
      <c r="M168" s="12"/>
      <c r="N168" s="33"/>
    </row>
    <row r="169" spans="1:14">
      <c r="A169" s="30" t="s">
        <v>1120</v>
      </c>
      <c r="B169" s="57" t="s">
        <v>884</v>
      </c>
      <c r="C169" s="8" t="s">
        <v>914</v>
      </c>
      <c r="D169" s="18" t="s">
        <v>912</v>
      </c>
      <c r="E169" s="39" t="s">
        <v>899</v>
      </c>
      <c r="F169" s="5"/>
      <c r="G169" s="9" t="s">
        <v>890</v>
      </c>
      <c r="H169" s="9" t="s">
        <v>888</v>
      </c>
      <c r="I169" s="5"/>
      <c r="J169" s="18"/>
      <c r="K169" s="9"/>
      <c r="L169" s="9"/>
      <c r="M169" s="12"/>
      <c r="N169" s="33"/>
    </row>
    <row r="170" spans="1:14">
      <c r="A170" s="30" t="s">
        <v>1121</v>
      </c>
      <c r="B170" s="57" t="s">
        <v>884</v>
      </c>
      <c r="C170" s="8" t="s">
        <v>914</v>
      </c>
      <c r="D170" s="18" t="s">
        <v>912</v>
      </c>
      <c r="E170" s="39" t="s">
        <v>900</v>
      </c>
      <c r="F170" s="5"/>
      <c r="G170" s="9" t="s">
        <v>890</v>
      </c>
      <c r="H170" s="9" t="s">
        <v>888</v>
      </c>
      <c r="I170" s="5"/>
      <c r="J170" s="18"/>
      <c r="K170" s="9"/>
      <c r="L170" s="9"/>
      <c r="M170" s="12"/>
      <c r="N170" s="33"/>
    </row>
    <row r="171" spans="1:14">
      <c r="A171" s="30" t="s">
        <v>1122</v>
      </c>
      <c r="B171" s="57" t="s">
        <v>884</v>
      </c>
      <c r="C171" s="8" t="s">
        <v>914</v>
      </c>
      <c r="D171" s="18" t="s">
        <v>912</v>
      </c>
      <c r="E171" s="39" t="s">
        <v>901</v>
      </c>
      <c r="F171" s="5"/>
      <c r="G171" s="9" t="s">
        <v>890</v>
      </c>
      <c r="H171" s="9" t="s">
        <v>888</v>
      </c>
      <c r="I171" s="5"/>
      <c r="J171" s="18"/>
      <c r="K171" s="9"/>
      <c r="L171" s="9"/>
      <c r="M171" s="12"/>
      <c r="N171" s="33"/>
    </row>
    <row r="172" spans="1:14">
      <c r="A172" s="30" t="s">
        <v>1123</v>
      </c>
      <c r="B172" s="57" t="s">
        <v>884</v>
      </c>
      <c r="C172" s="8" t="s">
        <v>914</v>
      </c>
      <c r="D172" s="18" t="s">
        <v>912</v>
      </c>
      <c r="E172" s="39" t="s">
        <v>902</v>
      </c>
      <c r="F172" s="5"/>
      <c r="G172" s="9" t="s">
        <v>890</v>
      </c>
      <c r="H172" s="9" t="s">
        <v>888</v>
      </c>
      <c r="I172" s="5"/>
      <c r="J172" s="18"/>
      <c r="K172" s="9"/>
      <c r="L172" s="9"/>
      <c r="M172" s="12"/>
      <c r="N172" s="33"/>
    </row>
    <row r="173" spans="1:14">
      <c r="A173" s="30" t="s">
        <v>1124</v>
      </c>
      <c r="B173" s="57" t="s">
        <v>884</v>
      </c>
      <c r="C173" s="8" t="s">
        <v>914</v>
      </c>
      <c r="D173" s="18" t="s">
        <v>912</v>
      </c>
      <c r="E173" s="39" t="s">
        <v>903</v>
      </c>
      <c r="F173" s="5"/>
      <c r="G173" s="9" t="s">
        <v>890</v>
      </c>
      <c r="H173" s="9" t="s">
        <v>888</v>
      </c>
      <c r="I173" s="5"/>
      <c r="J173" s="18"/>
      <c r="K173" s="9"/>
      <c r="L173" s="9"/>
      <c r="M173" s="12"/>
      <c r="N173" s="33"/>
    </row>
    <row r="174" spans="1:14">
      <c r="A174" s="30" t="s">
        <v>1125</v>
      </c>
      <c r="B174" s="57" t="s">
        <v>884</v>
      </c>
      <c r="C174" s="8" t="s">
        <v>914</v>
      </c>
      <c r="D174" s="18" t="s">
        <v>912</v>
      </c>
      <c r="E174" s="39" t="s">
        <v>904</v>
      </c>
      <c r="F174" s="5"/>
      <c r="G174" s="9" t="s">
        <v>890</v>
      </c>
      <c r="H174" s="9" t="s">
        <v>891</v>
      </c>
      <c r="I174" s="5"/>
      <c r="J174" s="18"/>
      <c r="K174" s="9"/>
      <c r="L174" s="9"/>
      <c r="M174" s="12"/>
      <c r="N174" s="33"/>
    </row>
    <row r="175" spans="1:14">
      <c r="A175" s="30" t="s">
        <v>1126</v>
      </c>
      <c r="B175" s="57" t="s">
        <v>884</v>
      </c>
      <c r="C175" s="8" t="s">
        <v>914</v>
      </c>
      <c r="D175" s="18" t="s">
        <v>912</v>
      </c>
      <c r="E175" s="39" t="s">
        <v>906</v>
      </c>
      <c r="F175" s="5"/>
      <c r="G175" s="9" t="s">
        <v>890</v>
      </c>
      <c r="H175" s="9" t="s">
        <v>888</v>
      </c>
      <c r="I175" s="5"/>
      <c r="J175" s="18"/>
      <c r="K175" s="9"/>
      <c r="L175" s="9"/>
      <c r="M175" s="12"/>
      <c r="N175" s="33"/>
    </row>
    <row r="176" spans="1:14">
      <c r="A176" s="30" t="s">
        <v>1127</v>
      </c>
      <c r="B176" s="57" t="s">
        <v>884</v>
      </c>
      <c r="C176" s="8" t="s">
        <v>914</v>
      </c>
      <c r="D176" s="18" t="s">
        <v>912</v>
      </c>
      <c r="E176" s="39" t="s">
        <v>907</v>
      </c>
      <c r="F176" s="5"/>
      <c r="G176" s="9" t="s">
        <v>890</v>
      </c>
      <c r="H176" s="9" t="s">
        <v>888</v>
      </c>
      <c r="I176" s="5"/>
      <c r="J176" s="18"/>
      <c r="K176" s="9"/>
      <c r="L176" s="9"/>
      <c r="M176" s="12"/>
      <c r="N176" s="33"/>
    </row>
    <row r="177" spans="1:14">
      <c r="A177" s="30" t="s">
        <v>1128</v>
      </c>
      <c r="B177" s="57" t="s">
        <v>884</v>
      </c>
      <c r="C177" s="8" t="s">
        <v>914</v>
      </c>
      <c r="D177" s="18" t="s">
        <v>912</v>
      </c>
      <c r="E177" s="39" t="s">
        <v>908</v>
      </c>
      <c r="F177" s="5"/>
      <c r="G177" s="9" t="s">
        <v>887</v>
      </c>
      <c r="H177" s="9" t="s">
        <v>891</v>
      </c>
      <c r="I177" s="5"/>
      <c r="J177" s="18"/>
      <c r="K177" s="9"/>
      <c r="L177" s="9"/>
      <c r="M177" s="12"/>
      <c r="N177" s="33"/>
    </row>
    <row r="178" spans="1:14">
      <c r="A178" s="30" t="s">
        <v>1129</v>
      </c>
      <c r="B178" s="57" t="s">
        <v>884</v>
      </c>
      <c r="C178" s="8" t="s">
        <v>914</v>
      </c>
      <c r="D178" s="18" t="s">
        <v>912</v>
      </c>
      <c r="E178" s="39" t="s">
        <v>909</v>
      </c>
      <c r="F178" s="5"/>
      <c r="G178" s="9" t="s">
        <v>890</v>
      </c>
      <c r="H178" s="9" t="s">
        <v>888</v>
      </c>
      <c r="I178" s="5"/>
      <c r="J178" s="18"/>
      <c r="K178" s="9"/>
      <c r="L178" s="9"/>
      <c r="M178" s="12"/>
      <c r="N178" s="33"/>
    </row>
    <row r="179" spans="1:14">
      <c r="A179" s="30" t="s">
        <v>1130</v>
      </c>
      <c r="B179" s="57" t="s">
        <v>884</v>
      </c>
      <c r="C179" s="8" t="s">
        <v>914</v>
      </c>
      <c r="D179" s="18" t="s">
        <v>912</v>
      </c>
      <c r="E179" s="39" t="s">
        <v>910</v>
      </c>
      <c r="F179" s="5"/>
      <c r="G179" s="9" t="s">
        <v>890</v>
      </c>
      <c r="H179" s="9" t="s">
        <v>888</v>
      </c>
      <c r="I179" s="5"/>
      <c r="J179" s="18"/>
      <c r="K179" s="9"/>
      <c r="L179" s="9"/>
      <c r="M179" s="12"/>
      <c r="N179" s="33"/>
    </row>
    <row r="180" spans="1:14">
      <c r="A180" s="30" t="s">
        <v>1131</v>
      </c>
      <c r="B180" s="57" t="s">
        <v>884</v>
      </c>
      <c r="C180" s="8" t="s">
        <v>914</v>
      </c>
      <c r="D180" s="18" t="s">
        <v>913</v>
      </c>
      <c r="E180" s="39" t="s">
        <v>854</v>
      </c>
      <c r="F180" s="5"/>
      <c r="G180" s="9" t="s">
        <v>887</v>
      </c>
      <c r="H180" s="9" t="s">
        <v>888</v>
      </c>
      <c r="I180" s="5"/>
      <c r="J180" s="18"/>
      <c r="K180" s="9"/>
      <c r="L180" s="9"/>
      <c r="M180" s="12"/>
      <c r="N180" s="33"/>
    </row>
    <row r="181" spans="1:14">
      <c r="A181" s="30" t="s">
        <v>1132</v>
      </c>
      <c r="B181" s="57" t="s">
        <v>884</v>
      </c>
      <c r="C181" s="8" t="s">
        <v>914</v>
      </c>
      <c r="D181" s="18" t="s">
        <v>913</v>
      </c>
      <c r="E181" s="39" t="s">
        <v>858</v>
      </c>
      <c r="F181" s="5"/>
      <c r="G181" s="9" t="s">
        <v>894</v>
      </c>
      <c r="H181" s="9" t="s">
        <v>895</v>
      </c>
      <c r="I181" s="5"/>
      <c r="J181" s="18"/>
      <c r="K181" s="9"/>
      <c r="L181" s="9"/>
      <c r="M181" s="12"/>
      <c r="N181" s="33"/>
    </row>
    <row r="182" spans="1:14">
      <c r="A182" s="30" t="s">
        <v>1133</v>
      </c>
      <c r="B182" s="57" t="s">
        <v>884</v>
      </c>
      <c r="C182" s="8" t="s">
        <v>914</v>
      </c>
      <c r="D182" s="18" t="s">
        <v>913</v>
      </c>
      <c r="E182" s="39" t="s">
        <v>859</v>
      </c>
      <c r="F182" s="5"/>
      <c r="G182" s="9" t="s">
        <v>887</v>
      </c>
      <c r="H182" s="9" t="s">
        <v>891</v>
      </c>
      <c r="I182" s="5"/>
      <c r="J182" s="18"/>
      <c r="K182" s="9"/>
      <c r="L182" s="9"/>
      <c r="M182" s="12"/>
      <c r="N182" s="33"/>
    </row>
    <row r="183" spans="1:14">
      <c r="A183" s="30" t="s">
        <v>1134</v>
      </c>
      <c r="B183" s="57" t="s">
        <v>884</v>
      </c>
      <c r="C183" s="8" t="s">
        <v>914</v>
      </c>
      <c r="D183" s="18" t="s">
        <v>913</v>
      </c>
      <c r="E183" s="39" t="s">
        <v>861</v>
      </c>
      <c r="F183" s="5"/>
      <c r="G183" s="9" t="s">
        <v>890</v>
      </c>
      <c r="H183" s="9" t="s">
        <v>888</v>
      </c>
      <c r="I183" s="5"/>
      <c r="J183" s="18"/>
      <c r="K183" s="9"/>
      <c r="L183" s="9"/>
      <c r="M183" s="12"/>
      <c r="N183" s="33"/>
    </row>
    <row r="184" spans="1:14">
      <c r="A184" s="30" t="s">
        <v>1135</v>
      </c>
      <c r="B184" s="57" t="s">
        <v>884</v>
      </c>
      <c r="C184" s="8" t="s">
        <v>914</v>
      </c>
      <c r="D184" s="18" t="s">
        <v>913</v>
      </c>
      <c r="E184" s="39" t="s">
        <v>862</v>
      </c>
      <c r="F184" s="5"/>
      <c r="G184" s="9" t="s">
        <v>890</v>
      </c>
      <c r="H184" s="9" t="s">
        <v>888</v>
      </c>
      <c r="I184" s="5"/>
      <c r="J184" s="18"/>
      <c r="K184" s="9"/>
      <c r="L184" s="9"/>
      <c r="M184" s="12"/>
      <c r="N184" s="33"/>
    </row>
    <row r="185" spans="1:14">
      <c r="A185" s="30" t="s">
        <v>1136</v>
      </c>
      <c r="B185" s="57" t="s">
        <v>884</v>
      </c>
      <c r="C185" s="8" t="s">
        <v>914</v>
      </c>
      <c r="D185" s="18" t="s">
        <v>913</v>
      </c>
      <c r="E185" s="39" t="s">
        <v>863</v>
      </c>
      <c r="F185" s="5"/>
      <c r="G185" s="9" t="s">
        <v>890</v>
      </c>
      <c r="H185" s="9" t="s">
        <v>888</v>
      </c>
      <c r="I185" s="5"/>
      <c r="J185" s="18"/>
      <c r="K185" s="9"/>
      <c r="L185" s="9"/>
      <c r="M185" s="12"/>
      <c r="N185" s="33"/>
    </row>
    <row r="186" spans="1:14">
      <c r="A186" s="30" t="s">
        <v>1137</v>
      </c>
      <c r="B186" s="57" t="s">
        <v>884</v>
      </c>
      <c r="C186" s="8" t="s">
        <v>914</v>
      </c>
      <c r="D186" s="18" t="s">
        <v>913</v>
      </c>
      <c r="E186" s="39" t="s">
        <v>864</v>
      </c>
      <c r="F186" s="5"/>
      <c r="G186" s="9" t="s">
        <v>890</v>
      </c>
      <c r="H186" s="9" t="s">
        <v>888</v>
      </c>
      <c r="I186" s="5"/>
      <c r="J186" s="18"/>
      <c r="K186" s="9"/>
      <c r="L186" s="9"/>
      <c r="M186" s="12"/>
      <c r="N186" s="33"/>
    </row>
    <row r="187" spans="1:14">
      <c r="A187" s="30" t="s">
        <v>1138</v>
      </c>
      <c r="B187" s="57" t="s">
        <v>884</v>
      </c>
      <c r="C187" s="8" t="s">
        <v>914</v>
      </c>
      <c r="D187" s="18" t="s">
        <v>913</v>
      </c>
      <c r="E187" s="39" t="s">
        <v>865</v>
      </c>
      <c r="F187" s="5"/>
      <c r="G187" s="9" t="s">
        <v>894</v>
      </c>
      <c r="H187" s="9" t="s">
        <v>895</v>
      </c>
      <c r="I187" s="5"/>
      <c r="J187" s="18"/>
      <c r="K187" s="9"/>
      <c r="L187" s="9"/>
      <c r="M187" s="12"/>
      <c r="N187" s="33"/>
    </row>
    <row r="188" spans="1:14">
      <c r="A188" s="30" t="s">
        <v>1139</v>
      </c>
      <c r="B188" s="57" t="s">
        <v>884</v>
      </c>
      <c r="C188" s="8" t="s">
        <v>914</v>
      </c>
      <c r="D188" s="18" t="s">
        <v>913</v>
      </c>
      <c r="E188" s="39" t="s">
        <v>892</v>
      </c>
      <c r="F188" s="5"/>
      <c r="G188" s="9" t="s">
        <v>894</v>
      </c>
      <c r="H188" s="9" t="s">
        <v>895</v>
      </c>
      <c r="I188" s="5"/>
      <c r="J188" s="18"/>
      <c r="K188" s="9"/>
      <c r="L188" s="9"/>
      <c r="M188" s="12"/>
      <c r="N188" s="33"/>
    </row>
    <row r="189" spans="1:14">
      <c r="A189" s="30" t="s">
        <v>1140</v>
      </c>
      <c r="B189" s="57" t="s">
        <v>884</v>
      </c>
      <c r="C189" s="8" t="s">
        <v>914</v>
      </c>
      <c r="D189" s="18" t="s">
        <v>913</v>
      </c>
      <c r="E189" s="39" t="s">
        <v>893</v>
      </c>
      <c r="F189" s="5"/>
      <c r="G189" s="9" t="s">
        <v>894</v>
      </c>
      <c r="H189" s="9" t="s">
        <v>895</v>
      </c>
      <c r="I189" s="5"/>
      <c r="J189" s="18"/>
      <c r="K189" s="9"/>
      <c r="L189" s="9"/>
      <c r="M189" s="12"/>
      <c r="N189" s="33"/>
    </row>
    <row r="190" spans="1:14">
      <c r="A190" s="30" t="s">
        <v>1141</v>
      </c>
      <c r="B190" s="57" t="s">
        <v>884</v>
      </c>
      <c r="C190" s="8" t="s">
        <v>914</v>
      </c>
      <c r="D190" s="18" t="s">
        <v>913</v>
      </c>
      <c r="E190" s="39" t="s">
        <v>896</v>
      </c>
      <c r="F190" s="5"/>
      <c r="G190" s="9" t="s">
        <v>887</v>
      </c>
      <c r="H190" s="9" t="s">
        <v>891</v>
      </c>
      <c r="I190" s="5"/>
      <c r="J190" s="18"/>
      <c r="K190" s="9"/>
      <c r="L190" s="9"/>
      <c r="M190" s="12"/>
      <c r="N190" s="33"/>
    </row>
    <row r="191" spans="1:14">
      <c r="A191" s="30" t="s">
        <v>1142</v>
      </c>
      <c r="B191" s="57" t="s">
        <v>884</v>
      </c>
      <c r="C191" s="8" t="s">
        <v>914</v>
      </c>
      <c r="D191" s="18" t="s">
        <v>913</v>
      </c>
      <c r="E191" s="39" t="s">
        <v>897</v>
      </c>
      <c r="F191" s="5"/>
      <c r="G191" s="9" t="s">
        <v>887</v>
      </c>
      <c r="H191" s="9" t="s">
        <v>891</v>
      </c>
      <c r="I191" s="5"/>
      <c r="J191" s="18"/>
      <c r="K191" s="9"/>
      <c r="L191" s="9"/>
      <c r="M191" s="12"/>
      <c r="N191" s="33"/>
    </row>
    <row r="192" spans="1:14">
      <c r="A192" s="30" t="s">
        <v>1143</v>
      </c>
      <c r="B192" s="57" t="s">
        <v>884</v>
      </c>
      <c r="C192" s="8" t="s">
        <v>914</v>
      </c>
      <c r="D192" s="18" t="s">
        <v>913</v>
      </c>
      <c r="E192" s="39" t="s">
        <v>898</v>
      </c>
      <c r="F192" s="5"/>
      <c r="G192" s="9" t="s">
        <v>894</v>
      </c>
      <c r="H192" s="9" t="s">
        <v>895</v>
      </c>
      <c r="I192" s="5"/>
      <c r="J192" s="18"/>
      <c r="K192" s="9"/>
      <c r="L192" s="9"/>
      <c r="M192" s="12"/>
      <c r="N192" s="33"/>
    </row>
    <row r="193" spans="1:14">
      <c r="A193" s="30" t="s">
        <v>1144</v>
      </c>
      <c r="B193" s="57" t="s">
        <v>884</v>
      </c>
      <c r="C193" s="8" t="s">
        <v>914</v>
      </c>
      <c r="D193" s="18" t="s">
        <v>913</v>
      </c>
      <c r="E193" s="39" t="s">
        <v>899</v>
      </c>
      <c r="F193" s="5"/>
      <c r="G193" s="9" t="s">
        <v>894</v>
      </c>
      <c r="H193" s="9" t="s">
        <v>895</v>
      </c>
      <c r="I193" s="5"/>
      <c r="J193" s="18"/>
      <c r="K193" s="9"/>
      <c r="L193" s="9"/>
      <c r="M193" s="12"/>
      <c r="N193" s="33"/>
    </row>
    <row r="194" spans="1:14">
      <c r="A194" s="30" t="s">
        <v>1145</v>
      </c>
      <c r="B194" s="57" t="s">
        <v>884</v>
      </c>
      <c r="C194" s="8" t="s">
        <v>914</v>
      </c>
      <c r="D194" s="18" t="s">
        <v>913</v>
      </c>
      <c r="E194" s="39" t="s">
        <v>900</v>
      </c>
      <c r="F194" s="5"/>
      <c r="G194" s="9" t="s">
        <v>894</v>
      </c>
      <c r="H194" s="9" t="s">
        <v>895</v>
      </c>
      <c r="I194" s="5"/>
      <c r="J194" s="18"/>
      <c r="K194" s="9"/>
      <c r="L194" s="9"/>
      <c r="M194" s="12"/>
      <c r="N194" s="33"/>
    </row>
    <row r="195" spans="1:14">
      <c r="A195" s="30" t="s">
        <v>1146</v>
      </c>
      <c r="B195" s="57" t="s">
        <v>884</v>
      </c>
      <c r="C195" s="8" t="s">
        <v>914</v>
      </c>
      <c r="D195" s="18" t="s">
        <v>913</v>
      </c>
      <c r="E195" s="39" t="s">
        <v>901</v>
      </c>
      <c r="F195" s="5"/>
      <c r="G195" s="9" t="s">
        <v>894</v>
      </c>
      <c r="H195" s="9" t="s">
        <v>895</v>
      </c>
      <c r="I195" s="5"/>
      <c r="J195" s="18"/>
      <c r="K195" s="9"/>
      <c r="L195" s="9"/>
      <c r="M195" s="12"/>
      <c r="N195" s="33"/>
    </row>
    <row r="196" spans="1:14">
      <c r="A196" s="30" t="s">
        <v>1147</v>
      </c>
      <c r="B196" s="57" t="s">
        <v>884</v>
      </c>
      <c r="C196" s="8" t="s">
        <v>914</v>
      </c>
      <c r="D196" s="18" t="s">
        <v>913</v>
      </c>
      <c r="E196" s="39" t="s">
        <v>902</v>
      </c>
      <c r="F196" s="5"/>
      <c r="G196" s="9" t="s">
        <v>887</v>
      </c>
      <c r="H196" s="9" t="s">
        <v>891</v>
      </c>
      <c r="I196" s="5"/>
      <c r="J196" s="18"/>
      <c r="K196" s="9"/>
      <c r="L196" s="9"/>
      <c r="M196" s="12"/>
      <c r="N196" s="33"/>
    </row>
    <row r="197" spans="1:14">
      <c r="A197" s="30" t="s">
        <v>1148</v>
      </c>
      <c r="B197" s="57" t="s">
        <v>884</v>
      </c>
      <c r="C197" s="8" t="s">
        <v>914</v>
      </c>
      <c r="D197" s="18" t="s">
        <v>913</v>
      </c>
      <c r="E197" s="39" t="s">
        <v>903</v>
      </c>
      <c r="F197" s="5"/>
      <c r="G197" s="9" t="s">
        <v>890</v>
      </c>
      <c r="H197" s="9" t="s">
        <v>888</v>
      </c>
      <c r="I197" s="5"/>
      <c r="J197" s="18"/>
      <c r="K197" s="9"/>
      <c r="L197" s="9"/>
      <c r="M197" s="12"/>
      <c r="N197" s="33"/>
    </row>
    <row r="198" spans="1:14">
      <c r="A198" s="30" t="s">
        <v>1149</v>
      </c>
      <c r="B198" s="57" t="s">
        <v>884</v>
      </c>
      <c r="C198" s="8" t="s">
        <v>914</v>
      </c>
      <c r="D198" s="18" t="s">
        <v>913</v>
      </c>
      <c r="E198" s="39" t="s">
        <v>904</v>
      </c>
      <c r="F198" s="5"/>
      <c r="G198" s="9" t="s">
        <v>890</v>
      </c>
      <c r="H198" s="9" t="s">
        <v>888</v>
      </c>
      <c r="I198" s="5"/>
      <c r="J198" s="18"/>
      <c r="K198" s="9"/>
      <c r="L198" s="9"/>
      <c r="M198" s="12"/>
      <c r="N198" s="33"/>
    </row>
    <row r="199" spans="1:14">
      <c r="A199" s="30" t="s">
        <v>1150</v>
      </c>
      <c r="B199" s="57" t="s">
        <v>884</v>
      </c>
      <c r="C199" s="8" t="s">
        <v>914</v>
      </c>
      <c r="D199" s="18" t="s">
        <v>913</v>
      </c>
      <c r="E199" s="39" t="s">
        <v>906</v>
      </c>
      <c r="F199" s="5"/>
      <c r="G199" s="9" t="s">
        <v>890</v>
      </c>
      <c r="H199" s="9" t="s">
        <v>888</v>
      </c>
      <c r="I199" s="5"/>
      <c r="J199" s="18"/>
      <c r="K199" s="9"/>
      <c r="L199" s="9"/>
      <c r="M199" s="12"/>
      <c r="N199" s="33"/>
    </row>
    <row r="200" spans="1:14">
      <c r="A200" s="30" t="s">
        <v>1151</v>
      </c>
      <c r="B200" s="57" t="s">
        <v>884</v>
      </c>
      <c r="C200" s="8" t="s">
        <v>914</v>
      </c>
      <c r="D200" s="18" t="s">
        <v>913</v>
      </c>
      <c r="E200" s="39" t="s">
        <v>907</v>
      </c>
      <c r="F200" s="5"/>
      <c r="G200" s="9" t="s">
        <v>890</v>
      </c>
      <c r="H200" s="9" t="s">
        <v>888</v>
      </c>
      <c r="I200" s="5"/>
      <c r="J200" s="18"/>
      <c r="K200" s="9"/>
      <c r="L200" s="9"/>
      <c r="M200" s="12"/>
      <c r="N200" s="33"/>
    </row>
    <row r="201" spans="1:14">
      <c r="A201" s="30" t="s">
        <v>1152</v>
      </c>
      <c r="B201" s="57" t="s">
        <v>884</v>
      </c>
      <c r="C201" s="8" t="s">
        <v>914</v>
      </c>
      <c r="D201" s="18" t="s">
        <v>913</v>
      </c>
      <c r="E201" s="39" t="s">
        <v>908</v>
      </c>
      <c r="F201" s="5"/>
      <c r="G201" s="9" t="s">
        <v>890</v>
      </c>
      <c r="H201" s="9" t="s">
        <v>888</v>
      </c>
      <c r="I201" s="5"/>
      <c r="J201" s="18"/>
      <c r="K201" s="9"/>
      <c r="L201" s="9"/>
      <c r="M201" s="12"/>
      <c r="N201" s="33"/>
    </row>
    <row r="202" spans="1:14">
      <c r="A202" s="30" t="s">
        <v>1153</v>
      </c>
      <c r="B202" s="57" t="s">
        <v>884</v>
      </c>
      <c r="C202" s="8" t="s">
        <v>914</v>
      </c>
      <c r="D202" s="18" t="s">
        <v>913</v>
      </c>
      <c r="E202" s="39" t="s">
        <v>909</v>
      </c>
      <c r="F202" s="5"/>
      <c r="G202" s="9" t="s">
        <v>890</v>
      </c>
      <c r="H202" s="9" t="s">
        <v>888</v>
      </c>
      <c r="I202" s="5"/>
      <c r="J202" s="18"/>
      <c r="K202" s="9"/>
      <c r="L202" s="9"/>
      <c r="M202" s="12"/>
      <c r="N202" s="33"/>
    </row>
    <row r="203" spans="1:14">
      <c r="A203" s="30" t="s">
        <v>1154</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155" t="s">
        <v>915</v>
      </c>
      <c r="B1" s="155"/>
      <c r="C1" s="155"/>
      <c r="D1" s="155"/>
      <c r="E1" s="155"/>
      <c r="F1" s="155"/>
      <c r="G1" s="155"/>
      <c r="H1" s="155"/>
      <c r="I1" s="155"/>
      <c r="J1" s="155"/>
      <c r="K1" s="155"/>
      <c r="L1" s="155"/>
      <c r="M1" s="156"/>
    </row>
    <row r="2" spans="1:13" ht="14.5">
      <c r="A2" s="157" t="s">
        <v>916</v>
      </c>
      <c r="B2" s="157"/>
      <c r="C2" s="157"/>
      <c r="D2" s="157"/>
      <c r="E2" s="157"/>
      <c r="F2" s="157"/>
      <c r="G2" s="157"/>
      <c r="H2" s="157"/>
      <c r="I2" s="157"/>
      <c r="J2" s="157"/>
      <c r="K2" s="157"/>
      <c r="L2" s="157"/>
      <c r="M2" s="158"/>
    </row>
    <row r="3" spans="1:13">
      <c r="A3" s="159" t="s">
        <v>917</v>
      </c>
      <c r="B3" s="159"/>
      <c r="C3" s="159"/>
      <c r="D3" s="159"/>
      <c r="E3" s="159"/>
      <c r="F3" s="159"/>
      <c r="G3" s="159"/>
      <c r="H3" s="159"/>
      <c r="I3" s="159"/>
      <c r="J3" s="159"/>
      <c r="K3" s="159"/>
      <c r="L3" s="159"/>
      <c r="M3" s="160"/>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ht="25">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927</v>
      </c>
      <c r="J6" s="62"/>
      <c r="K6" s="62"/>
      <c r="L6" s="56"/>
      <c r="M6" s="57" t="s">
        <v>928</v>
      </c>
    </row>
    <row r="7" spans="1:13">
      <c r="A7" s="56" t="s">
        <v>929</v>
      </c>
      <c r="B7" s="57" t="s">
        <v>884</v>
      </c>
      <c r="C7" s="58">
        <v>2026</v>
      </c>
      <c r="D7" s="56" t="s">
        <v>930</v>
      </c>
      <c r="E7" s="59">
        <v>350000000</v>
      </c>
      <c r="F7" s="59">
        <v>13675000</v>
      </c>
      <c r="G7" s="60">
        <f t="shared" si="0"/>
        <v>29525000</v>
      </c>
      <c r="H7" s="61">
        <f t="shared" si="1"/>
        <v>8.4357142857142853E-2</v>
      </c>
      <c r="I7" s="56" t="s">
        <v>927</v>
      </c>
      <c r="J7" s="62"/>
      <c r="K7" s="62"/>
      <c r="L7" s="56"/>
      <c r="M7" s="57"/>
    </row>
    <row r="8" spans="1:13">
      <c r="A8" s="56" t="s">
        <v>931</v>
      </c>
      <c r="B8" s="57" t="s">
        <v>884</v>
      </c>
      <c r="C8" s="58">
        <v>2026</v>
      </c>
      <c r="D8" s="56" t="s">
        <v>932</v>
      </c>
      <c r="E8" s="59">
        <v>350000000</v>
      </c>
      <c r="F8" s="59">
        <v>24950000</v>
      </c>
      <c r="G8" s="60">
        <f t="shared" si="0"/>
        <v>54475000</v>
      </c>
      <c r="H8" s="61">
        <f t="shared" si="1"/>
        <v>0.15564285714285714</v>
      </c>
      <c r="I8" s="56" t="s">
        <v>927</v>
      </c>
      <c r="J8" s="62"/>
      <c r="K8" s="62"/>
      <c r="L8" s="56"/>
      <c r="M8" s="57"/>
    </row>
    <row r="9" spans="1:13">
      <c r="A9" s="56" t="s">
        <v>933</v>
      </c>
      <c r="B9" s="57" t="s">
        <v>884</v>
      </c>
      <c r="C9" s="58">
        <v>2026</v>
      </c>
      <c r="D9" s="56" t="s">
        <v>934</v>
      </c>
      <c r="E9" s="59">
        <v>350000000</v>
      </c>
      <c r="F9" s="59">
        <v>32950000</v>
      </c>
      <c r="G9" s="60">
        <f t="shared" si="0"/>
        <v>87425000</v>
      </c>
      <c r="H9" s="61">
        <f t="shared" si="1"/>
        <v>0.24978571428571428</v>
      </c>
      <c r="I9" s="56" t="s">
        <v>927</v>
      </c>
      <c r="J9" s="62"/>
      <c r="K9" s="62"/>
      <c r="L9" s="56"/>
      <c r="M9" s="57"/>
    </row>
    <row r="10" spans="1:13">
      <c r="A10" s="56" t="s">
        <v>935</v>
      </c>
      <c r="B10" s="57" t="s">
        <v>884</v>
      </c>
      <c r="C10" s="58">
        <v>2026</v>
      </c>
      <c r="D10" s="56" t="s">
        <v>936</v>
      </c>
      <c r="E10" s="59">
        <v>350000000</v>
      </c>
      <c r="F10" s="59">
        <v>32950000</v>
      </c>
      <c r="G10" s="60">
        <f t="shared" si="0"/>
        <v>120375000</v>
      </c>
      <c r="H10" s="61">
        <f t="shared" si="1"/>
        <v>0.34392857142857142</v>
      </c>
      <c r="I10" s="56" t="s">
        <v>927</v>
      </c>
      <c r="J10" s="62"/>
      <c r="K10" s="62"/>
      <c r="L10" s="56"/>
      <c r="M10" s="57"/>
    </row>
    <row r="11" spans="1:13">
      <c r="A11" s="56"/>
      <c r="B11" s="57"/>
      <c r="C11" s="58"/>
      <c r="D11" s="56"/>
      <c r="E11" s="59"/>
      <c r="F11" s="59"/>
      <c r="G11" s="60" t="str">
        <f t="shared" si="0"/>
        <v/>
      </c>
      <c r="H11" s="61" t="str">
        <f t="shared" si="1"/>
        <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142" t="s">
        <v>937</v>
      </c>
      <c r="B1" s="142"/>
      <c r="C1" s="142"/>
      <c r="D1" s="142"/>
      <c r="E1" s="142"/>
      <c r="F1" s="142"/>
      <c r="G1" s="142"/>
      <c r="H1" s="142"/>
      <c r="I1" s="142"/>
      <c r="J1" s="142"/>
      <c r="K1" s="142"/>
      <c r="L1" s="142"/>
      <c r="M1" s="142"/>
      <c r="N1" s="142"/>
    </row>
    <row r="2" spans="1:14">
      <c r="A2" s="144" t="s">
        <v>938</v>
      </c>
      <c r="B2" s="144"/>
      <c r="C2" s="144"/>
      <c r="D2" s="144"/>
      <c r="E2" s="144"/>
      <c r="F2" s="144"/>
      <c r="G2" s="144"/>
      <c r="H2" s="144"/>
      <c r="I2" s="144"/>
      <c r="J2" s="144"/>
      <c r="K2" s="144"/>
      <c r="L2" s="144"/>
      <c r="M2" s="144"/>
      <c r="N2" s="144"/>
    </row>
    <row r="3" spans="1:14">
      <c r="A3" s="145" t="s">
        <v>847</v>
      </c>
      <c r="B3" s="145"/>
      <c r="C3" s="145"/>
      <c r="D3" s="145"/>
      <c r="E3" s="145"/>
      <c r="F3" s="145"/>
      <c r="G3" s="145"/>
      <c r="H3" s="145"/>
      <c r="I3" s="145"/>
      <c r="J3" s="145"/>
      <c r="K3" s="145"/>
      <c r="L3" s="145"/>
      <c r="M3" s="145"/>
      <c r="N3" s="145"/>
    </row>
    <row r="5" spans="1:14" ht="26">
      <c r="A5" s="1" t="s">
        <v>939</v>
      </c>
      <c r="B5" s="2" t="s">
        <v>877</v>
      </c>
      <c r="C5" s="2" t="s">
        <v>940</v>
      </c>
      <c r="D5" s="2" t="s">
        <v>941</v>
      </c>
      <c r="E5" s="2" t="s">
        <v>942</v>
      </c>
      <c r="F5" s="64" t="s">
        <v>943</v>
      </c>
      <c r="G5" s="2" t="s">
        <v>944</v>
      </c>
      <c r="H5" s="2" t="s">
        <v>945</v>
      </c>
      <c r="I5" s="2" t="s">
        <v>946</v>
      </c>
      <c r="J5" s="2" t="s">
        <v>26</v>
      </c>
      <c r="K5" s="2" t="s">
        <v>27</v>
      </c>
      <c r="L5" s="2" t="s">
        <v>28</v>
      </c>
      <c r="M5" s="2" t="s">
        <v>29</v>
      </c>
      <c r="N5" s="3" t="s">
        <v>30</v>
      </c>
    </row>
    <row r="6" spans="1:14">
      <c r="A6" s="29" t="s">
        <v>1155</v>
      </c>
      <c r="B6" s="8" t="s">
        <v>884</v>
      </c>
      <c r="C6" s="8" t="s">
        <v>947</v>
      </c>
      <c r="D6" s="4"/>
      <c r="E6" s="8" t="s">
        <v>948</v>
      </c>
      <c r="F6" s="8" t="s">
        <v>949</v>
      </c>
      <c r="G6" s="8"/>
      <c r="H6" s="8"/>
      <c r="I6" s="11"/>
      <c r="J6" s="17"/>
      <c r="K6" s="8"/>
      <c r="L6" s="8"/>
      <c r="M6" s="11"/>
      <c r="N6" s="32"/>
    </row>
    <row r="7" spans="1:14">
      <c r="A7" s="30" t="s">
        <v>1156</v>
      </c>
      <c r="B7" s="9" t="s">
        <v>884</v>
      </c>
      <c r="C7" s="9" t="s">
        <v>950</v>
      </c>
      <c r="D7" s="5"/>
      <c r="E7" s="9" t="s">
        <v>888</v>
      </c>
      <c r="F7" s="9" t="s">
        <v>949</v>
      </c>
      <c r="G7" s="9"/>
      <c r="H7" s="9"/>
      <c r="I7" s="12"/>
      <c r="J7" s="18"/>
      <c r="K7" s="9"/>
      <c r="L7" s="9"/>
      <c r="M7" s="12"/>
      <c r="N7" s="33"/>
    </row>
    <row r="8" spans="1:14">
      <c r="A8" s="30" t="s">
        <v>1157</v>
      </c>
      <c r="B8" s="9" t="s">
        <v>884</v>
      </c>
      <c r="C8" s="9" t="s">
        <v>951</v>
      </c>
      <c r="D8" s="5"/>
      <c r="E8" s="9" t="s">
        <v>905</v>
      </c>
      <c r="F8" s="9" t="s">
        <v>952</v>
      </c>
      <c r="G8" s="9"/>
      <c r="H8" s="9"/>
      <c r="I8" s="12"/>
      <c r="J8" s="18"/>
      <c r="K8" s="9"/>
      <c r="L8" s="9"/>
      <c r="M8" s="12"/>
      <c r="N8" s="33"/>
    </row>
    <row r="9" spans="1:14">
      <c r="A9" s="30" t="s">
        <v>1158</v>
      </c>
      <c r="B9" s="9" t="s">
        <v>884</v>
      </c>
      <c r="C9" s="9" t="s">
        <v>953</v>
      </c>
      <c r="D9" s="5"/>
      <c r="E9" s="9" t="s">
        <v>948</v>
      </c>
      <c r="F9" s="9" t="s">
        <v>949</v>
      </c>
      <c r="G9" s="9"/>
      <c r="H9" s="9"/>
      <c r="I9" s="12"/>
      <c r="J9" s="18"/>
      <c r="K9" s="9"/>
      <c r="L9" s="9"/>
      <c r="M9" s="12"/>
      <c r="N9" s="33"/>
    </row>
    <row r="10" spans="1:14">
      <c r="A10" s="30" t="s">
        <v>1159</v>
      </c>
      <c r="B10" s="9" t="s">
        <v>884</v>
      </c>
      <c r="C10" s="9" t="s">
        <v>954</v>
      </c>
      <c r="D10" s="5"/>
      <c r="E10" s="9" t="s">
        <v>891</v>
      </c>
      <c r="F10" s="9" t="s">
        <v>949</v>
      </c>
      <c r="G10" s="9"/>
      <c r="H10" s="9"/>
      <c r="I10" s="12"/>
      <c r="J10" s="18"/>
      <c r="K10" s="9"/>
      <c r="L10" s="9"/>
      <c r="M10" s="12"/>
      <c r="N10" s="33"/>
    </row>
    <row r="11" spans="1:14">
      <c r="A11" s="30" t="s">
        <v>1160</v>
      </c>
      <c r="B11" s="9" t="s">
        <v>884</v>
      </c>
      <c r="C11" s="9" t="s">
        <v>955</v>
      </c>
      <c r="D11" s="5"/>
      <c r="E11" s="9" t="s">
        <v>891</v>
      </c>
      <c r="F11" s="9" t="s">
        <v>949</v>
      </c>
      <c r="G11" s="9"/>
      <c r="H11" s="9"/>
      <c r="I11" s="12"/>
      <c r="J11" s="18"/>
      <c r="K11" s="9"/>
      <c r="L11" s="9"/>
      <c r="M11" s="12"/>
      <c r="N11" s="33"/>
    </row>
    <row r="12" spans="1:14">
      <c r="A12" s="30" t="s">
        <v>1161</v>
      </c>
      <c r="B12" s="9" t="s">
        <v>884</v>
      </c>
      <c r="C12" s="9" t="s">
        <v>956</v>
      </c>
      <c r="D12" s="5"/>
      <c r="E12" s="9" t="s">
        <v>948</v>
      </c>
      <c r="F12" s="9" t="s">
        <v>949</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tabSelected="1" workbookViewId="0">
      <selection activeCell="G29" sqref="G29"/>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189" t="s">
        <v>2115</v>
      </c>
      <c r="B1" s="189"/>
      <c r="C1" s="189"/>
      <c r="D1" s="189"/>
      <c r="E1" s="189"/>
      <c r="F1" s="189"/>
      <c r="G1" s="189"/>
      <c r="H1" s="189"/>
      <c r="I1" s="189"/>
      <c r="J1" s="189"/>
      <c r="K1" s="189"/>
      <c r="L1" s="189"/>
      <c r="M1" s="189"/>
      <c r="N1" s="189"/>
      <c r="O1" s="189"/>
    </row>
    <row r="2" spans="1:15" ht="16" customHeight="1">
      <c r="A2" s="188" t="s">
        <v>2114</v>
      </c>
      <c r="B2" s="188"/>
      <c r="C2" s="188"/>
      <c r="D2" s="188"/>
      <c r="E2" s="188"/>
      <c r="F2" s="188"/>
      <c r="G2" s="188"/>
      <c r="H2" s="188"/>
      <c r="I2" s="188"/>
      <c r="J2" s="188"/>
      <c r="K2" s="188"/>
      <c r="L2" s="188"/>
      <c r="M2" s="188"/>
      <c r="N2" s="188"/>
      <c r="O2" s="188"/>
    </row>
    <row r="3" spans="1:15" ht="22.65" customHeight="1">
      <c r="A3" s="187" t="s">
        <v>2113</v>
      </c>
      <c r="B3" s="187"/>
      <c r="C3" s="187"/>
      <c r="D3" s="187"/>
      <c r="E3" s="187"/>
      <c r="F3" s="187"/>
      <c r="G3" s="187"/>
      <c r="H3" s="187"/>
      <c r="I3" s="187"/>
      <c r="J3" s="187"/>
      <c r="K3" s="187"/>
      <c r="L3" s="187"/>
      <c r="M3" s="187"/>
      <c r="N3" s="187"/>
      <c r="O3" s="187"/>
    </row>
    <row r="5" spans="1:15" ht="25.4" customHeight="1">
      <c r="A5" s="186" t="s">
        <v>2112</v>
      </c>
      <c r="B5" s="185" t="s">
        <v>919</v>
      </c>
      <c r="C5" s="185" t="s">
        <v>2111</v>
      </c>
      <c r="D5" s="185" t="s">
        <v>2110</v>
      </c>
      <c r="E5" s="185" t="s">
        <v>2109</v>
      </c>
      <c r="F5" s="185" t="s">
        <v>2108</v>
      </c>
      <c r="G5" s="185" t="s">
        <v>2107</v>
      </c>
      <c r="H5" s="185" t="s">
        <v>2106</v>
      </c>
      <c r="I5" s="185" t="s">
        <v>2105</v>
      </c>
      <c r="J5" s="185" t="s">
        <v>2104</v>
      </c>
      <c r="K5" s="185" t="s">
        <v>27</v>
      </c>
      <c r="L5" s="185" t="s">
        <v>28</v>
      </c>
      <c r="M5" s="185" t="s">
        <v>29</v>
      </c>
      <c r="N5" s="185" t="s">
        <v>30</v>
      </c>
      <c r="O5" s="184" t="s">
        <v>853</v>
      </c>
    </row>
    <row r="6" spans="1:15" ht="16" customHeight="1">
      <c r="A6" s="183" t="s">
        <v>2103</v>
      </c>
      <c r="B6" s="182">
        <v>2018</v>
      </c>
      <c r="C6" s="182" t="s">
        <v>2087</v>
      </c>
      <c r="D6" s="182" t="s">
        <v>2085</v>
      </c>
      <c r="E6" s="181">
        <v>87</v>
      </c>
      <c r="F6" s="181">
        <v>36</v>
      </c>
      <c r="G6" s="181">
        <v>122</v>
      </c>
      <c r="H6" s="181">
        <v>0</v>
      </c>
      <c r="I6" s="181">
        <v>0</v>
      </c>
      <c r="J6" s="181">
        <f>SUM(E6:I6)</f>
        <v>245</v>
      </c>
      <c r="K6" s="180" t="s">
        <v>1279</v>
      </c>
      <c r="L6" s="180" t="s">
        <v>927</v>
      </c>
      <c r="M6" s="180"/>
      <c r="N6" s="180"/>
      <c r="O6" s="179"/>
    </row>
    <row r="7" spans="1:15" ht="16" customHeight="1">
      <c r="A7" s="178" t="s">
        <v>2102</v>
      </c>
      <c r="B7" s="177">
        <v>2018</v>
      </c>
      <c r="C7" s="177" t="s">
        <v>2087</v>
      </c>
      <c r="D7" s="177" t="s">
        <v>2082</v>
      </c>
      <c r="E7" s="176">
        <v>169</v>
      </c>
      <c r="F7" s="176">
        <v>46</v>
      </c>
      <c r="G7" s="176">
        <v>0</v>
      </c>
      <c r="H7" s="176">
        <v>0</v>
      </c>
      <c r="I7" s="176">
        <v>0</v>
      </c>
      <c r="J7" s="176">
        <f>SUM(E7:I7)</f>
        <v>215</v>
      </c>
      <c r="K7" s="175" t="s">
        <v>1279</v>
      </c>
      <c r="L7" s="175" t="s">
        <v>927</v>
      </c>
      <c r="M7" s="175"/>
      <c r="N7" s="175"/>
      <c r="O7" s="174"/>
    </row>
    <row r="8" spans="1:15" ht="16" customHeight="1">
      <c r="A8" s="178" t="s">
        <v>2101</v>
      </c>
      <c r="B8" s="177">
        <v>2019</v>
      </c>
      <c r="C8" s="177" t="s">
        <v>2087</v>
      </c>
      <c r="D8" s="177" t="s">
        <v>2085</v>
      </c>
      <c r="E8" s="176">
        <v>70</v>
      </c>
      <c r="F8" s="176">
        <v>0</v>
      </c>
      <c r="G8" s="176">
        <v>111</v>
      </c>
      <c r="H8" s="176">
        <v>0</v>
      </c>
      <c r="I8" s="176">
        <v>0</v>
      </c>
      <c r="J8" s="176">
        <f>SUM(E8:I8)</f>
        <v>181</v>
      </c>
      <c r="K8" s="175" t="s">
        <v>1279</v>
      </c>
      <c r="L8" s="175" t="s">
        <v>927</v>
      </c>
      <c r="M8" s="175"/>
      <c r="N8" s="175"/>
      <c r="O8" s="174"/>
    </row>
    <row r="9" spans="1:15" ht="16" customHeight="1">
      <c r="A9" s="178" t="s">
        <v>2100</v>
      </c>
      <c r="B9" s="177">
        <v>2019</v>
      </c>
      <c r="C9" s="177" t="s">
        <v>2087</v>
      </c>
      <c r="D9" s="177" t="s">
        <v>2082</v>
      </c>
      <c r="E9" s="176">
        <v>50</v>
      </c>
      <c r="F9" s="176">
        <v>12</v>
      </c>
      <c r="G9" s="176">
        <v>0</v>
      </c>
      <c r="H9" s="176">
        <v>57</v>
      </c>
      <c r="I9" s="176">
        <v>0</v>
      </c>
      <c r="J9" s="176">
        <f>SUM(E9:I9)</f>
        <v>119</v>
      </c>
      <c r="K9" s="175" t="s">
        <v>1279</v>
      </c>
      <c r="L9" s="175" t="s">
        <v>927</v>
      </c>
      <c r="M9" s="175"/>
      <c r="N9" s="175"/>
      <c r="O9" s="174"/>
    </row>
    <row r="10" spans="1:15" ht="16" customHeight="1">
      <c r="A10" s="178" t="s">
        <v>2099</v>
      </c>
      <c r="B10" s="177">
        <v>2020</v>
      </c>
      <c r="C10" s="177" t="s">
        <v>2087</v>
      </c>
      <c r="D10" s="177" t="s">
        <v>2085</v>
      </c>
      <c r="E10" s="176">
        <v>8</v>
      </c>
      <c r="F10" s="176">
        <v>0</v>
      </c>
      <c r="G10" s="176">
        <v>19</v>
      </c>
      <c r="H10" s="176">
        <v>0</v>
      </c>
      <c r="I10" s="176">
        <v>0</v>
      </c>
      <c r="J10" s="176">
        <f>SUM(E10:I10)</f>
        <v>27</v>
      </c>
      <c r="K10" s="175" t="s">
        <v>1279</v>
      </c>
      <c r="L10" s="175" t="s">
        <v>927</v>
      </c>
      <c r="M10" s="175"/>
      <c r="N10" s="175"/>
      <c r="O10" s="174"/>
    </row>
    <row r="11" spans="1:15" ht="16" customHeight="1">
      <c r="A11" s="178" t="s">
        <v>2098</v>
      </c>
      <c r="B11" s="177">
        <v>2020</v>
      </c>
      <c r="C11" s="177" t="s">
        <v>2087</v>
      </c>
      <c r="D11" s="177" t="s">
        <v>2082</v>
      </c>
      <c r="E11" s="176">
        <v>40</v>
      </c>
      <c r="F11" s="176">
        <v>0</v>
      </c>
      <c r="G11" s="176">
        <v>80</v>
      </c>
      <c r="H11" s="176">
        <v>23</v>
      </c>
      <c r="I11" s="176">
        <v>0</v>
      </c>
      <c r="J11" s="176">
        <f>SUM(E11:I11)</f>
        <v>143</v>
      </c>
      <c r="K11" s="175" t="s">
        <v>1279</v>
      </c>
      <c r="L11" s="175" t="s">
        <v>927</v>
      </c>
      <c r="M11" s="175"/>
      <c r="N11" s="175"/>
      <c r="O11" s="174"/>
    </row>
    <row r="12" spans="1:15" ht="16" customHeight="1">
      <c r="A12" s="178" t="s">
        <v>2097</v>
      </c>
      <c r="B12" s="177">
        <v>2021</v>
      </c>
      <c r="C12" s="177" t="s">
        <v>2087</v>
      </c>
      <c r="D12" s="177" t="s">
        <v>2085</v>
      </c>
      <c r="E12" s="176">
        <v>6</v>
      </c>
      <c r="F12" s="176">
        <v>0</v>
      </c>
      <c r="G12" s="176">
        <v>0</v>
      </c>
      <c r="H12" s="176">
        <v>0</v>
      </c>
      <c r="I12" s="176">
        <v>0</v>
      </c>
      <c r="J12" s="176">
        <f>SUM(E12:I12)</f>
        <v>6</v>
      </c>
      <c r="K12" s="175" t="s">
        <v>1279</v>
      </c>
      <c r="L12" s="175" t="s">
        <v>927</v>
      </c>
      <c r="M12" s="175"/>
      <c r="N12" s="175"/>
      <c r="O12" s="174"/>
    </row>
    <row r="13" spans="1:15" ht="16" customHeight="1">
      <c r="A13" s="178" t="s">
        <v>2096</v>
      </c>
      <c r="B13" s="177">
        <v>2021</v>
      </c>
      <c r="C13" s="177" t="s">
        <v>2087</v>
      </c>
      <c r="D13" s="177" t="s">
        <v>2082</v>
      </c>
      <c r="E13" s="176">
        <v>16</v>
      </c>
      <c r="F13" s="176">
        <v>0</v>
      </c>
      <c r="G13" s="176">
        <v>47</v>
      </c>
      <c r="H13" s="176">
        <v>99</v>
      </c>
      <c r="I13" s="176">
        <v>0</v>
      </c>
      <c r="J13" s="176">
        <f>SUM(E13:I13)</f>
        <v>162</v>
      </c>
      <c r="K13" s="175" t="s">
        <v>1279</v>
      </c>
      <c r="L13" s="175" t="s">
        <v>927</v>
      </c>
      <c r="M13" s="175"/>
      <c r="N13" s="175"/>
      <c r="O13" s="174"/>
    </row>
    <row r="14" spans="1:15" ht="16" customHeight="1">
      <c r="A14" s="178" t="s">
        <v>2095</v>
      </c>
      <c r="B14" s="177">
        <v>2022</v>
      </c>
      <c r="C14" s="177" t="s">
        <v>2087</v>
      </c>
      <c r="D14" s="177" t="s">
        <v>2085</v>
      </c>
      <c r="E14" s="176">
        <v>4</v>
      </c>
      <c r="F14" s="176">
        <v>0</v>
      </c>
      <c r="G14" s="176">
        <v>0</v>
      </c>
      <c r="H14" s="176">
        <v>0</v>
      </c>
      <c r="I14" s="176">
        <v>0</v>
      </c>
      <c r="J14" s="176">
        <f>SUM(E14:I14)</f>
        <v>4</v>
      </c>
      <c r="K14" s="175" t="s">
        <v>1279</v>
      </c>
      <c r="L14" s="175" t="s">
        <v>927</v>
      </c>
      <c r="M14" s="175"/>
      <c r="N14" s="175"/>
      <c r="O14" s="174"/>
    </row>
    <row r="15" spans="1:15" ht="16" customHeight="1">
      <c r="A15" s="178" t="s">
        <v>2094</v>
      </c>
      <c r="B15" s="177">
        <v>2022</v>
      </c>
      <c r="C15" s="177" t="s">
        <v>2087</v>
      </c>
      <c r="D15" s="177" t="s">
        <v>2082</v>
      </c>
      <c r="E15" s="176">
        <v>18</v>
      </c>
      <c r="F15" s="176">
        <v>0</v>
      </c>
      <c r="G15" s="176">
        <v>0</v>
      </c>
      <c r="H15" s="176">
        <v>0</v>
      </c>
      <c r="I15" s="176">
        <v>0</v>
      </c>
      <c r="J15" s="176">
        <f>SUM(E15:I15)</f>
        <v>18</v>
      </c>
      <c r="K15" s="175" t="s">
        <v>1279</v>
      </c>
      <c r="L15" s="175" t="s">
        <v>927</v>
      </c>
      <c r="M15" s="175"/>
      <c r="N15" s="175"/>
      <c r="O15" s="174"/>
    </row>
    <row r="16" spans="1:15" ht="16" customHeight="1">
      <c r="A16" s="178" t="s">
        <v>2093</v>
      </c>
      <c r="B16" s="177">
        <v>2023</v>
      </c>
      <c r="C16" s="177" t="s">
        <v>2087</v>
      </c>
      <c r="D16" s="177" t="s">
        <v>2085</v>
      </c>
      <c r="E16" s="176">
        <v>4</v>
      </c>
      <c r="F16" s="176">
        <v>0</v>
      </c>
      <c r="G16" s="176">
        <v>0</v>
      </c>
      <c r="H16" s="176">
        <v>0</v>
      </c>
      <c r="I16" s="176">
        <v>0</v>
      </c>
      <c r="J16" s="176">
        <f>SUM(E16:I16)</f>
        <v>4</v>
      </c>
      <c r="K16" s="175" t="s">
        <v>1279</v>
      </c>
      <c r="L16" s="175" t="s">
        <v>927</v>
      </c>
      <c r="M16" s="175"/>
      <c r="N16" s="175"/>
      <c r="O16" s="174"/>
    </row>
    <row r="17" spans="1:15" ht="16" customHeight="1">
      <c r="A17" s="178" t="s">
        <v>2092</v>
      </c>
      <c r="B17" s="177">
        <v>2023</v>
      </c>
      <c r="C17" s="177" t="s">
        <v>2087</v>
      </c>
      <c r="D17" s="177" t="s">
        <v>2082</v>
      </c>
      <c r="E17" s="176">
        <v>11</v>
      </c>
      <c r="F17" s="176">
        <v>0</v>
      </c>
      <c r="G17" s="176">
        <v>0</v>
      </c>
      <c r="H17" s="176">
        <v>0</v>
      </c>
      <c r="I17" s="176">
        <v>0</v>
      </c>
      <c r="J17" s="176">
        <f>SUM(E17:I17)</f>
        <v>11</v>
      </c>
      <c r="K17" s="175" t="s">
        <v>1279</v>
      </c>
      <c r="L17" s="175" t="s">
        <v>927</v>
      </c>
      <c r="M17" s="175"/>
      <c r="N17" s="175"/>
      <c r="O17" s="174"/>
    </row>
    <row r="18" spans="1:15" ht="16" customHeight="1">
      <c r="A18" s="178" t="s">
        <v>2091</v>
      </c>
      <c r="B18" s="177">
        <v>2024</v>
      </c>
      <c r="C18" s="177" t="s">
        <v>2087</v>
      </c>
      <c r="D18" s="177" t="s">
        <v>2085</v>
      </c>
      <c r="E18" s="176">
        <v>0</v>
      </c>
      <c r="F18" s="176">
        <v>20</v>
      </c>
      <c r="G18" s="176">
        <v>0</v>
      </c>
      <c r="H18" s="176">
        <v>0</v>
      </c>
      <c r="I18" s="176">
        <v>0</v>
      </c>
      <c r="J18" s="176">
        <f>SUM(E18:I18)</f>
        <v>20</v>
      </c>
      <c r="K18" s="175" t="s">
        <v>1279</v>
      </c>
      <c r="L18" s="175" t="s">
        <v>927</v>
      </c>
      <c r="M18" s="175"/>
      <c r="N18" s="175"/>
      <c r="O18" s="174"/>
    </row>
    <row r="19" spans="1:15" ht="16" customHeight="1">
      <c r="A19" s="178" t="s">
        <v>2090</v>
      </c>
      <c r="B19" s="177">
        <v>2024</v>
      </c>
      <c r="C19" s="177" t="s">
        <v>2087</v>
      </c>
      <c r="D19" s="177" t="s">
        <v>2082</v>
      </c>
      <c r="E19" s="176">
        <v>8</v>
      </c>
      <c r="F19" s="176">
        <v>0</v>
      </c>
      <c r="G19" s="176">
        <v>0</v>
      </c>
      <c r="H19" s="176">
        <v>0</v>
      </c>
      <c r="I19" s="176">
        <v>2</v>
      </c>
      <c r="J19" s="176">
        <f>SUM(E19:I19)</f>
        <v>10</v>
      </c>
      <c r="K19" s="175" t="s">
        <v>1279</v>
      </c>
      <c r="L19" s="175" t="s">
        <v>927</v>
      </c>
      <c r="M19" s="175"/>
      <c r="N19" s="175"/>
      <c r="O19" s="174"/>
    </row>
    <row r="20" spans="1:15" ht="16" customHeight="1">
      <c r="A20" s="178" t="s">
        <v>2089</v>
      </c>
      <c r="B20" s="177">
        <v>2025</v>
      </c>
      <c r="C20" s="177" t="s">
        <v>2087</v>
      </c>
      <c r="D20" s="177" t="s">
        <v>2085</v>
      </c>
      <c r="E20" s="176">
        <v>1</v>
      </c>
      <c r="F20" s="176">
        <v>0</v>
      </c>
      <c r="G20" s="176">
        <v>0</v>
      </c>
      <c r="H20" s="176">
        <v>1</v>
      </c>
      <c r="I20" s="176">
        <v>0</v>
      </c>
      <c r="J20" s="176">
        <f>SUM(E20:I20)</f>
        <v>2</v>
      </c>
      <c r="K20" s="175" t="s">
        <v>1279</v>
      </c>
      <c r="L20" s="175" t="s">
        <v>927</v>
      </c>
      <c r="M20" s="175"/>
      <c r="N20" s="175"/>
      <c r="O20" s="174"/>
    </row>
    <row r="21" spans="1:15" ht="16" customHeight="1">
      <c r="A21" s="178" t="s">
        <v>2088</v>
      </c>
      <c r="B21" s="177">
        <v>2025</v>
      </c>
      <c r="C21" s="177" t="s">
        <v>2087</v>
      </c>
      <c r="D21" s="177" t="s">
        <v>2082</v>
      </c>
      <c r="E21" s="176">
        <v>4</v>
      </c>
      <c r="F21" s="176">
        <v>0</v>
      </c>
      <c r="G21" s="176">
        <v>0</v>
      </c>
      <c r="H21" s="176">
        <v>49</v>
      </c>
      <c r="I21" s="176">
        <v>6</v>
      </c>
      <c r="J21" s="176">
        <f>SUM(E21:I21)</f>
        <v>59</v>
      </c>
      <c r="K21" s="175" t="s">
        <v>1279</v>
      </c>
      <c r="L21" s="175" t="s">
        <v>927</v>
      </c>
      <c r="M21" s="175"/>
      <c r="N21" s="175"/>
      <c r="O21" s="174"/>
    </row>
    <row r="22" spans="1:15" ht="16" customHeight="1">
      <c r="A22" s="178" t="s">
        <v>2086</v>
      </c>
      <c r="B22" s="177">
        <v>2026</v>
      </c>
      <c r="C22" s="177" t="s">
        <v>2083</v>
      </c>
      <c r="D22" s="177" t="s">
        <v>2085</v>
      </c>
      <c r="E22" s="176">
        <v>2</v>
      </c>
      <c r="F22" s="176">
        <v>0</v>
      </c>
      <c r="G22" s="176">
        <v>0</v>
      </c>
      <c r="H22" s="176">
        <v>0</v>
      </c>
      <c r="I22" s="176">
        <v>0</v>
      </c>
      <c r="J22" s="176">
        <f>SUM(E22:I22)</f>
        <v>2</v>
      </c>
      <c r="K22" s="175" t="s">
        <v>1279</v>
      </c>
      <c r="L22" s="175" t="s">
        <v>927</v>
      </c>
      <c r="M22" s="175"/>
      <c r="N22" s="175"/>
      <c r="O22" s="174" t="s">
        <v>2081</v>
      </c>
    </row>
    <row r="23" spans="1:15" ht="16" customHeight="1">
      <c r="A23" s="173" t="s">
        <v>2084</v>
      </c>
      <c r="B23" s="172">
        <v>2026</v>
      </c>
      <c r="C23" s="172" t="s">
        <v>2083</v>
      </c>
      <c r="D23" s="172" t="s">
        <v>2082</v>
      </c>
      <c r="E23" s="171">
        <v>8</v>
      </c>
      <c r="F23" s="171">
        <v>0</v>
      </c>
      <c r="G23" s="171">
        <v>0</v>
      </c>
      <c r="H23" s="171">
        <v>135</v>
      </c>
      <c r="I23" s="171">
        <v>0</v>
      </c>
      <c r="J23" s="171">
        <f>SUM(E23:I23)</f>
        <v>143</v>
      </c>
      <c r="K23" s="170" t="s">
        <v>1279</v>
      </c>
      <c r="L23" s="170" t="s">
        <v>927</v>
      </c>
      <c r="M23" s="170"/>
      <c r="N23" s="170"/>
      <c r="O23" s="169" t="s">
        <v>2081</v>
      </c>
    </row>
    <row r="24" spans="1:15" ht="14.5" thickBot="1">
      <c r="E24" s="168"/>
      <c r="F24" s="168"/>
      <c r="G24" s="168"/>
      <c r="H24" s="168"/>
      <c r="I24" s="168"/>
      <c r="J24" s="168"/>
    </row>
    <row r="25" spans="1:15" ht="16" customHeight="1">
      <c r="B25" s="167" t="s">
        <v>2080</v>
      </c>
      <c r="C25" s="167"/>
      <c r="D25" s="167"/>
      <c r="E25" s="166">
        <f>SUM(E6:E23)</f>
        <v>506</v>
      </c>
      <c r="F25" s="166">
        <f>SUM(F6:F23)</f>
        <v>114</v>
      </c>
      <c r="G25" s="166">
        <f>SUM(G6:G23)</f>
        <v>379</v>
      </c>
      <c r="H25" s="166">
        <f>SUM(H6:H23)</f>
        <v>364</v>
      </c>
      <c r="I25" s="166">
        <f>SUM(I6:I23)</f>
        <v>8</v>
      </c>
      <c r="J25" s="166">
        <f>SUM(J6:J23)</f>
        <v>1371</v>
      </c>
      <c r="K25" s="165"/>
      <c r="L25" s="165"/>
      <c r="M25" s="165"/>
      <c r="N25" s="165"/>
      <c r="O25" s="165"/>
    </row>
    <row r="26" spans="1:15" ht="16" customHeight="1">
      <c r="B26" s="164" t="s">
        <v>2079</v>
      </c>
      <c r="C26" s="164"/>
      <c r="D26" s="164"/>
      <c r="E26" s="163"/>
      <c r="F26" s="163"/>
      <c r="G26" s="163"/>
      <c r="H26" s="163"/>
      <c r="I26" s="163"/>
      <c r="J26" s="162">
        <f>SUMIF(C6:C23,"Realisasi",J6:J23)</f>
        <v>1226</v>
      </c>
    </row>
    <row r="27" spans="1:15" ht="16" customHeight="1">
      <c r="B27" s="164" t="s">
        <v>2078</v>
      </c>
      <c r="C27" s="164"/>
      <c r="D27" s="164"/>
      <c r="E27" s="163"/>
      <c r="F27" s="163"/>
      <c r="G27" s="163"/>
      <c r="H27" s="163"/>
      <c r="I27" s="163"/>
      <c r="J27" s="162">
        <f>SUMIF(C6:C23,"Proses",J6:J23)</f>
        <v>145</v>
      </c>
      <c r="K27" s="161" t="s">
        <v>2077</v>
      </c>
      <c r="L27" s="161"/>
      <c r="M27" s="161"/>
      <c r="N27" s="161"/>
      <c r="O27" s="161"/>
    </row>
  </sheetData>
  <mergeCells count="7">
    <mergeCell ref="B27:I27"/>
    <mergeCell ref="K27:O27"/>
    <mergeCell ref="A1:O1"/>
    <mergeCell ref="A2:O2"/>
    <mergeCell ref="A3:O3"/>
    <mergeCell ref="B25:D25"/>
    <mergeCell ref="B26:I26"/>
  </mergeCells>
  <conditionalFormatting sqref="C6:C205">
    <cfRule type="expression" dxfId="0"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PERUMAHAN</vt:lpstr>
      <vt:lpstr>BACKLOG_KECAMATAN</vt:lpstr>
      <vt:lpstr>RTLH_RLH_KECAMATAN</vt:lpstr>
      <vt:lpstr>RTLH_INDIVIDU</vt:lpstr>
      <vt:lpstr>RUSUNAWA_UNIT</vt:lpstr>
      <vt:lpstr>RUSUNAWA_RETRIBUSI</vt:lpstr>
      <vt:lpstr>RUSUNAWA_SARPRAS</vt:lpstr>
      <vt:lpstr>KOLABORASI_RTLH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2026-07-22T03:26:18Z</dcterms:modified>
</cp:coreProperties>
</file>