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EC829022-BF6E-4437-A4AA-D162C5EC79EC}" xr6:coauthVersionLast="47" xr6:coauthVersionMax="47" xr10:uidLastSave="{00000000-0000-0000-0000-000000000000}"/>
  <bookViews>
    <workbookView xWindow="-110" yWindow="-110" windowWidth="25820" windowHeight="15500" firstSheet="4" activeTab="4"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 name="Sheet1"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11" l="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<sst xmlns="http://schemas.openxmlformats.org/spreadsheetml/2006/main" count="14058" uniqueCount="2425">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</sst>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40">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s>
  <borders count="38">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33">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16" fillId="35" borderId="0" xfId="0" applyFont="1" applyFill="1" applyAlignment="1">
      <alignment vertical="center"/>
    </xf>
    <xf numFmtId="0" fontId="16" fillId="35" borderId="34" xfId="0" applyFont="1" applyFill="1" applyBorder="1" applyAlignment="1">
      <alignment vertical="center"/>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34" xfId="0" applyFont="1" applyFill="1" applyBorder="1" applyAlignment="1">
      <alignment vertical="center"/>
    </xf>
    <xf numFmtId="0" fontId="16" fillId="35" borderId="35" xfId="0" applyFont="1" applyFill="1" applyBorder="1" applyAlignment="1">
      <alignment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26" fillId="33" borderId="22" xfId="0" applyFont="1" applyFill="1" applyBorder="1" applyAlignment="1">
      <alignment vertical="center"/>
    </xf>
    <xf numFmtId="0" fontId="26" fillId="33" borderId="0" xfId="0" applyFont="1" applyFill="1" applyAlignment="1">
      <alignment vertical="center"/>
    </xf>
  </cellXfs>
  <cellStyles count="1">
    <cellStyle name="Normal" xfId="0" builtinId="0"/>
  </cellStyles>
  <dxfs count="24">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3"/>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1" headerRowBorderDxfId="20">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19"/>
    <tableColumn id="18" xr3:uid="{87150178-4EDB-4AD7-8CF1-40D42CE5D161}" name="RENTAN_LANSIA*" dataDxfId="18"/>
    <tableColumn id="19" xr3:uid="{B0DB39C7-11DA-47A7-9AC4-A90CCE10CE2B}" name="RENTAN_DISABILITAS*" dataDxfId="17"/>
    <tableColumn id="20" xr3:uid="{C4A70515-B1AF-4F29-A8AD-C5BA67C4C29E}" name="RENTAN_KEPALA_KELUARGA_PEREMPUAN*" dataDxfId="16"/>
    <tableColumn id="21" xr3:uid="{178CA43F-97A2-4CDF-9E72-3286F7C03E82}" name="RENTAN_BALITA*" dataDxfId="15"/>
    <tableColumn id="22" xr3:uid="{ED3E9D21-191E-4986-B2E2-72A7314ECB14}" name="RENTAN_KETERGANTUNGAN_TINGGI*" dataDxfId="14"/>
    <tableColumn id="23" xr3:uid="{CC088685-63AF-4289-BA4C-402759191666}" name="CATATAN_KERENTANAN_PENGHUNI"/>
    <tableColumn id="24" xr3:uid="{263EBDC8-D390-4B46-A921-9C43C72D752B}" name="FAKTOR_KERENTANAN_TERPILIH" dataDxfId="13">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2">
      <calculatedColumnFormula>IF(COUNTIF(R6:V6,"Belum Dinilai")&gt;0,"Belum Dinilai",IF(COUNTIF(R6:V6,"Ya")=0,"Tidak Ada Faktor Rentan",IF(COUNTIF(R6:V6,"Ya")=1,"1 Faktor Rentan","2 atau Lebih Faktor Rentan")))</calculatedColumnFormula>
    </tableColumn>
    <tableColumn id="26" xr3:uid="{AE6C0F4D-F797-4E6E-9443-50835488A9C0}" name="SKOR_MBR" dataDxfId="11">
      <calculatedColumnFormula>IF(OR(Q6="",Q6="Belum Dinilai"),"",IF(Q6="Terverifikasi DTKS/P3KE/MBR",10,IF(Q6="Diusulkan, Belum Terverifikasi",5,0)))</calculatedColumnFormula>
    </tableColumn>
    <tableColumn id="27" xr3:uid="{FEF98D34-8976-4F06-94FB-3B500F1FD969}" name="SKOR_FAKTOR_RENTAN" dataDxfId="10">
      <calculatedColumnFormula>IF(COUNTIF(R6:V6,"Belum Dinilai")&gt;0,"",IF(COUNTIF(R6:V6,"Ya")=0,0,IF(COUNTIF(R6:V6,"Ya")=1,5,10)))</calculatedColumnFormula>
    </tableColumn>
    <tableColumn id="28" xr3:uid="{B665D4B9-59B8-47A8-B372-F603C3C42E26}" name="SKOR_KERENTANAN" dataDxfId="9">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8">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7">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C262" activePane="bottomRight" state="frozen"/>
      <selection pane="topRight" activeCell="C1" sqref="C1"/>
      <selection pane="bottomLeft" activeCell="A4" sqref="A4"/>
      <selection pane="bottomRight" activeCell="A296" sqref="A296"/>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210" t="s">
        <v>0</v>
      </c>
      <c r="B1" s="210"/>
      <c r="C1" s="210"/>
      <c r="D1" s="210"/>
      <c r="E1" s="210"/>
      <c r="F1" s="210"/>
      <c r="G1" s="210"/>
      <c r="H1" s="210"/>
      <c r="I1" s="210"/>
      <c r="J1" s="210"/>
      <c r="K1" s="210"/>
      <c r="L1" s="210"/>
      <c r="M1" s="210"/>
      <c r="N1" s="210"/>
      <c r="O1" s="210"/>
      <c r="P1" s="210"/>
      <c r="Q1" s="210"/>
      <c r="R1" s="210"/>
      <c r="S1" s="210"/>
      <c r="T1" s="210"/>
      <c r="U1" s="210"/>
      <c r="V1" s="210"/>
      <c r="W1" s="210"/>
      <c r="X1" s="210"/>
      <c r="Y1" s="210"/>
      <c r="Z1" s="211"/>
      <c r="AA1" s="211"/>
      <c r="AB1" s="211"/>
      <c r="AC1" s="211"/>
      <c r="AD1" s="211"/>
    </row>
    <row r="2" spans="1:30">
      <c r="A2" s="212" t="s">
        <v>1</v>
      </c>
      <c r="B2" s="212"/>
      <c r="C2" s="212"/>
      <c r="D2" s="212"/>
      <c r="E2" s="212"/>
      <c r="F2" s="212"/>
      <c r="G2" s="212"/>
      <c r="H2" s="212"/>
      <c r="I2" s="212"/>
      <c r="J2" s="212"/>
      <c r="K2" s="212"/>
      <c r="L2" s="212"/>
      <c r="M2" s="212"/>
      <c r="N2" s="212"/>
      <c r="O2" s="212"/>
      <c r="P2" s="212"/>
      <c r="Q2" s="212"/>
      <c r="R2" s="212"/>
      <c r="S2" s="212"/>
      <c r="T2" s="212"/>
      <c r="U2" s="212"/>
      <c r="V2" s="212"/>
      <c r="W2" s="212"/>
      <c r="X2" s="212"/>
      <c r="Y2" s="212"/>
      <c r="Z2" s="211"/>
      <c r="AA2" s="211"/>
      <c r="AB2" s="211"/>
      <c r="AC2" s="211"/>
      <c r="AD2" s="211"/>
    </row>
    <row r="3" spans="1:30">
      <c r="A3" s="213" t="s">
        <v>2</v>
      </c>
      <c r="B3" s="213"/>
      <c r="C3" s="213"/>
      <c r="D3" s="213"/>
      <c r="E3" s="213"/>
      <c r="F3" s="213"/>
      <c r="G3" s="213"/>
      <c r="H3" s="213"/>
      <c r="I3" s="213"/>
      <c r="J3" s="213"/>
      <c r="K3" s="213"/>
      <c r="L3" s="213"/>
      <c r="M3" s="213"/>
      <c r="N3" s="213"/>
      <c r="O3" s="213"/>
      <c r="P3" s="213"/>
      <c r="Q3" s="213"/>
      <c r="R3" s="213"/>
      <c r="S3" s="213"/>
      <c r="T3" s="213"/>
      <c r="U3" s="213"/>
      <c r="V3" s="213"/>
      <c r="W3" s="213"/>
      <c r="X3" s="213"/>
      <c r="Y3" s="213"/>
      <c r="Z3" s="214"/>
      <c r="AA3" s="214"/>
      <c r="AB3" s="214"/>
      <c r="AC3" s="214"/>
      <c r="AD3" s="214"/>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15" t="s">
        <v>2043</v>
      </c>
      <c r="B1" s="215"/>
      <c r="C1" s="215"/>
      <c r="D1" s="215"/>
      <c r="E1" s="215"/>
      <c r="F1" s="215"/>
      <c r="G1" s="215"/>
      <c r="H1" s="215"/>
      <c r="I1" s="215"/>
      <c r="J1" s="215"/>
      <c r="K1" s="215"/>
      <c r="L1" s="216"/>
      <c r="M1" s="216"/>
      <c r="N1" s="216"/>
      <c r="O1" s="216"/>
      <c r="P1" s="216"/>
      <c r="Q1" s="216"/>
      <c r="R1" s="216"/>
    </row>
    <row r="2" spans="1:18" ht="14.5" customHeight="1">
      <c r="A2" s="217" t="s">
        <v>2062</v>
      </c>
      <c r="B2" s="217"/>
      <c r="C2" s="217"/>
      <c r="D2" s="217"/>
      <c r="E2" s="217"/>
      <c r="F2" s="217"/>
      <c r="G2" s="217"/>
      <c r="H2" s="217"/>
      <c r="I2" s="217"/>
      <c r="J2" s="217"/>
      <c r="K2" s="217"/>
      <c r="L2" s="218"/>
      <c r="M2" s="218"/>
      <c r="N2" s="218"/>
      <c r="O2" s="218"/>
      <c r="P2" s="218"/>
      <c r="Q2" s="218"/>
      <c r="R2" s="218"/>
    </row>
    <row r="3" spans="1:18" ht="25.4" customHeight="1">
      <c r="A3" s="219" t="s">
        <v>2063</v>
      </c>
      <c r="B3" s="219"/>
      <c r="C3" s="219"/>
      <c r="D3" s="219"/>
      <c r="E3" s="219"/>
      <c r="F3" s="219"/>
      <c r="G3" s="219"/>
      <c r="H3" s="219"/>
      <c r="I3" s="219"/>
      <c r="J3" s="219"/>
      <c r="K3" s="219"/>
      <c r="L3" s="220"/>
      <c r="M3" s="220"/>
      <c r="N3" s="220"/>
      <c r="O3" s="220"/>
      <c r="P3" s="220"/>
      <c r="Q3" s="220"/>
      <c r="R3" s="220"/>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10" t="s">
        <v>867</v>
      </c>
      <c r="B1" s="210"/>
      <c r="C1" s="210"/>
      <c r="D1" s="210"/>
      <c r="E1" s="210"/>
      <c r="F1" s="210"/>
      <c r="G1" s="210"/>
      <c r="H1" s="210"/>
      <c r="I1" s="210"/>
      <c r="J1" s="210"/>
      <c r="K1" s="210"/>
    </row>
    <row r="2" spans="1:11">
      <c r="A2" s="212" t="s">
        <v>868</v>
      </c>
      <c r="B2" s="212"/>
      <c r="C2" s="212"/>
      <c r="D2" s="212"/>
      <c r="E2" s="212"/>
      <c r="F2" s="212"/>
      <c r="G2" s="212"/>
      <c r="H2" s="212"/>
      <c r="I2" s="212"/>
      <c r="J2" s="212"/>
      <c r="K2" s="212"/>
    </row>
    <row r="3" spans="1:11">
      <c r="A3" s="213" t="s">
        <v>847</v>
      </c>
      <c r="B3" s="213"/>
      <c r="C3" s="213"/>
      <c r="D3" s="213"/>
      <c r="E3" s="213"/>
      <c r="F3" s="213"/>
      <c r="G3" s="213"/>
      <c r="H3" s="213"/>
      <c r="I3" s="213"/>
      <c r="J3" s="213"/>
      <c r="K3" s="213"/>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16" t="s">
        <v>1161</v>
      </c>
      <c r="B1" s="216"/>
      <c r="C1" s="216"/>
      <c r="D1" s="216"/>
      <c r="E1" s="216"/>
      <c r="F1" s="216"/>
      <c r="G1" s="216"/>
      <c r="H1" s="216"/>
      <c r="I1" s="216"/>
      <c r="J1" s="216"/>
      <c r="K1" s="216"/>
      <c r="L1" s="216"/>
      <c r="M1" s="216"/>
      <c r="N1" s="216"/>
      <c r="O1" s="216"/>
      <c r="P1" s="216"/>
      <c r="Q1" s="216"/>
      <c r="R1" s="216"/>
      <c r="S1" s="216"/>
      <c r="T1" s="216"/>
      <c r="U1" s="216"/>
      <c r="V1" s="216"/>
      <c r="W1" s="216"/>
      <c r="X1" s="216"/>
      <c r="Y1" s="216"/>
      <c r="Z1" s="216"/>
      <c r="AA1" s="216"/>
      <c r="AB1" s="216"/>
      <c r="AC1" s="216"/>
      <c r="AD1" s="216"/>
      <c r="AE1" s="216"/>
      <c r="AF1" s="216"/>
      <c r="AG1" s="216"/>
      <c r="AH1" s="216"/>
      <c r="AI1" s="216"/>
      <c r="AJ1" s="216"/>
      <c r="AK1" s="216"/>
      <c r="AL1" s="216"/>
      <c r="AM1" s="216"/>
      <c r="AN1" s="216"/>
      <c r="AO1" s="216"/>
      <c r="AP1" s="216"/>
      <c r="AQ1" s="216"/>
      <c r="AR1" s="216"/>
      <c r="AS1" s="216"/>
      <c r="AT1" s="216"/>
      <c r="AU1" s="216"/>
      <c r="AV1" s="216"/>
      <c r="AW1" s="216"/>
      <c r="AX1" s="216"/>
      <c r="AY1" s="216"/>
      <c r="AZ1" s="216"/>
      <c r="BA1" s="216"/>
      <c r="BB1" s="216"/>
      <c r="BC1" s="216"/>
      <c r="BD1" s="216"/>
      <c r="BE1" s="216"/>
      <c r="BF1" s="216"/>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21" t="s">
        <v>1180</v>
      </c>
      <c r="B2" s="221"/>
      <c r="C2" s="221"/>
      <c r="D2" s="221"/>
      <c r="E2" s="221"/>
      <c r="F2" s="221"/>
      <c r="G2" s="221"/>
      <c r="H2" s="221"/>
      <c r="I2" s="221"/>
      <c r="J2" s="221"/>
      <c r="K2" s="221"/>
      <c r="L2" s="221"/>
      <c r="M2" s="221"/>
      <c r="N2" s="221"/>
      <c r="O2" s="221"/>
      <c r="P2" s="221"/>
      <c r="Q2" s="221"/>
      <c r="R2" s="221"/>
      <c r="S2" s="221"/>
      <c r="T2" s="221"/>
      <c r="U2" s="221"/>
      <c r="V2" s="221"/>
      <c r="W2" s="221"/>
      <c r="X2" s="221"/>
      <c r="Y2" s="221"/>
      <c r="Z2" s="221"/>
      <c r="AA2" s="221"/>
      <c r="AB2" s="221"/>
      <c r="AC2" s="221"/>
      <c r="AD2" s="221"/>
      <c r="AE2" s="221"/>
      <c r="AF2" s="221"/>
      <c r="AG2" s="221"/>
      <c r="AH2" s="221"/>
      <c r="AI2" s="221"/>
      <c r="AJ2" s="221"/>
      <c r="AK2" s="221"/>
      <c r="AL2" s="221"/>
      <c r="AM2" s="221"/>
      <c r="AN2" s="221"/>
      <c r="AO2" s="221"/>
      <c r="AP2" s="221"/>
      <c r="AQ2" s="221"/>
      <c r="AR2" s="221"/>
      <c r="AS2" s="221"/>
      <c r="AT2" s="221"/>
      <c r="AU2" s="221"/>
      <c r="AV2" s="221"/>
      <c r="AW2" s="221"/>
      <c r="AX2" s="221"/>
      <c r="AY2" s="221"/>
      <c r="AZ2" s="221"/>
      <c r="BA2" s="221"/>
      <c r="BB2" s="221"/>
      <c r="BC2" s="221"/>
      <c r="BD2" s="221"/>
      <c r="BE2" s="221"/>
      <c r="BF2" s="221"/>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22" t="s">
        <v>1194</v>
      </c>
      <c r="B3" s="222"/>
      <c r="C3" s="222"/>
      <c r="D3" s="222"/>
      <c r="E3" s="222"/>
      <c r="F3" s="222"/>
      <c r="G3" s="222"/>
      <c r="H3" s="222"/>
      <c r="I3" s="222"/>
      <c r="J3" s="222"/>
      <c r="K3" s="222"/>
      <c r="L3" s="222"/>
      <c r="M3" s="222"/>
      <c r="N3" s="222"/>
      <c r="O3" s="222"/>
      <c r="P3" s="222"/>
      <c r="Q3" s="222"/>
      <c r="R3" s="222"/>
      <c r="S3" s="222"/>
      <c r="T3" s="222"/>
      <c r="U3" s="222"/>
      <c r="V3" s="222"/>
      <c r="W3" s="222"/>
      <c r="X3" s="222"/>
      <c r="Y3" s="222"/>
      <c r="Z3" s="222"/>
      <c r="AA3" s="222"/>
      <c r="AB3" s="222"/>
      <c r="AC3" s="222"/>
      <c r="AD3" s="222"/>
      <c r="AE3" s="222"/>
      <c r="AF3" s="222"/>
      <c r="AG3" s="222"/>
      <c r="AH3" s="222"/>
      <c r="AI3" s="222"/>
      <c r="AJ3" s="222"/>
      <c r="AK3" s="222"/>
      <c r="AL3" s="222"/>
      <c r="AM3" s="222"/>
      <c r="AN3" s="222"/>
      <c r="AO3" s="222"/>
      <c r="AP3" s="222"/>
      <c r="AQ3" s="222"/>
      <c r="AR3" s="222"/>
      <c r="AS3" s="222"/>
      <c r="AT3" s="222"/>
      <c r="AU3" s="222"/>
      <c r="AV3" s="222"/>
      <c r="AW3" s="222"/>
      <c r="AX3" s="222"/>
      <c r="AY3" s="222"/>
      <c r="AZ3" s="222"/>
      <c r="BA3" s="222"/>
      <c r="BB3" s="222"/>
      <c r="BC3" s="222"/>
      <c r="BD3" s="222"/>
      <c r="BE3" s="222"/>
      <c r="BF3" s="222"/>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tabSelected="1" topLeftCell="A90" workbookViewId="0">
      <selection activeCell="G15" sqref="G15"/>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10" t="s">
        <v>874</v>
      </c>
      <c r="B1" s="210"/>
      <c r="C1" s="210"/>
      <c r="D1" s="210"/>
      <c r="E1" s="210"/>
      <c r="F1" s="210"/>
      <c r="G1" s="210"/>
      <c r="H1" s="210"/>
      <c r="I1" s="210"/>
      <c r="J1" s="210"/>
      <c r="K1" s="210"/>
      <c r="L1" s="210"/>
      <c r="M1" s="210"/>
      <c r="N1" s="210"/>
    </row>
    <row r="2" spans="1:14">
      <c r="A2" s="212" t="s">
        <v>875</v>
      </c>
      <c r="B2" s="212"/>
      <c r="C2" s="212"/>
      <c r="D2" s="212"/>
      <c r="E2" s="212"/>
      <c r="F2" s="212"/>
      <c r="G2" s="212"/>
      <c r="H2" s="212"/>
      <c r="I2" s="212"/>
      <c r="J2" s="212"/>
      <c r="K2" s="212"/>
      <c r="L2" s="212"/>
      <c r="M2" s="212"/>
      <c r="N2" s="212"/>
    </row>
    <row r="3" spans="1:14">
      <c r="A3" s="213" t="s">
        <v>847</v>
      </c>
      <c r="B3" s="213"/>
      <c r="C3" s="213"/>
      <c r="D3" s="213"/>
      <c r="E3" s="213"/>
      <c r="F3" s="213"/>
      <c r="G3" s="213"/>
      <c r="H3" s="213"/>
      <c r="I3" s="213"/>
      <c r="J3" s="213"/>
      <c r="K3" s="213"/>
      <c r="L3" s="213"/>
      <c r="M3" s="213"/>
      <c r="N3" s="213"/>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23" t="s">
        <v>915</v>
      </c>
      <c r="B1" s="223"/>
      <c r="C1" s="223"/>
      <c r="D1" s="223"/>
      <c r="E1" s="223"/>
      <c r="F1" s="223"/>
      <c r="G1" s="223"/>
      <c r="H1" s="223"/>
      <c r="I1" s="223"/>
      <c r="J1" s="223"/>
      <c r="K1" s="223"/>
      <c r="L1" s="223"/>
      <c r="M1" s="224"/>
    </row>
    <row r="2" spans="1:13" ht="14.5">
      <c r="A2" s="225" t="s">
        <v>916</v>
      </c>
      <c r="B2" s="225"/>
      <c r="C2" s="225"/>
      <c r="D2" s="225"/>
      <c r="E2" s="225"/>
      <c r="F2" s="225"/>
      <c r="G2" s="225"/>
      <c r="H2" s="225"/>
      <c r="I2" s="225"/>
      <c r="J2" s="225"/>
      <c r="K2" s="225"/>
      <c r="L2" s="225"/>
      <c r="M2" s="226"/>
    </row>
    <row r="3" spans="1:13">
      <c r="A3" s="227" t="s">
        <v>917</v>
      </c>
      <c r="B3" s="227"/>
      <c r="C3" s="227"/>
      <c r="D3" s="227"/>
      <c r="E3" s="227"/>
      <c r="F3" s="227"/>
      <c r="G3" s="227"/>
      <c r="H3" s="227"/>
      <c r="I3" s="227"/>
      <c r="J3" s="227"/>
      <c r="K3" s="227"/>
      <c r="L3" s="227"/>
      <c r="M3" s="228"/>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10" t="s">
        <v>936</v>
      </c>
      <c r="B1" s="210"/>
      <c r="C1" s="210"/>
      <c r="D1" s="210"/>
      <c r="E1" s="210"/>
      <c r="F1" s="210"/>
      <c r="G1" s="210"/>
      <c r="H1" s="210"/>
      <c r="I1" s="210"/>
      <c r="J1" s="210"/>
      <c r="K1" s="210"/>
      <c r="L1" s="210"/>
      <c r="M1" s="210"/>
      <c r="N1" s="210"/>
    </row>
    <row r="2" spans="1:14">
      <c r="A2" s="212" t="s">
        <v>937</v>
      </c>
      <c r="B2" s="212"/>
      <c r="C2" s="212"/>
      <c r="D2" s="212"/>
      <c r="E2" s="212"/>
      <c r="F2" s="212"/>
      <c r="G2" s="212"/>
      <c r="H2" s="212"/>
      <c r="I2" s="212"/>
      <c r="J2" s="212"/>
      <c r="K2" s="212"/>
      <c r="L2" s="212"/>
      <c r="M2" s="212"/>
      <c r="N2" s="212"/>
    </row>
    <row r="3" spans="1:14">
      <c r="A3" s="213" t="s">
        <v>847</v>
      </c>
      <c r="B3" s="213"/>
      <c r="C3" s="213"/>
      <c r="D3" s="213"/>
      <c r="E3" s="213"/>
      <c r="F3" s="213"/>
      <c r="G3" s="213"/>
      <c r="H3" s="213"/>
      <c r="I3" s="213"/>
      <c r="J3" s="213"/>
      <c r="K3" s="213"/>
      <c r="L3" s="213"/>
      <c r="M3" s="213"/>
      <c r="N3" s="213"/>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05" t="s">
        <v>2102</v>
      </c>
      <c r="B1" s="205"/>
      <c r="C1" s="205"/>
      <c r="D1" s="205"/>
      <c r="E1" s="205"/>
      <c r="F1" s="205"/>
      <c r="G1" s="205"/>
      <c r="H1" s="205"/>
      <c r="I1" s="205"/>
      <c r="J1" s="205"/>
      <c r="K1" s="205"/>
      <c r="L1" s="205"/>
      <c r="M1" s="205"/>
      <c r="N1" s="205"/>
      <c r="O1" s="205"/>
    </row>
    <row r="2" spans="1:15" ht="16" customHeight="1">
      <c r="A2" s="206" t="s">
        <v>2101</v>
      </c>
      <c r="B2" s="206"/>
      <c r="C2" s="206"/>
      <c r="D2" s="206"/>
      <c r="E2" s="206"/>
      <c r="F2" s="206"/>
      <c r="G2" s="206"/>
      <c r="H2" s="206"/>
      <c r="I2" s="206"/>
      <c r="J2" s="206"/>
      <c r="K2" s="206"/>
      <c r="L2" s="206"/>
      <c r="M2" s="206"/>
      <c r="N2" s="206"/>
      <c r="O2" s="206"/>
    </row>
    <row r="3" spans="1:15" ht="22.65" customHeight="1">
      <c r="A3" s="207" t="s">
        <v>2100</v>
      </c>
      <c r="B3" s="207"/>
      <c r="C3" s="207"/>
      <c r="D3" s="207"/>
      <c r="E3" s="207"/>
      <c r="F3" s="207"/>
      <c r="G3" s="207"/>
      <c r="H3" s="207"/>
      <c r="I3" s="207"/>
      <c r="J3" s="207"/>
      <c r="K3" s="207"/>
      <c r="L3" s="207"/>
      <c r="M3" s="207"/>
      <c r="N3" s="207"/>
      <c r="O3" s="207"/>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31" t="s">
        <v>2067</v>
      </c>
      <c r="C25" s="231"/>
      <c r="D25" s="231"/>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03" t="s">
        <v>2066</v>
      </c>
      <c r="C26" s="203"/>
      <c r="D26" s="203"/>
      <c r="E26" s="229"/>
      <c r="F26" s="229"/>
      <c r="G26" s="229"/>
      <c r="H26" s="229"/>
      <c r="I26" s="229"/>
      <c r="J26" s="141">
        <f>SUMIF(C6:C23,"Realisasi",J6:J23)</f>
        <v>1226</v>
      </c>
    </row>
    <row r="27" spans="1:15" ht="16" customHeight="1">
      <c r="B27" s="203" t="s">
        <v>2065</v>
      </c>
      <c r="C27" s="203"/>
      <c r="D27" s="203"/>
      <c r="E27" s="229"/>
      <c r="F27" s="229"/>
      <c r="G27" s="229"/>
      <c r="H27" s="229"/>
      <c r="I27" s="229"/>
      <c r="J27" s="141">
        <f>SUMIF(C6:C23,"Proses",J6:J23)</f>
        <v>145</v>
      </c>
      <c r="K27" s="230" t="s">
        <v>2064</v>
      </c>
      <c r="L27" s="230"/>
      <c r="M27" s="230"/>
      <c r="N27" s="230"/>
      <c r="O27" s="230"/>
    </row>
  </sheetData>
  <mergeCells count="7">
    <mergeCell ref="B27:I27"/>
    <mergeCell ref="K27:O27"/>
    <mergeCell ref="A1:O1"/>
    <mergeCell ref="A2:O2"/>
    <mergeCell ref="A3:O3"/>
    <mergeCell ref="B25:D25"/>
    <mergeCell ref="B26:I26"/>
  </mergeCells>
  <conditionalFormatting sqref="C6:C205">
    <cfRule type="expression" dxfId="6"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05" t="s">
        <v>2160</v>
      </c>
      <c r="B1" s="205"/>
      <c r="C1" s="205"/>
      <c r="D1" s="205"/>
      <c r="E1" s="205"/>
      <c r="F1" s="205"/>
      <c r="G1" s="205"/>
      <c r="H1" s="205"/>
      <c r="I1" s="205"/>
      <c r="J1" s="205"/>
      <c r="K1" s="205"/>
      <c r="L1" s="205"/>
      <c r="M1" s="205"/>
      <c r="N1" s="205"/>
      <c r="O1" s="205"/>
      <c r="P1" s="205"/>
      <c r="Q1" s="205"/>
      <c r="R1" s="205"/>
      <c r="S1" s="205"/>
    </row>
    <row r="2" spans="1:19" ht="17.399999999999999" customHeight="1">
      <c r="A2" s="206" t="s">
        <v>2159</v>
      </c>
      <c r="B2" s="206"/>
      <c r="C2" s="206"/>
      <c r="D2" s="206"/>
      <c r="E2" s="206"/>
      <c r="F2" s="206"/>
      <c r="G2" s="206"/>
      <c r="H2" s="206"/>
      <c r="I2" s="206"/>
      <c r="J2" s="206"/>
      <c r="K2" s="206"/>
      <c r="L2" s="206"/>
      <c r="M2" s="206"/>
      <c r="N2" s="206"/>
      <c r="O2" s="206"/>
      <c r="P2" s="206"/>
      <c r="Q2" s="206"/>
      <c r="R2" s="206"/>
      <c r="S2" s="206"/>
    </row>
    <row r="3" spans="1:19" ht="24" customHeight="1">
      <c r="A3" s="207" t="s">
        <v>2158</v>
      </c>
      <c r="B3" s="207"/>
      <c r="C3" s="207"/>
      <c r="D3" s="207"/>
      <c r="E3" s="207"/>
      <c r="F3" s="207"/>
      <c r="G3" s="207"/>
      <c r="H3" s="207"/>
      <c r="I3" s="207"/>
      <c r="J3" s="207"/>
      <c r="K3" s="207"/>
      <c r="L3" s="207"/>
      <c r="M3" s="207"/>
      <c r="N3" s="207"/>
      <c r="O3" s="207"/>
      <c r="P3" s="207"/>
      <c r="Q3" s="207"/>
      <c r="R3" s="207"/>
      <c r="S3" s="207"/>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32" t="s">
        <v>2108</v>
      </c>
      <c r="C15" s="232"/>
      <c r="D15" s="232"/>
      <c r="E15" s="232"/>
      <c r="F15" s="232"/>
      <c r="G15" s="169" t="s">
        <v>2107</v>
      </c>
    </row>
    <row r="16" spans="1:19" ht="16" customHeight="1">
      <c r="B16" s="209" t="s">
        <v>2106</v>
      </c>
      <c r="C16" s="209"/>
      <c r="D16" s="209"/>
      <c r="E16" s="209"/>
      <c r="F16" s="209"/>
      <c r="G16" s="167">
        <f>G6</f>
        <v>196.2</v>
      </c>
    </row>
    <row r="17" spans="2:7" ht="16" customHeight="1">
      <c r="B17" s="203" t="s">
        <v>2105</v>
      </c>
      <c r="C17" s="203"/>
      <c r="D17" s="203"/>
      <c r="E17" s="203"/>
      <c r="F17" s="203"/>
      <c r="G17" s="166">
        <f>G13</f>
        <v>24.08</v>
      </c>
    </row>
    <row r="18" spans="2:7" ht="16" customHeight="1">
      <c r="B18" s="203" t="s">
        <v>2104</v>
      </c>
      <c r="C18" s="203"/>
      <c r="D18" s="203"/>
      <c r="E18" s="203"/>
      <c r="F18" s="203"/>
      <c r="G18" s="166">
        <f>G16-G17</f>
        <v>172.12</v>
      </c>
    </row>
    <row r="19" spans="2:7" ht="16" customHeight="1">
      <c r="B19" s="204" t="s">
        <v>2103</v>
      </c>
      <c r="C19" s="204"/>
      <c r="D19" s="204"/>
      <c r="E19" s="204"/>
      <c r="F19" s="204"/>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5" priority="1">
      <formula>H6&lt;0</formula>
    </cfRule>
    <cfRule type="expression" dxfId="4" priority="2">
      <formula>H6&gt;0</formula>
    </cfRule>
  </conditionalFormatting>
  <conditionalFormatting sqref="N6:N205">
    <cfRule type="expression" dxfId="3"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opLeftCell="A43" zoomScale="85" zoomScaleNormal="85" workbookViewId="0">
      <selection activeCell="O63" sqref="O63"/>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05" t="s">
        <v>2179</v>
      </c>
      <c r="B1" s="205"/>
      <c r="C1" s="205"/>
      <c r="D1" s="205"/>
      <c r="E1" s="205"/>
      <c r="F1" s="205"/>
      <c r="G1" s="205"/>
      <c r="H1" s="205"/>
      <c r="I1" s="205"/>
      <c r="J1" s="205"/>
      <c r="K1" s="205"/>
      <c r="L1" s="205"/>
      <c r="M1" s="205"/>
      <c r="N1" s="205"/>
      <c r="O1" s="205"/>
      <c r="P1" s="205"/>
      <c r="Q1" s="205"/>
      <c r="R1" s="205"/>
      <c r="S1" s="205"/>
      <c r="T1" s="205"/>
    </row>
    <row r="2" spans="1:20" ht="14.5">
      <c r="A2" s="206" t="s">
        <v>2178</v>
      </c>
      <c r="B2" s="206"/>
      <c r="C2" s="206"/>
      <c r="D2" s="206"/>
      <c r="E2" s="206"/>
      <c r="F2" s="206"/>
      <c r="G2" s="206"/>
      <c r="H2" s="206"/>
      <c r="I2" s="206"/>
      <c r="J2" s="206"/>
      <c r="K2" s="206"/>
      <c r="L2" s="206"/>
      <c r="M2" s="206"/>
      <c r="N2" s="206"/>
      <c r="O2" s="206"/>
      <c r="P2" s="206"/>
      <c r="Q2" s="206"/>
      <c r="R2" s="206"/>
      <c r="S2" s="206"/>
      <c r="T2" s="206"/>
    </row>
    <row r="3" spans="1:20">
      <c r="A3" s="207" t="s">
        <v>2177</v>
      </c>
      <c r="B3" s="207"/>
      <c r="C3" s="207"/>
      <c r="D3" s="207"/>
      <c r="E3" s="207"/>
      <c r="F3" s="207"/>
      <c r="G3" s="207"/>
      <c r="H3" s="207"/>
      <c r="I3" s="207"/>
      <c r="J3" s="207"/>
      <c r="K3" s="207"/>
      <c r="L3" s="207"/>
      <c r="M3" s="207"/>
      <c r="N3" s="207"/>
      <c r="O3" s="207"/>
      <c r="P3" s="207"/>
      <c r="Q3" s="207"/>
      <c r="R3" s="207"/>
      <c r="S3" s="207"/>
      <c r="T3" s="207"/>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08" t="s">
        <v>2165</v>
      </c>
      <c r="C60" s="208"/>
      <c r="D60" s="208"/>
      <c r="E60" s="208"/>
      <c r="F60" s="208"/>
      <c r="G60" s="169" t="s">
        <v>2107</v>
      </c>
      <c r="M60" s="176"/>
      <c r="N60" s="176"/>
    </row>
    <row r="61" spans="1:21">
      <c r="B61" s="209" t="s">
        <v>2164</v>
      </c>
      <c r="C61" s="209"/>
      <c r="D61" s="209"/>
      <c r="E61" s="209"/>
      <c r="F61" s="209"/>
      <c r="G61" s="168">
        <f>COUNTA(A6:A58)</f>
        <v>52</v>
      </c>
      <c r="M61" s="176"/>
      <c r="N61" s="176"/>
    </row>
    <row r="62" spans="1:21">
      <c r="B62" s="203" t="s">
        <v>2163</v>
      </c>
      <c r="C62" s="203"/>
      <c r="D62" s="203"/>
      <c r="E62" s="203"/>
      <c r="F62" s="203"/>
      <c r="G62" s="142">
        <f>SUM(F6:F58)</f>
        <v>192</v>
      </c>
      <c r="M62" s="176"/>
      <c r="N62" s="176"/>
    </row>
    <row r="63" spans="1:21">
      <c r="B63" s="203" t="s">
        <v>2162</v>
      </c>
      <c r="C63" s="203"/>
      <c r="D63" s="203"/>
      <c r="E63" s="203"/>
      <c r="F63" s="203"/>
      <c r="G63" s="166">
        <f>SUM(G6:G58)</f>
        <v>791.96</v>
      </c>
      <c r="M63" s="176"/>
      <c r="N63" s="176"/>
    </row>
    <row r="64" spans="1:21">
      <c r="B64" s="204" t="s">
        <v>2161</v>
      </c>
      <c r="C64" s="204"/>
      <c r="D64" s="204"/>
      <c r="E64" s="204"/>
      <c r="F64" s="204"/>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2" priority="1">
      <formula>H6="Kawasan Kumuh Tersisa"</formula>
    </cfRule>
  </conditionalFormatting>
  <conditionalFormatting sqref="I6:I256">
    <cfRule type="expression" dxfId="1" priority="2">
      <formula>I6="Dalam Penanganan"</formula>
    </cfRule>
    <cfRule type="expression" dxfId="0"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2026-08-13T14:52:42Z</dcterms:modified>
</cp:coreProperties>
</file>