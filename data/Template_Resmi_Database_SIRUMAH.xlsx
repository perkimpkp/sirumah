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0B49EC03-DDBC-432D-94F3-F5030E917E3E}" xr6:coauthVersionLast="47" xr6:coauthVersionMax="47" xr10:uidLastSave="{00000000-0000-0000-0000-000000000000}"/>
  <bookViews>
    <workbookView xWindow="-110" yWindow="-110" windowWidth="25820" windowHeight="15500"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500" i="15"/>
  <c r="C499" i="15"/>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<sst xmlns="http://schemas.openxmlformats.org/spreadsheetml/2006/main" count="16076" uniqueCount="2949">
  <si>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</si>
  <si>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</si>
  <si>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</si>
  <si>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</si>
  <si>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</si>
  <si>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</si>
  <si>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</si>
  <si>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</si>
  <si>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</si>
  <si>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</si>
  <si>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</si>
  <si>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</si>
  <si>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</si>
  <si>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</si>
  <si>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</si>
  <si>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</si>
  <si>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</si>
  <si>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</si>
  <si>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</si>
  <si>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</si>
  <si>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</si>
  <si>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</si>
  <si>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</si>
  <si>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</si>
  <si>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</si>
  <si>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</si>
  <si>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</si>
  <si>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</si>
  <si>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</si>
  <si>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</si>
  <si>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</si>
  <si>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</si>
  <si>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</si>
  <si>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</si>
  <si>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</si>
  <si>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</si>
  <si>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</si>
  <si>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</si>
  <si>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</si>
  <si>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</si>
  <si>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</si>
  <si>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</si>
  <si>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</si>
  <si>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</si>
  <si>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</si>
  <si>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</si>
  <si>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</si>
  <si>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</si>
  <si>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</si>
  <si>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</si>
  <si>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</si>
  <si>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</si>
  <si>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</si>
  <si>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</si>
  <si>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</si>
  <si>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</si>
  <si>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</si>
  <si>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</si>
  <si>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</si>
  <si>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</si>
  <si>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</si>
  <si>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</si>
  <si>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</si>
  <si>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</si>
  <si>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</si>
  <si>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</si>
  <si>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</si>
  <si>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</si>
  <si>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</si>
  <si>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</si>
  <si>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</si>
  <si>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</si>
  <si>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</si>
  <si>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</si>
  <si>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</si>
  <si>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</si>
  <si>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</si>
  <si>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</si>
  <si>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</si>
  <si>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</si>
  <si>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</si>
  <si>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</si>
  <si>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</si>
  <si>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</si>
  <si>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</si>
  <si>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</si>
  <si>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</si>
  <si>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</si>
  <si>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</si>
  <si>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</si>
  <si>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</si>
  <si>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</si>
  <si>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</si>
  <si>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</si>
  <si>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</si>
  <si>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</si>
  <si>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</si>
  <si>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</si>
  <si>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</si>
  <si>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</si>
  <si>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</si>
  <si>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</si>
  <si>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</si>
  <si>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</si>
  <si>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</si>
  <si>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</si>
  <si>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</si>
  <si>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</si>
  <si>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</si>
  <si>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</si>
  <si>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</si>
  <si>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</si>
  <si>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</si>
  <si>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</si>
  <si>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</si>
  <si>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</si>
  <si>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</si>
  <si>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</si>
  <si>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</si>
  <si>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</si>
  <si>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</si>
  <si>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</si>
  <si>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</si>
  <si>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</si>
  <si>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</si>
  <si>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</si>
  <si>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</si>
  <si>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</si>
  <si>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</si>
  <si>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</si>
  <si>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</si>
  <si>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</si>
  <si>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</si>
  <si>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</si>
  <si>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</si>
  <si>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</si>
  <si>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</si>
  <si>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</si>
  <si>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</si>
  <si>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</si>
  <si>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</si>
  <si>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</si>
  <si>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</si>
  <si>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</si>
  <si>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</si>
  <si>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</si>
  <si>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</si>
  <si>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</si>
  <si>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</si>
  <si>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</si>
  <si>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</si>
  <si>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</si>
  <si>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</si>
  <si>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</si>
  <si>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</si>
  <si>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</si>
  <si>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</si>
  <si>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</si>
  <si>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</si>
  <si>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</si>
  <si>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</si>
  <si>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</si>
  <si>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</si>
  <si>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</si>
  <si>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</si>
  <si>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</si>
  <si>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</si>
  <si>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</si>
  <si>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</si>
  <si>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</si>
  <si>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</si>
  <si>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</si>
  <si>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</si>
  <si>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</si>
  <si>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</si>
  <si>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</si>
  <si>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</si>
  <si>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</si>
  <si>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</si>
  <si>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</si>
  <si>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</si>
  <si>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</si>
  <si>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</si>
  <si>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</si>
  <si>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</si>
  <si>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AZZAHRAH RESIDENCE II</t>
  </si>
  <si>
    <t>Jl. Mawar Kampak</t>
  </si>
  <si>
    <t>PRM-0035</t>
  </si>
  <si>
    <t>AZZAHRAH RESIDENCE IV</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</si>
  <si>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</si>
  <si>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</si>
  <si>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</si>
  <si>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</si>
  <si>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</si>
  <si>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</si>
  <si>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</si>
  <si>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</si>
  <si>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</si>
  <si>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</si>
  <si>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</si>
  <si>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</si>
  <si>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</si>
  <si>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</si>
  <si>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</si>
  <si>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</si>
  <si>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</si>
  <si>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</si>
  <si>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</si>
  <si>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</si>
  <si>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</si>
  <si>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</si>
  <si>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</si>
  <si>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</si>
  <si>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</si>
  <si>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</si>
  <si>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</si>
  <si>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</si>
  <si>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</si>
  <si>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</si>
  <si>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</si>
  <si>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</si>
  <si>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</si>
  <si>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</si>
  <si>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</si>
  <si>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</si>
  <si>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</si>
  <si>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</si>
  <si>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</si>
  <si>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</si>
  <si>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</si>
  <si>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</si>
  <si>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</si>
  <si>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</si>
  <si>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</si>
  <si>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</si>
  <si>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</si>
  <si>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</si>
  <si>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</si>
  <si>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</si>
  <si>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</si>
  <si>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</si>
  <si>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</si>
  <si>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</si>
  <si>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</si>
  <si>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</si>
  <si>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</si>
  <si>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</si>
  <si>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</si>
  <si>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</si>
  <si>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</si>
  <si>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</si>
  <si>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</si>
  <si>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</si>
  <si>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</si>
  <si>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</si>
  <si>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</si>
  <si>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</si>
  <si>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</si>
  <si>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</si>
  <si>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</si>
  <si>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</si>
  <si>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</si>
  <si>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</si>
  <si>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</si>
  <si>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</si>
  <si>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</si>
  <si>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</si>
  <si>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</si>
  <si>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</si>
  <si>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</si>
  <si>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</si>
  <si>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</si>
  <si>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</si>
  <si>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</si>
  <si>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</si>
  <si>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</si>
  <si>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</si>
  <si>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</si>
  <si>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</si>
  <si>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</si>
  <si>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</si>
  <si>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</si>
  <si>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</si>
  <si>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</si>
  <si>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</si>
  <si>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</si>
  <si>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</si>
  <si>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</si>
  <si>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</si>
  <si>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</si>
  <si>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</si>
  <si>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</si>
  <si>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</si>
  <si>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</si>
  <si>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</si>
  <si>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</si>
  <si>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</si>
  <si>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</si>
  <si>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</si>
  <si>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</si>
  <si>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</si>
  <si>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</si>
  <si>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</si>
  <si>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</si>
  <si>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</si>
  <si>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</si>
  <si>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</si>
  <si>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</si>
  <si>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</si>
  <si>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</si>
  <si>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</si>
  <si>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</si>
  <si>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</si>
  <si>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</si>
  <si>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</si>
  <si>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</si>
  <si>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</si>
  <si>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</si>
  <si>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</si>
  <si>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</si>
  <si>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</si>
  <si>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</si>
  <si>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</si>
  <si>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</si>
  <si>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</si>
  <si>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</si>
  <si>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</si>
  <si>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</si>
  <si>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</si>
  <si>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</si>
  <si>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</si>
  <si>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</si>
  <si>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</si>
  <si>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</si>
  <si>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</si>
  <si>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</si>
  <si>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</si>
  <si>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</si>
  <si>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</si>
  <si>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</si>
  <si>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</si>
  <si>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</si>
  <si>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</si>
  <si>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</si>
  <si>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</si>
  <si>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</si>
  <si>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</si>
  <si>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</si>
  <si>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</si>
  <si>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</si>
  <si>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</si>
  <si>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</si>
  <si>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</si>
  <si>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</si>
  <si>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</si>
  <si>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</si>
  <si>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</si>
  <si>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</si>
  <si>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</si>
  <si>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</si>
  <si>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</si>
  <si>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</si>
  <si>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</si>
  <si>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</si>
  <si>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</si>
  <si>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</si>
  <si>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</si>
  <si>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</si>
  <si>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</si>
  <si>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</si>
  <si>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</si>
  <si>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</si>
  <si>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</si>
  <si>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</si>
  <si>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</si>
  <si>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</si>
  <si>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</si>
  <si>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</si>
  <si>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</si>
  <si>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</si>
  <si>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</si>
  <si>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</si>
  <si>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</si>
  <si>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</si>
  <si>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</si>
  <si>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</si>
  <si>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</si>
  <si>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</si>
  <si>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</si>
  <si>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</si>
  <si>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</si>
  <si>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</si>
  <si>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</si>
  <si>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</si>
  <si>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</si>
  <si>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</si>
  <si>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</si>
  <si>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</si>
  <si>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</si>
  <si>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</si>
  <si>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</si>
  <si>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</si>
  <si>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</si>
  <si>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</si>
  <si>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</si>
  <si>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</si>
  <si>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</si>
  <si>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</si>
  <si>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</si>
  <si>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</si>
  <si>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</si>
  <si>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</si>
  <si>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</si>
  <si>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</si>
  <si>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</si>
  <si>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</si>
  <si>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</si>
  <si>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</si>
  <si>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</si>
  <si>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</si>
  <si>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</si>
  <si>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</si>
  <si>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</si>
  <si>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</si>
  <si>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</si>
  <si>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</si>
  <si>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</si>
  <si>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</si>
  <si>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</si>
  <si>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</si>
  <si>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</si>
  <si>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</si>
  <si>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</si>
  <si>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</si>
  <si>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</si>
  <si>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</si>
  <si>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</si>
  <si>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</si>
  <si>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</si>
  <si>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</si>
  <si>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</si>
  <si>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</si>
  <si>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</si>
  <si>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</si>
  <si>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</si>
  <si>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</si>
  <si>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</si>
  <si>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</si>
  <si>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</si>
  <si>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</si>
  <si>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</si>
  <si>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</si>
  <si>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</si>
  <si>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</si>
  <si>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</si>
  <si>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</si>
  <si>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</si>
  <si>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</si>
  <si>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</si>
  <si>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</si>
  <si>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</si>
  <si>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</si>
  <si>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</si>
  <si>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</si>
  <si>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</si>
  <si>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</si>
  <si>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</si>
  <si>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</si>
  <si>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</si>
  <si>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</si>
  <si>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</si>
  <si>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</si>
  <si>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</si>
  <si>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</si>
  <si>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</si>
  <si>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</si>
  <si>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</si>
  <si>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</si>
  <si>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</si>
  <si>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</si>
  <si>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</si>
  <si>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</si>
  <si>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</si>
  <si>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</si>
  <si>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</si>
  <si>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</si>
  <si>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</si>
  <si>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</si>
  <si>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</si>
  <si>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</si>
  <si>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</si>
  <si>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</si>
  <si>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</si>
  <si>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</si>
  <si>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</si>
  <si>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</si>
  <si>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</si>
  <si>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</si>
  <si>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</si>
  <si>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</si>
  <si>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</si>
  <si>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</si>
  <si>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</si>
  <si>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</si>
  <si>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</si>
  <si>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</si>
  <si>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</si>
  <si>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</si>
  <si>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</si>
  <si>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</si>
  <si>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</si>
  <si>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</si>
  <si>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</si>
  <si>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</si>
  <si>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</si>
  <si>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</si>
  <si>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</si>
  <si>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</si>
  <si>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</si>
  <si>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</si>
  <si>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</si>
  <si>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</si>
  <si>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</si>
  <si>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</si>
  <si>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</si>
  <si>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</si>
  <si>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</si>
  <si>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</si>
  <si>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</si>
  <si>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</si>
  <si>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</si>
  <si>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</si>
  <si>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</si>
  <si>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</si>
  <si>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</si>
  <si>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</si>
  <si>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</si>
  <si>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</si>
  <si>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</si>
  <si>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</si>
  <si>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</si>
  <si>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</si>
  <si>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</si>
  <si>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</si>
  <si>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</si>
  <si>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</si>
  <si>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</si>
  <si>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</si>
  <si>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</si>
  <si>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</si>
  <si>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</si>
  <si>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</si>
  <si>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</si>
  <si>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</si>
  <si>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</si>
  <si>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</si>
  <si>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</si>
  <si>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</si>
  <si>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</si>
  <si>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</si>
  <si>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</si>
  <si>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</si>
  <si>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</si>
  <si>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</si>
  <si>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</si>
  <si>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</si>
  <si>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</si>
  <si>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</si>
  <si>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</si>
  <si>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</si>
  <si>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</si>
  <si>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</si>
  <si>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</si>
  <si>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</si>
  <si>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</si>
  <si>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</si>
  <si>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</si>
  <si>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</si>
  <si>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</si>
  <si>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</si>
  <si>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</si>
  <si>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</si>
  <si>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</si>
  <si>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</si>
  <si>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</si>
  <si>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</si>
  <si>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</si>
  <si>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</si>
  <si>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</si>
  <si>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</si>
  <si>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</si>
  <si>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</si>
  <si>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</si>
  <si>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</si>
  <si>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</si>
  <si>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</si>
  <si>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</si>
  <si>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</si>
  <si>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</si>
  <si>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</si>
  <si>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</si>
  <si>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</si>
  <si>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</si>
  <si>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</si>
  <si>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</si>
  <si>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</si>
  <si>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</si>
  <si>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</si>
  <si>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</si>
  <si>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</si>
  <si>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</si>
  <si>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</si>
  <si>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</si>
  <si>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</si>
  <si>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</si>
  <si>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</si>
  <si>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</si>
  <si>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</si>
  <si>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</si>
  <si>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</si>
  <si>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</si>
  <si>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</si>
  <si>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</si>
  <si>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</si>
  <si>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</si>
  <si>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</si>
  <si>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</si>
  <si>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</si>
  <si>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</si>
  <si>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</si>
  <si>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</si>
  <si>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</si>
  <si>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</si>
  <si>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</si>
  <si>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</si>
  <si>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</si>
  <si>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</si>
  <si>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</si>
  <si>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</si>
  <si>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</si>
  <si>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</si>
  <si>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</si>
  <si>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</si>
  <si>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</si>
  <si>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</si>
  <si>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</si>
  <si>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</si>
  <si>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</si>
  <si>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</si>
  <si>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</si>
  <si>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</si>
  <si>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</si>
  <si>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</si>
  <si>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</si>
  <si>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</si>
  <si>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</si>
  <si>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</si>
  <si>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</si>
  <si>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</si>
  <si>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</si>
  <si>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</si>
  <si>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</si>
  <si>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</si>
  <si>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</si>
  <si>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</si>
  <si>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</si>
  <si>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</si>
  <si>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</si>
  <si>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</si>
  <si>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</si>
  <si>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</si>
  <si>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</si>
  <si>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</si>
  <si>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</si>
  <si>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</si>
  <si>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</si>
  <si>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</si>
  <si>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</si>
  <si>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</si>
  <si>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</si>
  <si>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</si>
  <si>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</si>
  <si>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</si>
  <si>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</si>
  <si>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</si>
  <si>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</si>
  <si>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</si>
  <si>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</si>
  <si>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</si>
  <si>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</si>
  <si>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</si>
  <si>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</si>
  <si>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</si>
  <si>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</si>
  <si>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</si>
  <si>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</si>
  <si>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</si>
  <si>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</si>
  <si>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</si>
  <si>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</si>
  <si>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</si>
  <si>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</si>
  <si>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</si>
  <si>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</si>
  <si>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</si>
  <si>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</si>
  <si>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</si>
  <si>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</si>
  <si>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</si>
  <si>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</si>
  <si>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</si>
  <si>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</si>
  <si>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</si>
  <si>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</si>
  <si>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</si>
  <si>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</si>
  <si>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</si>
  <si>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</si>
  <si>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</si>
  <si>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</si>
  <si>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</si>
  <si>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</si>
  <si>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</si>
  <si>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</si>
  <si>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</si>
  <si>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</si>
  <si>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</si>
  <si>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</si>
  <si>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</si>
  <si>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</si>
  <si>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</si>
  <si>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</si>
  <si>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</si>
  <si>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</si>
  <si>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</si>
  <si>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</si>
  <si>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</si>
  <si>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</si>
  <si>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</si>
  <si>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</si>
  <si>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</si>
  <si>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</si>
  <si>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</si>
  <si>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</si>
  <si>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</si>
  <si>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</si>
  <si>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</si>
  <si>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</si>
  <si>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</si>
  <si>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</si>
  <si>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</si>
  <si>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</si>
  <si>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</si>
  <si>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</si>
  <si>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</si>
  <si>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</si>
  <si>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</si>
  <si>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</si>
  <si>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</si>
  <si>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</si>
  <si>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</si>
  <si>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</si>
  <si>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</si>
  <si>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</si>
  <si>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</si>
  <si>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</si>
  <si>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</si>
  <si>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</si>
  <si>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</si>
  <si>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</si>
  <si>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</si>
  <si>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</si>
  <si>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</si>
  <si>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</si>
  <si>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</si>
  <si>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</si>
  <si>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</si>
  <si>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</si>
  <si>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</si>
  <si>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</si>
  <si>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</si>
  <si>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</si>
  <si>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</si>
  <si>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</si>
  <si>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</si>
  <si>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</si>
  <si>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</si>
  <si>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</si>
  <si>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</si>
  <si>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</si>
  <si>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</si>
  <si>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</si>
  <si>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</si>
  <si>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</si>
  <si>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</si>
  <si>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</si>
  <si>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</si>
  <si>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</si>
  <si>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</si>
  <si>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</si>
  <si>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</si>
  <si>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</si>
  <si>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</si>
  <si>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</si>
  <si>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</si>
  <si>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</si>
  <si>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</si>
  <si>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</si>
  <si>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</si>
  <si>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</si>
  <si>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</si>
  <si>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</si>
  <si>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</si>
  <si>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</si>
  <si>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</si>
  <si>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</si>
  <si>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</si>
  <si>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</si>
  <si>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</si>
  <si>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</si>
  <si>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</si>
  <si>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</si>
  <si>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</si>
  <si>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</si>
  <si>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</si>
  <si>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</si>
  <si>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</si>
  <si>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</si>
  <si>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</si>
  <si>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</si>
  <si>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</si>
  <si>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</si>
  <si>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</si>
  <si>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</si>
  <si>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</si>
  <si>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</si>
  <si>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</si>
  <si>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</si>
  <si>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</si>
  <si>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</si>
  <si>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</si>
  <si>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</si>
  <si>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</si>
  <si>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</si>
  <si>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</si>
  <si>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</si>
  <si>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</si>
  <si>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</si>
  <si>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</si>
  <si>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</si>
  <si>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</si>
  <si>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</si>
  <si>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</si>
  <si>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</si>
  <si>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</si>
  <si>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</si>
  <si>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</si>
  <si>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</si>
  <si>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</si>
  <si>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</si>
  <si>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</si>
  <si>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</si>
  <si>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</si>
  <si>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</si>
  <si>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</si>
  <si>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</si>
  <si>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</si>
  <si>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</si>
  <si>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</si>
  <si>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</si>
  <si>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</si>
  <si>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</si>
  <si>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</si>
  <si>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</si>
  <si>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</si>
  <si>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</si>
  <si>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</si>
  <si>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</si>
  <si>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</si>
  <si>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</si>
  <si>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</si>
  <si>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</si>
  <si>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</si>
  <si>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</si>
  <si>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</si>
  <si>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</si>
  <si>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</si>
  <si>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</si>
  <si>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</si>
  <si>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</si>
  <si>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</si>
  <si>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</si>
  <si>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</si>
  <si>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</si>
  <si>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</si>
  <si>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</si>
  <si>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</si>
  <si>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</si>
  <si>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</si>
  <si>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</si>
  <si>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</si>
  <si>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</si>
  <si>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</si>
  <si>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</si>
  <si>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</si>
  <si>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</si>
  <si>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</si>
  <si>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</si>
  <si>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</si>
  <si>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</si>
  <si>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</si>
  <si>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</si>
  <si>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</si>
  <si>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</si>
  <si>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</si>
  <si>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</si>
  <si>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</si>
  <si>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</si>
  <si>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</si>
  <si>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</si>
  <si>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</si>
  <si>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</si>
  <si>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</si>
  <si>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</si>
  <si>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</si>
  <si>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</si>
  <si>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</si>
  <si>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</si>
  <si>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</si>
  <si>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</si>
  <si>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</si>
  <si>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</si>
  <si>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</si>
  <si>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</si>
  <si>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</si>
  <si>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</si>
  <si>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</si>
  <si>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</si>
  <si>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</si>
  <si>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</si>
  <si>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</si>
  <si>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</si>
  <si>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</si>
  <si>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</si>
  <si>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</si>
  <si>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</si>
  <si>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</si>
  <si>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</si>
  <si>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</si>
  <si>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</si>
  <si>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</si>
  <si>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</si>
  <si>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</si>
  <si>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</si>
  <si>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</si>
  <si>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</si>
  <si>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</si>
  <si>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</si>
  <si>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</si>
  <si>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</si>
  <si>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</si>
  <si>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</si>
  <si>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</si>
  <si>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</si>
  <si>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</si>
  <si>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</si>
  <si>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</si>
  <si>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</si>
  <si>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</si>
  <si>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</si>
  <si>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</si>
  <si>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</si>
  <si>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</si>
  <si>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</si>
  <si>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</si>
  <si>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</si>
  <si>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</si>
  <si>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</si>
  <si>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</si>
  <si>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</si>
  <si>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</si>
  <si>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</si>
  <si>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</si>
  <si>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</si>
  <si>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</si>
  <si>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</si>
  <si>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</si>
  <si>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</si>
  <si>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</si>
  <si>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</si>
  <si>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</si>
  <si>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</si>
  <si>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</si>
  <si>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</si>
  <si>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</si>
  <si>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</si>
  <si>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</si>
  <si>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</si>
  <si>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</si>
  <si>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</si>
  <si>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</si>
  <si>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</si>
  <si>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</si>
  <si>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</si>
  <si>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</si>
  <si>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</si>
  <si>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</si>
  <si>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</si>
  <si>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</si>
  <si>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</si>
  <si>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</si>
  <si>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</si>
  <si>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</si>
  <si>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</si>
  <si>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</si>
  <si>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</si>
  <si>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</si>
  <si>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</si>
  <si>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</si>
  <si>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</si>
  <si>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</si>
  <si>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</si>
  <si>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</si>
  <si>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</si>
  <si>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</si>
  <si>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</si>
  <si>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</si>
  <si>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</si>
  <si>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</si>
  <si>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</si>
  <si>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</si>
  <si>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</si>
  <si>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</si>
  <si>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</si>
  <si>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</si>
  <si>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</si>
  <si>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</si>
  <si>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</si>
  <si>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</si>
  <si>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</si>
  <si>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</si>
  <si>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</si>
  <si>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</si>
  <si>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</si>
  <si>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</si>
  <si>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</si>
  <si>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</si>
  <si>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</si>
  <si>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</si>
  <si>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</si>
  <si>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</si>
  <si>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</si>
  <si>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</si>
  <si>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</si>
  <si>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</si>
  <si>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</si>
  <si>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</si>
  <si>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</si>
  <si>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</si>
  <si>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</si>
  <si>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</si>
  <si>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</si>
  <si>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</si>
  <si>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</si>
  <si>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</si>
  <si>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</si>
  <si>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</si>
  <si>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</si>
  <si>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</si>
  <si>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</si>
  <si>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</si>
  <si>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</si>
  <si>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</si>
  <si>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</si>
  <si>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</si>
  <si>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</si>
  <si>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</si>
  <si>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</si>
  <si>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</si>
  <si>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</si>
  <si>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</si>
  <si>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</si>
  <si>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</si>
  <si>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</si>
  <si>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</si>
  <si>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</si>
  <si>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</si>
  <si>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</si>
  <si>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</si>
  <si>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</si>
  <si>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</si>
  <si>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</si>
  <si>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</si>
  <si>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</si>
  <si>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</si>
  <si>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</si>
  <si>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</si>
  <si>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</si>
  <si>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</si>
  <si>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</si>
  <si>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</si>
  <si>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</si>
  <si>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</si>
  <si>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</si>
  <si>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</si>
  <si>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</si>
  <si>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Hendrawan/Anugrah Wiyogo</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</si>
  <si>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</si>
  <si>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</si>
  <si>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</si>
  <si>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</si>
  <si>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</si>
  <si>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</si>
  <si>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</si>
  <si>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</si>
  <si>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</si>
  <si>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</si>
  <si>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</si>
  <si>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</si>
  <si>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</si>
  <si>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</si>
  <si>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</si>
  <si>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</si>
  <si>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</si>
  <si>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</si>
  <si>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</si>
  <si>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</si>
  <si>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</si>
  <si>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</si>
  <si>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</si>
  <si>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</si>
  <si>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</si>
  <si>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</si>
  <si>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</si>
  <si>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</si>
  <si>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</si>
  <si>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</si>
  <si>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</si>
  <si>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</si>
  <si>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</si>
  <si>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</si>
  <si>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</si>
  <si>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</si>
  <si>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</si>
  <si>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</si>
  <si>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</si>
  <si>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</si>
  <si>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</si>
  <si>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</si>
  <si>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</si>
  <si>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</si>
  <si>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</si>
  <si>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</si>
  <si>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</si>
  <si>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</si>
  <si>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</si>
  <si>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</si>
  <si>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</si>
  <si>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</si>
  <si>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</si>
  <si>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</si>
  <si>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</si>
  <si>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</si>
  <si>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</si>
  <si>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</si>
  <si>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</si>
  <si>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</si>
  <si>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</si>
  <si>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</si>
  <si>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</si>
  <si>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</si>
  <si>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</si>
  <si>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</si>
  <si>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</si>
  <si>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</si>
  <si>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</si>
  <si>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</si>
  <si>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</si>
  <si>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</si>
  <si>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</si>
  <si>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</si>
  <si>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</si>
  <si>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</si>
  <si>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</si>
  <si>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</si>
  <si>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</si>
  <si>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</si>
  <si>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</si>
  <si>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</si>
  <si>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</si>
  <si>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</si>
  <si>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</si>
  <si>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</si>
  <si>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</si>
  <si>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</si>
  <si>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</si>
  <si>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</si>
  <si>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</si>
  <si>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</si>
  <si>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</si>
  <si>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</si>
  <si>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</si>
  <si>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</si>
  <si>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</si>
  <si>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</si>
  <si>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</si>
  <si>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</si>
  <si>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</si>
  <si>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</si>
  <si>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</si>
  <si>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</si>
  <si>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</si>
  <si>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</si>
  <si>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</si>
  <si>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</si>
  <si>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</si>
  <si>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</si>
  <si>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</si>
  <si>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</si>
  <si>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</si>
  <si>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</si>
  <si>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</si>
  <si>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</si>
  <si>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</si>
  <si>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</si>
  <si>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</si>
  <si>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</si>
  <si>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</si>
  <si>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</si>
  <si>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</si>
  <si>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</si>
  <si>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</si>
  <si>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</si>
  <si>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</si>
  <si>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</si>
  <si>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</si>
  <si>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</si>
  <si>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</si>
  <si>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</si>
  <si>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</si>
  <si>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</si>
  <si>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</si>
  <si>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</si>
  <si>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</si>
  <si>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</si>
  <si>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</si>
  <si>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</si>
  <si>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</si>
  <si>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</si>
  <si>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</si>
  <si>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</si>
  <si>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</si>
  <si>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</si>
  <si>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</si>
  <si>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</si>
  <si>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</si>
  <si>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</si>
  <si>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</si>
  <si>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</si>
  <si>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</si>
  <si>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</si>
  <si>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</si>
  <si>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</si>
  <si>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</si>
  <si>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</si>
  <si>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</si>
  <si>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</si>
  <si>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</si>
  <si>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</si>
  <si>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</si>
  <si>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</si>
  <si>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</si>
  <si>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</si>
  <si>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</si>
  <si>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</si>
  <si>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</si>
  <si>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</si>
  <si>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</si>
  <si>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</si>
  <si>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</si>
  <si>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</si>
  <si>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</si>
  <si>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</si>
  <si>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</si>
  <si>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</si>
  <si>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</si>
  <si>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</si>
  <si>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</si>
  <si>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</si>
  <si>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</si>
  <si>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</si>
  <si>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</si>
  <si>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</si>
  <si>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</si>
  <si>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</si>
  <si>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</si>
  <si>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</si>
  <si>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</si>
  <si>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</si>
  <si>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</si>
  <si>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</si>
  <si>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</si>
  <si>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</si>
  <si>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</si>
  <si>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</si>
  <si>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</si>
  <si>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</si>
  <si>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</si>
  <si>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</si>
  <si>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</si>
  <si>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</si>
  <si>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</si>
  <si>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</si>
  <si>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</si>
  <si>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</si>
  <si>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</si>
  <si>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</si>
  <si>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</si>
  <si>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</si>
  <si>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</si>
  <si>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</si>
  <si>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</si>
  <si>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</si>
  <si>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</si>
  <si>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</si>
  <si>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</si>
  <si>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</si>
  <si>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</si>
  <si>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</si>
  <si>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</si>
  <si>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</si>
  <si>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</si>
  <si>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</si>
  <si>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</si>
  <si>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</si>
  <si>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</si>
  <si>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</si>
  <si>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</si>
  <si>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</si>
  <si>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</si>
  <si>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</si>
  <si>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</si>
  <si>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</si>
  <si>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</si>
  <si>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</si>
  <si>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</si>
  <si>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</si>
  <si>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</si>
  <si>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</si>
  <si>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</si>
  <si>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</si>
  <si>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</si>
  <si>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</si>
  <si>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</si>
  <si>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</si>
  <si>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</si>
  <si>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</si>
  <si>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</si>
  <si>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</si>
  <si>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</si>
  <si>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</si>
  <si>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</si>
  <si>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</si>
  <si>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</si>
  <si>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</si>
  <si>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</si>
  <si>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</si>
  <si>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</si>
  <si>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</si>
  <si>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</si>
  <si>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</si>
  <si>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</si>
  <si>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</si>
  <si>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</si>
  <si>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</si>
  <si>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</si>
  <si>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</si>
  <si>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</si>
  <si>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</si>
  <si>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</si>
  <si>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</si>
  <si>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</si>
  <si>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</si>
  <si>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</si>
  <si>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</si>
  <si>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</si>
  <si>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</si>
  <si>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</si>
  <si>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</si>
  <si>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</si>
  <si>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</si>
  <si>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</si>
  <si>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</si>
  <si>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</si>
  <si>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</si>
  <si>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</si>
  <si>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</si>
  <si>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</si>
  <si>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</si>
  <si>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</si>
  <si>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</si>
  <si>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</si>
  <si>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</si>
  <si>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</si>
  <si>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</si>
  <si>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</si>
  <si>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</si>
  <si>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</si>
  <si>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</si>
  <si>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</si>
  <si>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</si>
  <si>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</si>
  <si>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</si>
  <si>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</si>
  <si>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</si>
  <si>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</si>
  <si>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</si>
  <si>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</si>
  <si>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</si>
  <si>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</si>
  <si>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</si>
  <si>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</si>
  <si>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</si>
  <si>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</si>
  <si>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</si>
  <si>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</si>
  <si>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</si>
  <si>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</si>
  <si>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</si>
  <si>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</si>
  <si>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</si>
  <si>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</si>
  <si>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</si>
  <si>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</si>
  <si>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</si>
  <si>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</si>
  <si>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</si>
  <si>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</si>
  <si>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</si>
  <si>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</si>
  <si>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</si>
  <si>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</si>
  <si>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</si>
  <si>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</si>
  <si>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</si>
  <si>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</si>
  <si>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</si>
  <si>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</si>
  <si>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</si>
  <si>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</si>
  <si>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</si>
  <si>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</si>
  <si>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</si>
  <si>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</si>
  <si>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</si>
  <si>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</si>
  <si>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</si>
  <si>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</si>
  <si>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</si>
  <si>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</si>
  <si>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</si>
  <si>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</si>
  <si>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</si>
  <si>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</si>
  <si>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</si>
  <si>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</si>
  <si>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</si>
  <si>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</si>
  <si>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</si>
  <si>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</si>
  <si>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</si>
  <si>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</si>
  <si>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</si>
  <si>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</si>
  <si>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</si>
  <si>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</si>
  <si>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</si>
  <si>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</si>
  <si>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</si>
  <si>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</si>
  <si>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</si>
  <si>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</si>
  <si>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</si>
  <si>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</si>
  <si>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</si>
  <si>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</si>
  <si>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</si>
  <si>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</si>
  <si>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</si>
  <si>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</si>
  <si>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</si>
  <si>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</si>
  <si>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</si>
  <si>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</si>
  <si>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</si>
  <si>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</si>
  <si>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</si>
  <si>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</si>
  <si>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</si>
  <si>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</si>
  <si>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</si>
  <si>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</si>
  <si>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</si>
  <si>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</si>
  <si>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</si>
  <si>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</si>
  <si>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</si>
  <si>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</si>
  <si>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</si>
  <si>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</si>
  <si>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</si>
  <si>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</si>
  <si>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</si>
  <si>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</si>
  <si>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</si>
  <si>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</si>
  <si>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</si>
  <si>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</si>
  <si>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</si>
  <si>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</si>
  <si>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</si>
  <si>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</si>
  <si>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</si>
  <si>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</si>
  <si>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</si>
  <si>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</si>
  <si>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</si>
  <si>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</si>
  <si>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</si>
  <si>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</si>
  <si>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</si>
  <si>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</si>
  <si>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</si>
  <si>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</si>
  <si>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</si>
  <si>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</si>
  <si>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</si>
  <si>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</si>
  <si>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</si>
  <si>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</si>
  <si>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</si>
  <si>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</si>
  <si>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</si>
  <si>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</si>
  <si>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</si>
  <si>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</si>
  <si>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</si>
  <si>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</si>
  <si>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</si>
  <si>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</si>
  <si>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</si>
  <si>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</si>
  <si>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</si>
  <si>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</si>
  <si>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</si>
  <si>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</si>
  <si>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</si>
  <si>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</si>
  <si>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</si>
  <si>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</si>
  <si>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</si>
  <si>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</si>
  <si>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</si>
  <si>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</si>
  <si>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</si>
  <si>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</si>
  <si>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</si>
  <si>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</si>
  <si>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</si>
  <si>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</si>
  <si>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</si>
  <si>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</si>
  <si>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</si>
  <si>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</si>
  <si>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</si>
  <si>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</si>
  <si>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</si>
  <si>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</si>
  <si>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</si>
  <si>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</si>
  <si>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</si>
  <si>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</si>
  <si>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</si>
  <si>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</si>
  <si>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</si>
  <si>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</si>
  <si>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</si>
  <si>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</si>
  <si>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</si>
  <si>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</si>
  <si>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</si>
  <si>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</si>
  <si>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</si>
  <si>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</si>
  <si>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</si>
  <si>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</si>
  <si>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</si>
  <si>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</si>
  <si>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</si>
  <si>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</si>
  <si>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</si>
  <si>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</si>
  <si>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</si>
  <si>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</si>
  <si>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</si>
  <si>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</si>
  <si>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</si>
  <si>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</si>
  <si>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</si>
  <si>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</si>
  <si>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</si>
  <si>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</si>
  <si>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</si>
  <si>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</si>
  <si>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</si>
  <si>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</si>
  <si>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</si>
  <si>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</si>
  <si>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</si>
  <si>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</si>
  <si>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</si>
  <si>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</si>
  <si>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</si>
  <si>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</si>
  <si>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</si>
  <si>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</si>
  <si>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</si>
  <si>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</si>
  <si>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</si>
  <si>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</si>
  <si>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</si>
  <si>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</si>
  <si>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</si>
  <si>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</si>
  <si>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</si>
  <si>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</si>
  <si>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</si>
  <si>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</si>
  <si>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</si>
  <si>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</si>
  <si>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</si>
  <si>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</si>
  <si>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</si>
  <si>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</si>
  <si>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</si>
  <si>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</si>
  <si>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</si>
  <si>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</si>
  <si>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</si>
  <si>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</si>
  <si>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</si>
  <si>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</si>
  <si>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</si>
  <si>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</si>
  <si>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</si>
  <si>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</si>
  <si>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</si>
  <si>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</si>
  <si>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</si>
  <si>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</si>
  <si>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</si>
  <si>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</si>
  <si>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</si>
  <si>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</si>
  <si>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</si>
  <si>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</si>
  <si>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</si>
  <si>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</si>
  <si>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</si>
  <si>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</si>
  <si>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</si>
  <si>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</si>
  <si>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</si>
  <si>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</si>
  <si>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</si>
  <si>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</si>
  <si>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</si>
  <si>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</si>
  <si>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</si>
  <si>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</si>
  <si>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</si>
  <si>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</si>
  <si>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</si>
  <si>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</si>
  <si>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</si>
  <si>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</si>
  <si>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</si>
  <si>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</si>
  <si>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</si>
  <si>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</si>
  <si>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</si>
  <si>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</si>
  <si>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</si>
  <si>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</si>
  <si>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</si>
  <si>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</si>
  <si>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</si>
  <si>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</si>
  <si>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</si>
  <si>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</si>
  <si>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</si>
  <si>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</si>
  <si>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</si>
  <si>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</si>
  <si>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</si>
  <si>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</si>
  <si>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</si>
  <si>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</si>
  <si>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</si>
  <si>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</si>
  <si>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</si>
  <si>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</si>
  <si>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</si>
  <si>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</si>
  <si>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</si>
  <si>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</si>
  <si>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</si>
  <si>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</si>
  <si>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</si>
  <si>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</si>
  <si>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</si>
  <si>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</si>
  <si>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</si>
  <si>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</si>
  <si>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</si>
  <si>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</si>
  <si>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</si>
  <si>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</si>
  <si>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</si>
  <si>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</si>
  <si>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</si>
  <si>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</si>
  <si>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</si>
  <si>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</si>
  <si>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</si>
  <si>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</si>
  <si>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</si>
  <si>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</si>
  <si>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</si>
  <si>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</si>
  <si>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</si>
  <si>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</si>
  <si>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</si>
  <si>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</si>
  <si>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</si>
  <si>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</si>
  <si>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</si>
  <si>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</si>
  <si>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</si>
  <si>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</si>
  <si>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</si>
  <si>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</si>
  <si>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</si>
  <si>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</si>
  <si>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</si>
  <si>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</si>
  <si>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</si>
  <si>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</si>
  <si>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</si>
  <si>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</si>
  <si>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</si>
  <si>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</si>
  <si>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</si>
  <si>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</si>
  <si>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</si>
  <si>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</si>
  <si>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</si>
  <si>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</si>
  <si>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</si>
  <si>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</si>
  <si>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</si>
  <si>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</si>
  <si>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</si>
  <si>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</si>
  <si>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</si>
  <si>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</si>
  <si>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</si>
  <si>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</si>
  <si>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</si>
  <si>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</si>
  <si>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</si>
  <si>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</si>
  <si>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</si>
  <si>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</si>
  <si>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</si>
  <si>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</si>
  <si>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</si>
  <si>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</si>
  <si>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</si>
  <si>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</si>
  <si>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</si>
  <si>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</si>
  <si>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</si>
  <si>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</si>
  <si>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</si>
  <si>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</si>
  <si>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</si>
  <si>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</si>
  <si>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</si>
  <si>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</si>
  <si>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</si>
  <si>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</si>
  <si>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</si>
  <si>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</si>
  <si>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</si>
  <si>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</si>
  <si>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</si>
  <si>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</si>
  <si>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</si>
  <si>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</si>
  <si>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</si>
  <si>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</si>
  <si>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</si>
  <si>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</si>
  <si>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</si>
  <si>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</si>
  <si>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</si>
  <si>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</si>
  <si>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</si>
  <si>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</si>
  <si>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</si>
  <si>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</si>
  <si>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</si>
  <si>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</si>
  <si>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</si>
  <si>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</si>
  <si>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</si>
  <si>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</si>
  <si>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</si>
  <si>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</si>
  <si>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</si>
  <si>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</si>
  <si>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</si>
  <si>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</si>
  <si>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</si>
  <si>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</si>
  <si>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</si>
  <si>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</si>
  <si>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</si>
  <si>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</si>
  <si>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</si>
  <si>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</si>
  <si>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</si>
  <si>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</si>
  <si>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</si>
  <si>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</si>
  <si>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</si>
  <si>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</si>
  <si>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</si>
  <si>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</si>
  <si>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</si>
  <si>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</si>
  <si>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</si>
  <si>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</si>
  <si>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</si>
  <si>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</si>
  <si>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</si>
  <si>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</si>
  <si>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</si>
  <si>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</si>
  <si>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</si>
  <si>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</si>
  <si>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</si>
  <si>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</si>
  <si>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</si>
  <si>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</si>
  <si>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</si>
  <si>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</si>
  <si>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</si>
  <si>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</si>
  <si>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</si>
  <si>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</si>
  <si>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</si>
  <si>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</si>
  <si>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</si>
  <si>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</si>
  <si>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</si>
  <si>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</si>
  <si>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</si>
  <si>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</si>
  <si>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</si>
  <si>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</si>
  <si>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</si>
  <si>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</si>
  <si>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</si>
  <si>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</si>
  <si>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</si>
  <si>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</si>
  <si>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</si>
  <si>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</si>
  <si>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</si>
  <si>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</si>
  <si>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</si>
  <si>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</si>
  <si>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</si>
  <si>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</si>
  <si>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</si>
  <si>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</si>
  <si>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</si>
  <si>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</si>
  <si>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</si>
  <si>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</si>
  <si>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</si>
  <si>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</si>
  <si>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</si>
  <si>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</si>
  <si>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</si>
  <si>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</si>
  <si>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</si>
  <si>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</si>
  <si>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</si>
  <si>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</si>
  <si>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</si>
  <si>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</si>
  <si>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</si>
  <si>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</si>
  <si>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</si>
  <si>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</si>
  <si>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</si>
  <si>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</si>
  <si>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</si>
  <si>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</si>
  <si>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</si>
  <si>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</si>
  <si>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</si>
  <si>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</si>
  <si>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</si>
  <si>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</si>
  <si>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</si>
  <si>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</si>
  <si>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</si>
  <si>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</si>
  <si>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</si>
  <si>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</si>
  <si>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</si>
  <si>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</si>
  <si>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</si>
  <si>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</si>
  <si>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</si>
  <si>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</si>
  <si>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</si>
  <si>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</si>
  <si>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</si>
  <si>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</si>
  <si>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</si>
  <si>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</si>
  <si>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</si>
  <si>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</si>
  <si>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</si>
  <si>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</si>
  <si>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</si>
  <si>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</si>
  <si>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</si>
  <si>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</si>
  <si>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</si>
  <si>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</si>
  <si>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</si>
  <si>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</si>
  <si>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</si>
  <si>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</si>
  <si>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</si>
  <si>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</si>
  <si>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</si>
  <si>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</si>
  <si>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</si>
  <si>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</si>
  <si>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</si>
  <si>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</si>
  <si>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</si>
  <si>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</si>
  <si>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</si>
  <si>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</si>
  <si>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</si>
  <si>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</si>
  <si>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</si>
  <si>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</si>
  <si>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</si>
  <si>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</si>
  <si>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</si>
  <si>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</si>
  <si>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</si>
  <si>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</si>
  <si>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</si>
  <si>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</si>
  <si>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</si>
  <si>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</si>
  <si>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</si>
  <si>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</si>
  <si>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</si>
  <si>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</si>
  <si>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</si>
  <si>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</si>
  <si>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</si>
  <si>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</si>
  <si>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</si>
  <si>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</si>
  <si>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</si>
  <si>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</si>
  <si>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</si>
  <si>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</si>
  <si>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</si>
  <si>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</si>
  <si>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</si>
  <si>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</si>
  <si>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</si>
  <si>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</si>
  <si>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</si>
  <si>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</si>
  <si>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</si>
  <si>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</si>
  <si>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</si>
  <si>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</si>
  <si>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</si>
  <si>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</si>
  <si>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</si>
  <si>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</si>
  <si>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</si>
  <si>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</si>
  <si>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</si>
  <si>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</si>
  <si>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</si>
  <si>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</si>
  <si>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</si>
  <si>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</si>
  <si>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</si>
  <si>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</si>
  <si>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</si>
  <si>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</si>
  <si>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</si>
  <si>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</si>
  <si>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</si>
  <si>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</si>
  <si>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</si>
  <si>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</si>
  <si>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</si>
  <si>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</si>
  <si>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</si>
  <si>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</si>
  <si>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</si>
  <si>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</si>
  <si>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</si>
  <si>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</si>
  <si>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</si>
  <si>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</si>
  <si>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</si>
  <si>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</si>
  <si>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</si>
  <si>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</si>
  <si>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</si>
  <si>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</si>
  <si>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</si>
  <si>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</si>
  <si>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</si>
  <si>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</si>
  <si>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</si>
  <si>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</si>
  <si>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</si>
  <si>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</si>
  <si>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</si>
  <si>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</si>
  <si>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</si>
  <si>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</si>
  <si>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</si>
  <si>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</si>
  <si>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</si>
  <si>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</si>
  <si>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</si>
  <si>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</si>
  <si>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</si>
  <si>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</si>
  <si>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</si>
  <si>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</si>
  <si>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</si>
  <si>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</si>
  <si>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</si>
  <si>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</si>
  <si>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</si>
  <si>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</si>
  <si>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</si>
  <si>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</si>
  <si>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</si>
  <si>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</si>
  <si>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</si>
  <si>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</si>
  <si>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</si>
  <si>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</si>
  <si>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</si>
  <si>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</si>
  <si>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</si>
  <si>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</si>
  <si>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</si>
  <si>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</si>
  <si>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</si>
  <si>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</si>
  <si>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</si>
  <si>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</si>
  <si>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</si>
  <si>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</si>
  <si>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</si>
  <si>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</si>
  <si>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</si>
  <si>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</si>
  <si>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</si>
  <si>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</si>
  <si>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</si>
  <si>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</si>
  <si>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</si>
  <si>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</si>
  <si>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</si>
  <si>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</si>
  <si>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</si>
  <si>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</si>
  <si>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</si>
  <si>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</si>
  <si>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</si>
  <si>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</si>
  <si>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</si>
  <si>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</si>
  <si>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</si>
  <si>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</si>
  <si>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</si>
  <si>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</si>
  <si>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</si>
  <si>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</si>
  <si>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</si>
  <si>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</si>
  <si>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</si>
  <si>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</si>
  <si>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</si>
  <si>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</si>
  <si>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</si>
  <si>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</si>
  <si>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</si>
  <si>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</si>
  <si>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</si>
  <si>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</si>
  <si>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</si>
  <si>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</si>
  <si>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</si>
  <si>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</si>
  <si>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</si>
  <si>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</si>
  <si>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</si>
  <si>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</si>
  <si>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</si>
  <si>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</si>
  <si>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</si>
  <si>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</si>
  <si>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</si>
  <si>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</si>
  <si>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</si>
  <si>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</si>
  <si>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</si>
  <si>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</si>
  <si>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</si>
  <si>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</si>
  <si>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</si>
  <si>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</si>
  <si>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</si>
  <si>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</si>
  <si>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</si>
  <si>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</si>
  <si>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</si>
  <si>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</si>
  <si>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</si>
  <si>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</si>
  <si>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</si>
  <si>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</si>
  <si>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</si>
  <si>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</si>
  <si>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</si>
  <si>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</si>
  <si>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</si>
  <si>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</si>
  <si>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</si>
  <si>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</si>
  <si>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</si>
  <si>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</si>
  <si>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</si>
  <si>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</si>
  <si>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</si>
  <si>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</si>
  <si>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</si>
  <si>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</si>
  <si>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</si>
  <si>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</si>
  <si>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</si>
  <si>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</si>
  <si>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</si>
  <si>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</si>
  <si>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</si>
  <si>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</si>
  <si>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</si>
  <si>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</si>
  <si>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</si>
  <si>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</si>
  <si>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</si>
  <si>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</si>
  <si>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</si>
  <si>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</si>
  <si>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</si>
  <si>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</si>
  <si>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</si>
  <si>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</si>
  <si>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</si>
  <si>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</si>
  <si>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</si>
  <si>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</si>
  <si>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</si>
  <si>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</si>
  <si>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</si>
  <si>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</si>
  <si>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</si>
  <si>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</si>
  <si>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</si>
  <si>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</si>
  <si>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</si>
  <si>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</si>
  <si>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</si>
  <si>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</si>
  <si>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</si>
  <si>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</si>
  <si>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</si>
  <si>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</si>
  <si>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</si>
  <si>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</si>
  <si>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</si>
  <si>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</si>
  <si>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</si>
  <si>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</si>
  <si>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</si>
  <si>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</si>
  <si>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</si>
  <si>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</si>
  <si>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</si>
  <si>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</si>
  <si>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</si>
  <si>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</si>
  <si>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</si>
  <si>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</si>
  <si>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</si>
  <si>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</si>
  <si>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</si>
  <si>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</si>
  <si>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</si>
  <si>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</si>
  <si>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</si>
  <si>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</si>
  <si>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</si>
  <si>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</si>
  <si>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</si>
  <si>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</si>
  <si>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</si>
  <si>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</si>
  <si>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</si>
  <si>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</si>
  <si>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</si>
  <si>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</si>
  <si>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</si>
  <si>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</si>
  <si>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</si>
  <si>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</si>
  <si>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</si>
  <si>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</si>
  <si>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</si>
  <si>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</si>
  <si>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</si>
  <si>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</si>
  <si>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</si>
  <si>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</si>
  <si>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</si>
  <si>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</si>
  <si>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</si>
  <si>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</si>
  <si>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</si>
  <si>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</si>
  <si>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</si>
  <si>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</si>
  <si>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</si>
  <si>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</si>
  <si>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</si>
  <si>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</si>
  <si>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</si>
  <si>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</si>
  <si>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</si>
  <si>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</si>
  <si>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</si>
  <si>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</si>
  <si>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</si>
  <si>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</si>
  <si>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</si>
  <si>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</si>
  <si>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</si>
  <si>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</si>
  <si>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</si>
  <si>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</si>
  <si>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</si>
  <si>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</si>
  <si>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</si>
  <si>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</si>
  <si>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</si>
  <si>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</si>
  <si>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</si>
  <si>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</si>
  <si>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</si>
  <si>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</si>
  <si>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</si>
  <si>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</si>
  <si>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</si>
  <si>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</si>
  <si>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</si>
  <si>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</si>
  <si>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</si>
  <si>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</si>
  <si>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</si>
  <si>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</si>
  <si>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</si>
  <si>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</si>
  <si>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</si>
  <si>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</si>
  <si>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</si>
  <si>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</si>
  <si>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</si>
  <si>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</si>
  <si>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</si>
  <si>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</si>
  <si>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</si>
  <si>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</si>
  <si>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</si>
  <si>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</si>
  <si>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</si>
  <si>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</si>
  <si>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</si>
  <si>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</si>
  <si>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</si>
  <si>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</si>
  <si>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</si>
  <si>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</si>
  <si>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</si>
  <si>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</si>
  <si>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</si>
  <si>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</si>
  <si>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</si>
  <si>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</si>
  <si>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</si>
  <si>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</si>
  <si>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</si>
  <si>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</si>
  <si>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</si>
  <si>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</si>
  <si>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</si>
  <si>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</si>
  <si>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</si>
  <si>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</si>
  <si>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</si>
  <si>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</si>
  <si>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</si>
  <si>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</si>
  <si>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</si>
  <si>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</si>
  <si>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</si>
  <si>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</si>
  <si>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</si>
  <si>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</si>
  <si>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</si>
  <si>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</si>
  <si>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</si>
  <si>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</si>
  <si>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</si>
  <si>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</si>
  <si>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</si>
  <si>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</si>
  <si>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</si>
  <si>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</si>
  <si>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</si>
  <si>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</si>
  <si>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</si>
  <si>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</si>
  <si>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</si>
  <si>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</si>
  <si>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</si>
  <si>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</si>
  <si>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</si>
  <si>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</si>
  <si>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</si>
  <si>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</si>
  <si>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</si>
  <si>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</si>
  <si>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</si>
  <si>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</si>
  <si>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</si>
  <si>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</si>
  <si>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</si>
  <si>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</si>
  <si>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</si>
  <si>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</si>
  <si>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</si>
  <si>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</si>
  <si>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</si>
  <si>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</si>
  <si>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</si>
  <si>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</si>
  <si>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</si>
  <si>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</si>
  <si>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</si>
  <si>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</si>
  <si>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</si>
  <si>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</si>
  <si>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</si>
  <si>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</si>
  <si>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</si>
  <si>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</si>
  <si>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</si>
  <si>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</si>
  <si>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</si>
  <si>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</si>
  <si>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</si>
  <si>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</si>
  <si>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</si>
  <si>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</si>
  <si>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</si>
  <si>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</si>
  <si>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</si>
  <si>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</si>
  <si>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</si>
  <si>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</si>
  <si>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</si>
  <si>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</si>
  <si>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</si>
  <si>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</si>
  <si>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</si>
  <si>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</si>
  <si>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</si>
  <si>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</si>
  <si>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</si>
  <si>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</si>
  <si>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</si>
  <si>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</si>
  <si>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</si>
  <si>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</si>
  <si>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</si>
  <si>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</si>
  <si>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</si>
  <si>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</si>
  <si>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</si>
  <si>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</si>
  <si>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</si>
  <si>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</si>
  <si>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</si>
  <si>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</si>
  <si>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</si>
  <si>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</si>
  <si>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</si>
  <si>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</si>
  <si>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</si>
  <si>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</si>
  <si>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</si>
  <si>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</si>
  <si>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</si>
  <si>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</si>
  <si>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</si>
  <si>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</si>
  <si>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</si>
  <si>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</si>
  <si>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</si>
  <si>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</si>
  <si>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</si>
  <si>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</si>
  <si>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</si>
  <si>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</si>
  <si>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</si>
  <si>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</si>
  <si>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</si>
  <si>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</si>
  <si>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</si>
  <si>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</si>
  <si>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</si>
  <si>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</si>
  <si>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</si>
  <si>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</si>
  <si>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</si>
  <si>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</si>
  <si>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</si>
  <si>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</si>
  <si>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</si>
  <si>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</si>
  <si>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</si>
  <si>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</si>
  <si>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</si>
  <si>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</si>
  <si>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</si>
  <si>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</si>
  <si>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</si>
  <si>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</si>
  <si>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</si>
  <si>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</si>
  <si>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</si>
  <si>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</si>
  <si>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</si>
  <si>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</si>
  <si>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</si>
  <si>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</si>
  <si>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</si>
  <si>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</si>
  <si>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</si>
  <si>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</si>
  <si>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</si>
  <si>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</si>
  <si>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</si>
  <si>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</si>
  <si>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</si>
  <si>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</si>
  <si>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</si>
  <si>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</si>
  <si>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</si>
  <si>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</si>
  <si>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</si>
  <si>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</si>
  <si>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</si>
  <si>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</si>
  <si>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</si>
  <si>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</si>
  <si>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</si>
  <si>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</si>
  <si>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</si>
  <si>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</si>
  <si>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</si>
  <si>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</si>
  <si>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</si>
  <si>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</si>
  <si>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</si>
  <si>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</si>
  <si>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</si>
  <si>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</si>
  <si>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</si>
  <si>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</si>
  <si>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</si>
  <si>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</si>
  <si>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</si>
  <si>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</si>
  <si>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</si>
  <si>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</si>
  <si>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</si>
  <si>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</si>
  <si>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</si>
  <si>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</si>
  <si>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</si>
  <si>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</si>
  <si>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</si>
  <si>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</si>
  <si>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</si>
  <si>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</si>
  <si>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</si>
  <si>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</si>
  <si>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</si>
  <si>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</si>
  <si>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</si>
  <si>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</si>
  <si>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</si>
  <si>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</si>
  <si>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</si>
  <si>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</si>
  <si>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</si>
  <si>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</si>
  <si>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</si>
  <si>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</si>
  <si>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</si>
  <si>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</si>
  <si>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</si>
  <si>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</si>
  <si>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</si>
  <si>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</si>
  <si>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</si>
  <si>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</si>
  <si>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</si>
  <si>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</si>
  <si>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</si>
  <si>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</si>
  <si>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</si>
  <si>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</si>
  <si>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</si>
  <si>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</si>
  <si>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</si>
  <si>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</si>
  <si>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</si>
  <si>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</si>
  <si>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</si>
  <si>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</si>
  <si>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</si>
  <si>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</si>
  <si>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</si>
  <si>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</si>
  <si>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</si>
  <si>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</si>
  <si>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</si>
  <si>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</si>
  <si>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</si>
  <si>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</si>
  <si>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</si>
  <si>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</si>
  <si>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</si>
  <si>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</si>
  <si>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</si>
  <si>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</si>
  <si>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</si>
  <si>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</si>
  <si>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</si>
  <si>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</si>
  <si>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</si>
  <si>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</si>
  <si>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</si>
  <si>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</si>
  <si>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</si>
  <si>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</si>
  <si>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</si>
  <si>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</si>
  <si>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</si>
  <si>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</si>
  <si>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</si>
  <si>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</si>
  <si>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</si>
  <si>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</si>
  <si>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</si>
  <si>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</si>
  <si>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</si>
  <si>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</si>
  <si>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</si>
  <si>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</si>
  <si>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</si>
  <si>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</si>
  <si>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</si>
  <si>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</si>
  <si>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</si>
  <si>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</si>
  <si>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</si>
  <si>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</si>
  <si>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</si>
  <si>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</si>
  <si>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</si>
  <si>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</si>
  <si>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</si>
  <si>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</si>
  <si>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</si>
  <si>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</si>
  <si>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</si>
  <si>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</si>
  <si>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</si>
  <si>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</si>
  <si>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</si>
  <si>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</si>
  <si>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</si>
  <si>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</si>
  <si>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</si>
  <si>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</si>
  <si>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</si>
  <si>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</si>
  <si>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</si>
  <si>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</si>
  <si>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</si>
  <si>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</si>
  <si>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</si>
  <si>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</si>
  <si>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</si>
  <si>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</si>
  <si>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</si>
  <si>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</si>
  <si>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</si>
  <si>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</si>
  <si>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</si>
  <si>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</si>
  <si>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</si>
  <si>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</si>
  <si>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</si>
  <si>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</si>
  <si>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</si>
  <si>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</si>
  <si>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</si>
  <si>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</si>
  <si>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</si>
  <si>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</si>
  <si>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</si>
  <si>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</si>
  <si>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</si>
  <si>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</si>
  <si>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</si>
  <si>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</si>
  <si>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</si>
  <si>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</si>
  <si>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</si>
  <si>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</si>
  <si>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</si>
  <si>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</si>
  <si>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</si>
  <si>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</si>
  <si>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</si>
  <si>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</si>
  <si>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</si>
  <si>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</si>
  <si>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</si>
  <si>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</si>
  <si>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</si>
  <si>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</si>
  <si>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</si>
  <si>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</si>
  <si>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</si>
  <si>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</si>
  <si>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</si>
  <si>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</si>
  <si>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</si>
  <si>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</si>
  <si>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</si>
  <si>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</si>
  <si>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</si>
  <si>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</si>
  <si>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</si>
  <si>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</si>
  <si>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</si>
  <si>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</si>
  <si>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</si>
  <si>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</si>
  <si>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</si>
  <si>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</si>
  <si>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</si>
  <si>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</si>
  <si>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</si>
  <si>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</si>
  <si>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</si>
  <si>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</si>
  <si>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</si>
  <si>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</si>
  <si>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</si>
  <si>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</si>
  <si>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</si>
  <si>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</si>
  <si>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</si>
  <si>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</si>
  <si>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</si>
  <si>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</si>
  <si>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</si>
  <si>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</si>
  <si>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</si>
  <si>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</si>
  <si>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</si>
  <si>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</si>
  <si>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</si>
  <si>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</si>
  <si>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</si>
  <si>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</si>
  <si>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</si>
  <si>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</si>
  <si>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</si>
  <si>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</si>
  <si>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</si>
  <si>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</si>
  <si>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</si>
  <si>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</si>
  <si>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</si>
  <si>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</si>
  <si>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</si>
  <si>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</si>
  <si>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</si>
  <si>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</si>
  <si>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</si>
  <si>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</si>
  <si>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</si>
  <si>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</si>
  <si>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</si>
  <si>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</si>
  <si>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</si>
  <si>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</si>
  <si>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</si>
  <si>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</si>
  <si>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</si>
  <si>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</si>
  <si>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</si>
  <si>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</si>
  <si>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</si>
  <si>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</si>
  <si>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</si>
  <si>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</si>
  <si>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</si>
  <si>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</si>
  <si>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</si>
  <si>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</si>
  <si>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</si>
  <si>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</si>
  <si>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</si>
  <si>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</si>
  <si>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</si>
  <si>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</si>
  <si>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</si>
  <si>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</si>
  <si>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</si>
  <si>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</si>
  <si>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</si>
  <si>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</si>
  <si>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</si>
  <si>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</si>
  <si>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</si>
  <si>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</si>
  <si>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</si>
  <si>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</si>
  <si>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</si>
  <si>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</si>
  <si>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</si>
  <si>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</si>
  <si>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</si>
  <si>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</si>
  <si>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</si>
  <si>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</si>
  <si>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</si>
  <si>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</si>
  <si>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</si>
  <si>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</si>
  <si>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</si>
  <si>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</si>
  <si>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</si>
  <si>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</si>
  <si>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</si>
  <si>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</si>
  <si>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</si>
  <si>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</si>
  <si>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</si>
  <si>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</si>
  <si>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</si>
  <si>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</si>
  <si>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</si>
  <si>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</si>
  <si>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</si>
  <si>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</si>
  <si>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</si>
  <si>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</si>
  <si>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</si>
  <si>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</si>
  <si>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</si>
  <si>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</si>
  <si>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</si>
  <si>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</si>
  <si>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</si>
  <si>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</si>
  <si>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</si>
  <si>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</si>
  <si>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</si>
  <si>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</si>
  <si>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</si>
  <si>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</si>
  <si>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</si>
  <si>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</si>
  <si>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</si>
  <si>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</si>
  <si>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</si>
  <si>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</si>
  <si>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</si>
  <si>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</si>
  <si>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</si>
  <si>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</si>
  <si>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</si>
  <si>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</si>
  <si>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</si>
  <si>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</si>
  <si>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</si>
  <si>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</si>
  <si>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</si>
  <si>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</si>
  <si>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</si>
  <si>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</si>
  <si>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</si>
  <si>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</si>
  <si>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</si>
  <si>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</si>
  <si>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</si>
  <si>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</si>
  <si>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</si>
  <si>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</si>
  <si>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</si>
  <si>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</si>
  <si>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</si>
  <si>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</si>
  <si>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</si>
  <si>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</si>
  <si>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</si>
  <si>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</si>
  <si>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</si>
  <si>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</si>
  <si>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</si>
  <si>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</si>
  <si>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</si>
  <si>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</si>
  <si>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</si>
  <si>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</si>
  <si>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</si>
  <si>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</si>
  <si>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</si>
  <si>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</si>
  <si>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</si>
  <si>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</si>
  <si>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</si>
  <si>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</si>
  <si>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</si>
  <si>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</si>
  <si>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</si>
  <si>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</si>
  <si>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</si>
  <si>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</si>
  <si>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</si>
  <si>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</si>
  <si>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</si>
  <si>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</si>
  <si>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</si>
  <si>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</si>
  <si>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</si>
  <si>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</si>
  <si>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</si>
  <si>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</si>
  <si>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</si>
  <si>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</si>
  <si>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</si>
  <si>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</si>
  <si>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</si>
  <si>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</si>
  <si>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</si>
  <si>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</si>
  <si>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</si>
  <si>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</si>
  <si>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</si>
  <si>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</si>
  <si>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</si>
  <si>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</si>
  <si>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</si>
  <si>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</si>
  <si>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</si>
  <si>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</si>
  <si>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</si>
  <si>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</si>
  <si>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</si>
  <si>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</si>
  <si>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</si>
  <si>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</si>
  <si>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</si>
  <si>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</si>
  <si>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</si>
  <si>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</si>
  <si>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</si>
  <si>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</si>
  <si>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</si>
  <si>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</si>
  <si>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</si>
  <si>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Lavande Residence - Site Plan</t>
  </si>
  <si>
    <t>https://drive.google.com/file/d/1LOMxU-55a6HvdlkUOWtfwOqmMNiWH88o/view?usp=sharing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</si>
</sst>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1">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2" fillId="21" borderId="0" xfId="0" applyFont="1" applyFill="1" applyAlignment="1">
      <alignment vertical="center"/>
    </xf>
    <xf numFmtId="0" fontId="0" fillId="0" borderId="0" xfId="0"/>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34" fillId="0" borderId="0" xfId="1" applyAlignment="1">
      <alignment wrapText="1"/>
    </xf>
    <xf numFmtId="164" fontId="0" fillId="0" borderId="0" xfId="0" applyNumberFormat="1" applyAlignment="1">
      <alignment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LOMxU-55a6HvdlkUOWtfwOqmMNiWH88o/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tabSelected="1" zoomScaleNormal="100" workbookViewId="0">
      <pane xSplit="4" ySplit="5" topLeftCell="E6" activePane="bottomRight" state="frozen"/>
      <selection pane="topRight" activeCell="E1" sqref="E1"/>
      <selection pane="bottomLeft" activeCell="A6" sqref="A6"/>
      <selection pane="bottomRight" activeCell="H16" sqref="H16"/>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59" t="s">
        <v>1322</v>
      </c>
      <c r="B1" s="259"/>
      <c r="C1" s="259"/>
      <c r="D1" s="259"/>
      <c r="E1" s="259"/>
      <c r="F1" s="259"/>
      <c r="G1" s="259"/>
      <c r="H1" s="259"/>
      <c r="I1" s="259"/>
      <c r="J1" s="259"/>
      <c r="K1" s="259"/>
      <c r="L1" s="259"/>
      <c r="M1" s="259"/>
      <c r="N1" s="259"/>
      <c r="O1" s="260"/>
    </row>
    <row r="2" spans="1:15" ht="26" customHeight="1">
      <c r="A2" s="261" t="s">
        <v>1323</v>
      </c>
      <c r="B2" s="261"/>
      <c r="C2" s="261"/>
      <c r="D2" s="261"/>
      <c r="E2" s="261"/>
      <c r="F2" s="261"/>
      <c r="G2" s="261"/>
      <c r="H2" s="261"/>
      <c r="I2" s="261"/>
      <c r="J2" s="261"/>
      <c r="K2" s="261"/>
      <c r="L2" s="261"/>
      <c r="M2" s="261"/>
      <c r="N2" s="261"/>
      <c r="O2" s="260"/>
    </row>
    <row r="3" spans="1:15" ht="29.5" customHeight="1">
      <c r="A3" s="262" t="s">
        <v>2907</v>
      </c>
      <c r="B3" s="262"/>
      <c r="C3" s="262"/>
      <c r="D3" s="262"/>
      <c r="E3" s="262"/>
      <c r="F3" s="262"/>
      <c r="G3" s="262"/>
      <c r="H3" s="262"/>
      <c r="I3" s="262"/>
      <c r="J3" s="262"/>
      <c r="K3" s="262"/>
      <c r="L3" s="262"/>
      <c r="M3" s="262"/>
      <c r="N3" s="262"/>
      <c r="O3" s="260"/>
    </row>
    <row r="5" spans="1:15" ht="31.5" customHeight="1">
      <c r="A5" s="206" t="s">
        <v>1324</v>
      </c>
      <c r="B5" s="206" t="s">
        <v>1325</v>
      </c>
      <c r="C5" s="206" t="s">
        <v>1326</v>
      </c>
      <c r="D5" s="247" t="s">
        <v>2906</v>
      </c>
      <c r="E5" s="206" t="s">
        <v>1327</v>
      </c>
      <c r="F5" s="206" t="s">
        <v>1328</v>
      </c>
      <c r="G5" s="207" t="s">
        <v>1329</v>
      </c>
      <c r="H5" s="206" t="s">
        <v>1330</v>
      </c>
      <c r="I5" s="206" t="s">
        <v>1331</v>
      </c>
      <c r="J5" s="206" t="s">
        <v>1332</v>
      </c>
      <c r="K5" s="206" t="s">
        <v>29</v>
      </c>
      <c r="L5" s="206" t="s">
        <v>1275</v>
      </c>
      <c r="M5" s="206" t="s">
        <v>1333</v>
      </c>
      <c r="N5" s="207" t="s">
        <v>30</v>
      </c>
      <c r="O5" s="249" t="s">
        <v>31</v>
      </c>
    </row>
    <row r="6" spans="1:15" ht="23" customHeight="1">
      <c r="A6" t="s">
        <v>2942</v>
      </c>
      <c r="B6" t="s">
        <v>2943</v>
      </c>
      <c r="C6" t="s">
        <v>776</v>
      </c>
      <c r="D6" s="248" t="str">
        <f>IF(C6="","",IF(UPPER(TRIM(B6))="PERUMAHAN",IFERROR(VLOOKUP(C6,PERUMAHAN!$A:$B,2,FALSE),"ID tidak ditemukan"),""))</f>
        <v>LAVANDE RESIDENCE 2</v>
      </c>
      <c r="E6" t="s">
        <v>2946</v>
      </c>
      <c r="F6" t="s">
        <v>2947</v>
      </c>
      <c r="G6"/>
      <c r="H6">
        <v>2026</v>
      </c>
      <c r="I6" s="299" t="s">
        <v>2948</v>
      </c>
      <c r="J6" t="s">
        <v>2944</v>
      </c>
      <c r="K6" t="s">
        <v>2945</v>
      </c>
      <c r="M6" s="300" t="s">
        <v>50</v>
      </c>
      <c r="N6" s="72">
        <v>46251</v>
      </c>
      <c r="O6" t="s">
        <v>52</v>
      </c>
    </row>
    <row r="7" spans="1:15">
      <c r="D7" s="248" t="str">
        <f>IF(C7="","",IF(UPPER(TRIM(B7))="PERUMAHAN",IFERROR(VLOOKUP(C7,PERUMAHAN!$A:$B,2,FALSE),"ID tidak ditemukan"),""))</f>
        <v/>
      </c>
      <c r="G7"/>
      <c r="M7" s="205"/>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conditionalFormatting sqref="I6:I478">
    <cfRule type="expression" dxfId="12" priority="1">
      <formula>I6="PUBLIK"</formula>
    </cfRule>
    <cfRule type="expression" dxfId="11" priority="2">
      <formula>I6="INTERNAL"</formula>
    </cfRule>
  </conditionalFormatting>
  <conditionalFormatting sqref="J6:J478">
    <cfRule type="expression" dxfId="10" priority="3">
      <formula>J6="TERVERIFIKASI"</formula>
    </cfRule>
    <cfRule type="expression" dxfId="9" priority="4">
      <formula>J6="BELUM DIVERIFIKASI"</formula>
    </cfRule>
  </conditionalFormatting>
  <dataValidations disablePrompts="1"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Normal="100" workbookViewId="0">
      <pane xSplit="2" ySplit="5" topLeftCell="C207" activePane="bottomRight" state="frozen"/>
      <selection pane="topRight" activeCell="C1" sqref="C1"/>
      <selection pane="bottomLeft" activeCell="A6" sqref="A6"/>
      <selection pane="bottomRight" activeCell="A212" sqref="A212"/>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2.664062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4" width="22" customWidth="1"/>
  </cols>
  <sheetData>
    <row r="1" spans="1:34" ht="23">
      <c r="A1" s="263" t="s">
        <v>0</v>
      </c>
      <c r="B1" s="263"/>
      <c r="C1" s="263"/>
      <c r="D1" s="263"/>
      <c r="E1" s="263"/>
      <c r="F1" s="263"/>
      <c r="G1" s="263"/>
      <c r="H1" s="263"/>
      <c r="I1" s="263"/>
      <c r="J1" s="263"/>
      <c r="K1" s="263"/>
      <c r="L1" s="263"/>
      <c r="M1" s="263"/>
      <c r="N1" s="263"/>
      <c r="O1" s="263"/>
      <c r="P1" s="263"/>
      <c r="Q1" s="263"/>
      <c r="R1" s="263"/>
      <c r="S1" s="263"/>
      <c r="T1" s="263"/>
      <c r="U1" s="263"/>
      <c r="V1" s="263"/>
      <c r="W1" s="263"/>
      <c r="X1" s="263"/>
      <c r="Y1" s="263"/>
      <c r="Z1" s="263"/>
      <c r="AA1" s="260"/>
      <c r="AB1" s="260"/>
      <c r="AC1" s="260"/>
      <c r="AD1" s="260"/>
      <c r="AE1" s="260"/>
      <c r="AF1" s="211"/>
      <c r="AG1" s="211"/>
      <c r="AH1" s="211"/>
    </row>
    <row r="2" spans="1:34" ht="14.5">
      <c r="A2" s="264" t="s">
        <v>1</v>
      </c>
      <c r="B2" s="264"/>
      <c r="C2" s="264"/>
      <c r="D2" s="264"/>
      <c r="E2" s="264"/>
      <c r="F2" s="264"/>
      <c r="G2" s="264"/>
      <c r="H2" s="264"/>
      <c r="I2" s="264"/>
      <c r="J2" s="264"/>
      <c r="K2" s="264"/>
      <c r="L2" s="264"/>
      <c r="M2" s="264"/>
      <c r="N2" s="264"/>
      <c r="O2" s="264"/>
      <c r="P2" s="264"/>
      <c r="Q2" s="264"/>
      <c r="R2" s="264"/>
      <c r="S2" s="264"/>
      <c r="T2" s="264"/>
      <c r="U2" s="264"/>
      <c r="V2" s="264"/>
      <c r="W2" s="264"/>
      <c r="X2" s="264"/>
      <c r="Y2" s="264"/>
      <c r="Z2" s="264"/>
      <c r="AA2" s="260"/>
      <c r="AB2" s="260"/>
      <c r="AC2" s="260"/>
      <c r="AD2" s="260"/>
      <c r="AE2" s="260"/>
      <c r="AF2" s="212"/>
      <c r="AG2" s="212"/>
      <c r="AH2" s="212"/>
    </row>
    <row r="3" spans="1:34">
      <c r="A3" s="265" t="s">
        <v>2</v>
      </c>
      <c r="B3" s="265"/>
      <c r="C3" s="265"/>
      <c r="D3" s="265"/>
      <c r="E3" s="265"/>
      <c r="F3" s="265"/>
      <c r="G3" s="265"/>
      <c r="H3" s="265"/>
      <c r="I3" s="265"/>
      <c r="J3" s="265"/>
      <c r="K3" s="265"/>
      <c r="L3" s="265"/>
      <c r="M3" s="265"/>
      <c r="N3" s="265"/>
      <c r="O3" s="265"/>
      <c r="P3" s="265"/>
      <c r="Q3" s="265"/>
      <c r="R3" s="265"/>
      <c r="S3" s="265"/>
      <c r="T3" s="265"/>
      <c r="U3" s="265"/>
      <c r="V3" s="265"/>
      <c r="W3" s="265"/>
      <c r="X3" s="265"/>
      <c r="Y3" s="265"/>
      <c r="Z3" s="265"/>
      <c r="AA3" s="266"/>
      <c r="AB3" s="266"/>
      <c r="AC3" s="266"/>
      <c r="AD3" s="266"/>
      <c r="AE3" s="266"/>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25">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c r="Q30" s="21" t="s">
        <v>47</v>
      </c>
      <c r="R30" s="21"/>
      <c r="S30" s="17" t="s">
        <v>48</v>
      </c>
      <c r="T30" s="9"/>
      <c r="U30" s="9"/>
      <c r="V30" s="67">
        <v>-2.0999433999999999</v>
      </c>
      <c r="W30" s="9">
        <v>106.09478319999999</v>
      </c>
      <c r="X30" s="9"/>
      <c r="Y30" s="47"/>
      <c r="Z30" s="26" t="s">
        <v>50</v>
      </c>
      <c r="AA30" s="39" t="s">
        <v>51</v>
      </c>
      <c r="AB30" s="71">
        <v>46220</v>
      </c>
      <c r="AC30" s="41" t="s">
        <v>52</v>
      </c>
      <c r="AD30">
        <f t="shared" si="0"/>
        <v>1</v>
      </c>
      <c r="AE30">
        <f t="shared" si="1"/>
        <v>1</v>
      </c>
      <c r="AF30" s="220"/>
      <c r="AG30" s="221"/>
      <c r="AH30" s="222"/>
    </row>
    <row r="31" spans="1:34" ht="25">
      <c r="A31" s="27" t="s">
        <v>153</v>
      </c>
      <c r="B31" s="9" t="s">
        <v>154</v>
      </c>
      <c r="C31" s="5" t="s">
        <v>39</v>
      </c>
      <c r="D31" s="9" t="s">
        <v>40</v>
      </c>
      <c r="E31" s="9" t="s">
        <v>41</v>
      </c>
      <c r="F31" s="5" t="s">
        <v>155</v>
      </c>
      <c r="G31" s="5" t="s">
        <v>140</v>
      </c>
      <c r="H31" s="15" t="s">
        <v>141</v>
      </c>
      <c r="I31" s="15" t="s">
        <v>142</v>
      </c>
      <c r="J31" s="5">
        <v>2025</v>
      </c>
      <c r="K31" s="15">
        <v>51</v>
      </c>
      <c r="L31" s="9">
        <v>33</v>
      </c>
      <c r="M31" s="15">
        <v>25</v>
      </c>
      <c r="N31" s="15" t="s">
        <v>64</v>
      </c>
      <c r="O31" s="5"/>
      <c r="P31" s="5"/>
      <c r="Q31" s="21" t="s">
        <v>47</v>
      </c>
      <c r="R31" s="21" t="s">
        <v>110</v>
      </c>
      <c r="S31" s="17" t="s">
        <v>48</v>
      </c>
      <c r="T31" s="9"/>
      <c r="U31" s="9"/>
      <c r="V31" s="67"/>
      <c r="W31" s="9"/>
      <c r="X31" s="9"/>
      <c r="Y31" s="47"/>
      <c r="Z31" s="26" t="s">
        <v>50</v>
      </c>
      <c r="AA31" s="39" t="s">
        <v>51</v>
      </c>
      <c r="AB31" s="71">
        <v>46220</v>
      </c>
      <c r="AC31" s="41" t="s">
        <v>52</v>
      </c>
      <c r="AD31">
        <f t="shared" si="0"/>
        <v>0.6470588235294118</v>
      </c>
      <c r="AE31">
        <f t="shared" si="1"/>
        <v>0.75757575757575757</v>
      </c>
      <c r="AF31" s="220"/>
      <c r="AG31" s="221"/>
      <c r="AH31" s="222"/>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185</v>
      </c>
      <c r="C39" s="5" t="s">
        <v>39</v>
      </c>
      <c r="D39" s="9" t="s">
        <v>40</v>
      </c>
      <c r="E39" s="9" t="s">
        <v>41</v>
      </c>
      <c r="F39" s="5" t="s">
        <v>186</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5">
      <c r="A40" s="27" t="s">
        <v>187</v>
      </c>
      <c r="B40" s="9" t="s">
        <v>188</v>
      </c>
      <c r="C40" s="5" t="s">
        <v>39</v>
      </c>
      <c r="D40" s="9" t="s">
        <v>40</v>
      </c>
      <c r="E40" s="9" t="s">
        <v>41</v>
      </c>
      <c r="F40" s="5" t="s">
        <v>189</v>
      </c>
      <c r="G40" s="5" t="s">
        <v>182</v>
      </c>
      <c r="H40" s="15" t="s">
        <v>183</v>
      </c>
      <c r="I40" s="15" t="s">
        <v>107</v>
      </c>
      <c r="J40" s="5">
        <v>2025</v>
      </c>
      <c r="K40" s="15">
        <v>40</v>
      </c>
      <c r="L40" s="9">
        <v>30</v>
      </c>
      <c r="M40" s="15">
        <v>30</v>
      </c>
      <c r="N40" s="15" t="s">
        <v>64</v>
      </c>
      <c r="O40" s="5"/>
      <c r="P40" s="5"/>
      <c r="Q40" s="21" t="s">
        <v>47</v>
      </c>
      <c r="R40" s="21" t="s">
        <v>110</v>
      </c>
      <c r="S40" s="17" t="s">
        <v>48</v>
      </c>
      <c r="T40" s="9"/>
      <c r="U40" s="9"/>
      <c r="V40" s="67">
        <v>-2.1048140000000002</v>
      </c>
      <c r="W40" s="9">
        <v>106.07858899999999</v>
      </c>
      <c r="X40" s="9"/>
      <c r="Y40" s="47"/>
      <c r="Z40" s="26" t="s">
        <v>50</v>
      </c>
      <c r="AA40" s="39" t="s">
        <v>51</v>
      </c>
      <c r="AB40" s="71">
        <v>46220</v>
      </c>
      <c r="AC40" s="41" t="s">
        <v>52</v>
      </c>
      <c r="AD40">
        <f t="shared" si="0"/>
        <v>0.75</v>
      </c>
      <c r="AE40">
        <f t="shared" si="1"/>
        <v>1</v>
      </c>
      <c r="AF40" s="220"/>
      <c r="AG40" s="221"/>
      <c r="AH40" s="222"/>
    </row>
    <row r="41" spans="1:34" ht="25">
      <c r="A41" s="27" t="s">
        <v>190</v>
      </c>
      <c r="B41" s="9" t="s">
        <v>191</v>
      </c>
      <c r="C41" s="5" t="s">
        <v>39</v>
      </c>
      <c r="D41" s="9" t="s">
        <v>40</v>
      </c>
      <c r="E41" s="9" t="s">
        <v>41</v>
      </c>
      <c r="F41" s="5" t="s">
        <v>192</v>
      </c>
      <c r="G41" s="5" t="s">
        <v>193</v>
      </c>
      <c r="H41" s="15" t="s">
        <v>194</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195</v>
      </c>
      <c r="B42" s="9" t="s">
        <v>196</v>
      </c>
      <c r="C42" s="5" t="s">
        <v>39</v>
      </c>
      <c r="D42" s="9" t="s">
        <v>40</v>
      </c>
      <c r="E42" s="9" t="s">
        <v>41</v>
      </c>
      <c r="F42" s="5" t="s">
        <v>192</v>
      </c>
      <c r="G42" s="5" t="s">
        <v>193</v>
      </c>
      <c r="H42" s="15" t="s">
        <v>194</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197</v>
      </c>
      <c r="B43" s="9" t="s">
        <v>198</v>
      </c>
      <c r="C43" s="5" t="s">
        <v>39</v>
      </c>
      <c r="D43" s="9" t="s">
        <v>40</v>
      </c>
      <c r="E43" s="9" t="s">
        <v>41</v>
      </c>
      <c r="F43" s="5" t="s">
        <v>132</v>
      </c>
      <c r="G43" s="5" t="s">
        <v>193</v>
      </c>
      <c r="H43" s="15" t="s">
        <v>194</v>
      </c>
      <c r="I43" s="15" t="s">
        <v>107</v>
      </c>
      <c r="J43" s="5">
        <v>2024</v>
      </c>
      <c r="K43" s="15">
        <v>92</v>
      </c>
      <c r="L43" s="9">
        <v>0</v>
      </c>
      <c r="M43" s="15">
        <v>0</v>
      </c>
      <c r="N43" s="15" t="s">
        <v>64</v>
      </c>
      <c r="O43" s="5"/>
      <c r="P43" s="5"/>
      <c r="Q43" s="21" t="s">
        <v>47</v>
      </c>
      <c r="R43" s="21"/>
      <c r="S43" s="18"/>
      <c r="T43" s="9"/>
      <c r="U43" s="9"/>
      <c r="V43" s="67">
        <v>-2.1030522999999999</v>
      </c>
      <c r="W43" s="9">
        <v>106.0597731</v>
      </c>
      <c r="X43" s="9"/>
      <c r="Y43" s="47"/>
      <c r="Z43" s="26" t="s">
        <v>50</v>
      </c>
      <c r="AA43" s="39" t="s">
        <v>51</v>
      </c>
      <c r="AB43" s="71">
        <v>46220</v>
      </c>
      <c r="AC43" s="41" t="s">
        <v>52</v>
      </c>
      <c r="AD43">
        <f t="shared" si="0"/>
        <v>0</v>
      </c>
      <c r="AE43">
        <f t="shared" si="1"/>
        <v>0</v>
      </c>
      <c r="AF43" s="220"/>
      <c r="AG43" s="221"/>
      <c r="AH43" s="222"/>
    </row>
    <row r="44" spans="1:34" ht="25">
      <c r="A44" s="27" t="s">
        <v>199</v>
      </c>
      <c r="B44" s="9" t="s">
        <v>200</v>
      </c>
      <c r="C44" s="5" t="s">
        <v>39</v>
      </c>
      <c r="D44" s="9" t="s">
        <v>40</v>
      </c>
      <c r="E44" s="9" t="s">
        <v>41</v>
      </c>
      <c r="F44" s="5" t="s">
        <v>132</v>
      </c>
      <c r="G44" s="5" t="s">
        <v>193</v>
      </c>
      <c r="H44" s="15" t="s">
        <v>194</v>
      </c>
      <c r="I44" s="15" t="s">
        <v>107</v>
      </c>
      <c r="J44" s="5">
        <v>2024</v>
      </c>
      <c r="K44" s="15">
        <v>136</v>
      </c>
      <c r="L44" s="9">
        <v>34</v>
      </c>
      <c r="M44" s="15">
        <v>10</v>
      </c>
      <c r="N44" s="15" t="s">
        <v>64</v>
      </c>
      <c r="O44" s="5"/>
      <c r="P44" s="5"/>
      <c r="Q44" s="21" t="s">
        <v>47</v>
      </c>
      <c r="R44" s="21"/>
      <c r="S44" s="18"/>
      <c r="T44" s="9"/>
      <c r="U44" s="9"/>
      <c r="V44" s="67">
        <v>-2.1030522999999999</v>
      </c>
      <c r="W44" s="9">
        <v>106.0597731</v>
      </c>
      <c r="X44" s="9"/>
      <c r="Y44" s="47"/>
      <c r="Z44" s="26" t="s">
        <v>50</v>
      </c>
      <c r="AA44" s="39" t="s">
        <v>51</v>
      </c>
      <c r="AB44" s="71">
        <v>46220</v>
      </c>
      <c r="AC44" s="41" t="s">
        <v>52</v>
      </c>
      <c r="AD44">
        <f t="shared" si="0"/>
        <v>0.25</v>
      </c>
      <c r="AE44">
        <f t="shared" si="1"/>
        <v>0.29411764705882354</v>
      </c>
      <c r="AF44" s="220"/>
      <c r="AG44" s="221"/>
      <c r="AH44" s="222"/>
    </row>
    <row r="45" spans="1:34" ht="25">
      <c r="A45" s="27" t="s">
        <v>201</v>
      </c>
      <c r="B45" s="9" t="s">
        <v>202</v>
      </c>
      <c r="C45" s="5" t="s">
        <v>39</v>
      </c>
      <c r="D45" s="9" t="s">
        <v>75</v>
      </c>
      <c r="E45" s="9" t="s">
        <v>114</v>
      </c>
      <c r="F45" s="5" t="s">
        <v>203</v>
      </c>
      <c r="G45" s="5" t="s">
        <v>204</v>
      </c>
      <c r="H45" s="15" t="s">
        <v>205</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206</v>
      </c>
      <c r="B46" s="9" t="s">
        <v>207</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208</v>
      </c>
      <c r="B47" s="9" t="s">
        <v>209</v>
      </c>
      <c r="C47" s="5" t="s">
        <v>39</v>
      </c>
      <c r="D47" s="9" t="s">
        <v>102</v>
      </c>
      <c r="E47" s="9" t="s">
        <v>120</v>
      </c>
      <c r="F47" s="5" t="s">
        <v>210</v>
      </c>
      <c r="G47" s="5" t="s">
        <v>211</v>
      </c>
      <c r="H47" s="15" t="s">
        <v>212</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213</v>
      </c>
      <c r="B48" s="9" t="s">
        <v>214</v>
      </c>
      <c r="C48" s="5" t="s">
        <v>39</v>
      </c>
      <c r="D48" s="9" t="s">
        <v>102</v>
      </c>
      <c r="E48" s="9" t="s">
        <v>120</v>
      </c>
      <c r="F48" s="5" t="s">
        <v>215</v>
      </c>
      <c r="G48" s="5" t="s">
        <v>216</v>
      </c>
      <c r="H48" s="15" t="s">
        <v>217</v>
      </c>
      <c r="I48" s="15" t="s">
        <v>218</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219</v>
      </c>
      <c r="B49" s="9" t="s">
        <v>220</v>
      </c>
      <c r="C49" s="5" t="s">
        <v>39</v>
      </c>
      <c r="D49" s="9" t="s">
        <v>75</v>
      </c>
      <c r="E49" s="9" t="s">
        <v>87</v>
      </c>
      <c r="F49" s="5" t="s">
        <v>221</v>
      </c>
      <c r="G49" s="5" t="s">
        <v>216</v>
      </c>
      <c r="H49" s="15" t="s">
        <v>217</v>
      </c>
      <c r="I49" s="15" t="s">
        <v>218</v>
      </c>
      <c r="J49" s="5">
        <v>2025</v>
      </c>
      <c r="K49" s="15">
        <v>42</v>
      </c>
      <c r="L49" s="9">
        <v>42</v>
      </c>
      <c r="M49" s="15">
        <v>42</v>
      </c>
      <c r="N49" s="15" t="s">
        <v>64</v>
      </c>
      <c r="O49" s="5"/>
      <c r="P49" s="5">
        <v>577</v>
      </c>
      <c r="Q49" s="21" t="s">
        <v>47</v>
      </c>
      <c r="R49" s="21"/>
      <c r="S49" s="17" t="s">
        <v>48</v>
      </c>
      <c r="T49" s="9"/>
      <c r="U49" s="9"/>
      <c r="V49" s="67">
        <v>-2.0999257440000001</v>
      </c>
      <c r="W49" s="9">
        <v>106.09759141000001</v>
      </c>
      <c r="X49" s="9" t="s">
        <v>222</v>
      </c>
      <c r="Y49" s="47">
        <v>2026</v>
      </c>
      <c r="Z49" s="26" t="s">
        <v>50</v>
      </c>
      <c r="AA49" s="39" t="s">
        <v>223</v>
      </c>
      <c r="AB49" s="71">
        <v>46250</v>
      </c>
      <c r="AC49" s="41" t="s">
        <v>52</v>
      </c>
      <c r="AD49">
        <f t="shared" si="0"/>
        <v>1</v>
      </c>
      <c r="AE49">
        <f t="shared" si="1"/>
        <v>1</v>
      </c>
      <c r="AF49" s="220">
        <v>5738</v>
      </c>
      <c r="AG49" s="221">
        <v>4041.1</v>
      </c>
      <c r="AH49" s="222">
        <v>1696.9</v>
      </c>
    </row>
    <row r="50" spans="1:34" ht="25">
      <c r="A50" s="27" t="s">
        <v>224</v>
      </c>
      <c r="B50" s="9" t="s">
        <v>225</v>
      </c>
      <c r="C50" s="5" t="s">
        <v>226</v>
      </c>
      <c r="D50" s="9" t="s">
        <v>40</v>
      </c>
      <c r="E50" s="9" t="s">
        <v>41</v>
      </c>
      <c r="F50" s="5" t="s">
        <v>227</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228</v>
      </c>
      <c r="B51" s="9" t="s">
        <v>229</v>
      </c>
      <c r="C51" s="5" t="s">
        <v>39</v>
      </c>
      <c r="D51" s="9" t="s">
        <v>75</v>
      </c>
      <c r="E51" s="9" t="s">
        <v>114</v>
      </c>
      <c r="F51" s="5" t="s">
        <v>203</v>
      </c>
      <c r="G51" s="5" t="s">
        <v>230</v>
      </c>
      <c r="H51" s="15" t="s">
        <v>231</v>
      </c>
      <c r="I51" s="15" t="s">
        <v>218</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232</v>
      </c>
      <c r="B52" s="9" t="s">
        <v>233</v>
      </c>
      <c r="C52" s="5" t="s">
        <v>39</v>
      </c>
      <c r="D52" s="9" t="s">
        <v>40</v>
      </c>
      <c r="E52" s="9" t="s">
        <v>177</v>
      </c>
      <c r="F52" s="5" t="s">
        <v>234</v>
      </c>
      <c r="G52" s="5" t="s">
        <v>235</v>
      </c>
      <c r="H52" s="15" t="s">
        <v>236</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237</v>
      </c>
      <c r="Y52" s="47">
        <v>2026</v>
      </c>
      <c r="Z52" s="26" t="s">
        <v>50</v>
      </c>
      <c r="AA52" s="39" t="s">
        <v>223</v>
      </c>
      <c r="AB52" s="71">
        <v>46250</v>
      </c>
      <c r="AC52" s="41" t="s">
        <v>52</v>
      </c>
      <c r="AF52" s="220">
        <v>6191</v>
      </c>
      <c r="AG52" s="221">
        <v>4082</v>
      </c>
      <c r="AH52" s="222">
        <v>2109</v>
      </c>
    </row>
    <row r="53" spans="1:34" ht="25">
      <c r="A53" s="27" t="s">
        <v>238</v>
      </c>
      <c r="B53" s="9" t="s">
        <v>239</v>
      </c>
      <c r="C53" s="5" t="s">
        <v>226</v>
      </c>
      <c r="D53" s="9" t="s">
        <v>40</v>
      </c>
      <c r="E53" s="9" t="s">
        <v>177</v>
      </c>
      <c r="F53" s="5" t="s">
        <v>240</v>
      </c>
      <c r="G53" s="5" t="s">
        <v>204</v>
      </c>
      <c r="H53" s="15" t="s">
        <v>241</v>
      </c>
      <c r="I53" s="15" t="s">
        <v>80</v>
      </c>
      <c r="J53" s="5">
        <v>2014</v>
      </c>
      <c r="K53" s="15">
        <v>43</v>
      </c>
      <c r="L53" s="9">
        <v>43</v>
      </c>
      <c r="M53" s="15">
        <v>43</v>
      </c>
      <c r="N53" s="15" t="s">
        <v>64</v>
      </c>
      <c r="O53" s="5"/>
      <c r="P53" s="5"/>
      <c r="Q53" s="21" t="s">
        <v>47</v>
      </c>
      <c r="R53" s="21"/>
      <c r="S53" s="17" t="s">
        <v>242</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243</v>
      </c>
      <c r="B54" s="9" t="s">
        <v>244</v>
      </c>
      <c r="C54" s="5" t="s">
        <v>226</v>
      </c>
      <c r="D54" s="9" t="s">
        <v>40</v>
      </c>
      <c r="E54" s="9" t="s">
        <v>177</v>
      </c>
      <c r="F54" s="5" t="s">
        <v>245</v>
      </c>
      <c r="G54" s="5" t="s">
        <v>204</v>
      </c>
      <c r="H54" s="15" t="s">
        <v>241</v>
      </c>
      <c r="I54" s="15" t="s">
        <v>80</v>
      </c>
      <c r="J54" s="5">
        <v>2015</v>
      </c>
      <c r="K54" s="15">
        <v>15</v>
      </c>
      <c r="L54" s="9">
        <v>15</v>
      </c>
      <c r="M54" s="15">
        <v>9</v>
      </c>
      <c r="N54" s="15" t="s">
        <v>64</v>
      </c>
      <c r="O54" s="5"/>
      <c r="P54" s="5"/>
      <c r="Q54" s="21" t="s">
        <v>47</v>
      </c>
      <c r="R54" s="21"/>
      <c r="S54" s="17" t="s">
        <v>242</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246</v>
      </c>
      <c r="B55" s="9" t="s">
        <v>247</v>
      </c>
      <c r="C55" s="5" t="s">
        <v>39</v>
      </c>
      <c r="D55" s="9" t="s">
        <v>40</v>
      </c>
      <c r="E55" s="9" t="s">
        <v>177</v>
      </c>
      <c r="F55" s="5" t="s">
        <v>248</v>
      </c>
      <c r="G55" s="5" t="s">
        <v>204</v>
      </c>
      <c r="H55" s="15" t="s">
        <v>241</v>
      </c>
      <c r="I55" s="15" t="s">
        <v>80</v>
      </c>
      <c r="J55" s="5">
        <v>2016</v>
      </c>
      <c r="K55" s="15">
        <v>86</v>
      </c>
      <c r="L55" s="9">
        <v>86</v>
      </c>
      <c r="M55" s="15">
        <v>86</v>
      </c>
      <c r="N55" s="15" t="s">
        <v>64</v>
      </c>
      <c r="O55" s="5"/>
      <c r="P55" s="5"/>
      <c r="Q55" s="21" t="s">
        <v>47</v>
      </c>
      <c r="R55" s="21" t="s">
        <v>249</v>
      </c>
      <c r="S55" s="17" t="s">
        <v>242</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250</v>
      </c>
      <c r="B56" s="9" t="s">
        <v>251</v>
      </c>
      <c r="C56" s="5" t="s">
        <v>39</v>
      </c>
      <c r="D56" s="9" t="s">
        <v>40</v>
      </c>
      <c r="E56" s="9" t="s">
        <v>252</v>
      </c>
      <c r="F56" s="5" t="s">
        <v>253</v>
      </c>
      <c r="G56" s="5" t="s">
        <v>204</v>
      </c>
      <c r="H56" s="15" t="s">
        <v>241</v>
      </c>
      <c r="I56" s="15" t="s">
        <v>80</v>
      </c>
      <c r="J56" s="5">
        <v>2017</v>
      </c>
      <c r="K56" s="15">
        <v>95</v>
      </c>
      <c r="L56" s="9">
        <v>95</v>
      </c>
      <c r="M56" s="15">
        <v>95</v>
      </c>
      <c r="N56" s="15" t="s">
        <v>64</v>
      </c>
      <c r="O56" s="5"/>
      <c r="P56" s="5"/>
      <c r="Q56" s="21" t="s">
        <v>93</v>
      </c>
      <c r="R56" s="21" t="s">
        <v>249</v>
      </c>
      <c r="S56" s="17" t="s">
        <v>242</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254</v>
      </c>
      <c r="B57" s="9" t="s">
        <v>255</v>
      </c>
      <c r="C57" s="5" t="s">
        <v>226</v>
      </c>
      <c r="D57" s="9" t="s">
        <v>102</v>
      </c>
      <c r="E57" s="9" t="s">
        <v>103</v>
      </c>
      <c r="F57" s="5" t="s">
        <v>256</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257</v>
      </c>
      <c r="B58" s="9" t="s">
        <v>258</v>
      </c>
      <c r="C58" s="5" t="s">
        <v>39</v>
      </c>
      <c r="D58" s="9" t="s">
        <v>40</v>
      </c>
      <c r="E58" s="9" t="s">
        <v>252</v>
      </c>
      <c r="F58" s="5" t="s">
        <v>77</v>
      </c>
      <c r="G58" s="5" t="s">
        <v>62</v>
      </c>
      <c r="H58" s="15" t="s">
        <v>259</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260</v>
      </c>
      <c r="B59" s="9" t="s">
        <v>261</v>
      </c>
      <c r="C59" s="5" t="s">
        <v>226</v>
      </c>
      <c r="D59" s="9" t="s">
        <v>40</v>
      </c>
      <c r="E59" s="9" t="s">
        <v>252</v>
      </c>
      <c r="F59" s="5" t="s">
        <v>262</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263</v>
      </c>
      <c r="B60" s="9" t="s">
        <v>264</v>
      </c>
      <c r="C60" s="5" t="s">
        <v>39</v>
      </c>
      <c r="D60" s="9" t="s">
        <v>40</v>
      </c>
      <c r="E60" s="9" t="s">
        <v>252</v>
      </c>
      <c r="F60" s="5" t="s">
        <v>265</v>
      </c>
      <c r="G60" s="5" t="s">
        <v>266</v>
      </c>
      <c r="H60" s="15" t="s">
        <v>267</v>
      </c>
      <c r="I60" s="15" t="s">
        <v>268</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269</v>
      </c>
      <c r="B61" s="9" t="s">
        <v>270</v>
      </c>
      <c r="C61" s="5" t="s">
        <v>39</v>
      </c>
      <c r="D61" s="9" t="s">
        <v>40</v>
      </c>
      <c r="E61" s="9" t="s">
        <v>41</v>
      </c>
      <c r="F61" s="5" t="s">
        <v>132</v>
      </c>
      <c r="G61" s="5" t="s">
        <v>271</v>
      </c>
      <c r="H61" s="15" t="s">
        <v>272</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273</v>
      </c>
      <c r="B62" s="9" t="s">
        <v>274</v>
      </c>
      <c r="C62" s="5" t="s">
        <v>39</v>
      </c>
      <c r="D62" s="9" t="s">
        <v>40</v>
      </c>
      <c r="E62" s="9" t="s">
        <v>41</v>
      </c>
      <c r="F62" s="5" t="s">
        <v>132</v>
      </c>
      <c r="G62" s="5" t="s">
        <v>271</v>
      </c>
      <c r="H62" s="15" t="s">
        <v>272</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275</v>
      </c>
      <c r="B63" s="9" t="s">
        <v>276</v>
      </c>
      <c r="C63" s="5" t="s">
        <v>39</v>
      </c>
      <c r="D63" s="9" t="s">
        <v>102</v>
      </c>
      <c r="E63" s="9" t="s">
        <v>277</v>
      </c>
      <c r="F63" s="5" t="s">
        <v>146</v>
      </c>
      <c r="G63" s="5" t="s">
        <v>278</v>
      </c>
      <c r="H63" s="15" t="s">
        <v>279</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280</v>
      </c>
      <c r="B64" s="9" t="s">
        <v>281</v>
      </c>
      <c r="C64" s="5" t="s">
        <v>39</v>
      </c>
      <c r="D64" s="9" t="s">
        <v>40</v>
      </c>
      <c r="E64" s="9" t="s">
        <v>41</v>
      </c>
      <c r="F64" s="5" t="s">
        <v>186</v>
      </c>
      <c r="G64" s="5" t="s">
        <v>282</v>
      </c>
      <c r="H64" s="15" t="s">
        <v>283</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284</v>
      </c>
      <c r="B65" s="9" t="s">
        <v>285</v>
      </c>
      <c r="C65" s="5" t="s">
        <v>39</v>
      </c>
      <c r="D65" s="9" t="s">
        <v>75</v>
      </c>
      <c r="E65" s="9" t="s">
        <v>114</v>
      </c>
      <c r="F65" s="5" t="s">
        <v>286</v>
      </c>
      <c r="G65" s="5" t="s">
        <v>287</v>
      </c>
      <c r="H65" s="15" t="s">
        <v>288</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25">
      <c r="A66" s="27" t="s">
        <v>289</v>
      </c>
      <c r="B66" s="9" t="s">
        <v>290</v>
      </c>
      <c r="C66" s="5" t="s">
        <v>39</v>
      </c>
      <c r="D66" s="9" t="s">
        <v>126</v>
      </c>
      <c r="E66" s="9" t="s">
        <v>291</v>
      </c>
      <c r="F66" s="5" t="s">
        <v>292</v>
      </c>
      <c r="G66" s="5" t="s">
        <v>293</v>
      </c>
      <c r="H66" s="15" t="s">
        <v>294</v>
      </c>
      <c r="I66" s="15" t="s">
        <v>142</v>
      </c>
      <c r="J66" s="5">
        <v>2024</v>
      </c>
      <c r="K66" s="15">
        <v>39</v>
      </c>
      <c r="L66" s="9">
        <v>34</v>
      </c>
      <c r="M66" s="15">
        <v>29</v>
      </c>
      <c r="N66" s="15" t="s">
        <v>64</v>
      </c>
      <c r="O66" s="5"/>
      <c r="P66" s="5"/>
      <c r="Q66" s="21" t="s">
        <v>47</v>
      </c>
      <c r="R66" s="21"/>
      <c r="S66" s="18"/>
      <c r="T66" s="9"/>
      <c r="U66" s="9"/>
      <c r="V66" s="67">
        <v>-2.0876017</v>
      </c>
      <c r="W66" s="9">
        <v>106.12235029999999</v>
      </c>
      <c r="X66" s="9"/>
      <c r="Y66" s="47"/>
      <c r="Z66" s="26" t="s">
        <v>50</v>
      </c>
      <c r="AA66" s="39" t="s">
        <v>51</v>
      </c>
      <c r="AB66" s="71">
        <v>46220</v>
      </c>
      <c r="AC66" s="41" t="s">
        <v>52</v>
      </c>
      <c r="AD66">
        <f t="shared" si="2"/>
        <v>0.87179487179487181</v>
      </c>
      <c r="AE66">
        <f t="shared" si="3"/>
        <v>0.8529411764705882</v>
      </c>
      <c r="AF66" s="220"/>
      <c r="AG66" s="221"/>
      <c r="AH66" s="222"/>
    </row>
    <row r="67" spans="1:34" ht="25">
      <c r="A67" s="27" t="s">
        <v>295</v>
      </c>
      <c r="B67" s="9" t="s">
        <v>296</v>
      </c>
      <c r="C67" s="5" t="s">
        <v>39</v>
      </c>
      <c r="D67" s="9" t="s">
        <v>102</v>
      </c>
      <c r="E67" s="9" t="s">
        <v>120</v>
      </c>
      <c r="F67" s="5" t="s">
        <v>121</v>
      </c>
      <c r="G67" s="5" t="s">
        <v>293</v>
      </c>
      <c r="H67" s="15" t="s">
        <v>294</v>
      </c>
      <c r="I67" s="15" t="s">
        <v>142</v>
      </c>
      <c r="J67" s="5">
        <v>2020</v>
      </c>
      <c r="K67" s="15">
        <v>70</v>
      </c>
      <c r="L67" s="9">
        <v>70</v>
      </c>
      <c r="M67" s="15">
        <v>70</v>
      </c>
      <c r="N67" s="15" t="s">
        <v>64</v>
      </c>
      <c r="O67" s="5"/>
      <c r="P67" s="5"/>
      <c r="Q67" s="21" t="s">
        <v>47</v>
      </c>
      <c r="R67" s="21"/>
      <c r="S67" s="18"/>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297</v>
      </c>
      <c r="B68" s="9" t="s">
        <v>298</v>
      </c>
      <c r="C68" s="5" t="s">
        <v>39</v>
      </c>
      <c r="D68" s="9" t="s">
        <v>40</v>
      </c>
      <c r="E68" s="9" t="s">
        <v>41</v>
      </c>
      <c r="F68" s="5" t="s">
        <v>186</v>
      </c>
      <c r="G68" s="5" t="s">
        <v>293</v>
      </c>
      <c r="H68" s="15" t="s">
        <v>294</v>
      </c>
      <c r="I68" s="15" t="s">
        <v>142</v>
      </c>
      <c r="J68" s="5">
        <v>2016</v>
      </c>
      <c r="K68" s="15">
        <v>22</v>
      </c>
      <c r="L68" s="9">
        <v>22</v>
      </c>
      <c r="M68" s="15">
        <v>22</v>
      </c>
      <c r="N68" s="15" t="s">
        <v>64</v>
      </c>
      <c r="O68" s="5"/>
      <c r="P68" s="5"/>
      <c r="Q68" s="21" t="s">
        <v>47</v>
      </c>
      <c r="R68" s="21" t="s">
        <v>110</v>
      </c>
      <c r="S68" s="18"/>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299</v>
      </c>
      <c r="B69" s="9" t="s">
        <v>300</v>
      </c>
      <c r="C69" s="5" t="s">
        <v>39</v>
      </c>
      <c r="D69" s="9" t="s">
        <v>40</v>
      </c>
      <c r="E69" s="9" t="s">
        <v>41</v>
      </c>
      <c r="F69" s="5" t="s">
        <v>67</v>
      </c>
      <c r="G69" s="5" t="s">
        <v>293</v>
      </c>
      <c r="H69" s="15" t="s">
        <v>294</v>
      </c>
      <c r="I69" s="15" t="s">
        <v>142</v>
      </c>
      <c r="J69" s="5">
        <v>2016</v>
      </c>
      <c r="K69" s="15">
        <v>35</v>
      </c>
      <c r="L69" s="9">
        <v>35</v>
      </c>
      <c r="M69" s="15">
        <v>35</v>
      </c>
      <c r="N69" s="15" t="s">
        <v>64</v>
      </c>
      <c r="O69" s="5"/>
      <c r="P69" s="5"/>
      <c r="Q69" s="21" t="s">
        <v>47</v>
      </c>
      <c r="R69" s="21" t="s">
        <v>110</v>
      </c>
      <c r="S69" s="18"/>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301</v>
      </c>
      <c r="B70" s="9" t="s">
        <v>302</v>
      </c>
      <c r="C70" s="5" t="s">
        <v>39</v>
      </c>
      <c r="D70" s="9" t="s">
        <v>40</v>
      </c>
      <c r="E70" s="9" t="s">
        <v>41</v>
      </c>
      <c r="F70" s="5" t="s">
        <v>67</v>
      </c>
      <c r="G70" s="5" t="s">
        <v>293</v>
      </c>
      <c r="H70" s="15" t="s">
        <v>294</v>
      </c>
      <c r="I70" s="15" t="s">
        <v>142</v>
      </c>
      <c r="J70" s="5">
        <v>2016</v>
      </c>
      <c r="K70" s="15">
        <v>32</v>
      </c>
      <c r="L70" s="9">
        <v>32</v>
      </c>
      <c r="M70" s="15">
        <v>32</v>
      </c>
      <c r="N70" s="15" t="s">
        <v>64</v>
      </c>
      <c r="O70" s="5"/>
      <c r="P70" s="5"/>
      <c r="Q70" s="21" t="s">
        <v>47</v>
      </c>
      <c r="R70" s="21" t="s">
        <v>110</v>
      </c>
      <c r="S70" s="18"/>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303</v>
      </c>
      <c r="B71" s="9" t="s">
        <v>304</v>
      </c>
      <c r="C71" s="5" t="s">
        <v>39</v>
      </c>
      <c r="D71" s="9" t="s">
        <v>40</v>
      </c>
      <c r="E71" s="9" t="s">
        <v>41</v>
      </c>
      <c r="F71" s="5" t="s">
        <v>67</v>
      </c>
      <c r="G71" s="5" t="s">
        <v>293</v>
      </c>
      <c r="H71" s="15" t="s">
        <v>294</v>
      </c>
      <c r="I71" s="15" t="s">
        <v>142</v>
      </c>
      <c r="J71" s="5">
        <v>2017</v>
      </c>
      <c r="K71" s="15">
        <v>21</v>
      </c>
      <c r="L71" s="9">
        <v>21</v>
      </c>
      <c r="M71" s="15">
        <v>21</v>
      </c>
      <c r="N71" s="15" t="s">
        <v>64</v>
      </c>
      <c r="O71" s="5"/>
      <c r="P71" s="5"/>
      <c r="Q71" s="21" t="s">
        <v>47</v>
      </c>
      <c r="R71" s="21" t="s">
        <v>110</v>
      </c>
      <c r="S71" s="18"/>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305</v>
      </c>
      <c r="B72" s="9" t="s">
        <v>306</v>
      </c>
      <c r="C72" s="5" t="s">
        <v>39</v>
      </c>
      <c r="D72" s="9" t="s">
        <v>40</v>
      </c>
      <c r="E72" s="9" t="s">
        <v>252</v>
      </c>
      <c r="F72" s="5" t="s">
        <v>253</v>
      </c>
      <c r="G72" s="5" t="s">
        <v>307</v>
      </c>
      <c r="H72" s="15" t="s">
        <v>308</v>
      </c>
      <c r="I72" s="15" t="s">
        <v>142</v>
      </c>
      <c r="J72" s="5">
        <v>2018</v>
      </c>
      <c r="K72" s="15">
        <v>85</v>
      </c>
      <c r="L72" s="9">
        <v>85</v>
      </c>
      <c r="M72" s="15">
        <v>85</v>
      </c>
      <c r="N72" s="15" t="s">
        <v>64</v>
      </c>
      <c r="O72" s="5"/>
      <c r="P72" s="5"/>
      <c r="Q72" s="21" t="s">
        <v>89</v>
      </c>
      <c r="R72" s="21" t="s">
        <v>110</v>
      </c>
      <c r="S72" s="18"/>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309</v>
      </c>
      <c r="B73" s="9" t="s">
        <v>310</v>
      </c>
      <c r="C73" s="5" t="s">
        <v>39</v>
      </c>
      <c r="D73" s="9" t="s">
        <v>40</v>
      </c>
      <c r="E73" s="9" t="s">
        <v>252</v>
      </c>
      <c r="F73" s="5" t="s">
        <v>253</v>
      </c>
      <c r="G73" s="5" t="s">
        <v>307</v>
      </c>
      <c r="H73" s="15" t="s">
        <v>308</v>
      </c>
      <c r="I73" s="15" t="s">
        <v>142</v>
      </c>
      <c r="J73" s="5">
        <v>2018</v>
      </c>
      <c r="K73" s="15">
        <v>80</v>
      </c>
      <c r="L73" s="9">
        <v>80</v>
      </c>
      <c r="M73" s="15">
        <v>80</v>
      </c>
      <c r="N73" s="15" t="s">
        <v>64</v>
      </c>
      <c r="O73" s="5"/>
      <c r="P73" s="5"/>
      <c r="Q73" s="21" t="s">
        <v>47</v>
      </c>
      <c r="R73" s="21" t="s">
        <v>110</v>
      </c>
      <c r="S73" s="18"/>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311</v>
      </c>
      <c r="B74" s="9" t="s">
        <v>312</v>
      </c>
      <c r="C74" s="5" t="s">
        <v>39</v>
      </c>
      <c r="D74" s="9" t="s">
        <v>40</v>
      </c>
      <c r="E74" s="9" t="s">
        <v>177</v>
      </c>
      <c r="F74" s="5" t="s">
        <v>313</v>
      </c>
      <c r="G74" s="5" t="s">
        <v>293</v>
      </c>
      <c r="H74" s="15" t="s">
        <v>294</v>
      </c>
      <c r="I74" s="15" t="s">
        <v>142</v>
      </c>
      <c r="J74" s="5">
        <v>2018</v>
      </c>
      <c r="K74" s="15">
        <v>18</v>
      </c>
      <c r="L74" s="9">
        <v>18</v>
      </c>
      <c r="M74" s="15">
        <v>18</v>
      </c>
      <c r="N74" s="15" t="s">
        <v>64</v>
      </c>
      <c r="O74" s="5"/>
      <c r="P74" s="5"/>
      <c r="Q74" s="21" t="s">
        <v>47</v>
      </c>
      <c r="R74" s="21" t="s">
        <v>110</v>
      </c>
      <c r="S74" s="18"/>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314</v>
      </c>
      <c r="B75" s="9" t="s">
        <v>315</v>
      </c>
      <c r="C75" s="5" t="s">
        <v>39</v>
      </c>
      <c r="D75" s="9" t="s">
        <v>75</v>
      </c>
      <c r="E75" s="9" t="s">
        <v>114</v>
      </c>
      <c r="F75" s="5" t="s">
        <v>316</v>
      </c>
      <c r="G75" s="5" t="s">
        <v>293</v>
      </c>
      <c r="H75" s="15" t="s">
        <v>294</v>
      </c>
      <c r="I75" s="15" t="s">
        <v>142</v>
      </c>
      <c r="J75" s="5">
        <v>2018</v>
      </c>
      <c r="K75" s="15">
        <v>32</v>
      </c>
      <c r="L75" s="9">
        <v>32</v>
      </c>
      <c r="M75" s="15">
        <v>32</v>
      </c>
      <c r="N75" s="15" t="s">
        <v>64</v>
      </c>
      <c r="O75" s="5"/>
      <c r="P75" s="5"/>
      <c r="Q75" s="21" t="s">
        <v>47</v>
      </c>
      <c r="R75" s="21"/>
      <c r="S75" s="18"/>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317</v>
      </c>
      <c r="B76" s="9" t="s">
        <v>318</v>
      </c>
      <c r="C76" s="5" t="s">
        <v>39</v>
      </c>
      <c r="D76" s="9" t="s">
        <v>75</v>
      </c>
      <c r="E76" s="9" t="s">
        <v>87</v>
      </c>
      <c r="F76" s="5" t="s">
        <v>221</v>
      </c>
      <c r="G76" s="5" t="s">
        <v>293</v>
      </c>
      <c r="H76" s="15" t="s">
        <v>294</v>
      </c>
      <c r="I76" s="15" t="s">
        <v>142</v>
      </c>
      <c r="J76" s="5">
        <v>2018</v>
      </c>
      <c r="K76" s="15">
        <v>72</v>
      </c>
      <c r="L76" s="9">
        <v>72</v>
      </c>
      <c r="M76" s="15">
        <v>72</v>
      </c>
      <c r="N76" s="15" t="s">
        <v>64</v>
      </c>
      <c r="O76" s="5"/>
      <c r="P76" s="5"/>
      <c r="Q76" s="21" t="s">
        <v>47</v>
      </c>
      <c r="R76" s="21"/>
      <c r="S76" s="18"/>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319</v>
      </c>
      <c r="B77" s="9" t="s">
        <v>320</v>
      </c>
      <c r="C77" s="5" t="s">
        <v>39</v>
      </c>
      <c r="D77" s="9" t="s">
        <v>40</v>
      </c>
      <c r="E77" s="9" t="s">
        <v>41</v>
      </c>
      <c r="F77" s="5" t="s">
        <v>321</v>
      </c>
      <c r="G77" s="5" t="s">
        <v>293</v>
      </c>
      <c r="H77" s="15" t="s">
        <v>294</v>
      </c>
      <c r="I77" s="15" t="s">
        <v>142</v>
      </c>
      <c r="J77" s="5">
        <v>2018</v>
      </c>
      <c r="K77" s="15">
        <v>83</v>
      </c>
      <c r="L77" s="9">
        <v>83</v>
      </c>
      <c r="M77" s="15">
        <v>0</v>
      </c>
      <c r="N77" s="15" t="s">
        <v>64</v>
      </c>
      <c r="O77" s="5"/>
      <c r="P77" s="5"/>
      <c r="Q77" s="21" t="s">
        <v>47</v>
      </c>
      <c r="R77" s="21"/>
      <c r="S77" s="18"/>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322</v>
      </c>
      <c r="B78" s="9" t="s">
        <v>323</v>
      </c>
      <c r="C78" s="5" t="s">
        <v>39</v>
      </c>
      <c r="D78" s="9" t="s">
        <v>40</v>
      </c>
      <c r="E78" s="9" t="s">
        <v>41</v>
      </c>
      <c r="F78" s="5" t="s">
        <v>324</v>
      </c>
      <c r="G78" s="5" t="s">
        <v>293</v>
      </c>
      <c r="H78" s="15" t="s">
        <v>294</v>
      </c>
      <c r="I78" s="15" t="s">
        <v>142</v>
      </c>
      <c r="J78" s="5">
        <v>2018</v>
      </c>
      <c r="K78" s="15">
        <v>16</v>
      </c>
      <c r="L78" s="9">
        <v>16</v>
      </c>
      <c r="M78" s="15">
        <v>16</v>
      </c>
      <c r="N78" s="15" t="s">
        <v>64</v>
      </c>
      <c r="O78" s="5"/>
      <c r="P78" s="5"/>
      <c r="Q78" s="21" t="s">
        <v>47</v>
      </c>
      <c r="R78" s="21"/>
      <c r="S78" s="18"/>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325</v>
      </c>
      <c r="B79" s="9" t="s">
        <v>326</v>
      </c>
      <c r="C79" s="5" t="s">
        <v>39</v>
      </c>
      <c r="D79" s="9" t="s">
        <v>75</v>
      </c>
      <c r="E79" s="9" t="s">
        <v>87</v>
      </c>
      <c r="F79" s="5" t="s">
        <v>327</v>
      </c>
      <c r="G79" s="5" t="s">
        <v>328</v>
      </c>
      <c r="H79" s="15" t="s">
        <v>294</v>
      </c>
      <c r="I79" s="15" t="s">
        <v>142</v>
      </c>
      <c r="J79" s="5">
        <v>2021</v>
      </c>
      <c r="K79" s="15">
        <v>48</v>
      </c>
      <c r="L79" s="9">
        <v>48</v>
      </c>
      <c r="M79" s="15">
        <v>48</v>
      </c>
      <c r="N79" s="15" t="s">
        <v>64</v>
      </c>
      <c r="O79" s="5"/>
      <c r="P79" s="5"/>
      <c r="Q79" s="21" t="s">
        <v>47</v>
      </c>
      <c r="R79" s="21"/>
      <c r="S79" s="18"/>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329</v>
      </c>
      <c r="B80" s="9" t="s">
        <v>330</v>
      </c>
      <c r="C80" s="5" t="s">
        <v>39</v>
      </c>
      <c r="D80" s="9" t="s">
        <v>75</v>
      </c>
      <c r="E80" s="9" t="s">
        <v>87</v>
      </c>
      <c r="F80" s="5" t="s">
        <v>316</v>
      </c>
      <c r="G80" s="5" t="s">
        <v>328</v>
      </c>
      <c r="H80" s="15" t="s">
        <v>294</v>
      </c>
      <c r="I80" s="15" t="s">
        <v>142</v>
      </c>
      <c r="J80" s="5">
        <v>2019</v>
      </c>
      <c r="K80" s="15">
        <v>66</v>
      </c>
      <c r="L80" s="9">
        <v>66</v>
      </c>
      <c r="M80" s="15">
        <v>66</v>
      </c>
      <c r="N80" s="15" t="s">
        <v>64</v>
      </c>
      <c r="O80" s="5"/>
      <c r="P80" s="5"/>
      <c r="Q80" s="21" t="s">
        <v>47</v>
      </c>
      <c r="R80" s="21"/>
      <c r="S80" s="18"/>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331</v>
      </c>
      <c r="B81" s="9" t="s">
        <v>332</v>
      </c>
      <c r="C81" s="5" t="s">
        <v>39</v>
      </c>
      <c r="D81" s="9" t="s">
        <v>40</v>
      </c>
      <c r="E81" s="9" t="s">
        <v>41</v>
      </c>
      <c r="F81" s="5" t="s">
        <v>146</v>
      </c>
      <c r="G81" s="5" t="s">
        <v>293</v>
      </c>
      <c r="H81" s="15" t="s">
        <v>294</v>
      </c>
      <c r="I81" s="15" t="s">
        <v>142</v>
      </c>
      <c r="J81" s="5">
        <v>2022</v>
      </c>
      <c r="K81" s="15">
        <v>49</v>
      </c>
      <c r="L81" s="9">
        <v>49</v>
      </c>
      <c r="M81" s="15">
        <v>49</v>
      </c>
      <c r="N81" s="15" t="s">
        <v>64</v>
      </c>
      <c r="O81" s="5"/>
      <c r="P81" s="5"/>
      <c r="Q81" s="21" t="s">
        <v>47</v>
      </c>
      <c r="R81" s="21"/>
      <c r="S81" s="18"/>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333</v>
      </c>
      <c r="B82" s="9" t="s">
        <v>334</v>
      </c>
      <c r="C82" s="5" t="s">
        <v>39</v>
      </c>
      <c r="D82" s="9" t="s">
        <v>40</v>
      </c>
      <c r="E82" s="9" t="s">
        <v>41</v>
      </c>
      <c r="F82" s="5" t="s">
        <v>335</v>
      </c>
      <c r="G82" s="5" t="s">
        <v>293</v>
      </c>
      <c r="H82" s="15" t="s">
        <v>294</v>
      </c>
      <c r="I82" s="15" t="s">
        <v>142</v>
      </c>
      <c r="J82" s="5">
        <v>2022</v>
      </c>
      <c r="K82" s="15">
        <v>132</v>
      </c>
      <c r="L82" s="9">
        <v>132</v>
      </c>
      <c r="M82" s="15">
        <v>132</v>
      </c>
      <c r="N82" s="15" t="s">
        <v>64</v>
      </c>
      <c r="O82" s="5"/>
      <c r="P82" s="5"/>
      <c r="Q82" s="21" t="s">
        <v>47</v>
      </c>
      <c r="R82" s="21"/>
      <c r="S82" s="18"/>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336</v>
      </c>
      <c r="B83" s="9" t="s">
        <v>337</v>
      </c>
      <c r="C83" s="5" t="s">
        <v>39</v>
      </c>
      <c r="D83" s="9" t="s">
        <v>75</v>
      </c>
      <c r="E83" s="9" t="s">
        <v>87</v>
      </c>
      <c r="F83" s="5" t="s">
        <v>338</v>
      </c>
      <c r="G83" s="5" t="s">
        <v>293</v>
      </c>
      <c r="H83" s="15" t="s">
        <v>294</v>
      </c>
      <c r="I83" s="15" t="s">
        <v>142</v>
      </c>
      <c r="J83" s="5">
        <v>2023</v>
      </c>
      <c r="K83" s="15">
        <v>38</v>
      </c>
      <c r="L83" s="9">
        <v>38</v>
      </c>
      <c r="M83" s="15">
        <v>38</v>
      </c>
      <c r="N83" s="15" t="s">
        <v>64</v>
      </c>
      <c r="O83" s="5"/>
      <c r="P83" s="5"/>
      <c r="Q83" s="21" t="s">
        <v>47</v>
      </c>
      <c r="R83" s="21"/>
      <c r="S83" s="18"/>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339</v>
      </c>
      <c r="B84" s="9" t="s">
        <v>340</v>
      </c>
      <c r="C84" s="5" t="s">
        <v>39</v>
      </c>
      <c r="D84" s="9" t="s">
        <v>40</v>
      </c>
      <c r="E84" s="9" t="s">
        <v>41</v>
      </c>
      <c r="F84" s="5" t="s">
        <v>149</v>
      </c>
      <c r="G84" s="5" t="s">
        <v>341</v>
      </c>
      <c r="H84" s="15" t="s">
        <v>342</v>
      </c>
      <c r="I84" s="15" t="s">
        <v>107</v>
      </c>
      <c r="J84" s="5">
        <v>2019</v>
      </c>
      <c r="K84" s="15">
        <v>83</v>
      </c>
      <c r="L84" s="9">
        <v>83</v>
      </c>
      <c r="M84" s="15">
        <v>79</v>
      </c>
      <c r="N84" s="15" t="s">
        <v>46</v>
      </c>
      <c r="O84" s="5">
        <v>2022</v>
      </c>
      <c r="P84" s="5"/>
      <c r="Q84" s="21" t="s">
        <v>47</v>
      </c>
      <c r="R84" s="21" t="s">
        <v>249</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343</v>
      </c>
      <c r="B85" s="9" t="s">
        <v>344</v>
      </c>
      <c r="C85" s="5" t="s">
        <v>39</v>
      </c>
      <c r="D85" s="9" t="s">
        <v>40</v>
      </c>
      <c r="E85" s="9" t="s">
        <v>55</v>
      </c>
      <c r="F85" s="5" t="s">
        <v>345</v>
      </c>
      <c r="G85" s="5" t="s">
        <v>341</v>
      </c>
      <c r="H85" s="15" t="s">
        <v>342</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346</v>
      </c>
      <c r="B86" s="9" t="s">
        <v>347</v>
      </c>
      <c r="C86" s="5" t="s">
        <v>39</v>
      </c>
      <c r="D86" s="9" t="s">
        <v>75</v>
      </c>
      <c r="E86" s="9" t="s">
        <v>87</v>
      </c>
      <c r="F86" s="5" t="s">
        <v>327</v>
      </c>
      <c r="G86" s="5" t="s">
        <v>341</v>
      </c>
      <c r="H86" s="15" t="s">
        <v>342</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348</v>
      </c>
      <c r="B87" s="9" t="s">
        <v>349</v>
      </c>
      <c r="C87" s="5" t="s">
        <v>39</v>
      </c>
      <c r="D87" s="9" t="s">
        <v>75</v>
      </c>
      <c r="E87" s="9" t="s">
        <v>87</v>
      </c>
      <c r="F87" s="5" t="s">
        <v>327</v>
      </c>
      <c r="G87" s="5" t="s">
        <v>341</v>
      </c>
      <c r="H87" s="15" t="s">
        <v>342</v>
      </c>
      <c r="I87" s="15" t="s">
        <v>107</v>
      </c>
      <c r="J87" s="5">
        <v>2024</v>
      </c>
      <c r="K87" s="15">
        <v>128</v>
      </c>
      <c r="L87" s="9">
        <v>128</v>
      </c>
      <c r="M87" s="15">
        <v>128</v>
      </c>
      <c r="N87" s="15" t="s">
        <v>64</v>
      </c>
      <c r="O87" s="5"/>
      <c r="P87" s="5"/>
      <c r="Q87" s="21" t="s">
        <v>47</v>
      </c>
      <c r="R87" s="21" t="s">
        <v>110</v>
      </c>
      <c r="S87" s="17" t="s">
        <v>48</v>
      </c>
      <c r="T87" s="9"/>
      <c r="U87" s="9"/>
      <c r="V87" s="67">
        <v>-2.0918890000000001</v>
      </c>
      <c r="W87" s="9">
        <v>106.09471600000001</v>
      </c>
      <c r="X87" s="9"/>
      <c r="Y87" s="47"/>
      <c r="Z87" s="26" t="s">
        <v>50</v>
      </c>
      <c r="AA87" s="39" t="s">
        <v>51</v>
      </c>
      <c r="AB87" s="71">
        <v>46220</v>
      </c>
      <c r="AC87" s="41" t="s">
        <v>52</v>
      </c>
      <c r="AD87">
        <f t="shared" si="4"/>
        <v>1</v>
      </c>
      <c r="AE87">
        <f t="shared" si="5"/>
        <v>1</v>
      </c>
      <c r="AF87" s="220"/>
      <c r="AG87" s="221"/>
      <c r="AH87" s="222"/>
    </row>
    <row r="88" spans="1:34" ht="25">
      <c r="A88" s="27" t="s">
        <v>350</v>
      </c>
      <c r="B88" s="9" t="s">
        <v>351</v>
      </c>
      <c r="C88" s="5" t="s">
        <v>39</v>
      </c>
      <c r="D88" s="9" t="s">
        <v>102</v>
      </c>
      <c r="E88" s="9" t="s">
        <v>277</v>
      </c>
      <c r="F88" s="5" t="s">
        <v>352</v>
      </c>
      <c r="G88" s="5" t="s">
        <v>353</v>
      </c>
      <c r="H88" s="15" t="s">
        <v>354</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355</v>
      </c>
      <c r="B89" s="9" t="s">
        <v>356</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357</v>
      </c>
      <c r="B90" s="9" t="s">
        <v>358</v>
      </c>
      <c r="C90" s="5" t="s">
        <v>226</v>
      </c>
      <c r="D90" s="9" t="s">
        <v>102</v>
      </c>
      <c r="E90" s="9" t="s">
        <v>277</v>
      </c>
      <c r="F90" s="5" t="s">
        <v>359</v>
      </c>
      <c r="G90" s="5" t="s">
        <v>360</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361</v>
      </c>
      <c r="B91" s="9" t="s">
        <v>362</v>
      </c>
      <c r="C91" s="5" t="s">
        <v>226</v>
      </c>
      <c r="D91" s="9" t="s">
        <v>40</v>
      </c>
      <c r="E91" s="9" t="s">
        <v>252</v>
      </c>
      <c r="F91" s="5" t="s">
        <v>132</v>
      </c>
      <c r="G91" s="5" t="s">
        <v>363</v>
      </c>
      <c r="H91" s="15" t="s">
        <v>364</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365</v>
      </c>
      <c r="B92" s="9" t="s">
        <v>366</v>
      </c>
      <c r="C92" s="5" t="s">
        <v>113</v>
      </c>
      <c r="D92" s="9" t="s">
        <v>102</v>
      </c>
      <c r="E92" s="9" t="s">
        <v>103</v>
      </c>
      <c r="F92" s="5" t="s">
        <v>367</v>
      </c>
      <c r="G92" s="5" t="s">
        <v>368</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369</v>
      </c>
      <c r="B93" s="9" t="s">
        <v>370</v>
      </c>
      <c r="C93" s="5" t="s">
        <v>39</v>
      </c>
      <c r="D93" s="9" t="s">
        <v>102</v>
      </c>
      <c r="E93" s="9" t="s">
        <v>158</v>
      </c>
      <c r="F93" s="5" t="s">
        <v>215</v>
      </c>
      <c r="G93" s="5" t="s">
        <v>368</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371</v>
      </c>
      <c r="B94" s="9" t="s">
        <v>372</v>
      </c>
      <c r="C94" s="5" t="s">
        <v>39</v>
      </c>
      <c r="D94" s="9" t="s">
        <v>102</v>
      </c>
      <c r="E94" s="9" t="s">
        <v>158</v>
      </c>
      <c r="F94" s="5" t="s">
        <v>215</v>
      </c>
      <c r="G94" s="5" t="s">
        <v>368</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373</v>
      </c>
      <c r="B95" s="9" t="s">
        <v>374</v>
      </c>
      <c r="C95" s="5" t="s">
        <v>39</v>
      </c>
      <c r="D95" s="9" t="s">
        <v>75</v>
      </c>
      <c r="E95" s="9" t="s">
        <v>375</v>
      </c>
      <c r="F95" s="5" t="s">
        <v>376</v>
      </c>
      <c r="G95" s="5" t="s">
        <v>377</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378</v>
      </c>
      <c r="B96" s="9" t="s">
        <v>379</v>
      </c>
      <c r="C96" s="5" t="s">
        <v>39</v>
      </c>
      <c r="D96" s="9" t="s">
        <v>75</v>
      </c>
      <c r="E96" s="9" t="s">
        <v>375</v>
      </c>
      <c r="F96" s="5" t="s">
        <v>376</v>
      </c>
      <c r="G96" s="5" t="s">
        <v>377</v>
      </c>
      <c r="H96" s="15" t="s">
        <v>106</v>
      </c>
      <c r="I96" s="15" t="s">
        <v>107</v>
      </c>
      <c r="J96" s="5">
        <v>2024</v>
      </c>
      <c r="K96" s="15">
        <v>69</v>
      </c>
      <c r="L96" s="9">
        <v>0</v>
      </c>
      <c r="M96" s="15">
        <v>0</v>
      </c>
      <c r="N96" s="15" t="s">
        <v>64</v>
      </c>
      <c r="O96" s="5"/>
      <c r="P96" s="5"/>
      <c r="Q96" s="21" t="s">
        <v>47</v>
      </c>
      <c r="R96" s="21"/>
      <c r="S96" s="17" t="s">
        <v>48</v>
      </c>
      <c r="T96" s="9"/>
      <c r="U96" s="9"/>
      <c r="V96" s="67">
        <v>-2.0873370000000002</v>
      </c>
      <c r="W96" s="9">
        <v>106.115123</v>
      </c>
      <c r="X96" s="9"/>
      <c r="Y96" s="47"/>
      <c r="Z96" s="26" t="s">
        <v>50</v>
      </c>
      <c r="AA96" s="39" t="s">
        <v>51</v>
      </c>
      <c r="AB96" s="71">
        <v>46220</v>
      </c>
      <c r="AC96" s="41" t="s">
        <v>52</v>
      </c>
      <c r="AD96">
        <f t="shared" si="4"/>
        <v>0</v>
      </c>
      <c r="AE96">
        <f t="shared" si="5"/>
        <v>0</v>
      </c>
      <c r="AF96" s="220"/>
      <c r="AG96" s="221"/>
      <c r="AH96" s="222"/>
    </row>
    <row r="97" spans="1:34" ht="25">
      <c r="A97" s="27" t="s">
        <v>380</v>
      </c>
      <c r="B97" s="9" t="s">
        <v>381</v>
      </c>
      <c r="C97" s="5" t="s">
        <v>39</v>
      </c>
      <c r="D97" s="9" t="s">
        <v>102</v>
      </c>
      <c r="E97" s="9" t="s">
        <v>158</v>
      </c>
      <c r="F97" s="5" t="s">
        <v>167</v>
      </c>
      <c r="G97" s="5" t="s">
        <v>368</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382</v>
      </c>
      <c r="B98" s="9" t="s">
        <v>383</v>
      </c>
      <c r="C98" s="5" t="s">
        <v>39</v>
      </c>
      <c r="D98" s="9" t="s">
        <v>102</v>
      </c>
      <c r="E98" s="9" t="s">
        <v>158</v>
      </c>
      <c r="F98" s="5" t="s">
        <v>167</v>
      </c>
      <c r="G98" s="5" t="s">
        <v>368</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384</v>
      </c>
      <c r="B99" s="9" t="s">
        <v>385</v>
      </c>
      <c r="C99" s="5" t="s">
        <v>39</v>
      </c>
      <c r="D99" s="9" t="s">
        <v>40</v>
      </c>
      <c r="E99" s="9" t="s">
        <v>41</v>
      </c>
      <c r="F99" s="5" t="s">
        <v>67</v>
      </c>
      <c r="G99" s="5" t="s">
        <v>368</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386</v>
      </c>
      <c r="B100" s="9" t="s">
        <v>387</v>
      </c>
      <c r="C100" s="5" t="s">
        <v>39</v>
      </c>
      <c r="D100" s="9" t="s">
        <v>40</v>
      </c>
      <c r="E100" s="9" t="s">
        <v>41</v>
      </c>
      <c r="F100" s="5" t="s">
        <v>388</v>
      </c>
      <c r="G100" s="5" t="s">
        <v>368</v>
      </c>
      <c r="H100" s="15" t="s">
        <v>106</v>
      </c>
      <c r="I100" s="15" t="s">
        <v>107</v>
      </c>
      <c r="J100" s="5">
        <v>2024</v>
      </c>
      <c r="K100" s="15">
        <v>71</v>
      </c>
      <c r="L100" s="9">
        <v>12</v>
      </c>
      <c r="M100" s="15">
        <v>0</v>
      </c>
      <c r="N100" s="15" t="s">
        <v>64</v>
      </c>
      <c r="O100" s="5"/>
      <c r="P100" s="5"/>
      <c r="Q100" s="21" t="s">
        <v>47</v>
      </c>
      <c r="R100" s="21" t="s">
        <v>110</v>
      </c>
      <c r="S100" s="17" t="s">
        <v>48</v>
      </c>
      <c r="T100" s="9" t="s">
        <v>49</v>
      </c>
      <c r="U100" s="9"/>
      <c r="V100" s="67">
        <v>-2.0993406999999999</v>
      </c>
      <c r="W100" s="9">
        <v>106.07502890000001</v>
      </c>
      <c r="X100" s="9"/>
      <c r="Y100" s="47"/>
      <c r="Z100" s="26" t="s">
        <v>50</v>
      </c>
      <c r="AA100" s="39" t="s">
        <v>51</v>
      </c>
      <c r="AB100" s="71">
        <v>46220</v>
      </c>
      <c r="AC100" s="41" t="s">
        <v>52</v>
      </c>
      <c r="AD100">
        <f t="shared" si="4"/>
        <v>0.16901408450704225</v>
      </c>
      <c r="AE100">
        <f t="shared" si="5"/>
        <v>0</v>
      </c>
      <c r="AF100" s="220"/>
      <c r="AG100" s="221"/>
      <c r="AH100" s="222"/>
    </row>
    <row r="101" spans="1:34" ht="25">
      <c r="A101" s="27" t="s">
        <v>389</v>
      </c>
      <c r="B101" s="9" t="s">
        <v>390</v>
      </c>
      <c r="C101" s="5" t="s">
        <v>39</v>
      </c>
      <c r="D101" s="9" t="s">
        <v>102</v>
      </c>
      <c r="E101" s="9" t="s">
        <v>158</v>
      </c>
      <c r="F101" s="5" t="s">
        <v>391</v>
      </c>
      <c r="G101" s="5" t="s">
        <v>377</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392</v>
      </c>
      <c r="B102" s="9" t="s">
        <v>393</v>
      </c>
      <c r="C102" s="5" t="s">
        <v>39</v>
      </c>
      <c r="D102" s="9" t="s">
        <v>102</v>
      </c>
      <c r="E102" s="9" t="s">
        <v>158</v>
      </c>
      <c r="F102" s="5" t="s">
        <v>391</v>
      </c>
      <c r="G102" s="5" t="s">
        <v>377</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394</v>
      </c>
      <c r="B103" s="9" t="s">
        <v>395</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396</v>
      </c>
      <c r="B104" s="9" t="s">
        <v>397</v>
      </c>
      <c r="C104" s="5" t="s">
        <v>39</v>
      </c>
      <c r="D104" s="9" t="s">
        <v>40</v>
      </c>
      <c r="E104" s="9" t="s">
        <v>55</v>
      </c>
      <c r="F104" s="5" t="s">
        <v>398</v>
      </c>
      <c r="G104" s="5" t="s">
        <v>399</v>
      </c>
      <c r="H104" s="15" t="s">
        <v>400</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401</v>
      </c>
      <c r="B105" s="9" t="s">
        <v>402</v>
      </c>
      <c r="C105" s="5" t="s">
        <v>39</v>
      </c>
      <c r="D105" s="9" t="s">
        <v>40</v>
      </c>
      <c r="E105" s="9" t="s">
        <v>55</v>
      </c>
      <c r="F105" s="5" t="s">
        <v>403</v>
      </c>
      <c r="G105" s="5" t="s">
        <v>399</v>
      </c>
      <c r="H105" s="15" t="s">
        <v>400</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404</v>
      </c>
      <c r="B106" s="9" t="s">
        <v>405</v>
      </c>
      <c r="C106" s="5" t="s">
        <v>39</v>
      </c>
      <c r="D106" s="9" t="s">
        <v>75</v>
      </c>
      <c r="E106" s="9" t="s">
        <v>87</v>
      </c>
      <c r="F106" s="5" t="s">
        <v>406</v>
      </c>
      <c r="G106" s="5" t="s">
        <v>407</v>
      </c>
      <c r="H106" s="15" t="s">
        <v>408</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409</v>
      </c>
      <c r="B107" s="9" t="s">
        <v>410</v>
      </c>
      <c r="C107" s="5" t="s">
        <v>39</v>
      </c>
      <c r="D107" s="9" t="s">
        <v>102</v>
      </c>
      <c r="E107" s="9" t="s">
        <v>411</v>
      </c>
      <c r="F107" s="5" t="s">
        <v>412</v>
      </c>
      <c r="G107" s="5" t="s">
        <v>407</v>
      </c>
      <c r="H107" s="15" t="s">
        <v>408</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413</v>
      </c>
      <c r="B108" s="9" t="s">
        <v>414</v>
      </c>
      <c r="C108" s="5" t="s">
        <v>39</v>
      </c>
      <c r="D108" s="9" t="s">
        <v>40</v>
      </c>
      <c r="E108" s="9" t="s">
        <v>41</v>
      </c>
      <c r="F108" s="5" t="s">
        <v>388</v>
      </c>
      <c r="G108" s="5" t="s">
        <v>407</v>
      </c>
      <c r="H108" s="15" t="s">
        <v>408</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415</v>
      </c>
      <c r="B109" s="9" t="s">
        <v>416</v>
      </c>
      <c r="C109" s="5" t="s">
        <v>39</v>
      </c>
      <c r="D109" s="9" t="s">
        <v>102</v>
      </c>
      <c r="E109" s="9" t="s">
        <v>277</v>
      </c>
      <c r="F109" s="5" t="s">
        <v>417</v>
      </c>
      <c r="G109" s="5" t="s">
        <v>399</v>
      </c>
      <c r="H109" s="15" t="s">
        <v>400</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418</v>
      </c>
      <c r="B110" s="9" t="s">
        <v>419</v>
      </c>
      <c r="C110" s="5" t="s">
        <v>39</v>
      </c>
      <c r="D110" s="9" t="s">
        <v>75</v>
      </c>
      <c r="E110" s="9" t="s">
        <v>114</v>
      </c>
      <c r="F110" s="5" t="s">
        <v>203</v>
      </c>
      <c r="G110" s="5" t="s">
        <v>420</v>
      </c>
      <c r="H110" s="15" t="s">
        <v>421</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422</v>
      </c>
      <c r="B111" s="9" t="s">
        <v>423</v>
      </c>
      <c r="C111" s="5" t="s">
        <v>39</v>
      </c>
      <c r="D111" s="9" t="s">
        <v>40</v>
      </c>
      <c r="E111" s="9" t="s">
        <v>55</v>
      </c>
      <c r="F111" s="5" t="s">
        <v>227</v>
      </c>
      <c r="G111" s="5" t="s">
        <v>424</v>
      </c>
      <c r="H111" s="15" t="s">
        <v>425</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426</v>
      </c>
      <c r="B112" s="9" t="s">
        <v>427</v>
      </c>
      <c r="C112" s="5" t="s">
        <v>39</v>
      </c>
      <c r="D112" s="9" t="s">
        <v>40</v>
      </c>
      <c r="E112" s="9" t="s">
        <v>428</v>
      </c>
      <c r="F112" s="5" t="s">
        <v>429</v>
      </c>
      <c r="G112" s="5" t="s">
        <v>430</v>
      </c>
      <c r="H112" s="15" t="s">
        <v>425</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431</v>
      </c>
      <c r="B113" s="9" t="s">
        <v>432</v>
      </c>
      <c r="C113" s="5" t="s">
        <v>39</v>
      </c>
      <c r="D113" s="9" t="s">
        <v>433</v>
      </c>
      <c r="E113" s="9" t="s">
        <v>434</v>
      </c>
      <c r="F113" s="5" t="s">
        <v>435</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436</v>
      </c>
      <c r="B114" s="9" t="s">
        <v>437</v>
      </c>
      <c r="C114" s="5" t="s">
        <v>39</v>
      </c>
      <c r="D114" s="9" t="s">
        <v>75</v>
      </c>
      <c r="E114" s="9" t="s">
        <v>87</v>
      </c>
      <c r="F114" s="5" t="s">
        <v>438</v>
      </c>
      <c r="G114" s="5" t="s">
        <v>363</v>
      </c>
      <c r="H114" s="15" t="s">
        <v>364</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439</v>
      </c>
      <c r="B115" s="9" t="s">
        <v>440</v>
      </c>
      <c r="C115" s="5" t="s">
        <v>39</v>
      </c>
      <c r="D115" s="9" t="s">
        <v>102</v>
      </c>
      <c r="E115" s="9" t="s">
        <v>158</v>
      </c>
      <c r="F115" s="5" t="s">
        <v>441</v>
      </c>
      <c r="G115" s="5" t="s">
        <v>442</v>
      </c>
      <c r="H115" s="15" t="s">
        <v>364</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443</v>
      </c>
      <c r="Y115" s="47">
        <v>2026</v>
      </c>
      <c r="Z115" s="26" t="s">
        <v>50</v>
      </c>
      <c r="AA115" s="39" t="s">
        <v>223</v>
      </c>
      <c r="AB115" s="71">
        <v>46250</v>
      </c>
      <c r="AC115" s="41" t="s">
        <v>52</v>
      </c>
      <c r="AF115" s="220">
        <v>8804</v>
      </c>
      <c r="AG115" s="221">
        <v>5409.1</v>
      </c>
      <c r="AH115" s="222">
        <v>3394.9</v>
      </c>
    </row>
    <row r="116" spans="1:34" ht="25">
      <c r="A116" s="27" t="s">
        <v>444</v>
      </c>
      <c r="B116" s="9" t="s">
        <v>445</v>
      </c>
      <c r="C116" s="5" t="s">
        <v>226</v>
      </c>
      <c r="D116" s="9" t="s">
        <v>126</v>
      </c>
      <c r="E116" s="9" t="s">
        <v>291</v>
      </c>
      <c r="F116" s="5" t="s">
        <v>446</v>
      </c>
      <c r="G116" s="5" t="s">
        <v>447</v>
      </c>
      <c r="H116" s="15" t="s">
        <v>448</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449</v>
      </c>
      <c r="B117" s="9" t="s">
        <v>445</v>
      </c>
      <c r="C117" s="5" t="s">
        <v>39</v>
      </c>
      <c r="D117" s="9" t="s">
        <v>126</v>
      </c>
      <c r="E117" s="9" t="s">
        <v>291</v>
      </c>
      <c r="F117" s="5" t="s">
        <v>446</v>
      </c>
      <c r="G117" s="5" t="s">
        <v>447</v>
      </c>
      <c r="H117" s="15" t="s">
        <v>448</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25">
      <c r="A118" s="27" t="s">
        <v>450</v>
      </c>
      <c r="B118" s="9" t="s">
        <v>451</v>
      </c>
      <c r="C118" s="5" t="s">
        <v>39</v>
      </c>
      <c r="D118" s="9" t="s">
        <v>40</v>
      </c>
      <c r="E118" s="9" t="s">
        <v>55</v>
      </c>
      <c r="F118" s="5" t="s">
        <v>452</v>
      </c>
      <c r="G118" s="5" t="s">
        <v>182</v>
      </c>
      <c r="H118" s="15" t="s">
        <v>183</v>
      </c>
      <c r="I118" s="15" t="s">
        <v>107</v>
      </c>
      <c r="J118" s="5">
        <v>2024</v>
      </c>
      <c r="K118" s="15">
        <v>62</v>
      </c>
      <c r="L118" s="9">
        <v>62</v>
      </c>
      <c r="M118" s="15">
        <v>62</v>
      </c>
      <c r="N118" s="15" t="s">
        <v>46</v>
      </c>
      <c r="O118" s="5">
        <v>2025</v>
      </c>
      <c r="P118" s="5"/>
      <c r="Q118" s="21" t="s">
        <v>47</v>
      </c>
      <c r="R118" s="21"/>
      <c r="S118" s="18"/>
      <c r="T118" s="9"/>
      <c r="U118" s="9"/>
      <c r="V118" s="67">
        <v>-2.1175193999999999</v>
      </c>
      <c r="W118" s="9">
        <v>106.0815047</v>
      </c>
      <c r="X118" s="9"/>
      <c r="Y118" s="47"/>
      <c r="Z118" s="26" t="s">
        <v>50</v>
      </c>
      <c r="AA118" s="39" t="s">
        <v>51</v>
      </c>
      <c r="AB118" s="71">
        <v>46220</v>
      </c>
      <c r="AC118" s="41" t="s">
        <v>52</v>
      </c>
      <c r="AD118">
        <f t="shared" si="8"/>
        <v>1</v>
      </c>
      <c r="AE118">
        <f t="shared" si="9"/>
        <v>1</v>
      </c>
      <c r="AF118" s="220"/>
      <c r="AG118" s="221"/>
      <c r="AH118" s="222"/>
    </row>
    <row r="119" spans="1:34" ht="25">
      <c r="A119" s="27" t="s">
        <v>453</v>
      </c>
      <c r="B119" s="9" t="s">
        <v>454</v>
      </c>
      <c r="C119" s="5" t="s">
        <v>39</v>
      </c>
      <c r="D119" s="9" t="s">
        <v>40</v>
      </c>
      <c r="E119" s="9" t="s">
        <v>41</v>
      </c>
      <c r="F119" s="5" t="s">
        <v>455</v>
      </c>
      <c r="G119" s="5" t="s">
        <v>456</v>
      </c>
      <c r="H119" s="15" t="s">
        <v>62</v>
      </c>
      <c r="I119" s="15" t="s">
        <v>268</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457</v>
      </c>
      <c r="B120" s="9" t="s">
        <v>458</v>
      </c>
      <c r="C120" s="5" t="s">
        <v>39</v>
      </c>
      <c r="D120" s="9" t="s">
        <v>102</v>
      </c>
      <c r="E120" s="9" t="s">
        <v>277</v>
      </c>
      <c r="F120" s="5" t="s">
        <v>459</v>
      </c>
      <c r="G120" s="5" t="s">
        <v>460</v>
      </c>
      <c r="H120" s="15" t="s">
        <v>461</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462</v>
      </c>
      <c r="B121" s="9" t="s">
        <v>463</v>
      </c>
      <c r="C121" s="5" t="s">
        <v>39</v>
      </c>
      <c r="D121" s="9" t="s">
        <v>102</v>
      </c>
      <c r="E121" s="9" t="s">
        <v>277</v>
      </c>
      <c r="F121" s="5" t="s">
        <v>441</v>
      </c>
      <c r="G121" s="5" t="s">
        <v>460</v>
      </c>
      <c r="H121" s="15" t="s">
        <v>461</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464</v>
      </c>
      <c r="B122" s="9" t="s">
        <v>465</v>
      </c>
      <c r="C122" s="5" t="s">
        <v>39</v>
      </c>
      <c r="D122" s="9" t="s">
        <v>40</v>
      </c>
      <c r="E122" s="9" t="s">
        <v>41</v>
      </c>
      <c r="F122" s="5" t="s">
        <v>77</v>
      </c>
      <c r="G122" s="5" t="s">
        <v>466</v>
      </c>
      <c r="H122" s="15" t="s">
        <v>467</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468</v>
      </c>
      <c r="B123" s="9" t="s">
        <v>469</v>
      </c>
      <c r="C123" s="5" t="s">
        <v>39</v>
      </c>
      <c r="D123" s="9" t="s">
        <v>40</v>
      </c>
      <c r="E123" s="9" t="s">
        <v>55</v>
      </c>
      <c r="F123" s="5" t="s">
        <v>470</v>
      </c>
      <c r="G123" s="5" t="s">
        <v>466</v>
      </c>
      <c r="H123" s="15" t="s">
        <v>467</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471</v>
      </c>
      <c r="B124" s="9" t="s">
        <v>472</v>
      </c>
      <c r="C124" s="5" t="s">
        <v>39</v>
      </c>
      <c r="D124" s="9" t="s">
        <v>40</v>
      </c>
      <c r="E124" s="9" t="s">
        <v>252</v>
      </c>
      <c r="F124" s="5" t="s">
        <v>473</v>
      </c>
      <c r="G124" s="5" t="s">
        <v>466</v>
      </c>
      <c r="H124" s="15" t="s">
        <v>467</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474</v>
      </c>
      <c r="B125" s="9" t="s">
        <v>475</v>
      </c>
      <c r="C125" s="5" t="s">
        <v>39</v>
      </c>
      <c r="D125" s="9" t="s">
        <v>40</v>
      </c>
      <c r="E125" s="9" t="s">
        <v>41</v>
      </c>
      <c r="F125" s="5" t="s">
        <v>476</v>
      </c>
      <c r="G125" s="5" t="s">
        <v>477</v>
      </c>
      <c r="H125" s="15" t="s">
        <v>478</v>
      </c>
      <c r="I125" s="15" t="s">
        <v>142</v>
      </c>
      <c r="J125" s="5">
        <v>2017</v>
      </c>
      <c r="K125" s="15">
        <v>35</v>
      </c>
      <c r="L125" s="9">
        <v>35</v>
      </c>
      <c r="M125" s="15">
        <v>35</v>
      </c>
      <c r="N125" s="15" t="s">
        <v>64</v>
      </c>
      <c r="O125" s="5"/>
      <c r="P125" s="5"/>
      <c r="Q125" s="21" t="s">
        <v>93</v>
      </c>
      <c r="R125" s="21"/>
      <c r="S125" s="17" t="s">
        <v>242</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479</v>
      </c>
      <c r="B126" s="9" t="s">
        <v>480</v>
      </c>
      <c r="C126" s="5" t="s">
        <v>39</v>
      </c>
      <c r="D126" s="9" t="s">
        <v>40</v>
      </c>
      <c r="E126" s="9" t="s">
        <v>41</v>
      </c>
      <c r="F126" s="5" t="s">
        <v>481</v>
      </c>
      <c r="G126" s="5" t="s">
        <v>482</v>
      </c>
      <c r="H126" s="15" t="s">
        <v>478</v>
      </c>
      <c r="I126" s="15" t="s">
        <v>142</v>
      </c>
      <c r="J126" s="5">
        <v>2018</v>
      </c>
      <c r="K126" s="15">
        <v>51</v>
      </c>
      <c r="L126" s="9">
        <v>51</v>
      </c>
      <c r="M126" s="15">
        <v>51</v>
      </c>
      <c r="N126" s="15" t="s">
        <v>64</v>
      </c>
      <c r="O126" s="5"/>
      <c r="P126" s="5"/>
      <c r="Q126" s="21" t="s">
        <v>93</v>
      </c>
      <c r="R126" s="21"/>
      <c r="S126" s="17" t="s">
        <v>242</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483</v>
      </c>
      <c r="B127" s="9" t="s">
        <v>484</v>
      </c>
      <c r="C127" s="5" t="s">
        <v>39</v>
      </c>
      <c r="D127" s="9" t="s">
        <v>40</v>
      </c>
      <c r="E127" s="9" t="s">
        <v>55</v>
      </c>
      <c r="F127" s="5" t="s">
        <v>485</v>
      </c>
      <c r="G127" s="5" t="s">
        <v>482</v>
      </c>
      <c r="H127" s="15" t="s">
        <v>478</v>
      </c>
      <c r="I127" s="15" t="s">
        <v>142</v>
      </c>
      <c r="J127" s="5">
        <v>2019</v>
      </c>
      <c r="K127" s="15">
        <v>29</v>
      </c>
      <c r="L127" s="9">
        <v>29</v>
      </c>
      <c r="M127" s="15">
        <v>29</v>
      </c>
      <c r="N127" s="15" t="s">
        <v>64</v>
      </c>
      <c r="O127" s="5"/>
      <c r="P127" s="5"/>
      <c r="Q127" s="21" t="s">
        <v>93</v>
      </c>
      <c r="R127" s="21"/>
      <c r="S127" s="17" t="s">
        <v>242</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486</v>
      </c>
      <c r="B128" s="9" t="s">
        <v>487</v>
      </c>
      <c r="C128" s="5" t="s">
        <v>39</v>
      </c>
      <c r="D128" s="9" t="s">
        <v>433</v>
      </c>
      <c r="E128" s="9" t="s">
        <v>488</v>
      </c>
      <c r="F128" s="5" t="s">
        <v>489</v>
      </c>
      <c r="G128" s="5" t="s">
        <v>490</v>
      </c>
      <c r="H128" s="15" t="s">
        <v>491</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492</v>
      </c>
      <c r="B129" s="9" t="s">
        <v>493</v>
      </c>
      <c r="C129" s="5" t="s">
        <v>39</v>
      </c>
      <c r="D129" s="9" t="s">
        <v>40</v>
      </c>
      <c r="E129" s="9" t="s">
        <v>41</v>
      </c>
      <c r="F129" s="5" t="s">
        <v>494</v>
      </c>
      <c r="G129" s="5" t="s">
        <v>495</v>
      </c>
      <c r="H129" s="15" t="s">
        <v>496</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497</v>
      </c>
      <c r="B130" s="9" t="s">
        <v>498</v>
      </c>
      <c r="C130" s="5" t="s">
        <v>39</v>
      </c>
      <c r="D130" s="9" t="s">
        <v>40</v>
      </c>
      <c r="E130" s="9" t="s">
        <v>55</v>
      </c>
      <c r="F130" s="5" t="s">
        <v>499</v>
      </c>
      <c r="G130" s="5" t="s">
        <v>204</v>
      </c>
      <c r="H130" s="15" t="s">
        <v>205</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500</v>
      </c>
      <c r="B131" s="9" t="s">
        <v>501</v>
      </c>
      <c r="C131" s="5" t="s">
        <v>39</v>
      </c>
      <c r="D131" s="9" t="s">
        <v>40</v>
      </c>
      <c r="E131" s="9" t="s">
        <v>55</v>
      </c>
      <c r="F131" s="5" t="s">
        <v>227</v>
      </c>
      <c r="G131" s="5" t="s">
        <v>502</v>
      </c>
      <c r="H131" s="15" t="s">
        <v>503</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504</v>
      </c>
      <c r="B132" s="9" t="s">
        <v>505</v>
      </c>
      <c r="C132" s="5" t="s">
        <v>39</v>
      </c>
      <c r="D132" s="9" t="s">
        <v>75</v>
      </c>
      <c r="E132" s="9" t="s">
        <v>87</v>
      </c>
      <c r="F132" s="5" t="s">
        <v>316</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506</v>
      </c>
      <c r="Y132" s="47">
        <v>2026</v>
      </c>
      <c r="Z132" s="26" t="s">
        <v>50</v>
      </c>
      <c r="AA132" s="39" t="s">
        <v>223</v>
      </c>
      <c r="AB132" s="71">
        <v>46250</v>
      </c>
      <c r="AC132" s="41" t="s">
        <v>52</v>
      </c>
      <c r="AD132">
        <f t="shared" si="8"/>
        <v>0.7441860465116279</v>
      </c>
      <c r="AE132">
        <f t="shared" si="9"/>
        <v>1</v>
      </c>
      <c r="AF132" s="220">
        <v>7244.45</v>
      </c>
      <c r="AG132" s="221">
        <v>4262.8100000000004</v>
      </c>
      <c r="AH132" s="222">
        <v>2981.64</v>
      </c>
    </row>
    <row r="133" spans="1:34" ht="25">
      <c r="A133" s="27" t="s">
        <v>507</v>
      </c>
      <c r="B133" s="9" t="s">
        <v>508</v>
      </c>
      <c r="C133" s="5" t="s">
        <v>39</v>
      </c>
      <c r="D133" s="9" t="s">
        <v>40</v>
      </c>
      <c r="E133" s="9" t="s">
        <v>55</v>
      </c>
      <c r="F133" s="5" t="s">
        <v>61</v>
      </c>
      <c r="G133" s="5" t="s">
        <v>509</v>
      </c>
      <c r="H133" s="15" t="s">
        <v>510</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511</v>
      </c>
      <c r="B134" s="9" t="s">
        <v>512</v>
      </c>
      <c r="C134" s="5" t="s">
        <v>39</v>
      </c>
      <c r="D134" s="9" t="s">
        <v>40</v>
      </c>
      <c r="E134" s="9" t="s">
        <v>55</v>
      </c>
      <c r="F134" s="5" t="s">
        <v>61</v>
      </c>
      <c r="G134" s="5" t="s">
        <v>509</v>
      </c>
      <c r="H134" s="15" t="s">
        <v>510</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513</v>
      </c>
      <c r="B135" s="9" t="s">
        <v>514</v>
      </c>
      <c r="C135" s="5" t="s">
        <v>39</v>
      </c>
      <c r="D135" s="9" t="s">
        <v>40</v>
      </c>
      <c r="E135" s="9" t="s">
        <v>55</v>
      </c>
      <c r="F135" s="5" t="s">
        <v>515</v>
      </c>
      <c r="G135" s="5" t="s">
        <v>509</v>
      </c>
      <c r="H135" s="15" t="s">
        <v>510</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516</v>
      </c>
      <c r="B136" s="9" t="s">
        <v>517</v>
      </c>
      <c r="C136" s="5" t="s">
        <v>39</v>
      </c>
      <c r="D136" s="9" t="s">
        <v>75</v>
      </c>
      <c r="E136" s="9" t="s">
        <v>83</v>
      </c>
      <c r="F136" s="5" t="s">
        <v>518</v>
      </c>
      <c r="G136" s="5" t="s">
        <v>519</v>
      </c>
      <c r="H136" s="15" t="s">
        <v>520</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521</v>
      </c>
      <c r="B137" s="9" t="s">
        <v>522</v>
      </c>
      <c r="C137" s="5" t="s">
        <v>39</v>
      </c>
      <c r="D137" s="9" t="s">
        <v>75</v>
      </c>
      <c r="E137" s="9" t="s">
        <v>523</v>
      </c>
      <c r="F137" s="5" t="s">
        <v>524</v>
      </c>
      <c r="G137" s="5" t="s">
        <v>519</v>
      </c>
      <c r="H137" s="15" t="s">
        <v>520</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25">
      <c r="A138" s="27" t="s">
        <v>525</v>
      </c>
      <c r="B138" s="9" t="s">
        <v>526</v>
      </c>
      <c r="C138" s="5" t="s">
        <v>39</v>
      </c>
      <c r="D138" s="9" t="s">
        <v>40</v>
      </c>
      <c r="E138" s="9" t="s">
        <v>41</v>
      </c>
      <c r="F138" s="5" t="s">
        <v>527</v>
      </c>
      <c r="G138" s="5" t="s">
        <v>528</v>
      </c>
      <c r="H138" s="15" t="s">
        <v>529</v>
      </c>
      <c r="I138" s="15" t="s">
        <v>62</v>
      </c>
      <c r="J138" s="5">
        <v>2024</v>
      </c>
      <c r="K138" s="15">
        <v>79</v>
      </c>
      <c r="L138" s="9">
        <v>18</v>
      </c>
      <c r="M138" s="15">
        <v>15</v>
      </c>
      <c r="N138" s="15" t="s">
        <v>64</v>
      </c>
      <c r="O138" s="5"/>
      <c r="P138" s="5"/>
      <c r="Q138" s="21" t="s">
        <v>47</v>
      </c>
      <c r="R138" s="21" t="s">
        <v>110</v>
      </c>
      <c r="S138" s="18"/>
      <c r="T138" s="9" t="s">
        <v>49</v>
      </c>
      <c r="U138" s="9"/>
      <c r="V138" s="67">
        <v>-2.0988720000000001</v>
      </c>
      <c r="W138" s="9">
        <v>106.0761523</v>
      </c>
      <c r="X138" s="9"/>
      <c r="Y138" s="47"/>
      <c r="Z138" s="26" t="s">
        <v>50</v>
      </c>
      <c r="AA138" s="39" t="s">
        <v>51</v>
      </c>
      <c r="AB138" s="71">
        <v>46220</v>
      </c>
      <c r="AC138" s="41" t="s">
        <v>52</v>
      </c>
      <c r="AD138">
        <f t="shared" si="8"/>
        <v>0.22784810126582278</v>
      </c>
      <c r="AE138">
        <f t="shared" si="9"/>
        <v>0.83333333333333337</v>
      </c>
      <c r="AF138" s="220"/>
      <c r="AG138" s="221"/>
      <c r="AH138" s="222"/>
    </row>
    <row r="139" spans="1:34" ht="25">
      <c r="A139" s="27" t="s">
        <v>530</v>
      </c>
      <c r="B139" s="9" t="s">
        <v>531</v>
      </c>
      <c r="C139" s="5" t="s">
        <v>39</v>
      </c>
      <c r="D139" s="9" t="s">
        <v>40</v>
      </c>
      <c r="E139" s="9" t="s">
        <v>41</v>
      </c>
      <c r="F139" s="5" t="s">
        <v>527</v>
      </c>
      <c r="G139" s="5" t="s">
        <v>528</v>
      </c>
      <c r="H139" s="15" t="s">
        <v>529</v>
      </c>
      <c r="I139" s="15" t="s">
        <v>62</v>
      </c>
      <c r="J139" s="5">
        <v>2024</v>
      </c>
      <c r="K139" s="15">
        <v>87</v>
      </c>
      <c r="L139" s="9">
        <v>17</v>
      </c>
      <c r="M139" s="15">
        <v>15</v>
      </c>
      <c r="N139" s="15" t="s">
        <v>64</v>
      </c>
      <c r="O139" s="5"/>
      <c r="P139" s="5"/>
      <c r="Q139" s="21" t="s">
        <v>47</v>
      </c>
      <c r="R139" s="21" t="s">
        <v>110</v>
      </c>
      <c r="S139" s="18"/>
      <c r="T139" s="9" t="s">
        <v>49</v>
      </c>
      <c r="U139" s="9"/>
      <c r="V139" s="67">
        <v>-2.0975619999999999</v>
      </c>
      <c r="W139" s="9">
        <v>106.07432350000001</v>
      </c>
      <c r="X139" s="9"/>
      <c r="Y139" s="47"/>
      <c r="Z139" s="26" t="s">
        <v>50</v>
      </c>
      <c r="AA139" s="39" t="s">
        <v>51</v>
      </c>
      <c r="AB139" s="71">
        <v>46220</v>
      </c>
      <c r="AC139" s="41" t="s">
        <v>52</v>
      </c>
      <c r="AD139">
        <f t="shared" si="8"/>
        <v>0.19540229885057472</v>
      </c>
      <c r="AE139">
        <f t="shared" si="9"/>
        <v>0.88235294117647056</v>
      </c>
      <c r="AF139" s="220"/>
      <c r="AG139" s="221"/>
      <c r="AH139" s="222"/>
    </row>
    <row r="140" spans="1:34" ht="25">
      <c r="A140" s="27" t="s">
        <v>532</v>
      </c>
      <c r="B140" s="9" t="s">
        <v>533</v>
      </c>
      <c r="C140" s="5" t="s">
        <v>39</v>
      </c>
      <c r="D140" s="9" t="s">
        <v>40</v>
      </c>
      <c r="E140" s="9" t="s">
        <v>41</v>
      </c>
      <c r="F140" s="5" t="s">
        <v>77</v>
      </c>
      <c r="G140" s="5" t="s">
        <v>534</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535</v>
      </c>
      <c r="B141" s="9" t="s">
        <v>536</v>
      </c>
      <c r="C141" s="5" t="s">
        <v>226</v>
      </c>
      <c r="D141" s="9" t="s">
        <v>102</v>
      </c>
      <c r="E141" s="9" t="s">
        <v>158</v>
      </c>
      <c r="F141" s="5" t="s">
        <v>537</v>
      </c>
      <c r="G141" s="5" t="s">
        <v>538</v>
      </c>
      <c r="H141" s="15" t="s">
        <v>539</v>
      </c>
      <c r="I141" s="15" t="s">
        <v>62</v>
      </c>
      <c r="J141" s="5">
        <v>2022</v>
      </c>
      <c r="K141" s="15">
        <v>105</v>
      </c>
      <c r="L141" s="9">
        <v>97</v>
      </c>
      <c r="M141" s="15">
        <v>97</v>
      </c>
      <c r="N141" s="15" t="s">
        <v>64</v>
      </c>
      <c r="O141" s="5"/>
      <c r="P141" s="5"/>
      <c r="Q141" s="21" t="s">
        <v>47</v>
      </c>
      <c r="R141" s="21" t="s">
        <v>249</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540</v>
      </c>
      <c r="B142" s="9" t="s">
        <v>2928</v>
      </c>
      <c r="C142" s="5" t="s">
        <v>226</v>
      </c>
      <c r="D142" s="9" t="s">
        <v>102</v>
      </c>
      <c r="E142" s="9" t="s">
        <v>158</v>
      </c>
      <c r="F142" s="5" t="s">
        <v>537</v>
      </c>
      <c r="G142" s="5" t="s">
        <v>538</v>
      </c>
      <c r="H142" s="15" t="s">
        <v>539</v>
      </c>
      <c r="I142" s="15" t="s">
        <v>62</v>
      </c>
      <c r="J142" s="5" t="s">
        <v>541</v>
      </c>
      <c r="K142" s="15">
        <v>82</v>
      </c>
      <c r="L142" s="9">
        <v>43</v>
      </c>
      <c r="M142" s="15">
        <v>43</v>
      </c>
      <c r="N142" s="15" t="s">
        <v>64</v>
      </c>
      <c r="O142" s="5"/>
      <c r="P142" s="5">
        <v>2024</v>
      </c>
      <c r="Q142" s="21" t="s">
        <v>47</v>
      </c>
      <c r="R142" s="21" t="s">
        <v>110</v>
      </c>
      <c r="S142" s="17" t="s">
        <v>48</v>
      </c>
      <c r="T142" s="9"/>
      <c r="U142" s="9"/>
      <c r="V142" s="67">
        <v>-2.124167988</v>
      </c>
      <c r="W142" s="9">
        <v>106.16007578999999</v>
      </c>
      <c r="X142" s="9" t="s">
        <v>542</v>
      </c>
      <c r="Y142" s="47">
        <v>2026</v>
      </c>
      <c r="Z142" s="26" t="s">
        <v>50</v>
      </c>
      <c r="AA142" s="39" t="s">
        <v>223</v>
      </c>
      <c r="AB142" s="71">
        <v>46250</v>
      </c>
      <c r="AC142" s="41" t="s">
        <v>52</v>
      </c>
      <c r="AD142">
        <f t="shared" si="8"/>
        <v>0.52439024390243905</v>
      </c>
      <c r="AE142">
        <f t="shared" si="9"/>
        <v>1</v>
      </c>
      <c r="AF142" s="220">
        <v>14845</v>
      </c>
      <c r="AG142" s="221">
        <v>8856</v>
      </c>
      <c r="AH142" s="222">
        <v>5989</v>
      </c>
    </row>
    <row r="143" spans="1:34" ht="25">
      <c r="A143" s="27" t="s">
        <v>543</v>
      </c>
      <c r="B143" s="9" t="s">
        <v>544</v>
      </c>
      <c r="C143" s="5" t="s">
        <v>39</v>
      </c>
      <c r="D143" s="9" t="s">
        <v>102</v>
      </c>
      <c r="E143" s="9" t="s">
        <v>277</v>
      </c>
      <c r="F143" s="5" t="s">
        <v>545</v>
      </c>
      <c r="G143" s="5" t="s">
        <v>546</v>
      </c>
      <c r="H143" s="15" t="s">
        <v>547</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548</v>
      </c>
      <c r="B144" s="9" t="s">
        <v>549</v>
      </c>
      <c r="C144" s="5" t="s">
        <v>39</v>
      </c>
      <c r="D144" s="9" t="s">
        <v>102</v>
      </c>
      <c r="E144" s="9" t="s">
        <v>158</v>
      </c>
      <c r="F144" s="5" t="s">
        <v>550</v>
      </c>
      <c r="G144" s="5" t="s">
        <v>551</v>
      </c>
      <c r="H144" s="15" t="s">
        <v>552</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553</v>
      </c>
      <c r="B145" s="9" t="s">
        <v>554</v>
      </c>
      <c r="C145" s="5" t="s">
        <v>39</v>
      </c>
      <c r="D145" s="9" t="s">
        <v>40</v>
      </c>
      <c r="E145" s="9" t="s">
        <v>41</v>
      </c>
      <c r="F145" s="5" t="s">
        <v>555</v>
      </c>
      <c r="G145" s="5" t="s">
        <v>556</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557</v>
      </c>
      <c r="B146" s="9" t="s">
        <v>558</v>
      </c>
      <c r="C146" s="5" t="s">
        <v>226</v>
      </c>
      <c r="D146" s="9" t="s">
        <v>75</v>
      </c>
      <c r="E146" s="9" t="s">
        <v>114</v>
      </c>
      <c r="F146" s="5" t="s">
        <v>559</v>
      </c>
      <c r="G146" s="5" t="s">
        <v>560</v>
      </c>
      <c r="H146" s="15" t="s">
        <v>561</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562</v>
      </c>
      <c r="B147" s="9" t="s">
        <v>563</v>
      </c>
      <c r="C147" s="5" t="s">
        <v>39</v>
      </c>
      <c r="D147" s="9" t="s">
        <v>40</v>
      </c>
      <c r="E147" s="9" t="s">
        <v>41</v>
      </c>
      <c r="F147" s="5" t="s">
        <v>564</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565</v>
      </c>
      <c r="B148" s="9" t="s">
        <v>566</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567</v>
      </c>
      <c r="B149" s="9" t="s">
        <v>568</v>
      </c>
      <c r="C149" s="5" t="s">
        <v>226</v>
      </c>
      <c r="D149" s="9" t="s">
        <v>75</v>
      </c>
      <c r="E149" s="9" t="s">
        <v>114</v>
      </c>
      <c r="F149" s="5" t="s">
        <v>559</v>
      </c>
      <c r="G149" s="5" t="s">
        <v>560</v>
      </c>
      <c r="H149" s="15" t="s">
        <v>561</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569</v>
      </c>
      <c r="B150" s="9" t="s">
        <v>570</v>
      </c>
      <c r="C150" s="5" t="s">
        <v>226</v>
      </c>
      <c r="D150" s="9" t="s">
        <v>75</v>
      </c>
      <c r="E150" s="9" t="s">
        <v>523</v>
      </c>
      <c r="F150" s="5" t="s">
        <v>571</v>
      </c>
      <c r="G150" s="5" t="s">
        <v>572</v>
      </c>
      <c r="H150" s="15" t="s">
        <v>573</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574</v>
      </c>
      <c r="B151" s="9" t="s">
        <v>575</v>
      </c>
      <c r="C151" s="5" t="s">
        <v>226</v>
      </c>
      <c r="D151" s="9" t="s">
        <v>102</v>
      </c>
      <c r="E151" s="9" t="s">
        <v>576</v>
      </c>
      <c r="F151" s="5" t="s">
        <v>577</v>
      </c>
      <c r="G151" s="5" t="s">
        <v>578</v>
      </c>
      <c r="H151" s="15" t="s">
        <v>579</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580</v>
      </c>
      <c r="B152" s="9" t="s">
        <v>581</v>
      </c>
      <c r="C152" s="5" t="s">
        <v>39</v>
      </c>
      <c r="D152" s="9" t="s">
        <v>40</v>
      </c>
      <c r="E152" s="9" t="s">
        <v>55</v>
      </c>
      <c r="F152" s="5" t="s">
        <v>582</v>
      </c>
      <c r="G152" s="5" t="s">
        <v>583</v>
      </c>
      <c r="H152" s="15" t="s">
        <v>584</v>
      </c>
      <c r="I152" s="15" t="s">
        <v>268</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585</v>
      </c>
      <c r="Y152" s="47">
        <v>2026</v>
      </c>
      <c r="Z152" s="26" t="s">
        <v>50</v>
      </c>
      <c r="AA152" s="39" t="s">
        <v>223</v>
      </c>
      <c r="AB152" s="71">
        <v>46250</v>
      </c>
      <c r="AC152" s="41" t="s">
        <v>52</v>
      </c>
      <c r="AD152">
        <f t="shared" si="12"/>
        <v>0</v>
      </c>
      <c r="AE152">
        <f t="shared" si="13"/>
        <v>0</v>
      </c>
      <c r="AF152" s="220">
        <v>10042</v>
      </c>
      <c r="AG152" s="221">
        <v>6221</v>
      </c>
      <c r="AH152" s="222">
        <v>3821</v>
      </c>
    </row>
    <row r="153" spans="1:34" ht="25">
      <c r="A153" s="27" t="s">
        <v>586</v>
      </c>
      <c r="B153" s="9" t="s">
        <v>587</v>
      </c>
      <c r="C153" s="5" t="s">
        <v>39</v>
      </c>
      <c r="D153" s="9" t="s">
        <v>40</v>
      </c>
      <c r="E153" s="9" t="s">
        <v>55</v>
      </c>
      <c r="F153" s="5" t="s">
        <v>588</v>
      </c>
      <c r="G153" s="5" t="s">
        <v>589</v>
      </c>
      <c r="H153" s="15" t="s">
        <v>590</v>
      </c>
      <c r="I153" s="15" t="s">
        <v>218</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591</v>
      </c>
      <c r="B154" s="9" t="s">
        <v>592</v>
      </c>
      <c r="C154" s="5" t="s">
        <v>39</v>
      </c>
      <c r="D154" s="9" t="s">
        <v>40</v>
      </c>
      <c r="E154" s="9" t="s">
        <v>55</v>
      </c>
      <c r="F154" s="5" t="s">
        <v>132</v>
      </c>
      <c r="G154" s="5" t="s">
        <v>589</v>
      </c>
      <c r="H154" s="15" t="s">
        <v>590</v>
      </c>
      <c r="I154" s="15" t="s">
        <v>218</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593</v>
      </c>
      <c r="B155" s="9" t="s">
        <v>594</v>
      </c>
      <c r="C155" s="5" t="s">
        <v>39</v>
      </c>
      <c r="D155" s="9" t="s">
        <v>40</v>
      </c>
      <c r="E155" s="9" t="s">
        <v>55</v>
      </c>
      <c r="F155" s="5" t="s">
        <v>132</v>
      </c>
      <c r="G155" s="5" t="s">
        <v>589</v>
      </c>
      <c r="H155" s="15" t="s">
        <v>590</v>
      </c>
      <c r="I155" s="15" t="s">
        <v>218</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595</v>
      </c>
      <c r="B156" s="9" t="s">
        <v>596</v>
      </c>
      <c r="C156" s="5" t="s">
        <v>39</v>
      </c>
      <c r="D156" s="9" t="s">
        <v>102</v>
      </c>
      <c r="E156" s="9" t="s">
        <v>277</v>
      </c>
      <c r="F156" s="5" t="s">
        <v>597</v>
      </c>
      <c r="G156" s="5" t="s">
        <v>598</v>
      </c>
      <c r="H156" s="15" t="s">
        <v>599</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600</v>
      </c>
      <c r="B157" s="9" t="s">
        <v>601</v>
      </c>
      <c r="C157" s="5" t="s">
        <v>39</v>
      </c>
      <c r="D157" s="9" t="s">
        <v>102</v>
      </c>
      <c r="E157" s="9" t="s">
        <v>277</v>
      </c>
      <c r="F157" s="5" t="s">
        <v>167</v>
      </c>
      <c r="G157" s="5" t="s">
        <v>598</v>
      </c>
      <c r="H157" s="15" t="s">
        <v>599</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602</v>
      </c>
      <c r="B158" s="9" t="s">
        <v>603</v>
      </c>
      <c r="C158" s="5" t="s">
        <v>39</v>
      </c>
      <c r="D158" s="9" t="s">
        <v>102</v>
      </c>
      <c r="E158" s="9" t="s">
        <v>158</v>
      </c>
      <c r="F158" s="5" t="s">
        <v>604</v>
      </c>
      <c r="G158" s="5" t="s">
        <v>598</v>
      </c>
      <c r="H158" s="15" t="s">
        <v>599</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605</v>
      </c>
      <c r="B159" s="9" t="s">
        <v>606</v>
      </c>
      <c r="C159" s="5" t="s">
        <v>39</v>
      </c>
      <c r="D159" s="9" t="s">
        <v>102</v>
      </c>
      <c r="E159" s="9" t="s">
        <v>158</v>
      </c>
      <c r="F159" s="5" t="s">
        <v>604</v>
      </c>
      <c r="G159" s="5" t="s">
        <v>598</v>
      </c>
      <c r="H159" s="15" t="s">
        <v>599</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607</v>
      </c>
      <c r="B160" s="9" t="s">
        <v>608</v>
      </c>
      <c r="C160" s="5" t="s">
        <v>39</v>
      </c>
      <c r="D160" s="9" t="s">
        <v>40</v>
      </c>
      <c r="E160" s="9" t="s">
        <v>41</v>
      </c>
      <c r="F160" s="5" t="s">
        <v>555</v>
      </c>
      <c r="G160" s="5" t="s">
        <v>556</v>
      </c>
      <c r="H160" s="15" t="s">
        <v>609</v>
      </c>
      <c r="I160" s="15" t="s">
        <v>80</v>
      </c>
      <c r="J160" s="5" t="s">
        <v>610</v>
      </c>
      <c r="K160" s="15">
        <v>112</v>
      </c>
      <c r="L160" s="9">
        <v>63</v>
      </c>
      <c r="M160" s="15">
        <v>63</v>
      </c>
      <c r="N160" s="15" t="s">
        <v>64</v>
      </c>
      <c r="O160" s="5"/>
      <c r="P160" s="5">
        <v>2300</v>
      </c>
      <c r="Q160" s="21" t="s">
        <v>89</v>
      </c>
      <c r="R160" s="21" t="s">
        <v>110</v>
      </c>
      <c r="S160" s="17" t="s">
        <v>48</v>
      </c>
      <c r="T160" s="9"/>
      <c r="U160" s="9"/>
      <c r="V160" s="67">
        <v>-2.108283095</v>
      </c>
      <c r="W160" s="9">
        <v>106.06068180600001</v>
      </c>
      <c r="X160" s="9" t="s">
        <v>611</v>
      </c>
      <c r="Y160" s="47">
        <v>2026</v>
      </c>
      <c r="Z160" s="26" t="s">
        <v>50</v>
      </c>
      <c r="AA160" s="39" t="s">
        <v>612</v>
      </c>
      <c r="AB160" s="71">
        <v>46250</v>
      </c>
      <c r="AC160" s="41" t="s">
        <v>52</v>
      </c>
      <c r="AD160">
        <f t="shared" si="12"/>
        <v>0.5625</v>
      </c>
      <c r="AE160">
        <f t="shared" si="13"/>
        <v>1</v>
      </c>
      <c r="AF160" s="220">
        <v>16427</v>
      </c>
      <c r="AG160" s="221">
        <v>10816</v>
      </c>
      <c r="AH160" s="222">
        <v>5611</v>
      </c>
    </row>
    <row r="161" spans="1:34" ht="25">
      <c r="A161" s="27" t="s">
        <v>613</v>
      </c>
      <c r="B161" s="9" t="s">
        <v>614</v>
      </c>
      <c r="C161" s="5" t="s">
        <v>39</v>
      </c>
      <c r="D161" s="9" t="s">
        <v>40</v>
      </c>
      <c r="E161" s="9" t="s">
        <v>41</v>
      </c>
      <c r="F161" s="5" t="s">
        <v>146</v>
      </c>
      <c r="G161" s="5" t="s">
        <v>615</v>
      </c>
      <c r="H161" s="15" t="s">
        <v>616</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617</v>
      </c>
      <c r="B162" s="9" t="s">
        <v>618</v>
      </c>
      <c r="C162" s="5" t="s">
        <v>39</v>
      </c>
      <c r="D162" s="9" t="s">
        <v>40</v>
      </c>
      <c r="E162" s="9" t="s">
        <v>41</v>
      </c>
      <c r="F162" s="5" t="s">
        <v>555</v>
      </c>
      <c r="G162" s="5" t="s">
        <v>556</v>
      </c>
      <c r="H162" s="15" t="s">
        <v>609</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619</v>
      </c>
      <c r="B163" s="9" t="s">
        <v>620</v>
      </c>
      <c r="C163" s="5" t="s">
        <v>39</v>
      </c>
      <c r="D163" s="9" t="s">
        <v>75</v>
      </c>
      <c r="E163" s="9" t="s">
        <v>375</v>
      </c>
      <c r="F163" s="5" t="s">
        <v>621</v>
      </c>
      <c r="G163" s="5" t="s">
        <v>622</v>
      </c>
      <c r="H163" s="15" t="s">
        <v>623</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624</v>
      </c>
      <c r="B164" s="9" t="s">
        <v>625</v>
      </c>
      <c r="C164" s="5" t="s">
        <v>39</v>
      </c>
      <c r="D164" s="9" t="s">
        <v>40</v>
      </c>
      <c r="E164" s="9" t="s">
        <v>41</v>
      </c>
      <c r="F164" s="5" t="s">
        <v>555</v>
      </c>
      <c r="G164" s="5" t="s">
        <v>626</v>
      </c>
      <c r="H164" s="15" t="s">
        <v>573</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627</v>
      </c>
      <c r="Y164" s="47">
        <v>2026</v>
      </c>
      <c r="Z164" s="26" t="s">
        <v>50</v>
      </c>
      <c r="AA164" s="39" t="s">
        <v>223</v>
      </c>
      <c r="AB164" s="71">
        <v>46250</v>
      </c>
      <c r="AC164" s="41" t="s">
        <v>52</v>
      </c>
      <c r="AF164" s="220">
        <v>5121.75</v>
      </c>
      <c r="AG164" s="221">
        <v>3212.35</v>
      </c>
      <c r="AH164" s="222">
        <v>1909.4</v>
      </c>
    </row>
    <row r="165" spans="1:34" ht="25">
      <c r="A165" s="27" t="s">
        <v>628</v>
      </c>
      <c r="B165" s="9" t="s">
        <v>629</v>
      </c>
      <c r="C165" s="5" t="s">
        <v>39</v>
      </c>
      <c r="D165" s="9" t="s">
        <v>40</v>
      </c>
      <c r="E165" s="9" t="s">
        <v>41</v>
      </c>
      <c r="F165" s="5" t="s">
        <v>438</v>
      </c>
      <c r="G165" s="5" t="s">
        <v>630</v>
      </c>
      <c r="H165" s="15" t="s">
        <v>631</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632</v>
      </c>
      <c r="B166" s="9" t="s">
        <v>633</v>
      </c>
      <c r="C166" s="5" t="s">
        <v>226</v>
      </c>
      <c r="D166" s="9" t="s">
        <v>102</v>
      </c>
      <c r="E166" s="9" t="s">
        <v>103</v>
      </c>
      <c r="F166" s="5" t="s">
        <v>634</v>
      </c>
      <c r="G166" s="5" t="s">
        <v>62</v>
      </c>
      <c r="H166" s="15" t="s">
        <v>62</v>
      </c>
      <c r="I166" s="15" t="s">
        <v>62</v>
      </c>
      <c r="J166" s="5" t="s">
        <v>635</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636</v>
      </c>
      <c r="B167" s="9" t="s">
        <v>637</v>
      </c>
      <c r="C167" s="5" t="s">
        <v>39</v>
      </c>
      <c r="D167" s="9" t="s">
        <v>433</v>
      </c>
      <c r="E167" s="9" t="s">
        <v>434</v>
      </c>
      <c r="F167" s="5" t="s">
        <v>638</v>
      </c>
      <c r="G167" s="5" t="s">
        <v>639</v>
      </c>
      <c r="H167" s="15" t="s">
        <v>640</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641</v>
      </c>
      <c r="B168" s="9" t="s">
        <v>642</v>
      </c>
      <c r="C168" s="5" t="s">
        <v>39</v>
      </c>
      <c r="D168" s="9" t="s">
        <v>102</v>
      </c>
      <c r="E168" s="9" t="s">
        <v>277</v>
      </c>
      <c r="F168" s="5" t="s">
        <v>604</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643</v>
      </c>
      <c r="B169" s="9" t="s">
        <v>644</v>
      </c>
      <c r="C169" s="5" t="s">
        <v>39</v>
      </c>
      <c r="D169" s="9" t="s">
        <v>75</v>
      </c>
      <c r="E169" s="9" t="s">
        <v>375</v>
      </c>
      <c r="F169" s="5" t="s">
        <v>621</v>
      </c>
      <c r="G169" s="5" t="s">
        <v>645</v>
      </c>
      <c r="H169" s="15" t="s">
        <v>646</v>
      </c>
      <c r="I169" s="15" t="s">
        <v>268</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647</v>
      </c>
      <c r="B170" s="9" t="s">
        <v>648</v>
      </c>
      <c r="C170" s="5" t="s">
        <v>39</v>
      </c>
      <c r="D170" s="9" t="s">
        <v>40</v>
      </c>
      <c r="E170" s="9" t="s">
        <v>41</v>
      </c>
      <c r="F170" s="5" t="s">
        <v>67</v>
      </c>
      <c r="G170" s="5" t="s">
        <v>649</v>
      </c>
      <c r="H170" s="15" t="s">
        <v>646</v>
      </c>
      <c r="I170" s="15" t="s">
        <v>268</v>
      </c>
      <c r="J170" s="5">
        <v>2020</v>
      </c>
      <c r="K170" s="15">
        <v>54</v>
      </c>
      <c r="L170" s="9">
        <v>54</v>
      </c>
      <c r="M170" s="15">
        <v>54</v>
      </c>
      <c r="N170" s="15" t="s">
        <v>64</v>
      </c>
      <c r="O170" s="5"/>
      <c r="P170" s="5"/>
      <c r="Q170" s="21" t="s">
        <v>47</v>
      </c>
      <c r="R170" s="21" t="s">
        <v>249</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650</v>
      </c>
      <c r="B171" s="9" t="s">
        <v>651</v>
      </c>
      <c r="C171" s="5" t="s">
        <v>39</v>
      </c>
      <c r="D171" s="9" t="s">
        <v>40</v>
      </c>
      <c r="E171" s="9" t="s">
        <v>41</v>
      </c>
      <c r="F171" s="5" t="s">
        <v>652</v>
      </c>
      <c r="G171" s="5" t="s">
        <v>649</v>
      </c>
      <c r="H171" s="15" t="s">
        <v>646</v>
      </c>
      <c r="I171" s="15" t="s">
        <v>268</v>
      </c>
      <c r="J171" s="5">
        <v>2022</v>
      </c>
      <c r="K171" s="15">
        <v>70</v>
      </c>
      <c r="L171" s="9">
        <v>61</v>
      </c>
      <c r="M171" s="15">
        <v>61</v>
      </c>
      <c r="N171" s="15" t="s">
        <v>64</v>
      </c>
      <c r="O171" s="5"/>
      <c r="P171" s="5"/>
      <c r="Q171" s="21" t="s">
        <v>47</v>
      </c>
      <c r="R171" s="21" t="s">
        <v>249</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25">
      <c r="A172" s="27" t="s">
        <v>653</v>
      </c>
      <c r="B172" s="9" t="s">
        <v>654</v>
      </c>
      <c r="C172" s="5" t="s">
        <v>39</v>
      </c>
      <c r="D172" s="9" t="s">
        <v>75</v>
      </c>
      <c r="E172" s="9" t="s">
        <v>375</v>
      </c>
      <c r="F172" s="5" t="s">
        <v>621</v>
      </c>
      <c r="G172" s="5" t="s">
        <v>649</v>
      </c>
      <c r="H172" s="15" t="s">
        <v>646</v>
      </c>
      <c r="I172" s="15" t="s">
        <v>268</v>
      </c>
      <c r="J172" s="5">
        <v>2024</v>
      </c>
      <c r="K172" s="15">
        <v>64</v>
      </c>
      <c r="L172" s="9">
        <v>59</v>
      </c>
      <c r="M172" s="15">
        <v>46</v>
      </c>
      <c r="N172" s="15" t="s">
        <v>64</v>
      </c>
      <c r="O172" s="5"/>
      <c r="P172" s="5"/>
      <c r="Q172" s="21" t="s">
        <v>47</v>
      </c>
      <c r="R172" s="21" t="s">
        <v>110</v>
      </c>
      <c r="S172" s="17" t="s">
        <v>48</v>
      </c>
      <c r="T172" s="9"/>
      <c r="U172" s="9"/>
      <c r="V172" s="67">
        <v>-2.0903510000000001</v>
      </c>
      <c r="W172" s="9">
        <v>106.11813600000001</v>
      </c>
      <c r="X172" s="9"/>
      <c r="Y172" s="47"/>
      <c r="Z172" s="26" t="s">
        <v>50</v>
      </c>
      <c r="AA172" s="39" t="s">
        <v>51</v>
      </c>
      <c r="AB172" s="71">
        <v>46220</v>
      </c>
      <c r="AC172" s="41" t="s">
        <v>52</v>
      </c>
      <c r="AD172">
        <f t="shared" si="14"/>
        <v>0.921875</v>
      </c>
      <c r="AE172">
        <f t="shared" si="15"/>
        <v>0.77966101694915257</v>
      </c>
      <c r="AF172" s="220"/>
      <c r="AG172" s="221"/>
      <c r="AH172" s="222"/>
    </row>
    <row r="173" spans="1:34" ht="25">
      <c r="A173" s="27" t="s">
        <v>655</v>
      </c>
      <c r="B173" s="9" t="s">
        <v>656</v>
      </c>
      <c r="C173" s="5" t="s">
        <v>39</v>
      </c>
      <c r="D173" s="9" t="s">
        <v>40</v>
      </c>
      <c r="E173" s="9" t="s">
        <v>55</v>
      </c>
      <c r="F173" s="5" t="s">
        <v>338</v>
      </c>
      <c r="G173" s="5" t="s">
        <v>657</v>
      </c>
      <c r="H173" s="15" t="s">
        <v>590</v>
      </c>
      <c r="I173" s="15" t="s">
        <v>62</v>
      </c>
      <c r="J173" s="5">
        <v>2017</v>
      </c>
      <c r="K173" s="15">
        <v>25</v>
      </c>
      <c r="L173" s="9">
        <v>25</v>
      </c>
      <c r="M173" s="15">
        <v>25</v>
      </c>
      <c r="N173" s="15" t="s">
        <v>64</v>
      </c>
      <c r="O173" s="5"/>
      <c r="P173" s="5"/>
      <c r="Q173" s="21" t="s">
        <v>47</v>
      </c>
      <c r="R173" s="21" t="s">
        <v>249</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658</v>
      </c>
      <c r="B174" s="9" t="s">
        <v>659</v>
      </c>
      <c r="C174" s="5" t="s">
        <v>39</v>
      </c>
      <c r="D174" s="9" t="s">
        <v>102</v>
      </c>
      <c r="E174" s="9" t="s">
        <v>277</v>
      </c>
      <c r="F174" s="5" t="s">
        <v>660</v>
      </c>
      <c r="G174" s="5" t="s">
        <v>661</v>
      </c>
      <c r="H174" s="15" t="s">
        <v>478</v>
      </c>
      <c r="I174" s="15" t="s">
        <v>142</v>
      </c>
      <c r="J174" s="5">
        <v>2018</v>
      </c>
      <c r="K174" s="15">
        <v>45</v>
      </c>
      <c r="L174" s="9">
        <v>43</v>
      </c>
      <c r="M174" s="15">
        <v>43</v>
      </c>
      <c r="N174" s="15" t="s">
        <v>64</v>
      </c>
      <c r="O174" s="5"/>
      <c r="P174" s="5"/>
      <c r="Q174" s="21" t="s">
        <v>93</v>
      </c>
      <c r="R174" s="21"/>
      <c r="S174" s="17" t="s">
        <v>242</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662</v>
      </c>
      <c r="B175" s="9" t="s">
        <v>663</v>
      </c>
      <c r="C175" s="5" t="s">
        <v>39</v>
      </c>
      <c r="D175" s="9" t="s">
        <v>75</v>
      </c>
      <c r="E175" s="9" t="s">
        <v>87</v>
      </c>
      <c r="F175" s="5" t="s">
        <v>99</v>
      </c>
      <c r="G175" s="5" t="s">
        <v>664</v>
      </c>
      <c r="H175" s="15" t="s">
        <v>665</v>
      </c>
      <c r="I175" s="15" t="s">
        <v>62</v>
      </c>
      <c r="J175" s="5">
        <v>2018</v>
      </c>
      <c r="K175" s="15">
        <v>75</v>
      </c>
      <c r="L175" s="9">
        <v>10</v>
      </c>
      <c r="M175" s="15">
        <v>5</v>
      </c>
      <c r="N175" s="15" t="s">
        <v>64</v>
      </c>
      <c r="O175" s="5"/>
      <c r="P175" s="5"/>
      <c r="Q175" s="21" t="s">
        <v>47</v>
      </c>
      <c r="R175" s="21" t="s">
        <v>110</v>
      </c>
      <c r="S175" s="17" t="s">
        <v>242</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666</v>
      </c>
      <c r="B176" s="9" t="s">
        <v>667</v>
      </c>
      <c r="C176" s="5" t="s">
        <v>39</v>
      </c>
      <c r="D176" s="9" t="s">
        <v>102</v>
      </c>
      <c r="E176" s="9" t="s">
        <v>277</v>
      </c>
      <c r="F176" s="5" t="s">
        <v>668</v>
      </c>
      <c r="G176" s="5" t="s">
        <v>669</v>
      </c>
      <c r="H176" s="15" t="s">
        <v>670</v>
      </c>
      <c r="I176" s="15" t="s">
        <v>218</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671</v>
      </c>
      <c r="B177" s="9" t="s">
        <v>672</v>
      </c>
      <c r="C177" s="5" t="s">
        <v>39</v>
      </c>
      <c r="D177" s="9" t="s">
        <v>75</v>
      </c>
      <c r="E177" s="9" t="s">
        <v>114</v>
      </c>
      <c r="F177" s="5" t="s">
        <v>673</v>
      </c>
      <c r="G177" s="5" t="s">
        <v>674</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675</v>
      </c>
      <c r="B178" s="9" t="s">
        <v>676</v>
      </c>
      <c r="C178" s="5" t="s">
        <v>39</v>
      </c>
      <c r="D178" s="9" t="s">
        <v>75</v>
      </c>
      <c r="E178" s="9" t="s">
        <v>114</v>
      </c>
      <c r="F178" s="5" t="s">
        <v>677</v>
      </c>
      <c r="G178" s="5" t="s">
        <v>482</v>
      </c>
      <c r="H178" s="15" t="s">
        <v>478</v>
      </c>
      <c r="I178" s="15" t="s">
        <v>62</v>
      </c>
      <c r="J178" s="5">
        <v>2017</v>
      </c>
      <c r="K178" s="15">
        <v>18</v>
      </c>
      <c r="L178" s="9">
        <v>18</v>
      </c>
      <c r="M178" s="15">
        <v>16</v>
      </c>
      <c r="N178" s="15" t="s">
        <v>64</v>
      </c>
      <c r="O178" s="5"/>
      <c r="P178" s="5"/>
      <c r="Q178" s="21" t="s">
        <v>93</v>
      </c>
      <c r="R178" s="21" t="s">
        <v>249</v>
      </c>
      <c r="S178" s="17" t="s">
        <v>242</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678</v>
      </c>
      <c r="B179" s="9" t="s">
        <v>679</v>
      </c>
      <c r="C179" s="5" t="s">
        <v>39</v>
      </c>
      <c r="D179" s="9" t="s">
        <v>75</v>
      </c>
      <c r="E179" s="9" t="s">
        <v>87</v>
      </c>
      <c r="F179" s="5" t="s">
        <v>88</v>
      </c>
      <c r="G179" s="5" t="s">
        <v>680</v>
      </c>
      <c r="H179" s="15" t="s">
        <v>478</v>
      </c>
      <c r="I179" s="15" t="s">
        <v>62</v>
      </c>
      <c r="J179" s="5">
        <v>2018</v>
      </c>
      <c r="K179" s="15">
        <v>35</v>
      </c>
      <c r="L179" s="9">
        <v>35</v>
      </c>
      <c r="M179" s="15">
        <v>35</v>
      </c>
      <c r="N179" s="15" t="s">
        <v>64</v>
      </c>
      <c r="O179" s="5"/>
      <c r="P179" s="5"/>
      <c r="Q179" s="21" t="s">
        <v>93</v>
      </c>
      <c r="R179" s="21"/>
      <c r="S179" s="17" t="s">
        <v>242</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681</v>
      </c>
      <c r="B180" s="9" t="s">
        <v>682</v>
      </c>
      <c r="C180" s="5" t="s">
        <v>39</v>
      </c>
      <c r="D180" s="9" t="s">
        <v>75</v>
      </c>
      <c r="E180" s="9" t="s">
        <v>114</v>
      </c>
      <c r="F180" s="5" t="s">
        <v>683</v>
      </c>
      <c r="G180" s="5" t="s">
        <v>680</v>
      </c>
      <c r="H180" s="15" t="s">
        <v>478</v>
      </c>
      <c r="I180" s="15" t="s">
        <v>62</v>
      </c>
      <c r="J180" s="5">
        <v>2019</v>
      </c>
      <c r="K180" s="15">
        <v>29</v>
      </c>
      <c r="L180" s="9">
        <v>29</v>
      </c>
      <c r="M180" s="15">
        <v>29</v>
      </c>
      <c r="N180" s="15" t="s">
        <v>64</v>
      </c>
      <c r="O180" s="5"/>
      <c r="P180" s="5"/>
      <c r="Q180" s="21" t="s">
        <v>93</v>
      </c>
      <c r="R180" s="21"/>
      <c r="S180" s="17" t="s">
        <v>242</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684</v>
      </c>
      <c r="B181" s="9" t="s">
        <v>685</v>
      </c>
      <c r="C181" s="5" t="s">
        <v>39</v>
      </c>
      <c r="D181" s="9" t="s">
        <v>75</v>
      </c>
      <c r="E181" s="9" t="s">
        <v>114</v>
      </c>
      <c r="F181" s="5" t="s">
        <v>286</v>
      </c>
      <c r="G181" s="5" t="s">
        <v>674</v>
      </c>
      <c r="H181" s="15" t="s">
        <v>686</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687</v>
      </c>
      <c r="B182" s="9" t="s">
        <v>688</v>
      </c>
      <c r="C182" s="5" t="s">
        <v>39</v>
      </c>
      <c r="D182" s="9" t="s">
        <v>75</v>
      </c>
      <c r="E182" s="9" t="s">
        <v>375</v>
      </c>
      <c r="F182" s="5" t="s">
        <v>689</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690</v>
      </c>
      <c r="B183" s="9" t="s">
        <v>691</v>
      </c>
      <c r="C183" s="5" t="s">
        <v>39</v>
      </c>
      <c r="D183" s="9" t="s">
        <v>75</v>
      </c>
      <c r="E183" s="9" t="s">
        <v>87</v>
      </c>
      <c r="F183" s="5" t="s">
        <v>692</v>
      </c>
      <c r="G183" s="5" t="s">
        <v>572</v>
      </c>
      <c r="H183" s="15" t="s">
        <v>62</v>
      </c>
      <c r="I183" s="15" t="s">
        <v>62</v>
      </c>
      <c r="J183" s="5">
        <v>2024</v>
      </c>
      <c r="K183" s="15">
        <v>26</v>
      </c>
      <c r="L183" s="9">
        <v>17</v>
      </c>
      <c r="M183" s="15">
        <v>4</v>
      </c>
      <c r="N183" s="15" t="s">
        <v>64</v>
      </c>
      <c r="O183" s="5"/>
      <c r="P183" s="5"/>
      <c r="Q183" s="21" t="s">
        <v>47</v>
      </c>
      <c r="R183" s="21" t="s">
        <v>110</v>
      </c>
      <c r="S183" s="18"/>
      <c r="T183" s="9"/>
      <c r="U183" s="9"/>
      <c r="V183" s="67">
        <v>-2.0900346999999999</v>
      </c>
      <c r="W183" s="9">
        <v>106.0923793</v>
      </c>
      <c r="X183" s="9"/>
      <c r="Y183" s="47"/>
      <c r="Z183" s="26" t="s">
        <v>50</v>
      </c>
      <c r="AA183" s="39" t="s">
        <v>51</v>
      </c>
      <c r="AB183" s="71">
        <v>46220</v>
      </c>
      <c r="AC183" s="41" t="s">
        <v>52</v>
      </c>
      <c r="AD183">
        <f t="shared" si="14"/>
        <v>0.65384615384615385</v>
      </c>
      <c r="AE183">
        <f t="shared" si="15"/>
        <v>0.23529411764705882</v>
      </c>
      <c r="AF183" s="220"/>
      <c r="AG183" s="221"/>
      <c r="AH183" s="222"/>
    </row>
    <row r="184" spans="1:34" ht="25">
      <c r="A184" s="27" t="s">
        <v>693</v>
      </c>
      <c r="B184" s="9" t="s">
        <v>694</v>
      </c>
      <c r="C184" s="5" t="s">
        <v>39</v>
      </c>
      <c r="D184" s="9" t="s">
        <v>102</v>
      </c>
      <c r="E184" s="9" t="s">
        <v>277</v>
      </c>
      <c r="F184" s="5" t="s">
        <v>352</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695</v>
      </c>
      <c r="B185" s="9" t="s">
        <v>696</v>
      </c>
      <c r="C185" s="5" t="s">
        <v>39</v>
      </c>
      <c r="D185" s="9" t="s">
        <v>75</v>
      </c>
      <c r="E185" s="9" t="s">
        <v>375</v>
      </c>
      <c r="F185" s="5" t="s">
        <v>697</v>
      </c>
      <c r="G185" s="5" t="s">
        <v>698</v>
      </c>
      <c r="H185" s="15" t="s">
        <v>698</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699</v>
      </c>
      <c r="B186" s="9" t="s">
        <v>700</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701</v>
      </c>
      <c r="B187" s="9" t="s">
        <v>702</v>
      </c>
      <c r="C187" s="5" t="s">
        <v>39</v>
      </c>
      <c r="D187" s="9" t="s">
        <v>40</v>
      </c>
      <c r="E187" s="9" t="s">
        <v>41</v>
      </c>
      <c r="F187" s="5" t="s">
        <v>703</v>
      </c>
      <c r="G187" s="5" t="s">
        <v>704</v>
      </c>
      <c r="H187" s="15" t="s">
        <v>705</v>
      </c>
      <c r="I187" s="15" t="s">
        <v>218</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706</v>
      </c>
      <c r="B188" s="9" t="s">
        <v>707</v>
      </c>
      <c r="C188" s="5" t="s">
        <v>39</v>
      </c>
      <c r="D188" s="9" t="s">
        <v>75</v>
      </c>
      <c r="E188" s="9" t="s">
        <v>114</v>
      </c>
      <c r="F188" s="5" t="s">
        <v>708</v>
      </c>
      <c r="G188" s="5" t="s">
        <v>709</v>
      </c>
      <c r="H188" s="15" t="s">
        <v>710</v>
      </c>
      <c r="I188" s="15" t="s">
        <v>107</v>
      </c>
      <c r="J188" s="5">
        <v>2019</v>
      </c>
      <c r="K188" s="15">
        <v>167</v>
      </c>
      <c r="L188" s="9">
        <v>167</v>
      </c>
      <c r="M188" s="15">
        <v>91</v>
      </c>
      <c r="N188" s="15" t="s">
        <v>64</v>
      </c>
      <c r="O188" s="5"/>
      <c r="P188" s="5"/>
      <c r="Q188" s="21" t="s">
        <v>47</v>
      </c>
      <c r="R188" s="21" t="s">
        <v>249</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711</v>
      </c>
      <c r="B189" s="9" t="s">
        <v>712</v>
      </c>
      <c r="C189" s="5" t="s">
        <v>39</v>
      </c>
      <c r="D189" s="9" t="s">
        <v>75</v>
      </c>
      <c r="E189" s="9" t="s">
        <v>114</v>
      </c>
      <c r="F189" s="5" t="s">
        <v>708</v>
      </c>
      <c r="G189" s="5" t="s">
        <v>709</v>
      </c>
      <c r="H189" s="15" t="s">
        <v>710</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713</v>
      </c>
      <c r="B190" s="9" t="s">
        <v>714</v>
      </c>
      <c r="C190" s="5" t="s">
        <v>39</v>
      </c>
      <c r="D190" s="9" t="s">
        <v>102</v>
      </c>
      <c r="E190" s="9" t="s">
        <v>576</v>
      </c>
      <c r="F190" s="5" t="s">
        <v>715</v>
      </c>
      <c r="G190" s="5" t="s">
        <v>709</v>
      </c>
      <c r="H190" s="15" t="s">
        <v>710</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25">
      <c r="A191" s="27" t="s">
        <v>716</v>
      </c>
      <c r="B191" s="9" t="s">
        <v>717</v>
      </c>
      <c r="C191" s="5" t="s">
        <v>226</v>
      </c>
      <c r="D191" s="9" t="s">
        <v>40</v>
      </c>
      <c r="E191" s="9" t="s">
        <v>41</v>
      </c>
      <c r="F191" s="5" t="s">
        <v>227</v>
      </c>
      <c r="G191" s="5" t="s">
        <v>709</v>
      </c>
      <c r="H191" s="15" t="s">
        <v>710</v>
      </c>
      <c r="I191" s="15" t="s">
        <v>107</v>
      </c>
      <c r="J191" s="5">
        <v>2022</v>
      </c>
      <c r="K191" s="15">
        <v>38</v>
      </c>
      <c r="L191" s="9">
        <v>26</v>
      </c>
      <c r="M191" s="15">
        <v>26</v>
      </c>
      <c r="N191" s="15" t="s">
        <v>46</v>
      </c>
      <c r="O191" s="5">
        <v>2025</v>
      </c>
      <c r="P191" s="5"/>
      <c r="Q191" s="21" t="s">
        <v>47</v>
      </c>
      <c r="R191" s="21"/>
      <c r="S191" s="17" t="s">
        <v>48</v>
      </c>
      <c r="T191" s="9"/>
      <c r="U191" s="9"/>
      <c r="V191" s="67">
        <v>-2.1216097</v>
      </c>
      <c r="W191" s="9">
        <v>106.0862723</v>
      </c>
      <c r="X191" s="9"/>
      <c r="Y191" s="47"/>
      <c r="Z191" s="26" t="s">
        <v>50</v>
      </c>
      <c r="AA191" s="39" t="s">
        <v>51</v>
      </c>
      <c r="AB191" s="71">
        <v>46220</v>
      </c>
      <c r="AC191" s="41" t="s">
        <v>52</v>
      </c>
      <c r="AD191">
        <f t="shared" si="14"/>
        <v>0.68421052631578949</v>
      </c>
      <c r="AE191">
        <f t="shared" si="15"/>
        <v>1</v>
      </c>
      <c r="AF191" s="220"/>
      <c r="AG191" s="221"/>
      <c r="AH191" s="222"/>
    </row>
    <row r="192" spans="1:34" ht="25">
      <c r="A192" s="27" t="s">
        <v>718</v>
      </c>
      <c r="B192" s="9" t="s">
        <v>719</v>
      </c>
      <c r="C192" s="5" t="s">
        <v>39</v>
      </c>
      <c r="D192" s="9" t="s">
        <v>75</v>
      </c>
      <c r="E192" s="9" t="s">
        <v>87</v>
      </c>
      <c r="F192" s="5" t="s">
        <v>720</v>
      </c>
      <c r="G192" s="5" t="s">
        <v>709</v>
      </c>
      <c r="H192" s="15" t="s">
        <v>710</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721</v>
      </c>
      <c r="B193" s="9" t="s">
        <v>722</v>
      </c>
      <c r="C193" s="5" t="s">
        <v>39</v>
      </c>
      <c r="D193" s="9" t="s">
        <v>75</v>
      </c>
      <c r="E193" s="9" t="s">
        <v>87</v>
      </c>
      <c r="F193" s="5" t="s">
        <v>723</v>
      </c>
      <c r="G193" s="5" t="s">
        <v>709</v>
      </c>
      <c r="H193" s="15" t="s">
        <v>710</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9.5" customHeight="1">
      <c r="A194" s="27" t="s">
        <v>724</v>
      </c>
      <c r="B194" s="9" t="s">
        <v>725</v>
      </c>
      <c r="C194" s="5" t="s">
        <v>39</v>
      </c>
      <c r="D194" s="9" t="s">
        <v>75</v>
      </c>
      <c r="E194" s="9" t="s">
        <v>87</v>
      </c>
      <c r="F194" s="5" t="s">
        <v>149</v>
      </c>
      <c r="G194" s="5" t="s">
        <v>709</v>
      </c>
      <c r="H194" s="15" t="s">
        <v>710</v>
      </c>
      <c r="I194" s="15" t="s">
        <v>107</v>
      </c>
      <c r="J194" s="5">
        <v>2024</v>
      </c>
      <c r="K194" s="15">
        <v>47</v>
      </c>
      <c r="L194" s="9">
        <v>0</v>
      </c>
      <c r="M194" s="15">
        <v>0</v>
      </c>
      <c r="N194" s="15" t="s">
        <v>64</v>
      </c>
      <c r="O194" s="5"/>
      <c r="P194" s="5"/>
      <c r="Q194" s="21" t="s">
        <v>47</v>
      </c>
      <c r="R194" s="21"/>
      <c r="S194" s="17" t="s">
        <v>48</v>
      </c>
      <c r="T194" s="9"/>
      <c r="U194" s="9"/>
      <c r="V194" s="67">
        <v>-2.0995051</v>
      </c>
      <c r="W194" s="9">
        <v>106.0848124</v>
      </c>
      <c r="X194" s="9"/>
      <c r="Y194" s="47"/>
      <c r="Z194" s="26" t="s">
        <v>50</v>
      </c>
      <c r="AA194" s="39" t="s">
        <v>51</v>
      </c>
      <c r="AB194" s="71">
        <v>46220</v>
      </c>
      <c r="AC194" s="41" t="s">
        <v>52</v>
      </c>
      <c r="AD194">
        <f t="shared" si="14"/>
        <v>0</v>
      </c>
      <c r="AE194">
        <f t="shared" si="15"/>
        <v>0</v>
      </c>
      <c r="AF194" s="220"/>
      <c r="AG194" s="221"/>
      <c r="AH194" s="222"/>
    </row>
    <row r="195" spans="1:34" ht="16.399999999999999" customHeight="1">
      <c r="A195" s="27" t="s">
        <v>726</v>
      </c>
      <c r="B195" s="9" t="s">
        <v>727</v>
      </c>
      <c r="C195" s="5" t="s">
        <v>39</v>
      </c>
      <c r="D195" s="9" t="s">
        <v>40</v>
      </c>
      <c r="E195" s="9" t="s">
        <v>177</v>
      </c>
      <c r="F195" s="5" t="s">
        <v>253</v>
      </c>
      <c r="G195" s="5" t="s">
        <v>709</v>
      </c>
      <c r="H195" s="15" t="s">
        <v>710</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728</v>
      </c>
      <c r="Y195" s="47">
        <v>2026</v>
      </c>
      <c r="Z195" s="26" t="s">
        <v>50</v>
      </c>
      <c r="AA195" s="39" t="s">
        <v>223</v>
      </c>
      <c r="AB195" s="71">
        <v>46250</v>
      </c>
      <c r="AC195" s="41" t="s">
        <v>52</v>
      </c>
      <c r="AD195">
        <f t="shared" si="14"/>
        <v>0.7068965517241379</v>
      </c>
      <c r="AE195">
        <f t="shared" si="15"/>
        <v>1</v>
      </c>
      <c r="AF195" s="220">
        <v>8997</v>
      </c>
      <c r="AG195" s="221">
        <v>5439</v>
      </c>
      <c r="AH195" s="222">
        <v>3558</v>
      </c>
    </row>
    <row r="196" spans="1:34" ht="25">
      <c r="A196" s="27" t="s">
        <v>729</v>
      </c>
      <c r="B196" s="9" t="s">
        <v>730</v>
      </c>
      <c r="C196" s="5" t="s">
        <v>39</v>
      </c>
      <c r="D196" s="9" t="s">
        <v>40</v>
      </c>
      <c r="E196" s="9" t="s">
        <v>55</v>
      </c>
      <c r="F196" s="5" t="s">
        <v>731</v>
      </c>
      <c r="G196" s="5" t="s">
        <v>293</v>
      </c>
      <c r="H196" s="15" t="s">
        <v>294</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732</v>
      </c>
      <c r="B197" s="9" t="s">
        <v>733</v>
      </c>
      <c r="C197" s="5" t="s">
        <v>39</v>
      </c>
      <c r="D197" s="9" t="s">
        <v>40</v>
      </c>
      <c r="E197" s="9" t="s">
        <v>41</v>
      </c>
      <c r="F197" s="5" t="s">
        <v>734</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735</v>
      </c>
      <c r="B198" s="9" t="s">
        <v>736</v>
      </c>
      <c r="C198" s="5" t="s">
        <v>39</v>
      </c>
      <c r="D198" s="9" t="s">
        <v>75</v>
      </c>
      <c r="E198" s="9" t="s">
        <v>114</v>
      </c>
      <c r="F198" s="5" t="s">
        <v>316</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737</v>
      </c>
      <c r="B199" s="9" t="s">
        <v>738</v>
      </c>
      <c r="C199" s="5" t="s">
        <v>39</v>
      </c>
      <c r="D199" s="9" t="s">
        <v>75</v>
      </c>
      <c r="E199" s="9" t="s">
        <v>114</v>
      </c>
      <c r="F199" s="5" t="s">
        <v>739</v>
      </c>
      <c r="G199" s="5" t="s">
        <v>62</v>
      </c>
      <c r="H199" s="15" t="s">
        <v>62</v>
      </c>
      <c r="I199" s="15" t="s">
        <v>62</v>
      </c>
      <c r="J199" s="5">
        <v>2015</v>
      </c>
      <c r="K199" s="15">
        <v>151</v>
      </c>
      <c r="L199" s="9">
        <v>151</v>
      </c>
      <c r="M199" s="15">
        <v>151</v>
      </c>
      <c r="N199" s="15" t="s">
        <v>64</v>
      </c>
      <c r="O199" s="5"/>
      <c r="P199" s="5"/>
      <c r="Q199" s="21" t="s">
        <v>47</v>
      </c>
      <c r="R199" s="21"/>
      <c r="S199" s="17" t="s">
        <v>242</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740</v>
      </c>
      <c r="B200" s="9" t="s">
        <v>741</v>
      </c>
      <c r="C200" s="5" t="s">
        <v>39</v>
      </c>
      <c r="D200" s="9" t="s">
        <v>102</v>
      </c>
      <c r="E200" s="9" t="s">
        <v>277</v>
      </c>
      <c r="F200" s="5" t="s">
        <v>604</v>
      </c>
      <c r="G200" s="5" t="s">
        <v>742</v>
      </c>
      <c r="H200" s="15" t="s">
        <v>62</v>
      </c>
      <c r="I200" s="15" t="s">
        <v>45</v>
      </c>
      <c r="J200" s="5">
        <v>2017</v>
      </c>
      <c r="K200" s="15">
        <v>44</v>
      </c>
      <c r="L200" s="9">
        <v>44</v>
      </c>
      <c r="M200" s="15">
        <v>44</v>
      </c>
      <c r="N200" s="15" t="s">
        <v>46</v>
      </c>
      <c r="O200" s="5">
        <v>2022</v>
      </c>
      <c r="P200" s="5"/>
      <c r="Q200" s="21" t="s">
        <v>89</v>
      </c>
      <c r="R200" s="21" t="s">
        <v>143</v>
      </c>
      <c r="S200" s="17" t="s">
        <v>242</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743</v>
      </c>
      <c r="B201" s="9" t="s">
        <v>744</v>
      </c>
      <c r="C201" s="5" t="s">
        <v>39</v>
      </c>
      <c r="D201" s="9" t="s">
        <v>102</v>
      </c>
      <c r="E201" s="9" t="s">
        <v>277</v>
      </c>
      <c r="F201" s="5" t="s">
        <v>604</v>
      </c>
      <c r="G201" s="5" t="s">
        <v>742</v>
      </c>
      <c r="H201" s="15" t="s">
        <v>62</v>
      </c>
      <c r="I201" s="15" t="s">
        <v>45</v>
      </c>
      <c r="J201" s="5">
        <v>2018</v>
      </c>
      <c r="K201" s="15">
        <v>51</v>
      </c>
      <c r="L201" s="9">
        <v>51</v>
      </c>
      <c r="M201" s="15">
        <v>51</v>
      </c>
      <c r="N201" s="15" t="s">
        <v>46</v>
      </c>
      <c r="O201" s="5">
        <v>2022</v>
      </c>
      <c r="P201" s="5"/>
      <c r="Q201" s="21" t="s">
        <v>89</v>
      </c>
      <c r="R201" s="21" t="s">
        <v>143</v>
      </c>
      <c r="S201" s="17" t="s">
        <v>242</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745</v>
      </c>
      <c r="B202" s="9" t="s">
        <v>746</v>
      </c>
      <c r="C202" s="5" t="s">
        <v>39</v>
      </c>
      <c r="D202" s="9" t="s">
        <v>102</v>
      </c>
      <c r="E202" s="9" t="s">
        <v>277</v>
      </c>
      <c r="F202" s="5" t="s">
        <v>604</v>
      </c>
      <c r="G202" s="5" t="s">
        <v>742</v>
      </c>
      <c r="H202" s="15" t="s">
        <v>62</v>
      </c>
      <c r="I202" s="15" t="s">
        <v>45</v>
      </c>
      <c r="J202" s="5">
        <v>2018</v>
      </c>
      <c r="K202" s="15">
        <v>25</v>
      </c>
      <c r="L202" s="9">
        <v>25</v>
      </c>
      <c r="M202" s="15">
        <v>25</v>
      </c>
      <c r="N202" s="15" t="s">
        <v>46</v>
      </c>
      <c r="O202" s="5">
        <v>2022</v>
      </c>
      <c r="P202" s="5"/>
      <c r="Q202" s="21" t="s">
        <v>89</v>
      </c>
      <c r="R202" s="21" t="s">
        <v>143</v>
      </c>
      <c r="S202" s="17" t="s">
        <v>242</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747</v>
      </c>
      <c r="B203" s="9" t="s">
        <v>748</v>
      </c>
      <c r="C203" s="5" t="s">
        <v>39</v>
      </c>
      <c r="D203" s="9" t="s">
        <v>102</v>
      </c>
      <c r="E203" s="9" t="s">
        <v>277</v>
      </c>
      <c r="F203" s="5" t="s">
        <v>604</v>
      </c>
      <c r="G203" s="5" t="s">
        <v>742</v>
      </c>
      <c r="H203" s="15" t="s">
        <v>62</v>
      </c>
      <c r="I203" s="15" t="s">
        <v>45</v>
      </c>
      <c r="J203" s="5">
        <v>2019</v>
      </c>
      <c r="K203" s="15">
        <v>84</v>
      </c>
      <c r="L203" s="9">
        <v>84</v>
      </c>
      <c r="M203" s="15">
        <v>84</v>
      </c>
      <c r="N203" s="15" t="s">
        <v>46</v>
      </c>
      <c r="O203" s="5">
        <v>2022</v>
      </c>
      <c r="P203" s="5"/>
      <c r="Q203" s="21" t="s">
        <v>47</v>
      </c>
      <c r="R203" s="21" t="s">
        <v>143</v>
      </c>
      <c r="S203" s="17" t="s">
        <v>242</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749</v>
      </c>
      <c r="B204" s="9" t="s">
        <v>750</v>
      </c>
      <c r="C204" s="5" t="s">
        <v>39</v>
      </c>
      <c r="D204" s="9" t="s">
        <v>102</v>
      </c>
      <c r="E204" s="9" t="s">
        <v>277</v>
      </c>
      <c r="F204" s="5" t="s">
        <v>604</v>
      </c>
      <c r="G204" s="5" t="s">
        <v>742</v>
      </c>
      <c r="H204" s="15" t="s">
        <v>62</v>
      </c>
      <c r="I204" s="15" t="s">
        <v>45</v>
      </c>
      <c r="J204" s="5">
        <v>2019</v>
      </c>
      <c r="K204" s="15">
        <v>22</v>
      </c>
      <c r="L204" s="9">
        <v>22</v>
      </c>
      <c r="M204" s="15">
        <v>22</v>
      </c>
      <c r="N204" s="15" t="s">
        <v>46</v>
      </c>
      <c r="O204" s="5">
        <v>2022</v>
      </c>
      <c r="P204" s="5"/>
      <c r="Q204" s="21" t="s">
        <v>47</v>
      </c>
      <c r="R204" s="21" t="s">
        <v>143</v>
      </c>
      <c r="S204" s="17" t="s">
        <v>242</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751</v>
      </c>
      <c r="B205" s="9" t="s">
        <v>752</v>
      </c>
      <c r="C205" s="5" t="s">
        <v>39</v>
      </c>
      <c r="D205" s="9" t="s">
        <v>75</v>
      </c>
      <c r="E205" s="9" t="s">
        <v>76</v>
      </c>
      <c r="F205" s="5" t="s">
        <v>753</v>
      </c>
      <c r="G205" s="5" t="s">
        <v>754</v>
      </c>
      <c r="H205" s="15" t="s">
        <v>755</v>
      </c>
      <c r="I205" s="15" t="s">
        <v>62</v>
      </c>
      <c r="J205" s="5">
        <v>2024</v>
      </c>
      <c r="K205" s="15">
        <v>35</v>
      </c>
      <c r="L205" s="9">
        <v>35</v>
      </c>
      <c r="M205" s="15">
        <v>35</v>
      </c>
      <c r="N205" s="15" t="s">
        <v>46</v>
      </c>
      <c r="O205" s="5">
        <v>2026</v>
      </c>
      <c r="P205" s="5"/>
      <c r="Q205" s="21" t="s">
        <v>47</v>
      </c>
      <c r="R205" s="21"/>
      <c r="S205" s="17" t="s">
        <v>48</v>
      </c>
      <c r="T205" s="9"/>
      <c r="U205" s="9"/>
      <c r="V205" s="67">
        <v>-2.1030367000000001</v>
      </c>
      <c r="W205" s="9">
        <v>106.09867819999999</v>
      </c>
      <c r="X205" s="9"/>
      <c r="Y205" s="47"/>
      <c r="Z205" s="26" t="s">
        <v>50</v>
      </c>
      <c r="AA205" s="39" t="s">
        <v>51</v>
      </c>
      <c r="AB205" s="71">
        <v>46220</v>
      </c>
      <c r="AC205" s="41" t="s">
        <v>52</v>
      </c>
      <c r="AD205">
        <f t="shared" si="14"/>
        <v>1</v>
      </c>
      <c r="AE205">
        <f t="shared" si="15"/>
        <v>1</v>
      </c>
      <c r="AF205" s="220"/>
      <c r="AG205" s="221"/>
      <c r="AH205" s="222"/>
    </row>
    <row r="206" spans="1:34" ht="25">
      <c r="A206" s="27" t="s">
        <v>756</v>
      </c>
      <c r="B206" s="9" t="s">
        <v>757</v>
      </c>
      <c r="C206" s="5" t="s">
        <v>39</v>
      </c>
      <c r="D206" s="9" t="s">
        <v>40</v>
      </c>
      <c r="E206" s="9" t="s">
        <v>55</v>
      </c>
      <c r="F206" s="5" t="s">
        <v>758</v>
      </c>
      <c r="G206" s="5" t="s">
        <v>754</v>
      </c>
      <c r="H206" s="15" t="s">
        <v>755</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759</v>
      </c>
      <c r="B207" s="9" t="s">
        <v>760</v>
      </c>
      <c r="C207" s="5" t="s">
        <v>39</v>
      </c>
      <c r="D207" s="9" t="s">
        <v>75</v>
      </c>
      <c r="E207" s="9" t="s">
        <v>114</v>
      </c>
      <c r="F207" s="5" t="s">
        <v>286</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761</v>
      </c>
      <c r="B208" s="9" t="s">
        <v>762</v>
      </c>
      <c r="C208" s="5" t="s">
        <v>226</v>
      </c>
      <c r="D208" s="9" t="s">
        <v>40</v>
      </c>
      <c r="E208" s="9" t="s">
        <v>252</v>
      </c>
      <c r="F208" s="5" t="s">
        <v>763</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764</v>
      </c>
      <c r="B209" s="9" t="s">
        <v>765</v>
      </c>
      <c r="C209" s="5" t="s">
        <v>39</v>
      </c>
      <c r="D209" s="9" t="s">
        <v>102</v>
      </c>
      <c r="E209" s="9" t="s">
        <v>277</v>
      </c>
      <c r="F209" s="5" t="s">
        <v>215</v>
      </c>
      <c r="G209" s="5" t="s">
        <v>766</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767</v>
      </c>
      <c r="B210" s="9" t="s">
        <v>768</v>
      </c>
      <c r="C210" s="5" t="s">
        <v>39</v>
      </c>
      <c r="D210" s="9" t="s">
        <v>40</v>
      </c>
      <c r="E210" s="9" t="s">
        <v>55</v>
      </c>
      <c r="F210" s="5" t="s">
        <v>769</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770</v>
      </c>
      <c r="B211" s="9" t="s">
        <v>771</v>
      </c>
      <c r="C211" s="5" t="s">
        <v>39</v>
      </c>
      <c r="D211" s="9" t="s">
        <v>75</v>
      </c>
      <c r="E211" s="9" t="s">
        <v>87</v>
      </c>
      <c r="F211" s="5" t="s">
        <v>772</v>
      </c>
      <c r="G211" s="5" t="s">
        <v>773</v>
      </c>
      <c r="H211" s="15" t="s">
        <v>774</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775</v>
      </c>
      <c r="Y211" s="47">
        <v>2026</v>
      </c>
      <c r="Z211" s="26" t="s">
        <v>50</v>
      </c>
      <c r="AA211" s="39" t="s">
        <v>223</v>
      </c>
      <c r="AB211" s="71">
        <v>46250</v>
      </c>
      <c r="AC211" s="41" t="s">
        <v>52</v>
      </c>
      <c r="AF211" s="220">
        <v>5456</v>
      </c>
      <c r="AG211" s="221">
        <v>3371</v>
      </c>
      <c r="AH211" s="222">
        <v>2085</v>
      </c>
    </row>
    <row r="212" spans="1:34" ht="15.15" customHeight="1">
      <c r="A212" s="27" t="s">
        <v>776</v>
      </c>
      <c r="B212" s="9" t="s">
        <v>777</v>
      </c>
      <c r="C212" s="5" t="s">
        <v>39</v>
      </c>
      <c r="D212" s="9" t="s">
        <v>102</v>
      </c>
      <c r="E212" s="9" t="s">
        <v>103</v>
      </c>
      <c r="F212" s="5" t="s">
        <v>778</v>
      </c>
      <c r="G212" s="5" t="s">
        <v>773</v>
      </c>
      <c r="H212" s="15" t="s">
        <v>774</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779</v>
      </c>
      <c r="Y212" s="47">
        <v>2026</v>
      </c>
      <c r="Z212" s="26" t="s">
        <v>50</v>
      </c>
      <c r="AA212" s="39" t="s">
        <v>223</v>
      </c>
      <c r="AB212" s="71">
        <v>46250</v>
      </c>
      <c r="AC212" s="41" t="s">
        <v>52</v>
      </c>
      <c r="AF212" s="220">
        <v>5181</v>
      </c>
      <c r="AG212" s="221">
        <v>3875</v>
      </c>
      <c r="AH212" s="222">
        <v>1306</v>
      </c>
    </row>
    <row r="213" spans="1:34" ht="25">
      <c r="A213" s="27" t="s">
        <v>780</v>
      </c>
      <c r="B213" s="9" t="s">
        <v>781</v>
      </c>
      <c r="C213" s="5" t="s">
        <v>39</v>
      </c>
      <c r="D213" s="9" t="s">
        <v>75</v>
      </c>
      <c r="E213" s="9" t="s">
        <v>87</v>
      </c>
      <c r="F213" s="5" t="s">
        <v>782</v>
      </c>
      <c r="G213" s="5" t="s">
        <v>783</v>
      </c>
      <c r="H213" s="15" t="s">
        <v>784</v>
      </c>
      <c r="I213" s="15" t="s">
        <v>142</v>
      </c>
      <c r="J213" s="5">
        <v>2018</v>
      </c>
      <c r="K213" s="15">
        <v>102</v>
      </c>
      <c r="L213" s="9">
        <v>102</v>
      </c>
      <c r="M213" s="15">
        <v>102</v>
      </c>
      <c r="N213" s="15" t="s">
        <v>64</v>
      </c>
      <c r="O213" s="5"/>
      <c r="P213" s="5"/>
      <c r="Q213" s="21" t="s">
        <v>47</v>
      </c>
      <c r="R213" s="21"/>
      <c r="S213" s="17" t="s">
        <v>242</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785</v>
      </c>
      <c r="B214" s="10" t="s">
        <v>786</v>
      </c>
      <c r="C214" s="6" t="s">
        <v>39</v>
      </c>
      <c r="D214" s="10" t="s">
        <v>75</v>
      </c>
      <c r="E214" s="10" t="s">
        <v>87</v>
      </c>
      <c r="F214" s="6" t="s">
        <v>782</v>
      </c>
      <c r="G214" s="6" t="s">
        <v>783</v>
      </c>
      <c r="H214" s="16" t="s">
        <v>784</v>
      </c>
      <c r="I214" s="16" t="s">
        <v>142</v>
      </c>
      <c r="J214" s="6">
        <v>2018</v>
      </c>
      <c r="K214" s="16">
        <v>25</v>
      </c>
      <c r="L214" s="10">
        <v>25</v>
      </c>
      <c r="M214" s="16">
        <v>25</v>
      </c>
      <c r="N214" s="16" t="s">
        <v>64</v>
      </c>
      <c r="O214" s="6"/>
      <c r="P214" s="6"/>
      <c r="Q214" s="21" t="s">
        <v>47</v>
      </c>
      <c r="R214" s="22"/>
      <c r="S214" s="17" t="s">
        <v>242</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787</v>
      </c>
      <c r="B215" s="42" t="s">
        <v>788</v>
      </c>
      <c r="C215" s="43" t="s">
        <v>39</v>
      </c>
      <c r="D215" s="42" t="s">
        <v>40</v>
      </c>
      <c r="E215" s="42" t="s">
        <v>41</v>
      </c>
      <c r="F215" s="43" t="s">
        <v>789</v>
      </c>
      <c r="G215" s="43" t="s">
        <v>399</v>
      </c>
      <c r="H215" s="43" t="s">
        <v>400</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790</v>
      </c>
      <c r="B216" s="42" t="s">
        <v>791</v>
      </c>
      <c r="C216" s="43" t="s">
        <v>39</v>
      </c>
      <c r="D216" s="42" t="s">
        <v>75</v>
      </c>
      <c r="E216" s="42" t="s">
        <v>87</v>
      </c>
      <c r="F216" s="43" t="s">
        <v>77</v>
      </c>
      <c r="G216" s="43" t="s">
        <v>792</v>
      </c>
      <c r="H216" s="43" t="s">
        <v>793</v>
      </c>
      <c r="I216" s="208" t="s">
        <v>218</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794</v>
      </c>
      <c r="B217" s="42" t="s">
        <v>795</v>
      </c>
      <c r="C217" s="43" t="s">
        <v>39</v>
      </c>
      <c r="D217" s="42" t="s">
        <v>102</v>
      </c>
      <c r="E217" s="42" t="s">
        <v>103</v>
      </c>
      <c r="F217" s="43" t="s">
        <v>796</v>
      </c>
      <c r="G217" s="43" t="s">
        <v>797</v>
      </c>
      <c r="H217" s="43" t="s">
        <v>798</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799</v>
      </c>
      <c r="B218" s="42" t="s">
        <v>800</v>
      </c>
      <c r="C218" s="43" t="s">
        <v>39</v>
      </c>
      <c r="D218" s="42" t="s">
        <v>40</v>
      </c>
      <c r="E218" s="42" t="s">
        <v>55</v>
      </c>
      <c r="F218" s="43" t="s">
        <v>61</v>
      </c>
      <c r="G218" s="43" t="s">
        <v>801</v>
      </c>
      <c r="H218" s="43" t="s">
        <v>802</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803</v>
      </c>
      <c r="B219" s="42" t="s">
        <v>804</v>
      </c>
      <c r="C219" s="43" t="s">
        <v>39</v>
      </c>
      <c r="D219" s="42" t="s">
        <v>40</v>
      </c>
      <c r="E219" s="42" t="s">
        <v>41</v>
      </c>
      <c r="F219" s="43" t="s">
        <v>132</v>
      </c>
      <c r="G219" s="43" t="s">
        <v>805</v>
      </c>
      <c r="H219" s="43" t="s">
        <v>802</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806</v>
      </c>
      <c r="B220" s="42" t="s">
        <v>807</v>
      </c>
      <c r="C220" s="43" t="s">
        <v>39</v>
      </c>
      <c r="D220" s="42" t="s">
        <v>75</v>
      </c>
      <c r="E220" s="42" t="s">
        <v>114</v>
      </c>
      <c r="F220" s="43" t="s">
        <v>203</v>
      </c>
      <c r="G220" s="43" t="s">
        <v>204</v>
      </c>
      <c r="H220" s="43" t="s">
        <v>205</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808</v>
      </c>
      <c r="B221" s="42" t="s">
        <v>809</v>
      </c>
      <c r="C221" s="43" t="s">
        <v>39</v>
      </c>
      <c r="D221" s="42" t="s">
        <v>40</v>
      </c>
      <c r="E221" s="42" t="s">
        <v>41</v>
      </c>
      <c r="F221" s="43" t="s">
        <v>324</v>
      </c>
      <c r="G221" s="43" t="s">
        <v>810</v>
      </c>
      <c r="H221" s="43" t="s">
        <v>802</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811</v>
      </c>
      <c r="B222" s="42" t="s">
        <v>812</v>
      </c>
      <c r="C222" s="43" t="s">
        <v>39</v>
      </c>
      <c r="D222" s="42" t="s">
        <v>40</v>
      </c>
      <c r="E222" s="42" t="s">
        <v>813</v>
      </c>
      <c r="F222" s="43" t="s">
        <v>146</v>
      </c>
      <c r="G222" s="43" t="s">
        <v>466</v>
      </c>
      <c r="H222" s="43" t="s">
        <v>467</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814</v>
      </c>
      <c r="B223" s="42" t="s">
        <v>812</v>
      </c>
      <c r="C223" s="43" t="s">
        <v>39</v>
      </c>
      <c r="D223" s="42" t="s">
        <v>75</v>
      </c>
      <c r="E223" s="42" t="s">
        <v>87</v>
      </c>
      <c r="F223" s="43" t="s">
        <v>723</v>
      </c>
      <c r="G223" s="43" t="s">
        <v>815</v>
      </c>
      <c r="H223" s="43" t="s">
        <v>816</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817</v>
      </c>
      <c r="B224" s="42" t="s">
        <v>818</v>
      </c>
      <c r="C224" s="43" t="s">
        <v>226</v>
      </c>
      <c r="D224" s="42" t="s">
        <v>75</v>
      </c>
      <c r="E224" s="42" t="s">
        <v>114</v>
      </c>
      <c r="F224" s="43" t="s">
        <v>203</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819</v>
      </c>
      <c r="B225" s="42" t="s">
        <v>820</v>
      </c>
      <c r="C225" s="43" t="s">
        <v>39</v>
      </c>
      <c r="D225" s="42" t="s">
        <v>75</v>
      </c>
      <c r="E225" s="42" t="s">
        <v>114</v>
      </c>
      <c r="F225" s="43" t="s">
        <v>821</v>
      </c>
      <c r="G225" s="43" t="s">
        <v>822</v>
      </c>
      <c r="H225" s="43" t="s">
        <v>686</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823</v>
      </c>
      <c r="B226" s="42" t="s">
        <v>824</v>
      </c>
      <c r="C226" s="43" t="s">
        <v>226</v>
      </c>
      <c r="D226" s="42" t="s">
        <v>40</v>
      </c>
      <c r="E226" s="42" t="s">
        <v>55</v>
      </c>
      <c r="F226" s="43" t="s">
        <v>61</v>
      </c>
      <c r="G226" s="43" t="s">
        <v>509</v>
      </c>
      <c r="H226" s="43" t="s">
        <v>510</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825</v>
      </c>
      <c r="B227" s="42" t="s">
        <v>826</v>
      </c>
      <c r="C227" s="43" t="s">
        <v>39</v>
      </c>
      <c r="D227" s="42" t="s">
        <v>75</v>
      </c>
      <c r="E227" s="42" t="s">
        <v>375</v>
      </c>
      <c r="F227" s="43" t="s">
        <v>827</v>
      </c>
      <c r="G227" s="43" t="s">
        <v>828</v>
      </c>
      <c r="H227" s="43" t="s">
        <v>829</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830</v>
      </c>
      <c r="B228" s="42" t="s">
        <v>831</v>
      </c>
      <c r="C228" s="43" t="s">
        <v>39</v>
      </c>
      <c r="D228" s="42" t="s">
        <v>75</v>
      </c>
      <c r="E228" s="42" t="s">
        <v>375</v>
      </c>
      <c r="F228" s="43" t="s">
        <v>827</v>
      </c>
      <c r="G228" s="43" t="s">
        <v>828</v>
      </c>
      <c r="H228" s="43" t="s">
        <v>829</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832</v>
      </c>
      <c r="B229" s="42" t="s">
        <v>833</v>
      </c>
      <c r="C229" s="43" t="s">
        <v>113</v>
      </c>
      <c r="D229" s="42" t="s">
        <v>102</v>
      </c>
      <c r="E229" s="42" t="s">
        <v>103</v>
      </c>
      <c r="F229" s="43" t="s">
        <v>834</v>
      </c>
      <c r="G229" s="43" t="s">
        <v>835</v>
      </c>
      <c r="H229" s="43" t="s">
        <v>836</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837</v>
      </c>
      <c r="B230" s="42" t="s">
        <v>838</v>
      </c>
      <c r="C230" s="43" t="s">
        <v>39</v>
      </c>
      <c r="D230" s="42" t="s">
        <v>102</v>
      </c>
      <c r="E230" s="42" t="s">
        <v>277</v>
      </c>
      <c r="F230" s="43" t="s">
        <v>359</v>
      </c>
      <c r="G230" s="43" t="s">
        <v>839</v>
      </c>
      <c r="H230" s="43" t="s">
        <v>836</v>
      </c>
      <c r="I230" s="43" t="s">
        <v>107</v>
      </c>
      <c r="J230" s="43">
        <v>2024</v>
      </c>
      <c r="K230" s="43">
        <v>160</v>
      </c>
      <c r="L230" s="42">
        <v>80</v>
      </c>
      <c r="M230" s="43">
        <v>80</v>
      </c>
      <c r="N230" s="43" t="s">
        <v>64</v>
      </c>
      <c r="Q230" s="21" t="s">
        <v>47</v>
      </c>
      <c r="R230" s="21" t="s">
        <v>110</v>
      </c>
      <c r="S230" s="17" t="s">
        <v>48</v>
      </c>
      <c r="T230" s="42"/>
      <c r="U230" s="42"/>
      <c r="V230" s="69">
        <v>-2.1330502</v>
      </c>
      <c r="W230" s="42">
        <v>106.14794019999999</v>
      </c>
      <c r="X230" s="42"/>
      <c r="Y230" s="44"/>
      <c r="Z230" s="26" t="s">
        <v>50</v>
      </c>
      <c r="AA230" s="39" t="s">
        <v>51</v>
      </c>
      <c r="AB230" s="71">
        <v>46220</v>
      </c>
      <c r="AC230" s="41" t="s">
        <v>52</v>
      </c>
      <c r="AD230" s="45">
        <f t="shared" si="16"/>
        <v>0.5</v>
      </c>
      <c r="AE230" s="45">
        <f t="shared" si="17"/>
        <v>1</v>
      </c>
      <c r="AF230" s="220"/>
      <c r="AG230" s="221"/>
      <c r="AH230" s="222"/>
    </row>
    <row r="231" spans="1:34" s="43" customFormat="1" ht="25">
      <c r="A231" s="27" t="s">
        <v>840</v>
      </c>
      <c r="B231" s="42" t="s">
        <v>841</v>
      </c>
      <c r="C231" s="43" t="s">
        <v>39</v>
      </c>
      <c r="D231" s="42" t="s">
        <v>102</v>
      </c>
      <c r="E231" s="42" t="s">
        <v>103</v>
      </c>
      <c r="F231" s="43" t="s">
        <v>359</v>
      </c>
      <c r="G231" s="43" t="s">
        <v>839</v>
      </c>
      <c r="H231" s="43" t="s">
        <v>836</v>
      </c>
      <c r="I231" s="43" t="s">
        <v>107</v>
      </c>
      <c r="J231" s="43">
        <v>2024</v>
      </c>
      <c r="K231" s="43">
        <v>139</v>
      </c>
      <c r="L231" s="42">
        <v>5</v>
      </c>
      <c r="M231" s="43">
        <v>5</v>
      </c>
      <c r="N231" s="43" t="s">
        <v>64</v>
      </c>
      <c r="Q231" s="21" t="s">
        <v>47</v>
      </c>
      <c r="R231" s="43" t="s">
        <v>110</v>
      </c>
      <c r="S231" s="17" t="s">
        <v>48</v>
      </c>
      <c r="T231" s="42"/>
      <c r="U231" s="42"/>
      <c r="V231" s="69">
        <v>-2.1330502</v>
      </c>
      <c r="W231" s="42">
        <v>106.14794019999999</v>
      </c>
      <c r="X231" s="42"/>
      <c r="Y231" s="44"/>
      <c r="Z231" s="26" t="s">
        <v>50</v>
      </c>
      <c r="AA231" s="39" t="s">
        <v>51</v>
      </c>
      <c r="AB231" s="71">
        <v>46220</v>
      </c>
      <c r="AC231" s="41" t="s">
        <v>52</v>
      </c>
      <c r="AD231" s="45">
        <f t="shared" si="16"/>
        <v>3.5971223021582732E-2</v>
      </c>
      <c r="AE231" s="45">
        <f t="shared" si="17"/>
        <v>1</v>
      </c>
      <c r="AF231" s="220"/>
      <c r="AG231" s="221"/>
      <c r="AH231" s="222"/>
    </row>
    <row r="232" spans="1:34" s="43" customFormat="1" ht="25">
      <c r="A232" s="27" t="s">
        <v>842</v>
      </c>
      <c r="B232" s="42" t="s">
        <v>843</v>
      </c>
      <c r="C232" s="43" t="s">
        <v>39</v>
      </c>
      <c r="D232" s="42" t="s">
        <v>102</v>
      </c>
      <c r="E232" s="42" t="s">
        <v>103</v>
      </c>
      <c r="F232" s="43" t="s">
        <v>359</v>
      </c>
      <c r="G232" s="43" t="s">
        <v>839</v>
      </c>
      <c r="H232" s="43" t="s">
        <v>836</v>
      </c>
      <c r="I232" s="43" t="s">
        <v>107</v>
      </c>
      <c r="J232" s="43">
        <v>2024</v>
      </c>
      <c r="K232" s="43">
        <v>155</v>
      </c>
      <c r="L232" s="42">
        <v>0</v>
      </c>
      <c r="M232" s="43">
        <v>0</v>
      </c>
      <c r="N232" s="43" t="s">
        <v>64</v>
      </c>
      <c r="Q232" s="21" t="s">
        <v>47</v>
      </c>
      <c r="R232" s="43" t="s">
        <v>110</v>
      </c>
      <c r="S232" s="17" t="s">
        <v>48</v>
      </c>
      <c r="T232" s="42"/>
      <c r="U232" s="42"/>
      <c r="V232" s="69">
        <v>-2.1330502</v>
      </c>
      <c r="W232" s="42">
        <v>106.14794019999999</v>
      </c>
      <c r="X232" s="42"/>
      <c r="Y232" s="44"/>
      <c r="Z232" s="26" t="s">
        <v>50</v>
      </c>
      <c r="AA232" s="39" t="s">
        <v>51</v>
      </c>
      <c r="AB232" s="71">
        <v>46220</v>
      </c>
      <c r="AC232" s="41" t="s">
        <v>52</v>
      </c>
      <c r="AD232" s="45">
        <f t="shared" si="16"/>
        <v>0</v>
      </c>
      <c r="AE232" s="45">
        <f t="shared" si="17"/>
        <v>0</v>
      </c>
      <c r="AF232" s="220"/>
      <c r="AG232" s="221"/>
      <c r="AH232" s="222"/>
    </row>
    <row r="233" spans="1:34" s="43" customFormat="1" ht="25">
      <c r="A233" s="27" t="s">
        <v>844</v>
      </c>
      <c r="B233" s="42" t="s">
        <v>845</v>
      </c>
      <c r="C233" s="43" t="s">
        <v>39</v>
      </c>
      <c r="D233" s="42" t="s">
        <v>102</v>
      </c>
      <c r="E233" s="42" t="s">
        <v>103</v>
      </c>
      <c r="F233" s="43" t="s">
        <v>359</v>
      </c>
      <c r="G233" s="43" t="s">
        <v>839</v>
      </c>
      <c r="H233" s="43" t="s">
        <v>836</v>
      </c>
      <c r="I233" s="43" t="s">
        <v>107</v>
      </c>
      <c r="J233" s="43">
        <v>2024</v>
      </c>
      <c r="K233" s="43">
        <v>154</v>
      </c>
      <c r="L233" s="42">
        <v>0</v>
      </c>
      <c r="M233" s="43">
        <v>0</v>
      </c>
      <c r="N233" s="43" t="s">
        <v>64</v>
      </c>
      <c r="Q233" s="21" t="s">
        <v>47</v>
      </c>
      <c r="R233" s="43" t="s">
        <v>110</v>
      </c>
      <c r="S233" s="17" t="s">
        <v>48</v>
      </c>
      <c r="T233" s="42"/>
      <c r="U233" s="42"/>
      <c r="V233" s="69">
        <v>-2.1330502</v>
      </c>
      <c r="W233" s="42">
        <v>106.14794019999999</v>
      </c>
      <c r="X233" s="42"/>
      <c r="Y233" s="44"/>
      <c r="Z233" s="26" t="s">
        <v>50</v>
      </c>
      <c r="AA233" s="39" t="s">
        <v>51</v>
      </c>
      <c r="AB233" s="71">
        <v>46220</v>
      </c>
      <c r="AC233" s="41" t="s">
        <v>52</v>
      </c>
      <c r="AD233" s="45">
        <f t="shared" si="16"/>
        <v>0</v>
      </c>
      <c r="AE233" s="45">
        <f t="shared" si="17"/>
        <v>0</v>
      </c>
      <c r="AF233" s="220"/>
      <c r="AG233" s="221"/>
      <c r="AH233" s="222"/>
    </row>
    <row r="234" spans="1:34" s="43" customFormat="1" ht="25">
      <c r="A234" s="27" t="s">
        <v>846</v>
      </c>
      <c r="B234" s="42" t="s">
        <v>847</v>
      </c>
      <c r="C234" s="43" t="s">
        <v>39</v>
      </c>
      <c r="D234" s="42" t="s">
        <v>75</v>
      </c>
      <c r="E234" s="42" t="s">
        <v>114</v>
      </c>
      <c r="F234" s="43" t="s">
        <v>708</v>
      </c>
      <c r="G234" s="43" t="s">
        <v>848</v>
      </c>
      <c r="H234" s="43" t="s">
        <v>849</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850</v>
      </c>
      <c r="B235" s="42" t="s">
        <v>851</v>
      </c>
      <c r="C235" s="43" t="s">
        <v>39</v>
      </c>
      <c r="D235" s="42" t="s">
        <v>102</v>
      </c>
      <c r="E235" s="42" t="s">
        <v>277</v>
      </c>
      <c r="F235" s="43" t="s">
        <v>604</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852</v>
      </c>
      <c r="B236" s="42" t="s">
        <v>853</v>
      </c>
      <c r="C236" s="43" t="s">
        <v>39</v>
      </c>
      <c r="D236" s="42" t="s">
        <v>102</v>
      </c>
      <c r="E236" s="42" t="s">
        <v>158</v>
      </c>
      <c r="F236" s="43" t="s">
        <v>597</v>
      </c>
      <c r="G236" s="43" t="s">
        <v>854</v>
      </c>
      <c r="H236" s="43" t="s">
        <v>855</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856</v>
      </c>
      <c r="B237" s="42" t="s">
        <v>857</v>
      </c>
      <c r="C237" s="43" t="s">
        <v>226</v>
      </c>
      <c r="D237" s="42" t="s">
        <v>102</v>
      </c>
      <c r="E237" s="42" t="s">
        <v>277</v>
      </c>
      <c r="F237" s="43" t="s">
        <v>858</v>
      </c>
      <c r="G237" s="43" t="s">
        <v>859</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860</v>
      </c>
      <c r="B238" s="42" t="s">
        <v>861</v>
      </c>
      <c r="C238" s="43" t="s">
        <v>226</v>
      </c>
      <c r="D238" s="42" t="s">
        <v>102</v>
      </c>
      <c r="E238" s="42" t="s">
        <v>576</v>
      </c>
      <c r="F238" s="43" t="s">
        <v>862</v>
      </c>
      <c r="G238" s="43" t="s">
        <v>859</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863</v>
      </c>
      <c r="B239" s="42" t="s">
        <v>864</v>
      </c>
      <c r="C239" s="43" t="s">
        <v>39</v>
      </c>
      <c r="D239" s="42" t="s">
        <v>40</v>
      </c>
      <c r="E239" s="42" t="s">
        <v>55</v>
      </c>
      <c r="F239" s="43" t="s">
        <v>865</v>
      </c>
      <c r="G239" s="43" t="s">
        <v>866</v>
      </c>
      <c r="H239" s="43" t="s">
        <v>867</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868</v>
      </c>
      <c r="B240" s="42" t="s">
        <v>869</v>
      </c>
      <c r="C240" s="43" t="s">
        <v>39</v>
      </c>
      <c r="D240" s="42" t="s">
        <v>40</v>
      </c>
      <c r="E240" s="42" t="s">
        <v>41</v>
      </c>
      <c r="F240" s="43" t="s">
        <v>56</v>
      </c>
      <c r="G240" s="43" t="s">
        <v>866</v>
      </c>
      <c r="H240" s="43" t="s">
        <v>867</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870</v>
      </c>
      <c r="B241" s="42" t="s">
        <v>871</v>
      </c>
      <c r="C241" s="43" t="s">
        <v>39</v>
      </c>
      <c r="D241" s="42" t="s">
        <v>40</v>
      </c>
      <c r="E241" s="42" t="s">
        <v>41</v>
      </c>
      <c r="F241" s="43" t="s">
        <v>872</v>
      </c>
      <c r="G241" s="43" t="s">
        <v>873</v>
      </c>
      <c r="H241" s="43" t="s">
        <v>867</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874</v>
      </c>
      <c r="B242" s="42" t="s">
        <v>875</v>
      </c>
      <c r="C242" s="43" t="s">
        <v>39</v>
      </c>
      <c r="D242" s="42" t="s">
        <v>75</v>
      </c>
      <c r="E242" s="42" t="s">
        <v>87</v>
      </c>
      <c r="F242" s="43" t="s">
        <v>438</v>
      </c>
      <c r="G242" s="43" t="s">
        <v>873</v>
      </c>
      <c r="H242" s="43" t="s">
        <v>867</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876</v>
      </c>
      <c r="B243" s="42" t="s">
        <v>877</v>
      </c>
      <c r="C243" s="43" t="s">
        <v>39</v>
      </c>
      <c r="D243" s="42" t="s">
        <v>75</v>
      </c>
      <c r="E243" s="42" t="s">
        <v>87</v>
      </c>
      <c r="F243" s="43" t="s">
        <v>878</v>
      </c>
      <c r="G243" s="43" t="s">
        <v>873</v>
      </c>
      <c r="H243" s="43" t="s">
        <v>867</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879</v>
      </c>
      <c r="B244" s="42" t="s">
        <v>880</v>
      </c>
      <c r="C244" s="43" t="s">
        <v>39</v>
      </c>
      <c r="D244" s="42" t="s">
        <v>40</v>
      </c>
      <c r="E244" s="42" t="s">
        <v>41</v>
      </c>
      <c r="F244" s="43" t="s">
        <v>67</v>
      </c>
      <c r="G244" s="43" t="s">
        <v>881</v>
      </c>
      <c r="H244" s="43" t="s">
        <v>867</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882</v>
      </c>
      <c r="B245" s="42" t="s">
        <v>883</v>
      </c>
      <c r="C245" s="43" t="s">
        <v>39</v>
      </c>
      <c r="D245" s="42" t="s">
        <v>40</v>
      </c>
      <c r="E245" s="42" t="s">
        <v>41</v>
      </c>
      <c r="F245" s="43" t="s">
        <v>77</v>
      </c>
      <c r="G245" s="43" t="s">
        <v>881</v>
      </c>
      <c r="H245" s="43" t="s">
        <v>867</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884</v>
      </c>
      <c r="B246" s="42" t="s">
        <v>885</v>
      </c>
      <c r="C246" s="43" t="s">
        <v>39</v>
      </c>
      <c r="D246" s="42" t="s">
        <v>75</v>
      </c>
      <c r="E246" s="42" t="s">
        <v>87</v>
      </c>
      <c r="F246" s="43" t="s">
        <v>438</v>
      </c>
      <c r="G246" s="43" t="s">
        <v>881</v>
      </c>
      <c r="H246" s="43" t="s">
        <v>867</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886</v>
      </c>
      <c r="B247" s="42" t="s">
        <v>887</v>
      </c>
      <c r="C247" s="43" t="s">
        <v>39</v>
      </c>
      <c r="D247" s="42" t="s">
        <v>40</v>
      </c>
      <c r="E247" s="42" t="s">
        <v>55</v>
      </c>
      <c r="F247" s="43" t="s">
        <v>888</v>
      </c>
      <c r="G247" s="43" t="s">
        <v>881</v>
      </c>
      <c r="H247" s="43" t="s">
        <v>889</v>
      </c>
      <c r="I247" s="43" t="s">
        <v>142</v>
      </c>
      <c r="J247" s="43">
        <v>2024</v>
      </c>
      <c r="K247" s="43">
        <v>42</v>
      </c>
      <c r="L247" s="42">
        <v>26</v>
      </c>
      <c r="M247" s="43">
        <v>26</v>
      </c>
      <c r="N247" s="43" t="s">
        <v>64</v>
      </c>
      <c r="Q247" s="21" t="s">
        <v>47</v>
      </c>
      <c r="R247" s="21" t="s">
        <v>110</v>
      </c>
      <c r="S247" s="17" t="s">
        <v>48</v>
      </c>
      <c r="T247" s="42"/>
      <c r="U247" s="42"/>
      <c r="V247" s="69">
        <v>-2.1235791000000002</v>
      </c>
      <c r="W247" s="42">
        <v>106.0763937</v>
      </c>
      <c r="X247" s="42"/>
      <c r="Y247" s="44"/>
      <c r="Z247" s="26" t="s">
        <v>50</v>
      </c>
      <c r="AA247" s="39" t="s">
        <v>51</v>
      </c>
      <c r="AB247" s="71">
        <v>46220</v>
      </c>
      <c r="AC247" s="41" t="s">
        <v>52</v>
      </c>
      <c r="AD247" s="45">
        <f t="shared" si="18"/>
        <v>0.61904761904761907</v>
      </c>
      <c r="AE247" s="45">
        <f t="shared" si="19"/>
        <v>1</v>
      </c>
      <c r="AF247" s="220"/>
      <c r="AG247" s="221"/>
      <c r="AH247" s="222"/>
    </row>
    <row r="248" spans="1:34" s="43" customFormat="1" ht="25">
      <c r="A248" s="27" t="s">
        <v>890</v>
      </c>
      <c r="B248" s="42" t="s">
        <v>891</v>
      </c>
      <c r="C248" s="43" t="s">
        <v>39</v>
      </c>
      <c r="D248" s="42" t="s">
        <v>75</v>
      </c>
      <c r="E248" s="42" t="s">
        <v>114</v>
      </c>
      <c r="F248" s="43" t="s">
        <v>286</v>
      </c>
      <c r="G248" s="43" t="s">
        <v>674</v>
      </c>
      <c r="H248" s="43" t="s">
        <v>686</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892</v>
      </c>
      <c r="B249" s="42" t="s">
        <v>893</v>
      </c>
      <c r="C249" s="43" t="s">
        <v>39</v>
      </c>
      <c r="D249" s="42" t="s">
        <v>102</v>
      </c>
      <c r="E249" s="42" t="s">
        <v>103</v>
      </c>
      <c r="F249" s="43" t="s">
        <v>778</v>
      </c>
      <c r="G249" s="43" t="s">
        <v>894</v>
      </c>
      <c r="H249" s="43" t="s">
        <v>895</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896</v>
      </c>
      <c r="B250" s="42" t="s">
        <v>897</v>
      </c>
      <c r="C250" s="43" t="s">
        <v>39</v>
      </c>
      <c r="D250" s="42" t="s">
        <v>102</v>
      </c>
      <c r="E250" s="42" t="s">
        <v>158</v>
      </c>
      <c r="F250" s="43" t="s">
        <v>604</v>
      </c>
      <c r="G250" s="43" t="s">
        <v>898</v>
      </c>
      <c r="H250" s="43" t="s">
        <v>899</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900</v>
      </c>
      <c r="B251" s="42" t="s">
        <v>901</v>
      </c>
      <c r="C251" s="43" t="s">
        <v>39</v>
      </c>
      <c r="D251" s="42" t="s">
        <v>433</v>
      </c>
      <c r="E251" s="42" t="s">
        <v>434</v>
      </c>
      <c r="F251" s="43" t="s">
        <v>902</v>
      </c>
      <c r="G251" s="43" t="s">
        <v>903</v>
      </c>
      <c r="H251" s="43" t="s">
        <v>904</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905</v>
      </c>
      <c r="B252" s="42" t="s">
        <v>906</v>
      </c>
      <c r="C252" s="43" t="s">
        <v>39</v>
      </c>
      <c r="D252" s="42" t="s">
        <v>433</v>
      </c>
      <c r="E252" s="42" t="s">
        <v>434</v>
      </c>
      <c r="F252" s="43" t="s">
        <v>907</v>
      </c>
      <c r="G252" s="43" t="s">
        <v>903</v>
      </c>
      <c r="H252" s="43" t="s">
        <v>904</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908</v>
      </c>
      <c r="B253" s="42" t="s">
        <v>909</v>
      </c>
      <c r="C253" s="43" t="s">
        <v>39</v>
      </c>
      <c r="D253" s="42" t="s">
        <v>433</v>
      </c>
      <c r="E253" s="42" t="s">
        <v>488</v>
      </c>
      <c r="F253" s="43" t="s">
        <v>910</v>
      </c>
      <c r="G253" s="43" t="s">
        <v>903</v>
      </c>
      <c r="H253" s="43" t="s">
        <v>904</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911</v>
      </c>
      <c r="B254" s="42" t="s">
        <v>912</v>
      </c>
      <c r="C254" s="43" t="s">
        <v>39</v>
      </c>
      <c r="D254" s="42" t="s">
        <v>433</v>
      </c>
      <c r="E254" s="42" t="s">
        <v>434</v>
      </c>
      <c r="F254" s="43" t="s">
        <v>913</v>
      </c>
      <c r="G254" s="43" t="s">
        <v>903</v>
      </c>
      <c r="H254" s="43" t="s">
        <v>904</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914</v>
      </c>
      <c r="B255" s="42" t="s">
        <v>915</v>
      </c>
      <c r="C255" s="43" t="s">
        <v>39</v>
      </c>
      <c r="D255" s="42" t="s">
        <v>75</v>
      </c>
      <c r="E255" s="42" t="s">
        <v>114</v>
      </c>
      <c r="F255" s="43" t="s">
        <v>916</v>
      </c>
      <c r="G255" s="43" t="s">
        <v>62</v>
      </c>
      <c r="H255" s="43" t="s">
        <v>241</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917</v>
      </c>
      <c r="B256" s="42" t="s">
        <v>918</v>
      </c>
      <c r="C256" s="43" t="s">
        <v>39</v>
      </c>
      <c r="D256" s="42" t="s">
        <v>40</v>
      </c>
      <c r="E256" s="42" t="s">
        <v>55</v>
      </c>
      <c r="F256" s="43" t="s">
        <v>919</v>
      </c>
      <c r="G256" s="43" t="s">
        <v>920</v>
      </c>
      <c r="H256" s="43" t="s">
        <v>921</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922</v>
      </c>
      <c r="B257" s="42" t="s">
        <v>923</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924</v>
      </c>
      <c r="B258" s="42" t="s">
        <v>925</v>
      </c>
      <c r="C258" s="43" t="s">
        <v>39</v>
      </c>
      <c r="D258" s="42" t="s">
        <v>40</v>
      </c>
      <c r="E258" s="42" t="s">
        <v>41</v>
      </c>
      <c r="F258" s="43" t="s">
        <v>926</v>
      </c>
      <c r="G258" s="43" t="s">
        <v>927</v>
      </c>
      <c r="H258" s="43" t="s">
        <v>928</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929</v>
      </c>
      <c r="B259" s="42" t="s">
        <v>930</v>
      </c>
      <c r="C259" s="43" t="s">
        <v>39</v>
      </c>
      <c r="D259" s="42" t="s">
        <v>40</v>
      </c>
      <c r="E259" s="42" t="s">
        <v>55</v>
      </c>
      <c r="F259" s="43" t="s">
        <v>61</v>
      </c>
      <c r="G259" s="43" t="s">
        <v>583</v>
      </c>
      <c r="H259" s="43" t="s">
        <v>584</v>
      </c>
      <c r="I259" s="43" t="s">
        <v>268</v>
      </c>
      <c r="J259" s="43">
        <v>2019</v>
      </c>
      <c r="K259" s="43">
        <v>71</v>
      </c>
      <c r="L259" s="42">
        <v>61</v>
      </c>
      <c r="M259" s="43">
        <v>59</v>
      </c>
      <c r="N259" s="43" t="s">
        <v>46</v>
      </c>
      <c r="O259" s="43">
        <v>2025</v>
      </c>
      <c r="Q259" s="21" t="s">
        <v>47</v>
      </c>
      <c r="S259" s="42"/>
      <c r="T259" s="42"/>
      <c r="U259" s="42"/>
      <c r="V259" s="69">
        <v>-2.1240772300000001</v>
      </c>
      <c r="W259" s="42">
        <v>106.0698871</v>
      </c>
      <c r="X259" s="42"/>
      <c r="Y259" s="44"/>
      <c r="Z259" s="26" t="s">
        <v>50</v>
      </c>
      <c r="AA259" s="39" t="s">
        <v>51</v>
      </c>
      <c r="AB259" s="71">
        <v>46220</v>
      </c>
      <c r="AC259" s="41" t="s">
        <v>52</v>
      </c>
      <c r="AD259" s="45">
        <f t="shared" si="18"/>
        <v>0.85915492957746475</v>
      </c>
      <c r="AE259" s="45">
        <f t="shared" si="19"/>
        <v>0.96721311475409832</v>
      </c>
      <c r="AF259" s="220"/>
      <c r="AG259" s="221"/>
      <c r="AH259" s="222"/>
    </row>
    <row r="260" spans="1:34" s="43" customFormat="1" ht="25">
      <c r="A260" s="27" t="s">
        <v>931</v>
      </c>
      <c r="B260" s="42" t="s">
        <v>932</v>
      </c>
      <c r="C260" s="43" t="s">
        <v>39</v>
      </c>
      <c r="D260" s="42" t="s">
        <v>75</v>
      </c>
      <c r="E260" s="42" t="s">
        <v>114</v>
      </c>
      <c r="F260" s="43" t="s">
        <v>933</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934</v>
      </c>
      <c r="B261" s="42" t="s">
        <v>935</v>
      </c>
      <c r="C261" s="43" t="s">
        <v>226</v>
      </c>
      <c r="D261" s="42" t="s">
        <v>433</v>
      </c>
      <c r="E261" s="42" t="s">
        <v>434</v>
      </c>
      <c r="F261" s="43" t="s">
        <v>936</v>
      </c>
      <c r="G261" s="43" t="s">
        <v>62</v>
      </c>
      <c r="H261" s="43" t="s">
        <v>937</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938</v>
      </c>
      <c r="B262" s="42" t="s">
        <v>939</v>
      </c>
      <c r="C262" s="43" t="s">
        <v>39</v>
      </c>
      <c r="D262" s="42" t="s">
        <v>40</v>
      </c>
      <c r="E262" s="42" t="s">
        <v>41</v>
      </c>
      <c r="F262" s="43" t="s">
        <v>132</v>
      </c>
      <c r="G262" s="43" t="s">
        <v>940</v>
      </c>
      <c r="H262" s="43" t="s">
        <v>829</v>
      </c>
      <c r="I262" s="208" t="s">
        <v>218</v>
      </c>
      <c r="J262" s="43">
        <v>2017</v>
      </c>
      <c r="K262" s="43">
        <v>43</v>
      </c>
      <c r="L262" s="42">
        <v>20</v>
      </c>
      <c r="M262" s="43">
        <v>20</v>
      </c>
      <c r="N262" s="43" t="s">
        <v>64</v>
      </c>
      <c r="Q262" s="21" t="s">
        <v>47</v>
      </c>
      <c r="R262" s="21" t="s">
        <v>249</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941</v>
      </c>
      <c r="B263" s="42" t="s">
        <v>942</v>
      </c>
      <c r="C263" s="43" t="s">
        <v>39</v>
      </c>
      <c r="D263" s="42" t="s">
        <v>40</v>
      </c>
      <c r="E263" s="42" t="s">
        <v>41</v>
      </c>
      <c r="F263" s="43" t="s">
        <v>67</v>
      </c>
      <c r="G263" s="43" t="s">
        <v>940</v>
      </c>
      <c r="H263" s="43" t="s">
        <v>829</v>
      </c>
      <c r="I263" s="208" t="s">
        <v>218</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943</v>
      </c>
      <c r="B264" s="42" t="s">
        <v>944</v>
      </c>
      <c r="C264" s="43" t="s">
        <v>39</v>
      </c>
      <c r="D264" s="42" t="s">
        <v>75</v>
      </c>
      <c r="E264" s="42" t="s">
        <v>375</v>
      </c>
      <c r="F264" s="43" t="s">
        <v>945</v>
      </c>
      <c r="G264" s="43" t="s">
        <v>940</v>
      </c>
      <c r="H264" s="43" t="s">
        <v>829</v>
      </c>
      <c r="I264" s="208" t="s">
        <v>218</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946</v>
      </c>
      <c r="B265" s="42" t="s">
        <v>947</v>
      </c>
      <c r="C265" s="43" t="s">
        <v>39</v>
      </c>
      <c r="D265" s="42" t="s">
        <v>75</v>
      </c>
      <c r="E265" s="42" t="s">
        <v>114</v>
      </c>
      <c r="F265" s="43" t="s">
        <v>286</v>
      </c>
      <c r="G265" s="43" t="s">
        <v>62</v>
      </c>
      <c r="H265" s="43" t="s">
        <v>62</v>
      </c>
      <c r="I265" s="43" t="s">
        <v>62</v>
      </c>
      <c r="J265" s="43">
        <v>2008</v>
      </c>
      <c r="K265" s="43">
        <v>102</v>
      </c>
      <c r="L265" s="42">
        <v>102</v>
      </c>
      <c r="M265" s="43">
        <v>102</v>
      </c>
      <c r="N265" s="43" t="s">
        <v>64</v>
      </c>
      <c r="Q265" s="21" t="s">
        <v>47</v>
      </c>
      <c r="S265" s="17" t="s">
        <v>242</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948</v>
      </c>
      <c r="B266" s="42" t="s">
        <v>949</v>
      </c>
      <c r="C266" s="43" t="s">
        <v>39</v>
      </c>
      <c r="D266" s="42" t="s">
        <v>102</v>
      </c>
      <c r="E266" s="42" t="s">
        <v>277</v>
      </c>
      <c r="F266" s="43" t="s">
        <v>950</v>
      </c>
      <c r="G266" s="43" t="s">
        <v>951</v>
      </c>
      <c r="H266" s="43" t="s">
        <v>952</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953</v>
      </c>
      <c r="B267" s="42" t="s">
        <v>954</v>
      </c>
      <c r="C267" s="43" t="s">
        <v>39</v>
      </c>
      <c r="D267" s="42" t="s">
        <v>126</v>
      </c>
      <c r="E267" s="42" t="s">
        <v>291</v>
      </c>
      <c r="F267" s="43" t="s">
        <v>955</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956</v>
      </c>
      <c r="B268" s="42" t="s">
        <v>957</v>
      </c>
      <c r="C268" s="43" t="s">
        <v>39</v>
      </c>
      <c r="D268" s="42" t="s">
        <v>126</v>
      </c>
      <c r="E268" s="42" t="s">
        <v>291</v>
      </c>
      <c r="F268" s="43" t="s">
        <v>955</v>
      </c>
      <c r="G268" s="43" t="s">
        <v>958</v>
      </c>
      <c r="H268" s="43" t="s">
        <v>959</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960</v>
      </c>
      <c r="B269" s="42" t="s">
        <v>961</v>
      </c>
      <c r="C269" s="43" t="s">
        <v>39</v>
      </c>
      <c r="D269" s="42" t="s">
        <v>102</v>
      </c>
      <c r="E269" s="42" t="s">
        <v>158</v>
      </c>
      <c r="F269" s="43" t="s">
        <v>215</v>
      </c>
      <c r="G269" s="43" t="s">
        <v>962</v>
      </c>
      <c r="H269" s="43" t="s">
        <v>963</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964</v>
      </c>
      <c r="B270" s="42" t="s">
        <v>965</v>
      </c>
      <c r="C270" s="43" t="s">
        <v>39</v>
      </c>
      <c r="D270" s="42" t="s">
        <v>102</v>
      </c>
      <c r="E270" s="42" t="s">
        <v>158</v>
      </c>
      <c r="F270" s="43" t="s">
        <v>966</v>
      </c>
      <c r="G270" s="43" t="s">
        <v>967</v>
      </c>
      <c r="H270" s="43" t="s">
        <v>963</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968</v>
      </c>
      <c r="B271" s="42" t="s">
        <v>969</v>
      </c>
      <c r="C271" s="43" t="s">
        <v>39</v>
      </c>
      <c r="D271" s="42" t="s">
        <v>102</v>
      </c>
      <c r="E271" s="42" t="s">
        <v>158</v>
      </c>
      <c r="F271" s="43" t="s">
        <v>215</v>
      </c>
      <c r="G271" s="43" t="s">
        <v>967</v>
      </c>
      <c r="H271" s="43" t="s">
        <v>963</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970</v>
      </c>
      <c r="B272" s="42" t="s">
        <v>971</v>
      </c>
      <c r="C272" s="43" t="s">
        <v>39</v>
      </c>
      <c r="D272" s="42" t="s">
        <v>40</v>
      </c>
      <c r="E272" s="42" t="s">
        <v>41</v>
      </c>
      <c r="F272" s="43" t="s">
        <v>132</v>
      </c>
      <c r="G272" s="43" t="s">
        <v>967</v>
      </c>
      <c r="H272" s="43" t="s">
        <v>972</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973</v>
      </c>
      <c r="B273" s="42" t="s">
        <v>974</v>
      </c>
      <c r="C273" s="43" t="s">
        <v>39</v>
      </c>
      <c r="D273" s="42" t="s">
        <v>126</v>
      </c>
      <c r="E273" s="42" t="s">
        <v>291</v>
      </c>
      <c r="F273" s="43" t="s">
        <v>955</v>
      </c>
      <c r="G273" s="43" t="s">
        <v>967</v>
      </c>
      <c r="H273" s="43" t="s">
        <v>975</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976</v>
      </c>
      <c r="B274" s="42" t="s">
        <v>977</v>
      </c>
      <c r="C274" s="43" t="s">
        <v>39</v>
      </c>
      <c r="D274" s="42" t="s">
        <v>126</v>
      </c>
      <c r="E274" s="42" t="s">
        <v>291</v>
      </c>
      <c r="F274" s="43" t="s">
        <v>955</v>
      </c>
      <c r="G274" s="43" t="s">
        <v>967</v>
      </c>
      <c r="H274" s="43" t="s">
        <v>975</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978</v>
      </c>
      <c r="B275" s="42" t="s">
        <v>979</v>
      </c>
      <c r="C275" s="43" t="s">
        <v>39</v>
      </c>
      <c r="D275" s="42" t="s">
        <v>102</v>
      </c>
      <c r="E275" s="42" t="s">
        <v>120</v>
      </c>
      <c r="F275" s="43" t="s">
        <v>862</v>
      </c>
      <c r="G275" s="43" t="s">
        <v>967</v>
      </c>
      <c r="H275" s="43" t="s">
        <v>975</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980</v>
      </c>
      <c r="B276" s="42" t="s">
        <v>981</v>
      </c>
      <c r="C276" s="43" t="s">
        <v>39</v>
      </c>
      <c r="D276" s="42" t="s">
        <v>40</v>
      </c>
      <c r="E276" s="42" t="s">
        <v>41</v>
      </c>
      <c r="F276" s="43" t="s">
        <v>132</v>
      </c>
      <c r="G276" s="43" t="s">
        <v>967</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982</v>
      </c>
      <c r="B277" s="42" t="s">
        <v>983</v>
      </c>
      <c r="C277" s="43" t="s">
        <v>39</v>
      </c>
      <c r="D277" s="42" t="s">
        <v>40</v>
      </c>
      <c r="E277" s="42" t="s">
        <v>41</v>
      </c>
      <c r="F277" s="43" t="s">
        <v>984</v>
      </c>
      <c r="G277" s="43" t="s">
        <v>985</v>
      </c>
      <c r="H277" s="43" t="s">
        <v>986</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987</v>
      </c>
      <c r="B278" s="42" t="s">
        <v>988</v>
      </c>
      <c r="C278" s="43" t="s">
        <v>39</v>
      </c>
      <c r="D278" s="42" t="s">
        <v>40</v>
      </c>
      <c r="E278" s="42" t="s">
        <v>41</v>
      </c>
      <c r="F278" s="43" t="s">
        <v>984</v>
      </c>
      <c r="G278" s="43" t="s">
        <v>985</v>
      </c>
      <c r="H278" s="43" t="s">
        <v>986</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989</v>
      </c>
      <c r="B279" s="42" t="s">
        <v>990</v>
      </c>
      <c r="C279" s="43" t="s">
        <v>39</v>
      </c>
      <c r="D279" s="42" t="s">
        <v>102</v>
      </c>
      <c r="E279" s="42" t="s">
        <v>277</v>
      </c>
      <c r="F279" s="43" t="s">
        <v>604</v>
      </c>
      <c r="G279" s="43" t="s">
        <v>991</v>
      </c>
      <c r="H279" s="43" t="s">
        <v>992</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993</v>
      </c>
      <c r="B280" s="42" t="s">
        <v>994</v>
      </c>
      <c r="C280" s="43" t="s">
        <v>226</v>
      </c>
      <c r="D280" s="42" t="s">
        <v>126</v>
      </c>
      <c r="E280" s="42" t="s">
        <v>291</v>
      </c>
      <c r="F280" s="43" t="s">
        <v>945</v>
      </c>
      <c r="G280" s="43" t="s">
        <v>62</v>
      </c>
      <c r="H280" s="43" t="s">
        <v>995</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996</v>
      </c>
      <c r="B281" s="42" t="s">
        <v>997</v>
      </c>
      <c r="C281" s="43" t="s">
        <v>39</v>
      </c>
      <c r="D281" s="42" t="s">
        <v>40</v>
      </c>
      <c r="E281" s="42" t="s">
        <v>55</v>
      </c>
      <c r="F281" s="43" t="s">
        <v>769</v>
      </c>
      <c r="G281" s="43" t="s">
        <v>998</v>
      </c>
      <c r="H281" s="43" t="s">
        <v>999</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1000</v>
      </c>
      <c r="B282" s="42" t="s">
        <v>1001</v>
      </c>
      <c r="C282" s="43" t="s">
        <v>226</v>
      </c>
      <c r="D282" s="42" t="s">
        <v>75</v>
      </c>
      <c r="E282" s="42" t="s">
        <v>114</v>
      </c>
      <c r="F282" s="43" t="s">
        <v>673</v>
      </c>
      <c r="G282" s="43" t="s">
        <v>674</v>
      </c>
      <c r="H282" s="43" t="s">
        <v>686</v>
      </c>
      <c r="I282" s="43" t="s">
        <v>45</v>
      </c>
      <c r="J282" s="43" t="s">
        <v>635</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1002</v>
      </c>
      <c r="B283" s="42" t="s">
        <v>1003</v>
      </c>
      <c r="C283" s="43" t="s">
        <v>226</v>
      </c>
      <c r="D283" s="42" t="s">
        <v>102</v>
      </c>
      <c r="E283" s="42" t="s">
        <v>576</v>
      </c>
      <c r="F283" s="43" t="s">
        <v>1004</v>
      </c>
      <c r="G283" s="43" t="s">
        <v>62</v>
      </c>
      <c r="H283" s="43" t="s">
        <v>1005</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1006</v>
      </c>
      <c r="B284" s="42" t="s">
        <v>1007</v>
      </c>
      <c r="C284" s="43" t="s">
        <v>226</v>
      </c>
      <c r="D284" s="42" t="s">
        <v>102</v>
      </c>
      <c r="E284" s="42" t="s">
        <v>576</v>
      </c>
      <c r="F284" s="43" t="s">
        <v>1008</v>
      </c>
      <c r="G284" s="43" t="s">
        <v>62</v>
      </c>
      <c r="H284" s="43" t="s">
        <v>1005</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1009</v>
      </c>
      <c r="B285" s="42" t="s">
        <v>1010</v>
      </c>
      <c r="C285" s="43" t="s">
        <v>226</v>
      </c>
      <c r="D285" s="42" t="s">
        <v>433</v>
      </c>
      <c r="E285" s="42" t="s">
        <v>434</v>
      </c>
      <c r="F285" s="43" t="s">
        <v>1011</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1012</v>
      </c>
      <c r="B286" s="42" t="s">
        <v>1013</v>
      </c>
      <c r="C286" s="43" t="s">
        <v>39</v>
      </c>
      <c r="D286" s="42" t="s">
        <v>102</v>
      </c>
      <c r="E286" s="42" t="s">
        <v>158</v>
      </c>
      <c r="F286" s="43" t="s">
        <v>1014</v>
      </c>
      <c r="G286" s="43" t="s">
        <v>140</v>
      </c>
      <c r="H286" s="43" t="s">
        <v>1015</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1016</v>
      </c>
      <c r="B287" s="42" t="s">
        <v>1017</v>
      </c>
      <c r="C287" s="43" t="s">
        <v>39</v>
      </c>
      <c r="D287" s="42" t="s">
        <v>102</v>
      </c>
      <c r="E287" s="42" t="s">
        <v>158</v>
      </c>
      <c r="F287" s="43" t="s">
        <v>441</v>
      </c>
      <c r="G287" s="43" t="s">
        <v>1018</v>
      </c>
      <c r="H287" s="43" t="s">
        <v>1019</v>
      </c>
      <c r="I287" s="208" t="s">
        <v>218</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1020</v>
      </c>
      <c r="B288" s="42" t="s">
        <v>1021</v>
      </c>
      <c r="C288" s="43" t="s">
        <v>39</v>
      </c>
      <c r="D288" s="42" t="s">
        <v>102</v>
      </c>
      <c r="E288" s="42" t="s">
        <v>158</v>
      </c>
      <c r="F288" s="43" t="s">
        <v>441</v>
      </c>
      <c r="G288" s="43" t="s">
        <v>1022</v>
      </c>
      <c r="H288" s="43" t="s">
        <v>1023</v>
      </c>
      <c r="I288" s="208" t="s">
        <v>218</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1024</v>
      </c>
      <c r="B289" s="42" t="s">
        <v>1025</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1026</v>
      </c>
      <c r="B290" s="42" t="s">
        <v>1027</v>
      </c>
      <c r="C290" s="43" t="s">
        <v>39</v>
      </c>
      <c r="D290" s="42" t="s">
        <v>40</v>
      </c>
      <c r="E290" s="42" t="s">
        <v>41</v>
      </c>
      <c r="F290" s="43" t="s">
        <v>564</v>
      </c>
      <c r="G290" s="43" t="s">
        <v>1028</v>
      </c>
      <c r="H290" s="43" t="s">
        <v>1029</v>
      </c>
      <c r="I290" s="43" t="s">
        <v>142</v>
      </c>
      <c r="J290" s="43">
        <v>2024</v>
      </c>
      <c r="K290" s="43">
        <v>36</v>
      </c>
      <c r="L290" s="42">
        <v>10</v>
      </c>
      <c r="M290" s="43">
        <v>3</v>
      </c>
      <c r="N290" s="43" t="s">
        <v>64</v>
      </c>
      <c r="Q290" s="21" t="s">
        <v>47</v>
      </c>
      <c r="R290" s="21" t="s">
        <v>110</v>
      </c>
      <c r="S290" s="42"/>
      <c r="T290" s="42"/>
      <c r="U290" s="42"/>
      <c r="V290" s="69">
        <v>-2.1021866</v>
      </c>
      <c r="W290" s="42">
        <v>106.05145090000001</v>
      </c>
      <c r="X290" s="42"/>
      <c r="Y290" s="44"/>
      <c r="Z290" s="26" t="s">
        <v>50</v>
      </c>
      <c r="AA290" s="39" t="s">
        <v>51</v>
      </c>
      <c r="AB290" s="71">
        <v>46220</v>
      </c>
      <c r="AC290" s="41" t="s">
        <v>52</v>
      </c>
      <c r="AD290" s="45">
        <f t="shared" si="20"/>
        <v>0.27777777777777779</v>
      </c>
      <c r="AE290" s="45">
        <f t="shared" si="21"/>
        <v>0.3</v>
      </c>
      <c r="AF290" s="220"/>
      <c r="AG290" s="221"/>
      <c r="AH290" s="222"/>
    </row>
    <row r="291" spans="1:34" s="43" customFormat="1" ht="25">
      <c r="A291" s="27" t="s">
        <v>1030</v>
      </c>
      <c r="B291" s="42" t="s">
        <v>1031</v>
      </c>
      <c r="C291" s="43" t="s">
        <v>39</v>
      </c>
      <c r="D291" s="42" t="s">
        <v>75</v>
      </c>
      <c r="E291" s="42" t="s">
        <v>87</v>
      </c>
      <c r="F291" s="43" t="s">
        <v>99</v>
      </c>
      <c r="G291" s="43" t="s">
        <v>1032</v>
      </c>
      <c r="H291" s="43" t="s">
        <v>1033</v>
      </c>
      <c r="I291" s="43" t="s">
        <v>62</v>
      </c>
      <c r="J291" s="43">
        <v>2015</v>
      </c>
      <c r="K291" s="43">
        <v>51</v>
      </c>
      <c r="L291" s="42">
        <v>23</v>
      </c>
      <c r="M291" s="43">
        <v>15</v>
      </c>
      <c r="N291" s="43" t="s">
        <v>64</v>
      </c>
      <c r="Q291" s="21" t="s">
        <v>47</v>
      </c>
      <c r="R291" s="21" t="s">
        <v>110</v>
      </c>
      <c r="S291" s="42"/>
      <c r="T291" s="42"/>
      <c r="U291" s="42"/>
      <c r="V291" s="69">
        <v>-2.0845900999999998</v>
      </c>
      <c r="W291" s="42">
        <v>106.0979296</v>
      </c>
      <c r="X291" s="42"/>
      <c r="Y291" s="44"/>
      <c r="Z291" s="26" t="s">
        <v>50</v>
      </c>
      <c r="AA291" s="39" t="s">
        <v>51</v>
      </c>
      <c r="AB291" s="71">
        <v>46220</v>
      </c>
      <c r="AC291" s="41" t="s">
        <v>52</v>
      </c>
      <c r="AD291" s="45">
        <f t="shared" si="20"/>
        <v>0.45098039215686275</v>
      </c>
      <c r="AE291" s="45">
        <f t="shared" si="21"/>
        <v>0.65217391304347827</v>
      </c>
      <c r="AF291" s="220"/>
      <c r="AG291" s="221"/>
      <c r="AH291" s="222"/>
    </row>
    <row r="292" spans="1:34" s="43" customFormat="1" ht="25">
      <c r="A292" s="27" t="s">
        <v>1034</v>
      </c>
      <c r="B292" s="42" t="s">
        <v>1035</v>
      </c>
      <c r="C292" s="43" t="s">
        <v>39</v>
      </c>
      <c r="D292" s="42" t="s">
        <v>102</v>
      </c>
      <c r="E292" s="42" t="s">
        <v>277</v>
      </c>
      <c r="F292" s="43" t="s">
        <v>1036</v>
      </c>
      <c r="G292" s="43" t="s">
        <v>1037</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1038</v>
      </c>
      <c r="B293" s="42" t="s">
        <v>1039</v>
      </c>
      <c r="C293" s="43" t="s">
        <v>39</v>
      </c>
      <c r="D293" s="42" t="s">
        <v>433</v>
      </c>
      <c r="E293" s="42" t="s">
        <v>434</v>
      </c>
      <c r="F293" s="43" t="s">
        <v>638</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1040</v>
      </c>
      <c r="B294" s="42" t="s">
        <v>1041</v>
      </c>
      <c r="C294" s="43" t="s">
        <v>39</v>
      </c>
      <c r="D294" s="42" t="s">
        <v>433</v>
      </c>
      <c r="E294" s="42" t="s">
        <v>434</v>
      </c>
      <c r="F294" s="43" t="s">
        <v>1042</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1043</v>
      </c>
      <c r="B295" s="42" t="s">
        <v>1044</v>
      </c>
      <c r="C295" s="43" t="s">
        <v>39</v>
      </c>
      <c r="D295" s="42" t="s">
        <v>40</v>
      </c>
      <c r="E295" s="42" t="s">
        <v>55</v>
      </c>
      <c r="F295" s="43" t="s">
        <v>338</v>
      </c>
      <c r="G295" s="43" t="s">
        <v>502</v>
      </c>
      <c r="H295" s="43" t="s">
        <v>503</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1045</v>
      </c>
      <c r="B296" s="42" t="s">
        <v>1046</v>
      </c>
      <c r="C296" s="43" t="s">
        <v>39</v>
      </c>
      <c r="D296" s="42" t="s">
        <v>75</v>
      </c>
      <c r="E296" s="42" t="s">
        <v>87</v>
      </c>
      <c r="F296" s="43" t="s">
        <v>1047</v>
      </c>
      <c r="G296" s="43" t="s">
        <v>502</v>
      </c>
      <c r="H296" s="43" t="s">
        <v>503</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1048</v>
      </c>
      <c r="B297" s="42" t="s">
        <v>1049</v>
      </c>
      <c r="C297" s="43" t="s">
        <v>39</v>
      </c>
      <c r="D297" s="42" t="s">
        <v>75</v>
      </c>
      <c r="E297" s="42" t="s">
        <v>375</v>
      </c>
      <c r="F297" s="43" t="s">
        <v>1050</v>
      </c>
      <c r="G297" s="43" t="s">
        <v>1051</v>
      </c>
      <c r="H297" s="43" t="s">
        <v>1052</v>
      </c>
      <c r="I297" s="43" t="s">
        <v>142</v>
      </c>
      <c r="J297" s="43">
        <v>2017</v>
      </c>
      <c r="K297" s="43">
        <v>15</v>
      </c>
      <c r="L297" s="42">
        <v>15</v>
      </c>
      <c r="M297" s="43">
        <v>14</v>
      </c>
      <c r="N297" s="43" t="s">
        <v>46</v>
      </c>
      <c r="O297" s="43">
        <v>2022</v>
      </c>
      <c r="Q297" s="21" t="s">
        <v>47</v>
      </c>
      <c r="R297" s="43" t="s">
        <v>249</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1053</v>
      </c>
      <c r="B298" s="42" t="s">
        <v>1054</v>
      </c>
      <c r="C298" s="43" t="s">
        <v>39</v>
      </c>
      <c r="D298" s="42" t="s">
        <v>75</v>
      </c>
      <c r="E298" s="42" t="s">
        <v>375</v>
      </c>
      <c r="F298" s="43" t="s">
        <v>1055</v>
      </c>
      <c r="G298" s="43" t="s">
        <v>1056</v>
      </c>
      <c r="H298" s="43" t="s">
        <v>1052</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1057</v>
      </c>
      <c r="B299" s="42" t="s">
        <v>1058</v>
      </c>
      <c r="C299" s="43" t="s">
        <v>39</v>
      </c>
      <c r="D299" s="42" t="s">
        <v>75</v>
      </c>
      <c r="E299" s="42" t="s">
        <v>375</v>
      </c>
      <c r="F299" s="43" t="s">
        <v>1055</v>
      </c>
      <c r="G299" s="43" t="s">
        <v>1059</v>
      </c>
      <c r="H299" s="43" t="s">
        <v>1052</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1060</v>
      </c>
      <c r="B300" s="42" t="s">
        <v>1061</v>
      </c>
      <c r="C300" s="43" t="s">
        <v>39</v>
      </c>
      <c r="D300" s="42" t="s">
        <v>75</v>
      </c>
      <c r="E300" s="42" t="s">
        <v>375</v>
      </c>
      <c r="F300" s="43" t="s">
        <v>1055</v>
      </c>
      <c r="G300" s="43" t="s">
        <v>1059</v>
      </c>
      <c r="H300" s="43" t="s">
        <v>1052</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1062</v>
      </c>
      <c r="B301" s="42" t="s">
        <v>1063</v>
      </c>
      <c r="C301" s="43" t="s">
        <v>39</v>
      </c>
      <c r="D301" s="42" t="s">
        <v>75</v>
      </c>
      <c r="E301" s="42" t="s">
        <v>375</v>
      </c>
      <c r="F301" s="43" t="s">
        <v>1064</v>
      </c>
      <c r="G301" s="43" t="s">
        <v>1059</v>
      </c>
      <c r="H301" s="43" t="s">
        <v>1052</v>
      </c>
      <c r="I301" s="43" t="s">
        <v>142</v>
      </c>
      <c r="J301" s="43">
        <v>2017</v>
      </c>
      <c r="K301" s="43">
        <v>26</v>
      </c>
      <c r="L301" s="42">
        <v>26</v>
      </c>
      <c r="M301" s="43">
        <v>24</v>
      </c>
      <c r="N301" s="43" t="s">
        <v>46</v>
      </c>
      <c r="O301" s="43">
        <v>2022</v>
      </c>
      <c r="Q301" s="21" t="s">
        <v>47</v>
      </c>
      <c r="R301" s="43" t="s">
        <v>249</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1065</v>
      </c>
      <c r="B302" s="42" t="s">
        <v>1066</v>
      </c>
      <c r="C302" s="43" t="s">
        <v>39</v>
      </c>
      <c r="D302" s="42" t="s">
        <v>75</v>
      </c>
      <c r="E302" s="42" t="s">
        <v>76</v>
      </c>
      <c r="F302" s="43" t="s">
        <v>1067</v>
      </c>
      <c r="G302" s="43" t="s">
        <v>1059</v>
      </c>
      <c r="H302" s="43" t="s">
        <v>1052</v>
      </c>
      <c r="I302" s="43" t="s">
        <v>142</v>
      </c>
      <c r="J302" s="43">
        <v>2018</v>
      </c>
      <c r="K302" s="43">
        <v>55</v>
      </c>
      <c r="L302" s="42">
        <v>55</v>
      </c>
      <c r="M302" s="43">
        <v>54</v>
      </c>
      <c r="N302" s="43" t="s">
        <v>46</v>
      </c>
      <c r="O302" s="43">
        <v>2022</v>
      </c>
      <c r="Q302" s="43" t="s">
        <v>89</v>
      </c>
      <c r="R302" s="43" t="s">
        <v>249</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1068</v>
      </c>
      <c r="B303" s="42" t="s">
        <v>1069</v>
      </c>
      <c r="C303" s="43" t="s">
        <v>39</v>
      </c>
      <c r="D303" s="42" t="s">
        <v>40</v>
      </c>
      <c r="E303" s="42" t="s">
        <v>177</v>
      </c>
      <c r="F303" s="43" t="s">
        <v>1070</v>
      </c>
      <c r="G303" s="43" t="s">
        <v>1059</v>
      </c>
      <c r="H303" s="43" t="s">
        <v>1052</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1071</v>
      </c>
      <c r="B304" s="42" t="s">
        <v>1072</v>
      </c>
      <c r="C304" s="43" t="s">
        <v>39</v>
      </c>
      <c r="D304" s="42" t="s">
        <v>40</v>
      </c>
      <c r="E304" s="42" t="s">
        <v>252</v>
      </c>
      <c r="F304" s="43" t="s">
        <v>253</v>
      </c>
      <c r="G304" s="43" t="s">
        <v>1059</v>
      </c>
      <c r="H304" s="43" t="s">
        <v>1052</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1073</v>
      </c>
      <c r="B305" s="42" t="s">
        <v>1074</v>
      </c>
      <c r="C305" s="43" t="s">
        <v>39</v>
      </c>
      <c r="D305" s="42" t="s">
        <v>75</v>
      </c>
      <c r="E305" s="42" t="s">
        <v>76</v>
      </c>
      <c r="F305" s="43" t="s">
        <v>1075</v>
      </c>
      <c r="G305" s="43" t="s">
        <v>1059</v>
      </c>
      <c r="H305" s="43" t="s">
        <v>1052</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1076</v>
      </c>
      <c r="B306" s="42" t="s">
        <v>1077</v>
      </c>
      <c r="C306" s="43" t="s">
        <v>39</v>
      </c>
      <c r="D306" s="42" t="s">
        <v>40</v>
      </c>
      <c r="E306" s="42" t="s">
        <v>55</v>
      </c>
      <c r="F306" s="43" t="s">
        <v>61</v>
      </c>
      <c r="G306" s="43" t="s">
        <v>1059</v>
      </c>
      <c r="H306" s="43" t="s">
        <v>1052</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1078</v>
      </c>
      <c r="B307" s="42" t="s">
        <v>1079</v>
      </c>
      <c r="C307" s="43" t="s">
        <v>39</v>
      </c>
      <c r="D307" s="42" t="s">
        <v>75</v>
      </c>
      <c r="E307" s="42" t="s">
        <v>87</v>
      </c>
      <c r="F307" s="43" t="s">
        <v>703</v>
      </c>
      <c r="G307" s="43" t="s">
        <v>1059</v>
      </c>
      <c r="H307" s="43" t="s">
        <v>1052</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1080</v>
      </c>
      <c r="B308" s="42" t="s">
        <v>1081</v>
      </c>
      <c r="C308" s="43" t="s">
        <v>39</v>
      </c>
      <c r="D308" s="42" t="s">
        <v>40</v>
      </c>
      <c r="E308" s="42" t="s">
        <v>41</v>
      </c>
      <c r="F308" s="43" t="s">
        <v>1082</v>
      </c>
      <c r="G308" s="43" t="s">
        <v>1059</v>
      </c>
      <c r="H308" s="43" t="s">
        <v>1052</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1083</v>
      </c>
      <c r="B309" s="42" t="s">
        <v>1084</v>
      </c>
      <c r="C309" s="43" t="s">
        <v>39</v>
      </c>
      <c r="D309" s="42" t="s">
        <v>75</v>
      </c>
      <c r="E309" s="42" t="s">
        <v>87</v>
      </c>
      <c r="F309" s="43" t="s">
        <v>92</v>
      </c>
      <c r="G309" s="43" t="s">
        <v>1059</v>
      </c>
      <c r="H309" s="43" t="s">
        <v>755</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1085</v>
      </c>
      <c r="B310" s="42" t="s">
        <v>1086</v>
      </c>
      <c r="C310" s="43" t="s">
        <v>39</v>
      </c>
      <c r="D310" s="42" t="s">
        <v>40</v>
      </c>
      <c r="E310" s="42" t="s">
        <v>41</v>
      </c>
      <c r="F310" s="43" t="s">
        <v>1082</v>
      </c>
      <c r="G310" s="43" t="s">
        <v>1059</v>
      </c>
      <c r="H310" s="43" t="s">
        <v>1087</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1088</v>
      </c>
      <c r="B311" s="42" t="s">
        <v>1089</v>
      </c>
      <c r="C311" s="43" t="s">
        <v>39</v>
      </c>
      <c r="D311" s="42" t="s">
        <v>75</v>
      </c>
      <c r="E311" s="42" t="s">
        <v>76</v>
      </c>
      <c r="F311" s="43" t="s">
        <v>1090</v>
      </c>
      <c r="G311" s="43" t="s">
        <v>1059</v>
      </c>
      <c r="H311" s="43" t="s">
        <v>755</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1091</v>
      </c>
      <c r="B312" s="42" t="s">
        <v>1092</v>
      </c>
      <c r="C312" s="43" t="s">
        <v>39</v>
      </c>
      <c r="D312" s="42" t="s">
        <v>40</v>
      </c>
      <c r="E312" s="42" t="s">
        <v>41</v>
      </c>
      <c r="F312" s="43" t="s">
        <v>132</v>
      </c>
      <c r="G312" s="43" t="s">
        <v>1059</v>
      </c>
      <c r="H312" s="43" t="s">
        <v>1087</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1093</v>
      </c>
      <c r="B313" s="42" t="s">
        <v>1094</v>
      </c>
      <c r="C313" s="43" t="s">
        <v>39</v>
      </c>
      <c r="D313" s="42" t="s">
        <v>75</v>
      </c>
      <c r="E313" s="42" t="s">
        <v>75</v>
      </c>
      <c r="F313" s="43" t="s">
        <v>1095</v>
      </c>
      <c r="G313" s="43" t="s">
        <v>1059</v>
      </c>
      <c r="H313" s="43" t="s">
        <v>1087</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1096</v>
      </c>
      <c r="B314" s="42" t="s">
        <v>1097</v>
      </c>
      <c r="C314" s="43" t="s">
        <v>39</v>
      </c>
      <c r="D314" s="42" t="s">
        <v>40</v>
      </c>
      <c r="E314" s="42" t="s">
        <v>177</v>
      </c>
      <c r="F314" s="43" t="s">
        <v>77</v>
      </c>
      <c r="G314" s="43" t="s">
        <v>1059</v>
      </c>
      <c r="H314" s="43" t="s">
        <v>755</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1098</v>
      </c>
      <c r="B315" s="42" t="s">
        <v>1099</v>
      </c>
      <c r="C315" s="43" t="s">
        <v>39</v>
      </c>
      <c r="D315" s="42" t="s">
        <v>40</v>
      </c>
      <c r="E315" s="42" t="s">
        <v>177</v>
      </c>
      <c r="F315" s="43" t="s">
        <v>77</v>
      </c>
      <c r="G315" s="43" t="s">
        <v>1059</v>
      </c>
      <c r="H315" s="43" t="s">
        <v>755</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1100</v>
      </c>
      <c r="B316" s="42" t="s">
        <v>1101</v>
      </c>
      <c r="C316" s="43" t="s">
        <v>226</v>
      </c>
      <c r="D316" s="42" t="s">
        <v>102</v>
      </c>
      <c r="E316" s="42" t="s">
        <v>277</v>
      </c>
      <c r="F316" s="43" t="s">
        <v>1102</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1103</v>
      </c>
      <c r="B317" s="42" t="s">
        <v>1104</v>
      </c>
      <c r="C317" s="43" t="s">
        <v>39</v>
      </c>
      <c r="D317" s="42" t="s">
        <v>40</v>
      </c>
      <c r="E317" s="42" t="s">
        <v>41</v>
      </c>
      <c r="F317" s="43" t="s">
        <v>564</v>
      </c>
      <c r="G317" s="43" t="s">
        <v>1105</v>
      </c>
      <c r="H317" s="43" t="s">
        <v>1106</v>
      </c>
      <c r="I317" s="43" t="s">
        <v>107</v>
      </c>
      <c r="J317" s="43">
        <v>2015</v>
      </c>
      <c r="K317" s="43">
        <v>75</v>
      </c>
      <c r="L317" s="42">
        <v>43</v>
      </c>
      <c r="M317" s="43">
        <v>43</v>
      </c>
      <c r="N317" s="43" t="s">
        <v>64</v>
      </c>
      <c r="Q317" s="21" t="s">
        <v>47</v>
      </c>
      <c r="R317" s="21" t="s">
        <v>110</v>
      </c>
      <c r="S317" s="42"/>
      <c r="T317" s="42"/>
      <c r="U317" s="42"/>
      <c r="V317" s="69"/>
      <c r="W317" s="42"/>
      <c r="X317" s="42"/>
      <c r="Y317" s="44"/>
      <c r="Z317" s="26" t="s">
        <v>50</v>
      </c>
      <c r="AA317" s="39" t="s">
        <v>51</v>
      </c>
      <c r="AB317" s="71">
        <v>46220</v>
      </c>
      <c r="AC317" s="41" t="s">
        <v>52</v>
      </c>
      <c r="AD317" s="45">
        <f t="shared" si="22"/>
        <v>0.57333333333333336</v>
      </c>
      <c r="AE317" s="45">
        <f t="shared" si="23"/>
        <v>1</v>
      </c>
      <c r="AF317" s="220"/>
      <c r="AG317" s="221"/>
      <c r="AH317" s="222"/>
    </row>
    <row r="318" spans="1:34" s="43" customFormat="1" ht="25">
      <c r="A318" s="27" t="s">
        <v>1107</v>
      </c>
      <c r="B318" s="42" t="s">
        <v>1108</v>
      </c>
      <c r="C318" s="43" t="s">
        <v>39</v>
      </c>
      <c r="D318" s="42" t="s">
        <v>40</v>
      </c>
      <c r="E318" s="42" t="s">
        <v>252</v>
      </c>
      <c r="F318" s="43" t="s">
        <v>253</v>
      </c>
      <c r="G318" s="43" t="s">
        <v>1105</v>
      </c>
      <c r="H318" s="43" t="s">
        <v>1106</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1109</v>
      </c>
      <c r="B319" s="42" t="s">
        <v>1110</v>
      </c>
      <c r="C319" s="43" t="s">
        <v>39</v>
      </c>
      <c r="D319" s="42" t="s">
        <v>40</v>
      </c>
      <c r="E319" s="42" t="s">
        <v>177</v>
      </c>
      <c r="F319" s="43" t="s">
        <v>253</v>
      </c>
      <c r="G319" s="43" t="s">
        <v>1111</v>
      </c>
      <c r="H319" s="43" t="s">
        <v>1106</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1112</v>
      </c>
      <c r="B320" s="42" t="s">
        <v>1113</v>
      </c>
      <c r="C320" s="43" t="s">
        <v>39</v>
      </c>
      <c r="D320" s="42" t="s">
        <v>102</v>
      </c>
      <c r="E320" s="42" t="s">
        <v>277</v>
      </c>
      <c r="F320" s="43" t="s">
        <v>660</v>
      </c>
      <c r="G320" s="43" t="s">
        <v>1114</v>
      </c>
      <c r="H320" s="43" t="s">
        <v>1115</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1116</v>
      </c>
      <c r="B321" s="42" t="s">
        <v>1117</v>
      </c>
      <c r="C321" s="43" t="s">
        <v>39</v>
      </c>
      <c r="D321" s="42" t="s">
        <v>75</v>
      </c>
      <c r="E321" s="42" t="s">
        <v>87</v>
      </c>
      <c r="F321" s="43" t="s">
        <v>683</v>
      </c>
      <c r="G321" s="43" t="s">
        <v>1118</v>
      </c>
      <c r="H321" s="43" t="s">
        <v>478</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1119</v>
      </c>
      <c r="B322" s="42" t="s">
        <v>1120</v>
      </c>
      <c r="C322" s="43" t="s">
        <v>39</v>
      </c>
      <c r="D322" s="42" t="s">
        <v>40</v>
      </c>
      <c r="E322" s="42" t="s">
        <v>41</v>
      </c>
      <c r="F322" s="43" t="s">
        <v>77</v>
      </c>
      <c r="G322" s="43" t="s">
        <v>502</v>
      </c>
      <c r="H322" s="43" t="s">
        <v>503</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1121</v>
      </c>
      <c r="B323" s="42" t="s">
        <v>1122</v>
      </c>
      <c r="C323" s="43" t="s">
        <v>39</v>
      </c>
      <c r="D323" s="42" t="s">
        <v>433</v>
      </c>
      <c r="E323" s="42" t="s">
        <v>434</v>
      </c>
      <c r="F323" s="43" t="s">
        <v>1123</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1124</v>
      </c>
      <c r="B324" s="42" t="s">
        <v>1125</v>
      </c>
      <c r="C324" s="43" t="s">
        <v>39</v>
      </c>
      <c r="D324" s="42" t="s">
        <v>433</v>
      </c>
      <c r="E324" s="42" t="s">
        <v>434</v>
      </c>
      <c r="F324" s="43" t="s">
        <v>1126</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1127</v>
      </c>
      <c r="B325" s="42" t="s">
        <v>1128</v>
      </c>
      <c r="C325" s="43" t="s">
        <v>39</v>
      </c>
      <c r="D325" s="42" t="s">
        <v>40</v>
      </c>
      <c r="E325" s="42" t="s">
        <v>41</v>
      </c>
      <c r="F325" s="43" t="s">
        <v>1129</v>
      </c>
      <c r="G325" s="43" t="s">
        <v>1130</v>
      </c>
      <c r="H325" s="43" t="s">
        <v>1131</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1132</v>
      </c>
      <c r="B326" s="42" t="s">
        <v>1133</v>
      </c>
      <c r="C326" s="43" t="s">
        <v>39</v>
      </c>
      <c r="D326" s="42" t="s">
        <v>40</v>
      </c>
      <c r="E326" s="42" t="s">
        <v>41</v>
      </c>
      <c r="F326" s="43" t="s">
        <v>1134</v>
      </c>
      <c r="G326" s="43" t="s">
        <v>502</v>
      </c>
      <c r="H326" s="43" t="s">
        <v>503</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1135</v>
      </c>
      <c r="B327" s="42" t="s">
        <v>1136</v>
      </c>
      <c r="C327" s="43" t="s">
        <v>39</v>
      </c>
      <c r="D327" s="42" t="s">
        <v>40</v>
      </c>
      <c r="E327" s="42" t="s">
        <v>41</v>
      </c>
      <c r="F327" s="43" t="s">
        <v>734</v>
      </c>
      <c r="G327" s="43" t="s">
        <v>502</v>
      </c>
      <c r="H327" s="43" t="s">
        <v>503</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1137</v>
      </c>
      <c r="B328" s="42" t="s">
        <v>1138</v>
      </c>
      <c r="C328" s="43" t="s">
        <v>226</v>
      </c>
      <c r="D328" s="42" t="s">
        <v>102</v>
      </c>
      <c r="E328" s="42" t="s">
        <v>158</v>
      </c>
      <c r="F328" s="43" t="s">
        <v>215</v>
      </c>
      <c r="G328" s="43" t="s">
        <v>1139</v>
      </c>
      <c r="H328" s="43" t="s">
        <v>1140</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1141</v>
      </c>
      <c r="B329" s="42" t="s">
        <v>1142</v>
      </c>
      <c r="C329" s="43" t="s">
        <v>39</v>
      </c>
      <c r="D329" s="42" t="s">
        <v>102</v>
      </c>
      <c r="E329" s="42" t="s">
        <v>158</v>
      </c>
      <c r="F329" s="43" t="s">
        <v>1143</v>
      </c>
      <c r="G329" s="43" t="s">
        <v>1144</v>
      </c>
      <c r="H329" s="43" t="s">
        <v>1145</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1146</v>
      </c>
      <c r="B330" s="42" t="s">
        <v>1147</v>
      </c>
      <c r="C330" s="43" t="s">
        <v>226</v>
      </c>
      <c r="D330" s="42" t="s">
        <v>102</v>
      </c>
      <c r="E330" s="42" t="s">
        <v>158</v>
      </c>
      <c r="F330" s="43" t="s">
        <v>1148</v>
      </c>
      <c r="G330" s="43" t="s">
        <v>1139</v>
      </c>
      <c r="H330" s="43" t="s">
        <v>1140</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1149</v>
      </c>
      <c r="B331" s="42" t="s">
        <v>1150</v>
      </c>
      <c r="C331" s="43" t="s">
        <v>226</v>
      </c>
      <c r="D331" s="42" t="s">
        <v>102</v>
      </c>
      <c r="E331" s="42" t="s">
        <v>120</v>
      </c>
      <c r="F331" s="43" t="s">
        <v>862</v>
      </c>
      <c r="G331" s="43" t="s">
        <v>1139</v>
      </c>
      <c r="H331" s="43" t="s">
        <v>1140</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1151</v>
      </c>
      <c r="B332" s="42" t="s">
        <v>1152</v>
      </c>
      <c r="C332" s="43" t="s">
        <v>39</v>
      </c>
      <c r="D332" s="42" t="s">
        <v>102</v>
      </c>
      <c r="E332" s="42" t="s">
        <v>120</v>
      </c>
      <c r="F332" s="43" t="s">
        <v>862</v>
      </c>
      <c r="G332" s="43" t="s">
        <v>1139</v>
      </c>
      <c r="H332" s="43" t="s">
        <v>1140</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1153</v>
      </c>
      <c r="B333" s="42" t="s">
        <v>1154</v>
      </c>
      <c r="C333" s="43" t="s">
        <v>39</v>
      </c>
      <c r="D333" s="42" t="s">
        <v>102</v>
      </c>
      <c r="E333" s="42" t="s">
        <v>277</v>
      </c>
      <c r="F333" s="43" t="s">
        <v>1148</v>
      </c>
      <c r="G333" s="43" t="s">
        <v>1139</v>
      </c>
      <c r="H333" s="43" t="s">
        <v>1140</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1155</v>
      </c>
      <c r="B334" s="42" t="s">
        <v>1156</v>
      </c>
      <c r="C334" s="43" t="s">
        <v>39</v>
      </c>
      <c r="D334" s="42" t="s">
        <v>75</v>
      </c>
      <c r="E334" s="42" t="s">
        <v>114</v>
      </c>
      <c r="F334" s="43" t="s">
        <v>286</v>
      </c>
      <c r="G334" s="43" t="s">
        <v>1157</v>
      </c>
      <c r="H334" s="43" t="s">
        <v>1158</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1159</v>
      </c>
      <c r="B335" s="42" t="s">
        <v>1160</v>
      </c>
      <c r="C335" s="43" t="s">
        <v>39</v>
      </c>
      <c r="D335" s="42" t="s">
        <v>75</v>
      </c>
      <c r="E335" s="42" t="s">
        <v>114</v>
      </c>
      <c r="F335" s="43" t="s">
        <v>1161</v>
      </c>
      <c r="G335" s="43" t="s">
        <v>1157</v>
      </c>
      <c r="H335" s="43" t="s">
        <v>1158</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1162</v>
      </c>
      <c r="B336" s="42" t="s">
        <v>1163</v>
      </c>
      <c r="C336" s="43" t="s">
        <v>39</v>
      </c>
      <c r="D336" s="42" t="s">
        <v>102</v>
      </c>
      <c r="E336" s="42" t="s">
        <v>277</v>
      </c>
      <c r="F336" s="43" t="s">
        <v>604</v>
      </c>
      <c r="G336" s="43" t="s">
        <v>211</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1164</v>
      </c>
      <c r="B337" s="42" t="s">
        <v>1165</v>
      </c>
      <c r="C337" s="43" t="s">
        <v>39</v>
      </c>
      <c r="D337" s="42" t="s">
        <v>75</v>
      </c>
      <c r="E337" s="42" t="s">
        <v>114</v>
      </c>
      <c r="F337" s="43" t="s">
        <v>1166</v>
      </c>
      <c r="G337" s="43" t="s">
        <v>1167</v>
      </c>
      <c r="H337" s="43" t="s">
        <v>1168</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1169</v>
      </c>
      <c r="B338" s="42" t="s">
        <v>1170</v>
      </c>
      <c r="C338" s="43" t="s">
        <v>39</v>
      </c>
      <c r="D338" s="42" t="s">
        <v>75</v>
      </c>
      <c r="E338" s="42" t="s">
        <v>114</v>
      </c>
      <c r="F338" s="43" t="s">
        <v>146</v>
      </c>
      <c r="G338" s="43" t="s">
        <v>1167</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1171</v>
      </c>
      <c r="B339" s="42" t="s">
        <v>1172</v>
      </c>
      <c r="C339" s="43" t="s">
        <v>39</v>
      </c>
      <c r="D339" s="42" t="s">
        <v>75</v>
      </c>
      <c r="E339" s="42" t="s">
        <v>114</v>
      </c>
      <c r="F339" s="43" t="s">
        <v>1173</v>
      </c>
      <c r="G339" s="43" t="s">
        <v>1167</v>
      </c>
      <c r="H339" s="43" t="s">
        <v>1174</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1175</v>
      </c>
      <c r="B340" s="42" t="s">
        <v>1176</v>
      </c>
      <c r="C340" s="43" t="s">
        <v>226</v>
      </c>
      <c r="D340" s="42" t="s">
        <v>75</v>
      </c>
      <c r="E340" s="42" t="s">
        <v>375</v>
      </c>
      <c r="F340" s="43" t="s">
        <v>1177</v>
      </c>
      <c r="G340" s="43" t="s">
        <v>1178</v>
      </c>
      <c r="H340" s="43" t="s">
        <v>1179</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1180</v>
      </c>
      <c r="B341" s="42" t="s">
        <v>1181</v>
      </c>
      <c r="C341" s="43" t="s">
        <v>39</v>
      </c>
      <c r="D341" s="42" t="s">
        <v>102</v>
      </c>
      <c r="E341" s="42" t="s">
        <v>158</v>
      </c>
      <c r="F341" s="43" t="s">
        <v>1182</v>
      </c>
      <c r="G341" s="43" t="s">
        <v>1183</v>
      </c>
      <c r="H341" s="43" t="s">
        <v>855</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1184</v>
      </c>
      <c r="B342" s="42" t="s">
        <v>1185</v>
      </c>
      <c r="C342" s="43" t="s">
        <v>39</v>
      </c>
      <c r="D342" s="42" t="s">
        <v>433</v>
      </c>
      <c r="E342" s="42" t="s">
        <v>434</v>
      </c>
      <c r="F342" s="43" t="s">
        <v>936</v>
      </c>
      <c r="G342" s="43" t="s">
        <v>62</v>
      </c>
      <c r="H342" s="43" t="s">
        <v>1186</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1187</v>
      </c>
      <c r="B343" s="42" t="s">
        <v>1188</v>
      </c>
      <c r="C343" s="43" t="s">
        <v>39</v>
      </c>
      <c r="D343" s="42" t="s">
        <v>75</v>
      </c>
      <c r="E343" s="42" t="s">
        <v>114</v>
      </c>
      <c r="F343" s="43" t="s">
        <v>99</v>
      </c>
      <c r="G343" s="43" t="s">
        <v>1189</v>
      </c>
      <c r="H343" s="43" t="s">
        <v>1190</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1191</v>
      </c>
      <c r="B344" s="42" t="s">
        <v>1192</v>
      </c>
      <c r="C344" s="43" t="s">
        <v>39</v>
      </c>
      <c r="D344" s="42" t="s">
        <v>75</v>
      </c>
      <c r="E344" s="42" t="s">
        <v>87</v>
      </c>
      <c r="F344" s="43" t="s">
        <v>703</v>
      </c>
      <c r="G344" s="43" t="s">
        <v>1189</v>
      </c>
      <c r="H344" s="43" t="s">
        <v>1190</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1193</v>
      </c>
      <c r="B345" s="42" t="s">
        <v>1194</v>
      </c>
      <c r="C345" s="43" t="s">
        <v>39</v>
      </c>
      <c r="D345" s="42" t="s">
        <v>40</v>
      </c>
      <c r="E345" s="42" t="s">
        <v>41</v>
      </c>
      <c r="F345" s="43" t="s">
        <v>438</v>
      </c>
      <c r="G345" s="43" t="s">
        <v>1189</v>
      </c>
      <c r="H345" s="43" t="s">
        <v>1190</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1195</v>
      </c>
      <c r="B346" s="42" t="s">
        <v>1196</v>
      </c>
      <c r="C346" s="43" t="s">
        <v>39</v>
      </c>
      <c r="D346" s="42" t="s">
        <v>102</v>
      </c>
      <c r="E346" s="42" t="s">
        <v>158</v>
      </c>
      <c r="F346" s="43" t="s">
        <v>215</v>
      </c>
      <c r="G346" s="43" t="s">
        <v>1189</v>
      </c>
      <c r="H346" s="43" t="s">
        <v>1190</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1197</v>
      </c>
      <c r="B347" s="42" t="s">
        <v>1198</v>
      </c>
      <c r="C347" s="43" t="s">
        <v>113</v>
      </c>
      <c r="D347" s="42" t="s">
        <v>1199</v>
      </c>
      <c r="E347" s="42" t="s">
        <v>1200</v>
      </c>
      <c r="F347" s="43" t="s">
        <v>1201</v>
      </c>
      <c r="G347" s="43" t="s">
        <v>1202</v>
      </c>
      <c r="H347" s="43" t="s">
        <v>1203</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1204</v>
      </c>
      <c r="B348" s="42" t="s">
        <v>1205</v>
      </c>
      <c r="C348" s="43" t="s">
        <v>39</v>
      </c>
      <c r="D348" s="42" t="s">
        <v>102</v>
      </c>
      <c r="E348" s="42" t="s">
        <v>411</v>
      </c>
      <c r="F348" s="43" t="s">
        <v>412</v>
      </c>
      <c r="G348" s="43" t="s">
        <v>1202</v>
      </c>
      <c r="H348" s="43" t="s">
        <v>1203</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1206</v>
      </c>
      <c r="B349" s="42" t="s">
        <v>1207</v>
      </c>
      <c r="C349" s="43" t="s">
        <v>39</v>
      </c>
      <c r="D349" s="42" t="s">
        <v>102</v>
      </c>
      <c r="E349" s="42" t="s">
        <v>411</v>
      </c>
      <c r="F349" s="43" t="s">
        <v>1208</v>
      </c>
      <c r="G349" s="43" t="s">
        <v>1202</v>
      </c>
      <c r="H349" s="43" t="s">
        <v>1203</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1209</v>
      </c>
      <c r="Y349" s="44">
        <v>2026</v>
      </c>
      <c r="Z349" s="26" t="s">
        <v>50</v>
      </c>
      <c r="AA349" s="39" t="s">
        <v>223</v>
      </c>
      <c r="AB349" s="71">
        <v>46250</v>
      </c>
      <c r="AC349" s="41" t="s">
        <v>52</v>
      </c>
      <c r="AD349" s="45"/>
      <c r="AE349" s="45"/>
      <c r="AF349" s="220">
        <v>8467</v>
      </c>
      <c r="AG349" s="221">
        <v>4677</v>
      </c>
      <c r="AH349" s="222">
        <v>3790</v>
      </c>
    </row>
    <row r="350" spans="1:34" s="43" customFormat="1" ht="25">
      <c r="A350" s="27" t="s">
        <v>1210</v>
      </c>
      <c r="B350" s="42" t="s">
        <v>1211</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1212</v>
      </c>
      <c r="B351" s="42" t="s">
        <v>1213</v>
      </c>
      <c r="C351" s="43" t="s">
        <v>39</v>
      </c>
      <c r="D351" s="42" t="s">
        <v>126</v>
      </c>
      <c r="E351" s="42" t="s">
        <v>1214</v>
      </c>
      <c r="F351" s="43" t="s">
        <v>1215</v>
      </c>
      <c r="G351" s="43" t="s">
        <v>704</v>
      </c>
      <c r="H351" s="43" t="s">
        <v>1216</v>
      </c>
      <c r="I351" s="208" t="s">
        <v>218</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1217</v>
      </c>
      <c r="B352" s="42" t="s">
        <v>1218</v>
      </c>
      <c r="C352" s="43" t="s">
        <v>39</v>
      </c>
      <c r="D352" s="42" t="s">
        <v>75</v>
      </c>
      <c r="E352" s="42" t="s">
        <v>114</v>
      </c>
      <c r="F352" s="43" t="s">
        <v>1219</v>
      </c>
      <c r="G352" s="43" t="s">
        <v>1220</v>
      </c>
      <c r="H352" s="43" t="s">
        <v>62</v>
      </c>
      <c r="I352" s="43" t="s">
        <v>268</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1221</v>
      </c>
      <c r="B353" s="42" t="s">
        <v>1222</v>
      </c>
      <c r="C353" s="43" t="s">
        <v>39</v>
      </c>
      <c r="D353" s="42" t="s">
        <v>40</v>
      </c>
      <c r="E353" s="42" t="s">
        <v>41</v>
      </c>
      <c r="F353" s="43" t="s">
        <v>1223</v>
      </c>
      <c r="G353" s="43" t="s">
        <v>1224</v>
      </c>
      <c r="H353" s="43" t="s">
        <v>972</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1225</v>
      </c>
      <c r="B354" s="42" t="s">
        <v>1226</v>
      </c>
      <c r="C354" s="43" t="s">
        <v>39</v>
      </c>
      <c r="D354" s="42" t="s">
        <v>126</v>
      </c>
      <c r="E354" s="42" t="s">
        <v>291</v>
      </c>
      <c r="F354" s="43" t="s">
        <v>1227</v>
      </c>
      <c r="G354" s="43" t="s">
        <v>1228</v>
      </c>
      <c r="H354" s="43" t="s">
        <v>1229</v>
      </c>
      <c r="I354" s="43" t="s">
        <v>268</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1230</v>
      </c>
      <c r="B355" s="42" t="s">
        <v>1231</v>
      </c>
      <c r="C355" s="43" t="s">
        <v>39</v>
      </c>
      <c r="D355" s="42" t="s">
        <v>75</v>
      </c>
      <c r="E355" s="42" t="s">
        <v>114</v>
      </c>
      <c r="F355" s="43" t="s">
        <v>1232</v>
      </c>
      <c r="G355" s="43" t="s">
        <v>204</v>
      </c>
      <c r="H355" s="43" t="s">
        <v>205</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1233</v>
      </c>
      <c r="B356" s="42" t="s">
        <v>1234</v>
      </c>
      <c r="C356" s="43" t="s">
        <v>39</v>
      </c>
      <c r="D356" s="42" t="s">
        <v>75</v>
      </c>
      <c r="E356" s="42" t="s">
        <v>87</v>
      </c>
      <c r="F356" s="43" t="s">
        <v>1235</v>
      </c>
      <c r="G356" s="43" t="s">
        <v>1236</v>
      </c>
      <c r="H356" s="43" t="s">
        <v>1237</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1238</v>
      </c>
      <c r="B357" s="42" t="s">
        <v>1239</v>
      </c>
      <c r="C357" s="43" t="s">
        <v>226</v>
      </c>
      <c r="D357" s="42" t="s">
        <v>1199</v>
      </c>
      <c r="E357" s="42" t="s">
        <v>1240</v>
      </c>
      <c r="F357" s="43" t="s">
        <v>1241</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1242</v>
      </c>
      <c r="B358" s="42" t="s">
        <v>1243</v>
      </c>
      <c r="C358" s="43" t="s">
        <v>39</v>
      </c>
      <c r="D358" s="42" t="s">
        <v>75</v>
      </c>
      <c r="E358" s="42" t="s">
        <v>114</v>
      </c>
      <c r="F358" s="43" t="s">
        <v>286</v>
      </c>
      <c r="G358" s="43" t="s">
        <v>1244</v>
      </c>
      <c r="H358" s="43" t="s">
        <v>1245</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1246</v>
      </c>
      <c r="B359" s="42" t="s">
        <v>1247</v>
      </c>
      <c r="C359" s="43" t="s">
        <v>39</v>
      </c>
      <c r="D359" s="42" t="s">
        <v>75</v>
      </c>
      <c r="E359" s="42" t="s">
        <v>114</v>
      </c>
      <c r="F359" s="43" t="s">
        <v>286</v>
      </c>
      <c r="G359" s="43" t="s">
        <v>1244</v>
      </c>
      <c r="H359" s="43" t="s">
        <v>1245</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1248</v>
      </c>
      <c r="B360" s="42" t="s">
        <v>1249</v>
      </c>
      <c r="C360" s="43" t="s">
        <v>39</v>
      </c>
      <c r="D360" s="42" t="s">
        <v>75</v>
      </c>
      <c r="E360" s="42" t="s">
        <v>114</v>
      </c>
      <c r="F360" s="43" t="s">
        <v>286</v>
      </c>
      <c r="G360" s="43" t="s">
        <v>1244</v>
      </c>
      <c r="H360" s="43" t="s">
        <v>1245</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1250</v>
      </c>
      <c r="B361" s="42" t="s">
        <v>1251</v>
      </c>
      <c r="C361" s="43" t="s">
        <v>39</v>
      </c>
      <c r="D361" s="42" t="s">
        <v>75</v>
      </c>
      <c r="E361" s="42" t="s">
        <v>114</v>
      </c>
      <c r="F361" s="43" t="s">
        <v>1252</v>
      </c>
      <c r="G361" s="43" t="s">
        <v>1244</v>
      </c>
      <c r="H361" s="43" t="s">
        <v>1245</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248:S264 S50:S51 S116:S124 S176:S177 S173 S196:S198 S207:S210 S45:S47 S57:S83 S88:S91 S103 S109:S113 S133:S139 S163 S350:S361 S181:S187 S215:S228 S234:S238 S266 S277:S296 S316:S327 S334:S339 S341:S346 S165:S168 S143:S145 S128:S131 S141 S147:S151 S153:S159"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4" xr:uid="{00000000-0002-0000-0000-000008000000}">
      <formula1>"Pengembang tidak aktif; Pengembang masih aktif"</formula1>
    </dataValidation>
    <dataValidation type="list" sqref="S6:S8 S52:S56 S125:S127 S174:S175 S178:S180 S199:S206 S265 S12:S23 S27:S35 S38:S40 S48:S49 S84:S87 S92:S102 S104:S108 S114:S115 S146 S140 S169:S172 S188:S195 S211:S214 S229:S233 S239:S247 S267:S276 S297:S315 S328:S333 S340 S347:S349 S164 S160:S162 S132 S142 S152"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1000"/>
  <sheetViews>
    <sheetView workbookViewId="0">
      <pane xSplit="3" ySplit="5" topLeftCell="D6" activePane="bottomRight" state="frozen"/>
      <selection pane="topRight" activeCell="D1" sqref="D1"/>
      <selection pane="bottomLeft" activeCell="A6" sqref="A6"/>
      <selection pane="bottomRight" activeCell="H51" sqref="H51"/>
    </sheetView>
  </sheetViews>
  <sheetFormatPr defaultRowHeight="14"/>
  <cols>
    <col min="1" max="2" width="16" customWidth="1"/>
    <col min="3" max="3" width="28" customWidth="1"/>
    <col min="4" max="4" width="18" customWidth="1"/>
    <col min="5" max="5" width="34" customWidth="1"/>
    <col min="6" max="6" width="28" customWidth="1"/>
    <col min="7" max="7" width="14.75" bestFit="1" customWidth="1"/>
    <col min="8" max="8" width="18" style="256" customWidth="1"/>
    <col min="9" max="9" width="12" customWidth="1"/>
    <col min="10" max="10" width="9.1640625" bestFit="1" customWidth="1"/>
    <col min="11" max="11" width="22" customWidth="1"/>
    <col min="12" max="14" width="24" customWidth="1"/>
    <col min="15" max="15" width="20" customWidth="1"/>
    <col min="16" max="16" width="32" customWidth="1"/>
    <col min="17" max="17" width="24" customWidth="1"/>
    <col min="18" max="19" width="20" customWidth="1"/>
    <col min="20" max="20" width="20" style="72" customWidth="1"/>
    <col min="21" max="21" width="17.58203125" customWidth="1"/>
    <col min="22" max="22" width="20" customWidth="1"/>
    <col min="23" max="23" width="48" customWidth="1"/>
  </cols>
  <sheetData>
    <row r="1" spans="1:44" ht="13.4" customHeight="1">
      <c r="A1" s="268" t="s">
        <v>1253</v>
      </c>
      <c r="B1" s="268"/>
      <c r="C1" s="268"/>
      <c r="D1" s="268"/>
      <c r="E1" s="268"/>
      <c r="F1" s="268"/>
      <c r="G1" s="268"/>
      <c r="H1" s="268"/>
      <c r="I1" s="268"/>
      <c r="J1" s="268"/>
      <c r="K1" s="268"/>
      <c r="L1" s="268"/>
      <c r="M1" s="268"/>
      <c r="N1" s="268"/>
      <c r="O1" s="268"/>
      <c r="P1" s="268"/>
      <c r="Q1" s="268"/>
      <c r="R1" s="268"/>
      <c r="S1" s="268"/>
      <c r="T1" s="268"/>
      <c r="U1" s="260"/>
      <c r="V1" s="267" t="s">
        <v>1254</v>
      </c>
      <c r="W1" s="267"/>
    </row>
    <row r="2" spans="1:44" ht="15.15" customHeight="1">
      <c r="A2" s="269" t="s">
        <v>1255</v>
      </c>
      <c r="B2" s="269"/>
      <c r="C2" s="269"/>
      <c r="D2" s="269"/>
      <c r="E2" s="269"/>
      <c r="F2" s="269"/>
      <c r="G2" s="269"/>
      <c r="H2" s="269"/>
      <c r="I2" s="269"/>
      <c r="J2" s="269"/>
      <c r="K2" s="269"/>
      <c r="L2" s="269"/>
      <c r="M2" s="269"/>
      <c r="N2" s="269"/>
      <c r="O2" s="269"/>
      <c r="P2" s="269"/>
      <c r="Q2" s="269"/>
      <c r="R2" s="269"/>
      <c r="S2" s="269"/>
      <c r="T2" s="269"/>
      <c r="U2" s="260"/>
      <c r="V2" s="236" t="s">
        <v>1256</v>
      </c>
      <c r="W2" s="236" t="s">
        <v>1257</v>
      </c>
    </row>
    <row r="3" spans="1:44" ht="29.4" customHeight="1">
      <c r="A3" s="270" t="s">
        <v>2905</v>
      </c>
      <c r="B3" s="270"/>
      <c r="C3" s="270"/>
      <c r="D3" s="270"/>
      <c r="E3" s="270"/>
      <c r="F3" s="270"/>
      <c r="G3" s="270"/>
      <c r="H3" s="270"/>
      <c r="I3" s="270"/>
      <c r="J3" s="270"/>
      <c r="K3" s="270"/>
      <c r="L3" s="270"/>
      <c r="M3" s="270"/>
      <c r="N3" s="270"/>
      <c r="O3" s="270"/>
      <c r="P3" s="270"/>
      <c r="Q3" s="270"/>
      <c r="R3" s="270"/>
      <c r="S3" s="270"/>
      <c r="T3" s="270"/>
      <c r="U3" s="260"/>
      <c r="V3" s="237" t="s">
        <v>1258</v>
      </c>
      <c r="W3" s="237" t="s">
        <v>1259</v>
      </c>
    </row>
    <row r="4" spans="1:44">
      <c r="V4" s="237" t="s">
        <v>1258</v>
      </c>
      <c r="W4" s="237" t="s">
        <v>1260</v>
      </c>
    </row>
    <row r="5" spans="1:44" s="239" customFormat="1" ht="26" customHeight="1">
      <c r="A5" s="238" t="s">
        <v>1261</v>
      </c>
      <c r="B5" s="238" t="s">
        <v>3</v>
      </c>
      <c r="C5" s="246" t="s">
        <v>2906</v>
      </c>
      <c r="D5" s="238" t="s">
        <v>1262</v>
      </c>
      <c r="E5" s="238" t="s">
        <v>1263</v>
      </c>
      <c r="F5" s="238" t="s">
        <v>1264</v>
      </c>
      <c r="G5" s="238" t="s">
        <v>1265</v>
      </c>
      <c r="H5" s="255" t="s">
        <v>1266</v>
      </c>
      <c r="I5" s="238" t="s">
        <v>1267</v>
      </c>
      <c r="J5" s="238" t="s">
        <v>1268</v>
      </c>
      <c r="K5" s="238" t="s">
        <v>1269</v>
      </c>
      <c r="L5" s="238" t="s">
        <v>1270</v>
      </c>
      <c r="M5" s="238" t="s">
        <v>1271</v>
      </c>
      <c r="N5" s="238" t="s">
        <v>1272</v>
      </c>
      <c r="O5" s="238" t="s">
        <v>1273</v>
      </c>
      <c r="P5" s="238" t="s">
        <v>1274</v>
      </c>
      <c r="Q5" s="238" t="s">
        <v>1275</v>
      </c>
      <c r="R5" s="238" t="s">
        <v>28</v>
      </c>
      <c r="S5" s="238" t="s">
        <v>29</v>
      </c>
      <c r="T5" s="251" t="s">
        <v>30</v>
      </c>
      <c r="U5" s="250" t="s">
        <v>31</v>
      </c>
      <c r="V5" s="240" t="s">
        <v>1258</v>
      </c>
      <c r="W5" s="240" t="s">
        <v>1276</v>
      </c>
      <c r="AA5"/>
      <c r="AB5"/>
      <c r="AC5"/>
      <c r="AD5"/>
      <c r="AE5"/>
      <c r="AF5"/>
      <c r="AG5"/>
      <c r="AH5"/>
      <c r="AI5"/>
      <c r="AJ5"/>
      <c r="AK5"/>
      <c r="AL5"/>
      <c r="AM5"/>
      <c r="AN5"/>
      <c r="AO5"/>
      <c r="AP5"/>
      <c r="AQ5"/>
      <c r="AR5"/>
    </row>
    <row r="6" spans="1:44" s="239" customFormat="1">
      <c r="A6" s="241" t="s">
        <v>1277</v>
      </c>
      <c r="B6" s="241" t="s">
        <v>232</v>
      </c>
      <c r="C6" s="245" t="str">
        <f>IF(B6="","",IFERROR(VLOOKUP(B6,PERUMAHAN!$A:$B,2,FALSE),"ID tidak ditemukan"))</f>
        <v>BUKIT BARU REGENCY</v>
      </c>
      <c r="D6" s="241">
        <v>2026</v>
      </c>
      <c r="E6" s="241" t="s">
        <v>1258</v>
      </c>
      <c r="F6" s="241" t="s">
        <v>1259</v>
      </c>
      <c r="G6" s="243"/>
      <c r="H6" s="254">
        <v>1285</v>
      </c>
      <c r="I6" s="241"/>
      <c r="J6" s="241" t="s">
        <v>1278</v>
      </c>
      <c r="K6" s="241" t="s">
        <v>1279</v>
      </c>
      <c r="L6" s="241" t="s">
        <v>1280</v>
      </c>
      <c r="M6" s="243" t="s">
        <v>64</v>
      </c>
      <c r="N6" s="243"/>
      <c r="O6" s="242"/>
      <c r="P6" s="241"/>
      <c r="Q6" s="241"/>
      <c r="R6" s="241" t="s">
        <v>1281</v>
      </c>
      <c r="S6" s="244" t="s">
        <v>223</v>
      </c>
      <c r="T6" s="244">
        <v>46250</v>
      </c>
      <c r="U6" t="s">
        <v>52</v>
      </c>
      <c r="V6" s="240" t="s">
        <v>1258</v>
      </c>
      <c r="W6" s="240" t="s">
        <v>1282</v>
      </c>
      <c r="AA6"/>
      <c r="AB6"/>
      <c r="AC6"/>
      <c r="AD6"/>
      <c r="AE6"/>
      <c r="AF6"/>
      <c r="AG6"/>
      <c r="AH6"/>
      <c r="AI6"/>
      <c r="AJ6"/>
      <c r="AK6"/>
      <c r="AL6"/>
      <c r="AM6"/>
      <c r="AN6"/>
      <c r="AO6"/>
      <c r="AP6"/>
      <c r="AQ6"/>
      <c r="AR6"/>
    </row>
    <row r="7" spans="1:44" s="239" customFormat="1" ht="28">
      <c r="A7" s="241" t="s">
        <v>1283</v>
      </c>
      <c r="B7" s="241" t="s">
        <v>232</v>
      </c>
      <c r="C7" s="245" t="str">
        <f>IF(B7="","",IFERROR(VLOOKUP(B7,PERUMAHAN!$A:$B,2,FALSE),"ID tidak ditemukan"))</f>
        <v>BUKIT BARU REGENCY</v>
      </c>
      <c r="D7" s="241">
        <v>2026</v>
      </c>
      <c r="E7" s="241" t="s">
        <v>1258</v>
      </c>
      <c r="F7" s="241" t="s">
        <v>1276</v>
      </c>
      <c r="G7" s="243"/>
      <c r="H7" s="254">
        <v>159</v>
      </c>
      <c r="I7" s="241"/>
      <c r="J7" s="241" t="s">
        <v>1278</v>
      </c>
      <c r="K7" s="241" t="s">
        <v>1279</v>
      </c>
      <c r="L7" s="241" t="s">
        <v>1280</v>
      </c>
      <c r="M7" s="243" t="s">
        <v>64</v>
      </c>
      <c r="N7" s="243"/>
      <c r="O7" s="242"/>
      <c r="P7" s="241"/>
      <c r="Q7" s="241"/>
      <c r="R7" s="241" t="s">
        <v>1281</v>
      </c>
      <c r="S7" s="244" t="s">
        <v>223</v>
      </c>
      <c r="T7" s="244">
        <v>46250</v>
      </c>
      <c r="U7" t="s">
        <v>52</v>
      </c>
      <c r="V7" s="240" t="s">
        <v>1258</v>
      </c>
      <c r="W7" s="240" t="s">
        <v>1284</v>
      </c>
      <c r="AA7"/>
      <c r="AB7"/>
      <c r="AC7"/>
      <c r="AD7"/>
      <c r="AE7"/>
      <c r="AF7"/>
      <c r="AG7"/>
      <c r="AH7"/>
      <c r="AI7"/>
      <c r="AJ7"/>
      <c r="AK7"/>
      <c r="AL7"/>
      <c r="AM7"/>
      <c r="AN7"/>
      <c r="AO7"/>
      <c r="AP7"/>
      <c r="AQ7"/>
      <c r="AR7"/>
    </row>
    <row r="8" spans="1:44" s="239" customFormat="1" ht="28">
      <c r="A8" s="241" t="s">
        <v>1285</v>
      </c>
      <c r="B8" s="241" t="s">
        <v>232</v>
      </c>
      <c r="C8" s="245" t="str">
        <f>IF(B8="","",IFERROR(VLOOKUP(B8,PERUMAHAN!$A:$B,2,FALSE),"ID tidak ditemukan"))</f>
        <v>BUKIT BARU REGENCY</v>
      </c>
      <c r="D8" s="241">
        <v>2026</v>
      </c>
      <c r="E8" s="241" t="s">
        <v>1286</v>
      </c>
      <c r="F8" s="241" t="s">
        <v>1287</v>
      </c>
      <c r="G8" s="243"/>
      <c r="H8" s="254">
        <v>665</v>
      </c>
      <c r="I8" s="241"/>
      <c r="J8" s="241" t="s">
        <v>1278</v>
      </c>
      <c r="K8" s="241" t="s">
        <v>1288</v>
      </c>
      <c r="L8" s="241" t="s">
        <v>1280</v>
      </c>
      <c r="M8" s="243" t="s">
        <v>64</v>
      </c>
      <c r="N8" s="243"/>
      <c r="O8" s="242"/>
      <c r="P8" s="241"/>
      <c r="Q8" s="241"/>
      <c r="R8" s="241" t="s">
        <v>1281</v>
      </c>
      <c r="S8" s="244" t="s">
        <v>223</v>
      </c>
      <c r="T8" s="244">
        <v>46250</v>
      </c>
      <c r="U8" t="s">
        <v>52</v>
      </c>
      <c r="V8" s="240" t="s">
        <v>1286</v>
      </c>
      <c r="W8" s="240" t="s">
        <v>1289</v>
      </c>
      <c r="AA8"/>
      <c r="AB8"/>
      <c r="AC8"/>
      <c r="AD8"/>
      <c r="AE8"/>
      <c r="AF8"/>
      <c r="AG8"/>
      <c r="AH8"/>
      <c r="AI8"/>
      <c r="AJ8"/>
      <c r="AK8"/>
      <c r="AL8"/>
      <c r="AM8"/>
      <c r="AN8"/>
      <c r="AO8"/>
      <c r="AP8"/>
      <c r="AQ8"/>
      <c r="AR8"/>
    </row>
    <row r="9" spans="1:44" s="239" customFormat="1">
      <c r="A9" s="241" t="s">
        <v>1290</v>
      </c>
      <c r="B9" s="241" t="s">
        <v>232</v>
      </c>
      <c r="C9" s="245" t="str">
        <f>IF(B9="","",IFERROR(VLOOKUP(B9,PERUMAHAN!$A:$B,2,FALSE),"ID tidak ditemukan"))</f>
        <v>BUKIT BARU REGENCY</v>
      </c>
      <c r="D9" s="241">
        <v>2026</v>
      </c>
      <c r="E9" s="241" t="s">
        <v>1291</v>
      </c>
      <c r="F9" s="241" t="s">
        <v>1292</v>
      </c>
      <c r="G9" s="243"/>
      <c r="H9" s="254"/>
      <c r="I9" s="241">
        <v>4</v>
      </c>
      <c r="J9" s="241" t="s">
        <v>1293</v>
      </c>
      <c r="K9" s="241" t="s">
        <v>1308</v>
      </c>
      <c r="L9" s="241" t="s">
        <v>1280</v>
      </c>
      <c r="M9" s="243" t="s">
        <v>64</v>
      </c>
      <c r="N9" s="243"/>
      <c r="O9" s="242"/>
      <c r="P9" s="241"/>
      <c r="Q9" s="241"/>
      <c r="R9" s="241" t="s">
        <v>1281</v>
      </c>
      <c r="S9" s="244" t="s">
        <v>223</v>
      </c>
      <c r="T9" s="244">
        <v>46250</v>
      </c>
      <c r="U9" t="s">
        <v>52</v>
      </c>
      <c r="V9" s="240" t="s">
        <v>1286</v>
      </c>
      <c r="W9" s="240" t="s">
        <v>1294</v>
      </c>
      <c r="AA9"/>
      <c r="AB9"/>
      <c r="AC9"/>
      <c r="AD9"/>
      <c r="AE9"/>
      <c r="AF9"/>
      <c r="AG9"/>
      <c r="AH9"/>
      <c r="AI9"/>
      <c r="AJ9"/>
      <c r="AK9"/>
      <c r="AL9"/>
      <c r="AM9"/>
      <c r="AN9"/>
      <c r="AO9"/>
      <c r="AP9"/>
      <c r="AQ9"/>
      <c r="AR9"/>
    </row>
    <row r="10" spans="1:44" s="239" customFormat="1">
      <c r="A10" s="241" t="s">
        <v>1295</v>
      </c>
      <c r="B10" s="241" t="s">
        <v>439</v>
      </c>
      <c r="C10" s="245" t="str">
        <f>IF(B10="","",IFERROR(VLOOKUP(B10,PERUMAHAN!$A:$B,2,FALSE),"ID tidak ditemukan"))</f>
        <v>DREAMLAND 2</v>
      </c>
      <c r="D10" s="241">
        <v>2026</v>
      </c>
      <c r="E10" s="241" t="s">
        <v>1258</v>
      </c>
      <c r="F10" s="241" t="s">
        <v>1259</v>
      </c>
      <c r="G10" s="243"/>
      <c r="H10" s="254">
        <v>1830.5</v>
      </c>
      <c r="I10" s="241"/>
      <c r="J10" s="241" t="s">
        <v>1278</v>
      </c>
      <c r="K10" s="241" t="s">
        <v>1279</v>
      </c>
      <c r="L10" s="241" t="s">
        <v>1280</v>
      </c>
      <c r="M10" s="243" t="s">
        <v>64</v>
      </c>
      <c r="N10" s="243"/>
      <c r="O10" s="242"/>
      <c r="P10" s="241"/>
      <c r="Q10" s="241"/>
      <c r="R10" s="241" t="s">
        <v>1281</v>
      </c>
      <c r="S10" s="244" t="s">
        <v>223</v>
      </c>
      <c r="T10" s="244">
        <v>46250</v>
      </c>
      <c r="U10" t="s">
        <v>52</v>
      </c>
      <c r="V10" s="240" t="s">
        <v>1286</v>
      </c>
      <c r="W10" s="240" t="s">
        <v>1296</v>
      </c>
      <c r="AA10"/>
      <c r="AB10"/>
      <c r="AC10"/>
      <c r="AD10"/>
      <c r="AE10"/>
      <c r="AF10"/>
      <c r="AG10"/>
      <c r="AH10"/>
      <c r="AI10"/>
      <c r="AJ10"/>
      <c r="AK10"/>
      <c r="AL10"/>
      <c r="AM10"/>
      <c r="AN10"/>
      <c r="AO10"/>
      <c r="AP10"/>
      <c r="AQ10"/>
      <c r="AR10"/>
    </row>
    <row r="11" spans="1:44" s="239" customFormat="1" ht="28">
      <c r="A11" s="241" t="s">
        <v>1297</v>
      </c>
      <c r="B11" s="241" t="s">
        <v>439</v>
      </c>
      <c r="C11" s="245" t="str">
        <f>IF(B11="","",IFERROR(VLOOKUP(B11,PERUMAHAN!$A:$B,2,FALSE),"ID tidak ditemukan"))</f>
        <v>DREAMLAND 2</v>
      </c>
      <c r="D11" s="241">
        <v>2026</v>
      </c>
      <c r="E11" s="241" t="s">
        <v>1258</v>
      </c>
      <c r="F11" s="241" t="s">
        <v>1276</v>
      </c>
      <c r="G11" s="243"/>
      <c r="H11" s="254">
        <v>670.9</v>
      </c>
      <c r="I11" s="241"/>
      <c r="J11" s="241" t="s">
        <v>1278</v>
      </c>
      <c r="K11" s="241" t="s">
        <v>1279</v>
      </c>
      <c r="L11" s="241" t="s">
        <v>1280</v>
      </c>
      <c r="M11" s="243" t="s">
        <v>64</v>
      </c>
      <c r="N11" s="243"/>
      <c r="O11" s="242"/>
      <c r="P11" s="241"/>
      <c r="Q11" s="241"/>
      <c r="R11" s="241" t="s">
        <v>1281</v>
      </c>
      <c r="S11" s="244" t="s">
        <v>223</v>
      </c>
      <c r="T11" s="244">
        <v>46250</v>
      </c>
      <c r="U11" t="s">
        <v>52</v>
      </c>
      <c r="V11" s="240" t="s">
        <v>1286</v>
      </c>
      <c r="W11" s="240" t="s">
        <v>1298</v>
      </c>
      <c r="AA11"/>
      <c r="AB11"/>
      <c r="AC11"/>
      <c r="AD11"/>
      <c r="AE11"/>
      <c r="AF11"/>
      <c r="AG11"/>
      <c r="AH11"/>
      <c r="AI11"/>
      <c r="AJ11"/>
      <c r="AK11"/>
      <c r="AL11"/>
      <c r="AM11"/>
      <c r="AN11"/>
      <c r="AO11"/>
      <c r="AP11"/>
      <c r="AQ11"/>
      <c r="AR11"/>
    </row>
    <row r="12" spans="1:44" s="239" customFormat="1" ht="28">
      <c r="A12" s="241" t="s">
        <v>1299</v>
      </c>
      <c r="B12" s="241" t="s">
        <v>439</v>
      </c>
      <c r="C12" s="245" t="str">
        <f>IF(B12="","",IFERROR(VLOOKUP(B12,PERUMAHAN!$A:$B,2,FALSE),"ID tidak ditemukan"))</f>
        <v>DREAMLAND 2</v>
      </c>
      <c r="D12" s="241">
        <v>2026</v>
      </c>
      <c r="E12" s="241" t="s">
        <v>1286</v>
      </c>
      <c r="F12" s="241" t="s">
        <v>1287</v>
      </c>
      <c r="G12" s="243"/>
      <c r="H12" s="254">
        <v>893.5</v>
      </c>
      <c r="I12" s="241"/>
      <c r="J12" s="241" t="s">
        <v>1278</v>
      </c>
      <c r="K12" s="241" t="s">
        <v>1288</v>
      </c>
      <c r="L12" s="241" t="s">
        <v>1280</v>
      </c>
      <c r="M12" s="243" t="s">
        <v>64</v>
      </c>
      <c r="N12" s="243"/>
      <c r="O12" s="242"/>
      <c r="P12" s="241"/>
      <c r="Q12" s="241"/>
      <c r="R12" s="241" t="s">
        <v>1281</v>
      </c>
      <c r="S12" s="244" t="s">
        <v>223</v>
      </c>
      <c r="T12" s="244">
        <v>46250</v>
      </c>
      <c r="U12" t="s">
        <v>52</v>
      </c>
      <c r="V12" s="240" t="s">
        <v>1286</v>
      </c>
      <c r="W12" s="240" t="s">
        <v>1300</v>
      </c>
      <c r="AA12"/>
      <c r="AB12"/>
      <c r="AC12"/>
      <c r="AD12"/>
      <c r="AE12"/>
      <c r="AF12"/>
      <c r="AG12"/>
      <c r="AH12"/>
      <c r="AI12"/>
      <c r="AJ12"/>
      <c r="AK12"/>
      <c r="AL12"/>
      <c r="AM12"/>
      <c r="AN12"/>
      <c r="AO12"/>
      <c r="AP12"/>
      <c r="AQ12"/>
      <c r="AR12"/>
    </row>
    <row r="13" spans="1:44" s="239" customFormat="1">
      <c r="A13" s="241" t="s">
        <v>1301</v>
      </c>
      <c r="B13" s="241" t="s">
        <v>439</v>
      </c>
      <c r="C13" s="245" t="str">
        <f>IF(B13="","",IFERROR(VLOOKUP(B13,PERUMAHAN!$A:$B,2,FALSE),"ID tidak ditemukan"))</f>
        <v>DREAMLAND 2</v>
      </c>
      <c r="D13" s="241">
        <v>2026</v>
      </c>
      <c r="E13" s="241" t="s">
        <v>1291</v>
      </c>
      <c r="F13" s="241" t="s">
        <v>1292</v>
      </c>
      <c r="G13" s="243"/>
      <c r="H13" s="254"/>
      <c r="I13" s="241">
        <v>10</v>
      </c>
      <c r="J13" s="241" t="s">
        <v>1302</v>
      </c>
      <c r="K13" s="241" t="s">
        <v>1308</v>
      </c>
      <c r="L13" s="241" t="s">
        <v>1280</v>
      </c>
      <c r="M13" s="243" t="s">
        <v>64</v>
      </c>
      <c r="N13" s="243"/>
      <c r="O13" s="242"/>
      <c r="P13" s="241"/>
      <c r="Q13" s="241"/>
      <c r="R13" s="241" t="s">
        <v>1281</v>
      </c>
      <c r="S13" s="244" t="s">
        <v>223</v>
      </c>
      <c r="T13" s="244">
        <v>46250</v>
      </c>
      <c r="U13" t="s">
        <v>52</v>
      </c>
      <c r="V13" s="240" t="s">
        <v>1286</v>
      </c>
      <c r="W13" s="240" t="s">
        <v>1303</v>
      </c>
      <c r="AA13"/>
      <c r="AB13"/>
      <c r="AC13"/>
      <c r="AD13"/>
      <c r="AE13"/>
      <c r="AF13"/>
      <c r="AG13"/>
      <c r="AH13"/>
      <c r="AI13"/>
      <c r="AJ13"/>
      <c r="AK13"/>
      <c r="AL13"/>
      <c r="AM13"/>
      <c r="AN13"/>
      <c r="AO13"/>
      <c r="AP13"/>
      <c r="AQ13"/>
      <c r="AR13"/>
    </row>
    <row r="14" spans="1:44" s="239" customFormat="1">
      <c r="A14" s="241" t="s">
        <v>1304</v>
      </c>
      <c r="B14" s="241" t="s">
        <v>439</v>
      </c>
      <c r="C14" s="245" t="str">
        <f>IF(B14="","",IFERROR(VLOOKUP(B14,PERUMAHAN!$A:$B,2,FALSE),"ID tidak ditemukan"))</f>
        <v>DREAMLAND 2</v>
      </c>
      <c r="D14" s="241">
        <v>2026</v>
      </c>
      <c r="E14" s="241" t="s">
        <v>1305</v>
      </c>
      <c r="F14" s="241" t="s">
        <v>1306</v>
      </c>
      <c r="G14" s="243" t="s">
        <v>1307</v>
      </c>
      <c r="H14" s="254"/>
      <c r="I14" s="241">
        <v>4</v>
      </c>
      <c r="J14" s="241" t="s">
        <v>1302</v>
      </c>
      <c r="K14" s="241" t="s">
        <v>1308</v>
      </c>
      <c r="L14" s="241" t="s">
        <v>1280</v>
      </c>
      <c r="M14" s="243" t="s">
        <v>64</v>
      </c>
      <c r="N14" s="243"/>
      <c r="O14" s="242"/>
      <c r="P14" s="241"/>
      <c r="Q14" s="241"/>
      <c r="R14" s="241" t="s">
        <v>1281</v>
      </c>
      <c r="S14" s="244" t="s">
        <v>223</v>
      </c>
      <c r="T14" s="244">
        <v>46250</v>
      </c>
      <c r="U14" t="s">
        <v>52</v>
      </c>
      <c r="V14" s="240" t="s">
        <v>1286</v>
      </c>
      <c r="W14" s="240" t="s">
        <v>1309</v>
      </c>
      <c r="AA14"/>
      <c r="AB14"/>
      <c r="AC14"/>
      <c r="AD14"/>
      <c r="AE14"/>
      <c r="AF14"/>
      <c r="AG14"/>
      <c r="AH14"/>
      <c r="AI14"/>
      <c r="AJ14"/>
      <c r="AK14"/>
      <c r="AL14"/>
      <c r="AM14"/>
      <c r="AN14"/>
      <c r="AO14"/>
      <c r="AP14"/>
      <c r="AQ14"/>
      <c r="AR14"/>
    </row>
    <row r="15" spans="1:44" s="239" customFormat="1" ht="42">
      <c r="A15" s="241" t="s">
        <v>1310</v>
      </c>
      <c r="B15" s="241" t="s">
        <v>439</v>
      </c>
      <c r="C15" s="245" t="str">
        <f>IF(B15="","",IFERROR(VLOOKUP(B15,PERUMAHAN!$A:$B,2,FALSE),"ID tidak ditemukan"))</f>
        <v>DREAMLAND 2</v>
      </c>
      <c r="D15" s="241">
        <v>2026</v>
      </c>
      <c r="E15" s="241" t="s">
        <v>1291</v>
      </c>
      <c r="F15" s="241" t="s">
        <v>1306</v>
      </c>
      <c r="G15" s="243" t="s">
        <v>1311</v>
      </c>
      <c r="H15" s="254"/>
      <c r="I15" s="241">
        <v>3</v>
      </c>
      <c r="J15" s="241" t="s">
        <v>1302</v>
      </c>
      <c r="K15" s="241" t="s">
        <v>1308</v>
      </c>
      <c r="L15" s="241" t="s">
        <v>1280</v>
      </c>
      <c r="M15" s="243" t="s">
        <v>64</v>
      </c>
      <c r="N15" s="243"/>
      <c r="O15" s="242"/>
      <c r="P15" s="241"/>
      <c r="Q15" s="241"/>
      <c r="R15" s="241" t="s">
        <v>1281</v>
      </c>
      <c r="S15" s="244" t="s">
        <v>223</v>
      </c>
      <c r="T15" s="244">
        <v>46250</v>
      </c>
      <c r="U15" t="s">
        <v>52</v>
      </c>
      <c r="V15" s="240" t="s">
        <v>1286</v>
      </c>
      <c r="W15" s="240" t="s">
        <v>1287</v>
      </c>
      <c r="AA15"/>
      <c r="AB15"/>
      <c r="AC15"/>
      <c r="AD15"/>
      <c r="AE15"/>
      <c r="AF15"/>
      <c r="AG15"/>
      <c r="AH15"/>
      <c r="AI15"/>
      <c r="AJ15"/>
      <c r="AK15"/>
      <c r="AL15"/>
      <c r="AM15"/>
      <c r="AN15"/>
      <c r="AO15"/>
      <c r="AP15"/>
      <c r="AQ15"/>
      <c r="AR15"/>
    </row>
    <row r="16" spans="1:44" s="239" customFormat="1">
      <c r="A16" s="241" t="s">
        <v>1312</v>
      </c>
      <c r="B16" s="241" t="s">
        <v>580</v>
      </c>
      <c r="C16" s="245" t="str">
        <f>IF(B16="","",IFERROR(VLOOKUP(B16,PERUMAHAN!$A:$B,2,FALSE),"ID tidak ditemukan"))</f>
        <v>GRAND ERANES</v>
      </c>
      <c r="D16" s="241">
        <v>2026</v>
      </c>
      <c r="E16" s="241" t="s">
        <v>1258</v>
      </c>
      <c r="F16" s="241" t="s">
        <v>1259</v>
      </c>
      <c r="G16" s="243"/>
      <c r="H16" s="254">
        <v>2395.7399999999998</v>
      </c>
      <c r="I16" s="241"/>
      <c r="J16" s="241" t="s">
        <v>1278</v>
      </c>
      <c r="K16" s="241" t="s">
        <v>1308</v>
      </c>
      <c r="L16" s="241" t="s">
        <v>1280</v>
      </c>
      <c r="M16" s="243" t="s">
        <v>64</v>
      </c>
      <c r="N16" s="243"/>
      <c r="O16" s="242"/>
      <c r="P16" s="241"/>
      <c r="Q16" s="241"/>
      <c r="R16" s="241" t="s">
        <v>1281</v>
      </c>
      <c r="S16" s="244" t="s">
        <v>223</v>
      </c>
      <c r="T16" s="244">
        <v>46250</v>
      </c>
      <c r="U16" t="s">
        <v>52</v>
      </c>
      <c r="V16" s="240" t="s">
        <v>1286</v>
      </c>
      <c r="W16" s="240" t="s">
        <v>1313</v>
      </c>
      <c r="AA16"/>
      <c r="AB16"/>
      <c r="AC16"/>
      <c r="AD16"/>
      <c r="AE16"/>
      <c r="AF16"/>
      <c r="AG16"/>
      <c r="AH16"/>
      <c r="AI16"/>
      <c r="AJ16"/>
      <c r="AK16"/>
      <c r="AL16"/>
      <c r="AM16"/>
      <c r="AN16"/>
      <c r="AO16"/>
      <c r="AP16"/>
      <c r="AQ16"/>
      <c r="AR16"/>
    </row>
    <row r="17" spans="1:44" s="239" customFormat="1" ht="28">
      <c r="A17" s="241" t="s">
        <v>1314</v>
      </c>
      <c r="B17" s="241" t="s">
        <v>580</v>
      </c>
      <c r="C17" s="245" t="str">
        <f>IF(B17="","",IFERROR(VLOOKUP(B17,PERUMAHAN!$A:$B,2,FALSE),"ID tidak ditemukan"))</f>
        <v>GRAND ERANES</v>
      </c>
      <c r="D17" s="241">
        <v>2026</v>
      </c>
      <c r="E17" s="241" t="s">
        <v>1258</v>
      </c>
      <c r="F17" s="241" t="s">
        <v>1276</v>
      </c>
      <c r="G17" s="243"/>
      <c r="H17" s="254">
        <v>325.75</v>
      </c>
      <c r="I17" s="241"/>
      <c r="J17" s="241" t="s">
        <v>1278</v>
      </c>
      <c r="K17" s="241" t="s">
        <v>1308</v>
      </c>
      <c r="L17" s="241" t="s">
        <v>1280</v>
      </c>
      <c r="M17" s="243" t="s">
        <v>64</v>
      </c>
      <c r="N17" s="243"/>
      <c r="O17" s="242"/>
      <c r="P17" s="241"/>
      <c r="Q17" s="241"/>
      <c r="R17" s="241" t="s">
        <v>1281</v>
      </c>
      <c r="S17" s="244" t="s">
        <v>223</v>
      </c>
      <c r="T17" s="244">
        <v>46250</v>
      </c>
      <c r="U17" t="s">
        <v>52</v>
      </c>
      <c r="V17" s="240" t="s">
        <v>1291</v>
      </c>
      <c r="W17" s="240" t="s">
        <v>1315</v>
      </c>
      <c r="AA17"/>
      <c r="AB17"/>
      <c r="AC17"/>
      <c r="AD17"/>
      <c r="AE17"/>
      <c r="AF17"/>
      <c r="AG17"/>
      <c r="AH17"/>
      <c r="AI17"/>
      <c r="AJ17"/>
      <c r="AK17"/>
      <c r="AL17"/>
      <c r="AM17"/>
      <c r="AN17"/>
      <c r="AO17"/>
      <c r="AP17"/>
      <c r="AQ17"/>
      <c r="AR17"/>
    </row>
    <row r="18" spans="1:44" s="239" customFormat="1" ht="28">
      <c r="A18" s="241" t="s">
        <v>1316</v>
      </c>
      <c r="B18" s="241" t="s">
        <v>580</v>
      </c>
      <c r="C18" s="245" t="str">
        <f>IF(B18="","",IFERROR(VLOOKUP(B18,PERUMAHAN!$A:$B,2,FALSE),"ID tidak ditemukan"))</f>
        <v>GRAND ERANES</v>
      </c>
      <c r="D18" s="241">
        <v>2026</v>
      </c>
      <c r="E18" s="241" t="s">
        <v>1286</v>
      </c>
      <c r="F18" s="241" t="s">
        <v>1287</v>
      </c>
      <c r="G18" s="243"/>
      <c r="H18" s="254">
        <v>1099.51</v>
      </c>
      <c r="I18" s="241"/>
      <c r="J18" s="241" t="s">
        <v>1278</v>
      </c>
      <c r="K18" s="241" t="s">
        <v>1288</v>
      </c>
      <c r="L18" s="241" t="s">
        <v>1280</v>
      </c>
      <c r="M18" s="243" t="s">
        <v>64</v>
      </c>
      <c r="N18" s="243"/>
      <c r="O18" s="242"/>
      <c r="P18" s="241"/>
      <c r="Q18" s="241"/>
      <c r="R18" s="241" t="s">
        <v>1281</v>
      </c>
      <c r="S18" s="244" t="s">
        <v>223</v>
      </c>
      <c r="T18" s="244">
        <v>46250</v>
      </c>
      <c r="U18" t="s">
        <v>52</v>
      </c>
      <c r="V18" s="240" t="s">
        <v>1291</v>
      </c>
      <c r="W18" s="240" t="s">
        <v>1317</v>
      </c>
      <c r="AA18"/>
      <c r="AB18"/>
      <c r="AC18"/>
      <c r="AD18"/>
      <c r="AE18"/>
      <c r="AF18"/>
      <c r="AG18"/>
      <c r="AH18"/>
      <c r="AI18"/>
      <c r="AJ18"/>
      <c r="AK18"/>
      <c r="AL18"/>
      <c r="AM18"/>
      <c r="AN18"/>
      <c r="AO18"/>
      <c r="AP18"/>
      <c r="AQ18"/>
      <c r="AR18"/>
    </row>
    <row r="19" spans="1:44" s="239" customFormat="1">
      <c r="A19" s="241" t="s">
        <v>2908</v>
      </c>
      <c r="B19" s="241" t="s">
        <v>726</v>
      </c>
      <c r="C19" s="245" t="str">
        <f>IF(B19="","",IFERROR(VLOOKUP(B19,PERUMAHAN!$A:$B,2,FALSE),"ID tidak ditemukan"))</f>
        <v>HARVEST RESIDENCE 9</v>
      </c>
      <c r="D19" s="241">
        <v>2026</v>
      </c>
      <c r="E19" s="241" t="s">
        <v>1258</v>
      </c>
      <c r="F19" s="241" t="s">
        <v>1259</v>
      </c>
      <c r="G19" s="243"/>
      <c r="H19" s="254">
        <v>2360</v>
      </c>
      <c r="I19" s="241"/>
      <c r="J19" s="241" t="s">
        <v>1278</v>
      </c>
      <c r="K19" s="241" t="s">
        <v>1279</v>
      </c>
      <c r="L19" s="241" t="s">
        <v>1280</v>
      </c>
      <c r="M19" s="243" t="s">
        <v>64</v>
      </c>
      <c r="N19" s="243"/>
      <c r="O19" s="242"/>
      <c r="P19" s="241"/>
      <c r="Q19" s="241"/>
      <c r="R19" s="241" t="s">
        <v>1281</v>
      </c>
      <c r="S19" s="244" t="s">
        <v>223</v>
      </c>
      <c r="T19" s="244">
        <v>46250</v>
      </c>
      <c r="U19" t="s">
        <v>52</v>
      </c>
      <c r="V19" s="240" t="s">
        <v>1291</v>
      </c>
      <c r="W19" s="240" t="s">
        <v>1318</v>
      </c>
      <c r="AA19"/>
      <c r="AB19"/>
      <c r="AC19"/>
      <c r="AD19"/>
      <c r="AE19"/>
      <c r="AF19"/>
      <c r="AG19"/>
      <c r="AH19"/>
      <c r="AI19"/>
      <c r="AJ19"/>
      <c r="AK19"/>
      <c r="AL19"/>
      <c r="AM19"/>
      <c r="AN19"/>
      <c r="AO19"/>
      <c r="AP19"/>
      <c r="AQ19"/>
      <c r="AR19"/>
    </row>
    <row r="20" spans="1:44" s="239" customFormat="1" ht="28">
      <c r="A20" s="241" t="s">
        <v>2909</v>
      </c>
      <c r="B20" s="241" t="s">
        <v>726</v>
      </c>
      <c r="C20" s="245" t="str">
        <f>IF(B20="","",IFERROR(VLOOKUP(B20,PERUMAHAN!$A:$B,2,FALSE),"ID tidak ditemukan"))</f>
        <v>HARVEST RESIDENCE 9</v>
      </c>
      <c r="D20" s="241">
        <v>2026</v>
      </c>
      <c r="E20" s="241" t="s">
        <v>1258</v>
      </c>
      <c r="F20" s="241" t="s">
        <v>1276</v>
      </c>
      <c r="G20" s="243"/>
      <c r="H20" s="254">
        <v>216</v>
      </c>
      <c r="I20" s="241"/>
      <c r="J20" s="241" t="s">
        <v>1278</v>
      </c>
      <c r="K20" s="241" t="s">
        <v>1279</v>
      </c>
      <c r="L20" s="241" t="s">
        <v>1280</v>
      </c>
      <c r="M20" s="243" t="s">
        <v>64</v>
      </c>
      <c r="N20" s="243"/>
      <c r="O20" s="242"/>
      <c r="P20" s="241"/>
      <c r="Q20" s="241"/>
      <c r="R20" s="241" t="s">
        <v>1281</v>
      </c>
      <c r="S20" s="244" t="s">
        <v>223</v>
      </c>
      <c r="T20" s="244">
        <v>46250</v>
      </c>
      <c r="U20" t="s">
        <v>52</v>
      </c>
      <c r="V20" s="240" t="s">
        <v>1291</v>
      </c>
      <c r="W20" s="240" t="s">
        <v>1319</v>
      </c>
      <c r="AA20"/>
      <c r="AB20"/>
      <c r="AC20"/>
      <c r="AD20"/>
      <c r="AE20"/>
      <c r="AF20"/>
      <c r="AG20"/>
      <c r="AH20"/>
      <c r="AI20"/>
      <c r="AJ20"/>
      <c r="AK20"/>
      <c r="AL20"/>
      <c r="AM20"/>
      <c r="AN20"/>
      <c r="AO20"/>
      <c r="AP20"/>
      <c r="AQ20"/>
      <c r="AR20"/>
    </row>
    <row r="21" spans="1:44" s="239" customFormat="1" ht="28">
      <c r="A21" s="241" t="s">
        <v>2910</v>
      </c>
      <c r="B21" s="241" t="s">
        <v>726</v>
      </c>
      <c r="C21" s="245" t="str">
        <f>IF(B21="","",IFERROR(VLOOKUP(B21,PERUMAHAN!$A:$B,2,FALSE),"ID tidak ditemukan"))</f>
        <v>HARVEST RESIDENCE 9</v>
      </c>
      <c r="D21" s="241">
        <v>2026</v>
      </c>
      <c r="E21" s="241" t="s">
        <v>1286</v>
      </c>
      <c r="F21" s="241" t="s">
        <v>1287</v>
      </c>
      <c r="G21" s="243"/>
      <c r="H21" s="254">
        <v>982</v>
      </c>
      <c r="I21" s="241"/>
      <c r="J21" s="241" t="s">
        <v>1278</v>
      </c>
      <c r="K21" s="241" t="s">
        <v>1288</v>
      </c>
      <c r="L21" s="241" t="s">
        <v>1280</v>
      </c>
      <c r="M21" s="243" t="s">
        <v>64</v>
      </c>
      <c r="N21" s="243"/>
      <c r="O21" s="242"/>
      <c r="P21" s="241"/>
      <c r="Q21" s="241"/>
      <c r="R21" s="241" t="s">
        <v>1281</v>
      </c>
      <c r="S21" s="244" t="s">
        <v>223</v>
      </c>
      <c r="T21" s="244">
        <v>46250</v>
      </c>
      <c r="U21" t="s">
        <v>52</v>
      </c>
      <c r="V21" s="240" t="s">
        <v>1291</v>
      </c>
      <c r="W21" s="240" t="s">
        <v>1320</v>
      </c>
      <c r="AA21"/>
      <c r="AB21"/>
      <c r="AC21"/>
      <c r="AD21"/>
      <c r="AE21"/>
      <c r="AF21"/>
      <c r="AG21"/>
      <c r="AH21"/>
      <c r="AI21"/>
      <c r="AJ21"/>
      <c r="AK21"/>
      <c r="AL21"/>
      <c r="AM21"/>
      <c r="AN21"/>
      <c r="AO21"/>
      <c r="AP21"/>
      <c r="AQ21"/>
      <c r="AR21"/>
    </row>
    <row r="22" spans="1:44" s="239" customFormat="1">
      <c r="A22" s="241" t="s">
        <v>2911</v>
      </c>
      <c r="B22" s="241" t="s">
        <v>726</v>
      </c>
      <c r="C22" s="245" t="str">
        <f>IF(B22="","",IFERROR(VLOOKUP(B22,PERUMAHAN!$A:$B,2,FALSE),"ID tidak ditemukan"))</f>
        <v>HARVEST RESIDENCE 9</v>
      </c>
      <c r="D22" s="241">
        <v>2026</v>
      </c>
      <c r="E22" s="241" t="s">
        <v>1291</v>
      </c>
      <c r="F22" s="241" t="s">
        <v>1292</v>
      </c>
      <c r="G22" s="243"/>
      <c r="H22" s="254"/>
      <c r="I22" s="241">
        <v>7</v>
      </c>
      <c r="J22" s="241" t="s">
        <v>1293</v>
      </c>
      <c r="K22" s="241" t="s">
        <v>1308</v>
      </c>
      <c r="L22" s="241" t="s">
        <v>1280</v>
      </c>
      <c r="M22" s="243" t="s">
        <v>64</v>
      </c>
      <c r="N22" s="243"/>
      <c r="O22" s="242"/>
      <c r="P22" s="241"/>
      <c r="Q22" s="241"/>
      <c r="R22" s="241" t="s">
        <v>1281</v>
      </c>
      <c r="S22" s="244" t="s">
        <v>223</v>
      </c>
      <c r="T22" s="244">
        <v>46250</v>
      </c>
      <c r="U22" t="s">
        <v>52</v>
      </c>
      <c r="V22" s="240" t="s">
        <v>1291</v>
      </c>
      <c r="W22" s="240" t="s">
        <v>1321</v>
      </c>
      <c r="AA22"/>
      <c r="AB22"/>
      <c r="AC22"/>
      <c r="AD22"/>
      <c r="AE22"/>
      <c r="AF22"/>
      <c r="AG22"/>
      <c r="AH22"/>
      <c r="AI22"/>
      <c r="AJ22"/>
      <c r="AK22"/>
      <c r="AL22"/>
      <c r="AM22"/>
      <c r="AN22"/>
      <c r="AO22"/>
      <c r="AP22"/>
      <c r="AQ22"/>
      <c r="AR22"/>
    </row>
    <row r="23" spans="1:44" s="239" customFormat="1">
      <c r="A23" s="241" t="s">
        <v>2912</v>
      </c>
      <c r="B23" s="241" t="s">
        <v>219</v>
      </c>
      <c r="C23" s="245" t="str">
        <f>IF(B23="","",IFERROR(VLOOKUP(B23,PERUMAHAN!$A:$B,2,FALSE),"ID tidak ditemukan"))</f>
        <v>BINTANG SAMRATULANGI 6</v>
      </c>
      <c r="D23" s="241">
        <v>2026</v>
      </c>
      <c r="E23" s="241" t="s">
        <v>1258</v>
      </c>
      <c r="F23" s="241" t="s">
        <v>1259</v>
      </c>
      <c r="G23" s="243"/>
      <c r="H23" s="254">
        <v>976</v>
      </c>
      <c r="I23" s="241"/>
      <c r="J23" s="241" t="s">
        <v>1278</v>
      </c>
      <c r="K23" s="241" t="s">
        <v>1279</v>
      </c>
      <c r="L23" s="241" t="s">
        <v>1280</v>
      </c>
      <c r="M23" s="243" t="s">
        <v>64</v>
      </c>
      <c r="N23" s="243"/>
      <c r="O23" s="242"/>
      <c r="P23" s="241"/>
      <c r="Q23" s="241"/>
      <c r="R23" s="241" t="s">
        <v>1281</v>
      </c>
      <c r="S23" s="244" t="s">
        <v>223</v>
      </c>
      <c r="T23" s="244">
        <v>46250</v>
      </c>
      <c r="U23" t="s">
        <v>52</v>
      </c>
      <c r="V23" s="240" t="s">
        <v>1291</v>
      </c>
      <c r="W23" s="240" t="s">
        <v>1292</v>
      </c>
      <c r="AA23"/>
      <c r="AB23"/>
      <c r="AC23"/>
      <c r="AD23"/>
      <c r="AE23"/>
      <c r="AF23"/>
      <c r="AG23"/>
      <c r="AH23"/>
      <c r="AI23"/>
      <c r="AJ23"/>
      <c r="AK23"/>
      <c r="AL23"/>
      <c r="AM23"/>
      <c r="AN23"/>
      <c r="AO23"/>
      <c r="AP23"/>
      <c r="AQ23"/>
      <c r="AR23"/>
    </row>
    <row r="24" spans="1:44" s="239" customFormat="1" ht="28">
      <c r="A24" s="241" t="s">
        <v>2913</v>
      </c>
      <c r="B24" s="241" t="s">
        <v>219</v>
      </c>
      <c r="C24" s="245" t="str">
        <f>IF(B24="","",IFERROR(VLOOKUP(B24,PERUMAHAN!$A:$B,2,FALSE),"ID tidak ditemukan"))</f>
        <v>BINTANG SAMRATULANGI 6</v>
      </c>
      <c r="D24" s="241">
        <v>2026</v>
      </c>
      <c r="E24" s="241" t="s">
        <v>1258</v>
      </c>
      <c r="F24" s="241" t="s">
        <v>1276</v>
      </c>
      <c r="G24" s="243"/>
      <c r="H24" s="254">
        <v>143.9</v>
      </c>
      <c r="I24" s="241"/>
      <c r="J24" s="241" t="s">
        <v>1278</v>
      </c>
      <c r="K24" s="241" t="s">
        <v>1279</v>
      </c>
      <c r="L24" s="241" t="s">
        <v>1280</v>
      </c>
      <c r="M24" s="243" t="s">
        <v>64</v>
      </c>
      <c r="N24" s="243"/>
      <c r="O24" s="242"/>
      <c r="P24" s="241"/>
      <c r="Q24" s="241"/>
      <c r="R24" s="241" t="s">
        <v>1281</v>
      </c>
      <c r="S24" s="244" t="s">
        <v>223</v>
      </c>
      <c r="T24" s="244">
        <v>46250</v>
      </c>
      <c r="U24" t="s">
        <v>52</v>
      </c>
      <c r="V24" s="240" t="s">
        <v>1305</v>
      </c>
      <c r="W24" s="240" t="s">
        <v>1306</v>
      </c>
      <c r="AA24"/>
      <c r="AB24"/>
      <c r="AC24"/>
      <c r="AD24"/>
      <c r="AE24"/>
      <c r="AF24"/>
      <c r="AG24"/>
      <c r="AH24"/>
      <c r="AI24"/>
      <c r="AJ24"/>
      <c r="AK24"/>
      <c r="AL24"/>
      <c r="AM24"/>
      <c r="AN24"/>
      <c r="AO24"/>
      <c r="AP24"/>
      <c r="AQ24"/>
      <c r="AR24"/>
    </row>
    <row r="25" spans="1:44" s="239" customFormat="1" ht="28">
      <c r="A25" s="241" t="s">
        <v>2914</v>
      </c>
      <c r="B25" s="241" t="s">
        <v>219</v>
      </c>
      <c r="C25" s="245" t="str">
        <f>IF(B25="","",IFERROR(VLOOKUP(B25,PERUMAHAN!$A:$B,2,FALSE),"ID tidak ditemukan"))</f>
        <v>BINTANG SAMRATULANGI 6</v>
      </c>
      <c r="D25" s="241">
        <v>2026</v>
      </c>
      <c r="E25" s="241" t="s">
        <v>1286</v>
      </c>
      <c r="F25" s="241" t="s">
        <v>1287</v>
      </c>
      <c r="G25" s="243"/>
      <c r="H25" s="254">
        <v>577</v>
      </c>
      <c r="I25" s="241"/>
      <c r="J25" s="241" t="s">
        <v>1278</v>
      </c>
      <c r="K25" s="241" t="s">
        <v>1279</v>
      </c>
      <c r="L25" s="241" t="s">
        <v>1280</v>
      </c>
      <c r="M25" s="243" t="s">
        <v>64</v>
      </c>
      <c r="N25" s="243"/>
      <c r="O25" s="242"/>
      <c r="P25" s="241"/>
      <c r="Q25" s="241"/>
      <c r="R25" s="241" t="s">
        <v>1281</v>
      </c>
      <c r="S25" s="244" t="s">
        <v>223</v>
      </c>
      <c r="T25" s="244">
        <v>46250</v>
      </c>
      <c r="U25" t="s">
        <v>52</v>
      </c>
      <c r="AA25"/>
      <c r="AB25"/>
      <c r="AC25"/>
      <c r="AD25"/>
      <c r="AE25"/>
      <c r="AF25"/>
      <c r="AG25"/>
      <c r="AH25"/>
      <c r="AI25"/>
      <c r="AJ25"/>
      <c r="AK25"/>
      <c r="AL25"/>
      <c r="AM25"/>
      <c r="AN25"/>
      <c r="AO25"/>
      <c r="AP25"/>
      <c r="AQ25"/>
      <c r="AR25"/>
    </row>
    <row r="26" spans="1:44" s="239" customFormat="1">
      <c r="A26" s="241" t="s">
        <v>2915</v>
      </c>
      <c r="B26" s="241" t="s">
        <v>776</v>
      </c>
      <c r="C26" s="245" t="str">
        <f>IF(B26="","",IFERROR(VLOOKUP(B26,PERUMAHAN!$A:$B,2,FALSE),"ID tidak ditemukan"))</f>
        <v>LAVANDE RESIDENCE 2</v>
      </c>
      <c r="D26" s="241">
        <v>2026</v>
      </c>
      <c r="E26" s="241" t="s">
        <v>1258</v>
      </c>
      <c r="F26" s="241" t="s">
        <v>1259</v>
      </c>
      <c r="G26" s="243"/>
      <c r="H26" s="254">
        <v>658</v>
      </c>
      <c r="I26" s="241"/>
      <c r="J26" s="241" t="s">
        <v>1278</v>
      </c>
      <c r="K26" s="241" t="s">
        <v>1279</v>
      </c>
      <c r="L26" s="241" t="s">
        <v>1280</v>
      </c>
      <c r="M26" s="243" t="s">
        <v>64</v>
      </c>
      <c r="N26" s="243"/>
      <c r="O26" s="242"/>
      <c r="P26" s="241"/>
      <c r="Q26" s="241"/>
      <c r="R26" s="241" t="s">
        <v>1281</v>
      </c>
      <c r="S26" s="244" t="s">
        <v>223</v>
      </c>
      <c r="T26" s="244">
        <v>46250</v>
      </c>
      <c r="U26" t="s">
        <v>52</v>
      </c>
      <c r="AA26"/>
      <c r="AB26"/>
      <c r="AC26"/>
      <c r="AD26"/>
      <c r="AE26"/>
      <c r="AF26"/>
      <c r="AG26"/>
      <c r="AH26"/>
      <c r="AI26"/>
      <c r="AJ26"/>
      <c r="AK26"/>
      <c r="AL26"/>
      <c r="AM26"/>
      <c r="AN26"/>
      <c r="AO26"/>
      <c r="AP26"/>
      <c r="AQ26"/>
      <c r="AR26"/>
    </row>
    <row r="27" spans="1:44" s="239" customFormat="1" ht="28">
      <c r="A27" s="241" t="s">
        <v>2916</v>
      </c>
      <c r="B27" s="241" t="s">
        <v>776</v>
      </c>
      <c r="C27" s="245" t="str">
        <f>IF(B27="","",IFERROR(VLOOKUP(B27,PERUMAHAN!$A:$B,2,FALSE),"ID tidak ditemukan"))</f>
        <v>LAVANDE RESIDENCE 2</v>
      </c>
      <c r="D27" s="241">
        <v>2026</v>
      </c>
      <c r="E27" s="241" t="s">
        <v>1258</v>
      </c>
      <c r="F27" s="241" t="s">
        <v>1276</v>
      </c>
      <c r="G27" s="243"/>
      <c r="H27" s="254">
        <v>126</v>
      </c>
      <c r="I27" s="241"/>
      <c r="J27" s="241" t="s">
        <v>1278</v>
      </c>
      <c r="K27" s="241" t="s">
        <v>1279</v>
      </c>
      <c r="L27" s="241" t="s">
        <v>1280</v>
      </c>
      <c r="M27" s="243" t="s">
        <v>64</v>
      </c>
      <c r="N27" s="243"/>
      <c r="O27" s="242"/>
      <c r="P27" s="241"/>
      <c r="Q27" s="241"/>
      <c r="R27" s="241" t="s">
        <v>1281</v>
      </c>
      <c r="S27" s="244" t="s">
        <v>223</v>
      </c>
      <c r="T27" s="244">
        <v>46250</v>
      </c>
      <c r="U27" t="s">
        <v>52</v>
      </c>
      <c r="AA27"/>
      <c r="AB27"/>
      <c r="AC27"/>
      <c r="AD27"/>
      <c r="AE27"/>
      <c r="AF27"/>
      <c r="AG27"/>
      <c r="AH27"/>
      <c r="AI27"/>
      <c r="AJ27"/>
      <c r="AK27"/>
      <c r="AL27"/>
      <c r="AM27"/>
      <c r="AN27"/>
      <c r="AO27"/>
      <c r="AP27"/>
      <c r="AQ27"/>
      <c r="AR27"/>
    </row>
    <row r="28" spans="1:44" s="239" customFormat="1" ht="28">
      <c r="A28" s="241" t="s">
        <v>2917</v>
      </c>
      <c r="B28" s="241" t="s">
        <v>776</v>
      </c>
      <c r="C28" s="245" t="str">
        <f>IF(B28="","",IFERROR(VLOOKUP(B28,PERUMAHAN!$A:$B,2,FALSE),"ID tidak ditemukan"))</f>
        <v>LAVANDE RESIDENCE 2</v>
      </c>
      <c r="D28" s="241">
        <v>2026</v>
      </c>
      <c r="E28" s="241" t="s">
        <v>1286</v>
      </c>
      <c r="F28" s="241" t="s">
        <v>1287</v>
      </c>
      <c r="G28" s="243"/>
      <c r="H28" s="254">
        <v>522</v>
      </c>
      <c r="I28" s="241"/>
      <c r="J28" s="241" t="s">
        <v>1278</v>
      </c>
      <c r="K28" s="241" t="s">
        <v>1288</v>
      </c>
      <c r="L28" s="241" t="s">
        <v>1280</v>
      </c>
      <c r="M28" s="243" t="s">
        <v>64</v>
      </c>
      <c r="N28" s="243"/>
      <c r="O28" s="242"/>
      <c r="P28" s="241"/>
      <c r="Q28" s="241"/>
      <c r="R28" s="241" t="s">
        <v>1281</v>
      </c>
      <c r="S28" s="244" t="s">
        <v>223</v>
      </c>
      <c r="T28" s="244">
        <v>46250</v>
      </c>
      <c r="U28" t="s">
        <v>52</v>
      </c>
      <c r="AA28"/>
      <c r="AB28"/>
      <c r="AC28"/>
      <c r="AD28"/>
      <c r="AE28"/>
      <c r="AF28"/>
      <c r="AG28"/>
      <c r="AH28"/>
      <c r="AI28"/>
      <c r="AJ28"/>
      <c r="AK28"/>
      <c r="AL28"/>
      <c r="AM28"/>
      <c r="AN28"/>
      <c r="AO28"/>
      <c r="AP28"/>
      <c r="AQ28"/>
      <c r="AR28"/>
    </row>
    <row r="29" spans="1:44" s="239" customFormat="1">
      <c r="A29" s="241" t="s">
        <v>2918</v>
      </c>
      <c r="B29" s="241" t="s">
        <v>776</v>
      </c>
      <c r="C29" s="245" t="str">
        <f>IF(B29="","",IFERROR(VLOOKUP(B29,PERUMAHAN!$A:$B,2,FALSE),"ID tidak ditemukan"))</f>
        <v>LAVANDE RESIDENCE 2</v>
      </c>
      <c r="D29" s="241">
        <v>2026</v>
      </c>
      <c r="E29" s="241" t="s">
        <v>1291</v>
      </c>
      <c r="F29" s="241" t="s">
        <v>1292</v>
      </c>
      <c r="G29" s="243"/>
      <c r="H29" s="254"/>
      <c r="I29" s="241">
        <v>5</v>
      </c>
      <c r="J29" s="241" t="s">
        <v>1293</v>
      </c>
      <c r="K29" s="241" t="s">
        <v>1308</v>
      </c>
      <c r="L29" s="241" t="s">
        <v>1280</v>
      </c>
      <c r="M29" s="243" t="s">
        <v>64</v>
      </c>
      <c r="N29" s="243"/>
      <c r="O29" s="242"/>
      <c r="P29" s="241"/>
      <c r="Q29" s="241"/>
      <c r="R29" s="241" t="s">
        <v>1281</v>
      </c>
      <c r="S29" s="244" t="s">
        <v>223</v>
      </c>
      <c r="T29" s="244">
        <v>46250</v>
      </c>
      <c r="U29" t="s">
        <v>52</v>
      </c>
      <c r="AA29"/>
      <c r="AB29"/>
      <c r="AC29"/>
      <c r="AD29"/>
      <c r="AE29"/>
      <c r="AF29"/>
      <c r="AG29"/>
      <c r="AH29"/>
      <c r="AI29"/>
      <c r="AJ29"/>
      <c r="AK29"/>
      <c r="AL29"/>
      <c r="AM29"/>
      <c r="AN29"/>
      <c r="AO29"/>
      <c r="AP29"/>
      <c r="AQ29"/>
      <c r="AR29"/>
    </row>
    <row r="30" spans="1:44" s="239" customFormat="1">
      <c r="A30" s="241" t="s">
        <v>2919</v>
      </c>
      <c r="B30" s="241" t="s">
        <v>1206</v>
      </c>
      <c r="C30" s="245" t="str">
        <f>IF(B30="","",IFERROR(VLOOKUP(B30,PERUMAHAN!$A:$B,2,FALSE),"ID tidak ditemukan"))</f>
        <v>VALERI RESIDENCE 3</v>
      </c>
      <c r="D30" s="241">
        <v>2026</v>
      </c>
      <c r="E30" s="241" t="s">
        <v>1258</v>
      </c>
      <c r="F30" s="241" t="s">
        <v>1259</v>
      </c>
      <c r="G30" s="243"/>
      <c r="H30" s="254">
        <v>2288.98</v>
      </c>
      <c r="I30" s="241"/>
      <c r="J30" s="241" t="s">
        <v>1278</v>
      </c>
      <c r="K30" s="241" t="s">
        <v>1279</v>
      </c>
      <c r="L30" s="241" t="s">
        <v>1280</v>
      </c>
      <c r="M30" s="243" t="s">
        <v>64</v>
      </c>
      <c r="N30" s="243"/>
      <c r="O30" s="242"/>
      <c r="P30" s="241"/>
      <c r="Q30" s="241"/>
      <c r="R30" s="241" t="s">
        <v>1281</v>
      </c>
      <c r="S30" s="244" t="s">
        <v>223</v>
      </c>
      <c r="T30" s="244">
        <v>46250</v>
      </c>
      <c r="U30" t="s">
        <v>52</v>
      </c>
      <c r="AA30"/>
      <c r="AB30"/>
      <c r="AC30"/>
      <c r="AD30"/>
      <c r="AE30"/>
      <c r="AF30"/>
      <c r="AG30"/>
      <c r="AH30"/>
      <c r="AI30"/>
      <c r="AJ30"/>
      <c r="AK30"/>
      <c r="AL30"/>
      <c r="AM30"/>
      <c r="AN30"/>
      <c r="AO30"/>
      <c r="AP30"/>
      <c r="AQ30"/>
      <c r="AR30"/>
    </row>
    <row r="31" spans="1:44" s="239" customFormat="1" ht="28">
      <c r="A31" s="241" t="s">
        <v>2920</v>
      </c>
      <c r="B31" s="241" t="s">
        <v>1206</v>
      </c>
      <c r="C31" s="245" t="str">
        <f>IF(B31="","",IFERROR(VLOOKUP(B31,PERUMAHAN!$A:$B,2,FALSE),"ID tidak ditemukan"))</f>
        <v>VALERI RESIDENCE 3</v>
      </c>
      <c r="D31" s="241">
        <v>2026</v>
      </c>
      <c r="E31" s="241" t="s">
        <v>1258</v>
      </c>
      <c r="F31" s="241" t="s">
        <v>1276</v>
      </c>
      <c r="G31" s="243"/>
      <c r="H31" s="254">
        <v>544.70000000000005</v>
      </c>
      <c r="I31" s="241"/>
      <c r="J31" s="241" t="s">
        <v>1278</v>
      </c>
      <c r="K31" s="241" t="s">
        <v>1279</v>
      </c>
      <c r="L31" s="241" t="s">
        <v>1280</v>
      </c>
      <c r="M31" s="243" t="s">
        <v>64</v>
      </c>
      <c r="N31" s="243"/>
      <c r="O31" s="242"/>
      <c r="P31" s="241"/>
      <c r="Q31" s="241"/>
      <c r="R31" s="241" t="s">
        <v>1281</v>
      </c>
      <c r="S31" s="244" t="s">
        <v>223</v>
      </c>
      <c r="T31" s="244">
        <v>46250</v>
      </c>
      <c r="U31" t="s">
        <v>52</v>
      </c>
      <c r="AA31"/>
      <c r="AB31"/>
      <c r="AC31"/>
      <c r="AD31"/>
      <c r="AE31"/>
      <c r="AF31"/>
      <c r="AG31"/>
      <c r="AH31"/>
      <c r="AI31"/>
      <c r="AJ31"/>
      <c r="AK31"/>
      <c r="AL31"/>
      <c r="AM31"/>
      <c r="AN31"/>
      <c r="AO31"/>
      <c r="AP31"/>
      <c r="AQ31"/>
      <c r="AR31"/>
    </row>
    <row r="32" spans="1:44" s="239" customFormat="1" ht="28">
      <c r="A32" s="241" t="s">
        <v>2921</v>
      </c>
      <c r="B32" s="241" t="s">
        <v>1206</v>
      </c>
      <c r="C32" s="245" t="str">
        <f>IF(B32="","",IFERROR(VLOOKUP(B32,PERUMAHAN!$A:$B,2,FALSE),"ID tidak ditemukan"))</f>
        <v>VALERI RESIDENCE 3</v>
      </c>
      <c r="D32" s="241">
        <v>2026</v>
      </c>
      <c r="E32" s="241" t="s">
        <v>1286</v>
      </c>
      <c r="F32" s="241" t="s">
        <v>1287</v>
      </c>
      <c r="G32" s="243"/>
      <c r="H32" s="254">
        <v>956.32</v>
      </c>
      <c r="I32" s="241"/>
      <c r="J32" s="241" t="s">
        <v>1278</v>
      </c>
      <c r="K32" s="241" t="s">
        <v>1288</v>
      </c>
      <c r="L32" s="241" t="s">
        <v>1280</v>
      </c>
      <c r="M32" s="243" t="s">
        <v>64</v>
      </c>
      <c r="N32" s="243"/>
      <c r="O32" s="242"/>
      <c r="P32" s="241"/>
      <c r="Q32" s="241"/>
      <c r="R32" s="241" t="s">
        <v>1281</v>
      </c>
      <c r="S32" s="244" t="s">
        <v>223</v>
      </c>
      <c r="T32" s="244">
        <v>46250</v>
      </c>
      <c r="U32" t="s">
        <v>52</v>
      </c>
      <c r="AA32"/>
      <c r="AB32"/>
      <c r="AC32"/>
      <c r="AD32"/>
      <c r="AE32"/>
      <c r="AF32"/>
      <c r="AG32"/>
      <c r="AH32"/>
      <c r="AI32"/>
      <c r="AJ32"/>
      <c r="AK32"/>
      <c r="AL32"/>
      <c r="AM32"/>
      <c r="AN32"/>
      <c r="AO32"/>
      <c r="AP32"/>
      <c r="AQ32"/>
      <c r="AR32"/>
    </row>
    <row r="33" spans="1:44" s="239" customFormat="1">
      <c r="A33" s="241" t="s">
        <v>2922</v>
      </c>
      <c r="B33" s="241" t="s">
        <v>1206</v>
      </c>
      <c r="C33" s="245" t="str">
        <f>IF(B33="","",IFERROR(VLOOKUP(B33,PERUMAHAN!$A:$B,2,FALSE),"ID tidak ditemukan"))</f>
        <v>VALERI RESIDENCE 3</v>
      </c>
      <c r="D33" s="241">
        <v>2026</v>
      </c>
      <c r="E33" s="241" t="s">
        <v>1291</v>
      </c>
      <c r="F33" s="241" t="s">
        <v>1292</v>
      </c>
      <c r="G33" s="243"/>
      <c r="H33" s="254"/>
      <c r="I33" s="241">
        <v>5</v>
      </c>
      <c r="J33" s="241" t="s">
        <v>1293</v>
      </c>
      <c r="K33" s="241" t="s">
        <v>1308</v>
      </c>
      <c r="L33" s="241" t="s">
        <v>1280</v>
      </c>
      <c r="M33" s="243" t="s">
        <v>64</v>
      </c>
      <c r="N33" s="243"/>
      <c r="O33" s="242"/>
      <c r="P33" s="241"/>
      <c r="Q33" s="241"/>
      <c r="R33" s="241" t="s">
        <v>1281</v>
      </c>
      <c r="S33" s="244" t="s">
        <v>223</v>
      </c>
      <c r="T33" s="244">
        <v>46250</v>
      </c>
      <c r="U33" t="s">
        <v>52</v>
      </c>
      <c r="AA33"/>
      <c r="AB33"/>
      <c r="AC33"/>
      <c r="AD33"/>
      <c r="AE33"/>
      <c r="AF33"/>
      <c r="AG33"/>
      <c r="AH33"/>
      <c r="AI33"/>
      <c r="AJ33"/>
      <c r="AK33"/>
      <c r="AL33"/>
      <c r="AM33"/>
      <c r="AN33"/>
      <c r="AO33"/>
      <c r="AP33"/>
      <c r="AQ33"/>
      <c r="AR33"/>
    </row>
    <row r="34" spans="1:44" s="239" customFormat="1">
      <c r="A34" s="241" t="s">
        <v>2923</v>
      </c>
      <c r="B34" s="241" t="s">
        <v>770</v>
      </c>
      <c r="C34" s="245" t="str">
        <f>IF(B34="","",IFERROR(VLOOKUP(B34,PERUMAHAN!$A:$B,2,FALSE),"ID tidak ditemukan"))</f>
        <v>LAVANDE RESIDENCE 1</v>
      </c>
      <c r="D34" s="241">
        <v>2026</v>
      </c>
      <c r="E34" s="241" t="s">
        <v>1258</v>
      </c>
      <c r="F34" s="241" t="s">
        <v>1259</v>
      </c>
      <c r="G34" s="243"/>
      <c r="H34" s="254">
        <v>1281</v>
      </c>
      <c r="I34" s="241"/>
      <c r="J34" s="241" t="s">
        <v>1278</v>
      </c>
      <c r="K34" s="241" t="s">
        <v>1279</v>
      </c>
      <c r="L34" s="241" t="s">
        <v>1280</v>
      </c>
      <c r="M34" s="243" t="s">
        <v>64</v>
      </c>
      <c r="N34" s="243"/>
      <c r="O34" s="242"/>
      <c r="P34" s="241"/>
      <c r="Q34" s="241"/>
      <c r="R34" s="241" t="s">
        <v>1281</v>
      </c>
      <c r="S34" s="244" t="s">
        <v>223</v>
      </c>
      <c r="T34" s="244">
        <v>46250</v>
      </c>
      <c r="U34" t="s">
        <v>52</v>
      </c>
      <c r="AA34"/>
      <c r="AB34"/>
      <c r="AC34"/>
      <c r="AD34"/>
      <c r="AE34"/>
      <c r="AF34"/>
      <c r="AG34"/>
      <c r="AH34"/>
      <c r="AI34"/>
      <c r="AJ34"/>
      <c r="AK34"/>
      <c r="AL34"/>
      <c r="AM34"/>
      <c r="AN34"/>
      <c r="AO34"/>
      <c r="AP34"/>
      <c r="AQ34"/>
      <c r="AR34"/>
    </row>
    <row r="35" spans="1:44" s="239" customFormat="1" ht="28">
      <c r="A35" s="241" t="s">
        <v>2924</v>
      </c>
      <c r="B35" s="241" t="s">
        <v>770</v>
      </c>
      <c r="C35" s="245" t="str">
        <f>IF(B35="","",IFERROR(VLOOKUP(B35,PERUMAHAN!$A:$B,2,FALSE),"ID tidak ditemukan"))</f>
        <v>LAVANDE RESIDENCE 1</v>
      </c>
      <c r="D35" s="241">
        <v>2026</v>
      </c>
      <c r="E35" s="241" t="s">
        <v>1258</v>
      </c>
      <c r="F35" s="241" t="s">
        <v>1276</v>
      </c>
      <c r="G35" s="243"/>
      <c r="H35" s="254">
        <v>160</v>
      </c>
      <c r="I35" s="241"/>
      <c r="J35" s="241" t="s">
        <v>1278</v>
      </c>
      <c r="K35" s="241" t="s">
        <v>1279</v>
      </c>
      <c r="L35" s="241" t="s">
        <v>1280</v>
      </c>
      <c r="M35" s="243" t="s">
        <v>64</v>
      </c>
      <c r="N35" s="243"/>
      <c r="O35" s="242"/>
      <c r="P35" s="241"/>
      <c r="Q35" s="241"/>
      <c r="R35" s="241" t="s">
        <v>1281</v>
      </c>
      <c r="S35" s="244" t="s">
        <v>223</v>
      </c>
      <c r="T35" s="244">
        <v>46250</v>
      </c>
      <c r="U35" t="s">
        <v>52</v>
      </c>
      <c r="AA35"/>
      <c r="AB35"/>
      <c r="AC35"/>
      <c r="AD35"/>
      <c r="AE35"/>
      <c r="AF35"/>
      <c r="AG35"/>
      <c r="AH35"/>
      <c r="AI35"/>
      <c r="AJ35"/>
      <c r="AK35"/>
      <c r="AL35"/>
      <c r="AM35"/>
      <c r="AN35"/>
      <c r="AO35"/>
      <c r="AP35"/>
      <c r="AQ35"/>
      <c r="AR35"/>
    </row>
    <row r="36" spans="1:44" s="239" customFormat="1" ht="28">
      <c r="A36" s="241" t="s">
        <v>2925</v>
      </c>
      <c r="B36" s="241" t="s">
        <v>770</v>
      </c>
      <c r="C36" s="245" t="str">
        <f>IF(B36="","",IFERROR(VLOOKUP(B36,PERUMAHAN!$A:$B,2,FALSE),"ID tidak ditemukan"))</f>
        <v>LAVANDE RESIDENCE 1</v>
      </c>
      <c r="D36" s="241">
        <v>2026</v>
      </c>
      <c r="E36" s="241" t="s">
        <v>1286</v>
      </c>
      <c r="F36" s="241" t="s">
        <v>1287</v>
      </c>
      <c r="G36" s="243"/>
      <c r="H36" s="254">
        <v>1441</v>
      </c>
      <c r="I36" s="241"/>
      <c r="J36" s="241" t="s">
        <v>1278</v>
      </c>
      <c r="K36" s="241" t="s">
        <v>1288</v>
      </c>
      <c r="L36" s="241" t="s">
        <v>1280</v>
      </c>
      <c r="M36" s="243" t="s">
        <v>64</v>
      </c>
      <c r="N36" s="243"/>
      <c r="O36" s="242"/>
      <c r="P36" s="241"/>
      <c r="Q36" s="241"/>
      <c r="R36" s="241" t="s">
        <v>1281</v>
      </c>
      <c r="S36" s="244" t="s">
        <v>223</v>
      </c>
      <c r="T36" s="244">
        <v>46250</v>
      </c>
      <c r="U36" t="s">
        <v>52</v>
      </c>
      <c r="AA36"/>
      <c r="AB36"/>
      <c r="AC36"/>
      <c r="AD36"/>
      <c r="AE36"/>
      <c r="AF36"/>
      <c r="AG36"/>
      <c r="AH36"/>
      <c r="AI36"/>
      <c r="AJ36"/>
      <c r="AK36"/>
      <c r="AL36"/>
      <c r="AM36"/>
      <c r="AN36"/>
      <c r="AO36"/>
      <c r="AP36"/>
      <c r="AQ36"/>
      <c r="AR36"/>
    </row>
    <row r="37" spans="1:44" s="239" customFormat="1">
      <c r="A37" s="241" t="s">
        <v>2926</v>
      </c>
      <c r="B37" s="241" t="s">
        <v>770</v>
      </c>
      <c r="C37" s="245" t="str">
        <f>IF(B37="","",IFERROR(VLOOKUP(B37,PERUMAHAN!$A:$B,2,FALSE),"ID tidak ditemukan"))</f>
        <v>LAVANDE RESIDENCE 1</v>
      </c>
      <c r="D37" s="241">
        <v>2026</v>
      </c>
      <c r="E37" s="241" t="s">
        <v>1291</v>
      </c>
      <c r="F37" s="241" t="s">
        <v>1292</v>
      </c>
      <c r="G37" s="243"/>
      <c r="H37" s="254"/>
      <c r="I37" s="241">
        <v>5</v>
      </c>
      <c r="J37" s="241" t="s">
        <v>1293</v>
      </c>
      <c r="K37" s="241" t="s">
        <v>1308</v>
      </c>
      <c r="L37" s="241" t="s">
        <v>1280</v>
      </c>
      <c r="M37" s="243" t="s">
        <v>64</v>
      </c>
      <c r="N37" s="243"/>
      <c r="O37" s="242"/>
      <c r="P37" s="241"/>
      <c r="Q37" s="241"/>
      <c r="R37" s="241" t="s">
        <v>1281</v>
      </c>
      <c r="S37" s="244" t="s">
        <v>223</v>
      </c>
      <c r="T37" s="244">
        <v>46250</v>
      </c>
      <c r="U37" t="s">
        <v>52</v>
      </c>
      <c r="AA37"/>
      <c r="AB37"/>
      <c r="AC37"/>
      <c r="AD37"/>
      <c r="AE37"/>
      <c r="AF37"/>
      <c r="AG37"/>
      <c r="AH37"/>
      <c r="AI37"/>
      <c r="AJ37"/>
      <c r="AK37"/>
      <c r="AL37"/>
      <c r="AM37"/>
      <c r="AN37"/>
      <c r="AO37"/>
      <c r="AP37"/>
      <c r="AQ37"/>
      <c r="AR37"/>
    </row>
    <row r="38" spans="1:44" s="239" customFormat="1">
      <c r="A38" s="241" t="s">
        <v>2927</v>
      </c>
      <c r="B38" s="241" t="s">
        <v>540</v>
      </c>
      <c r="C38" s="245" t="str">
        <f>IF(B38="","",IFERROR(VLOOKUP(B38,PERUMAHAN!$A:$B,2,FALSE),"ID tidak ditemukan"))</f>
        <v>GRIYA FAMILY 2</v>
      </c>
      <c r="D38" s="241">
        <v>2026</v>
      </c>
      <c r="E38" s="241" t="s">
        <v>1258</v>
      </c>
      <c r="F38" s="241" t="s">
        <v>1259</v>
      </c>
      <c r="G38" s="243"/>
      <c r="H38" s="254">
        <v>3401</v>
      </c>
      <c r="I38" s="241"/>
      <c r="J38" s="241" t="s">
        <v>1278</v>
      </c>
      <c r="K38" s="241" t="s">
        <v>1279</v>
      </c>
      <c r="L38" s="241" t="s">
        <v>1280</v>
      </c>
      <c r="M38" s="243" t="s">
        <v>64</v>
      </c>
      <c r="N38" s="243"/>
      <c r="O38" s="242"/>
      <c r="P38" s="241"/>
      <c r="Q38" s="241"/>
      <c r="R38" s="241" t="s">
        <v>1281</v>
      </c>
      <c r="S38" s="244" t="s">
        <v>223</v>
      </c>
      <c r="T38" s="244">
        <v>46250</v>
      </c>
      <c r="U38" t="s">
        <v>52</v>
      </c>
      <c r="AA38"/>
      <c r="AB38"/>
      <c r="AC38"/>
      <c r="AD38"/>
      <c r="AE38"/>
      <c r="AF38"/>
      <c r="AG38"/>
      <c r="AH38"/>
      <c r="AI38"/>
      <c r="AJ38"/>
      <c r="AK38"/>
      <c r="AL38"/>
      <c r="AM38"/>
      <c r="AN38"/>
      <c r="AO38"/>
      <c r="AP38"/>
      <c r="AQ38"/>
      <c r="AR38"/>
    </row>
    <row r="39" spans="1:44" s="239" customFormat="1" ht="28">
      <c r="A39" s="241" t="s">
        <v>2929</v>
      </c>
      <c r="B39" s="241" t="s">
        <v>540</v>
      </c>
      <c r="C39" s="245" t="str">
        <f>IF(B39="","",IFERROR(VLOOKUP(B39,PERUMAHAN!$A:$B,2,FALSE),"ID tidak ditemukan"))</f>
        <v>GRIYA FAMILY 2</v>
      </c>
      <c r="D39" s="241">
        <v>2026</v>
      </c>
      <c r="E39" s="241" t="s">
        <v>1258</v>
      </c>
      <c r="F39" s="241" t="s">
        <v>1276</v>
      </c>
      <c r="G39" s="243"/>
      <c r="H39" s="254">
        <v>564</v>
      </c>
      <c r="I39" s="241"/>
      <c r="J39" s="241" t="s">
        <v>1278</v>
      </c>
      <c r="K39" s="241" t="s">
        <v>1279</v>
      </c>
      <c r="L39" s="241" t="s">
        <v>1280</v>
      </c>
      <c r="M39" s="243" t="s">
        <v>64</v>
      </c>
      <c r="N39" s="243"/>
      <c r="O39" s="242"/>
      <c r="P39" s="241"/>
      <c r="Q39" s="241"/>
      <c r="R39" s="241" t="s">
        <v>1281</v>
      </c>
      <c r="S39" s="244" t="s">
        <v>223</v>
      </c>
      <c r="T39" s="244">
        <v>46250</v>
      </c>
      <c r="U39" t="s">
        <v>52</v>
      </c>
      <c r="AA39"/>
      <c r="AB39"/>
      <c r="AC39"/>
      <c r="AD39"/>
      <c r="AE39"/>
      <c r="AF39"/>
      <c r="AG39"/>
      <c r="AH39"/>
      <c r="AI39"/>
      <c r="AJ39"/>
      <c r="AK39"/>
      <c r="AL39"/>
      <c r="AM39"/>
      <c r="AN39"/>
      <c r="AO39"/>
      <c r="AP39"/>
      <c r="AQ39"/>
      <c r="AR39"/>
    </row>
    <row r="40" spans="1:44" s="239" customFormat="1" ht="28">
      <c r="A40" s="241" t="s">
        <v>2930</v>
      </c>
      <c r="B40" s="241" t="s">
        <v>540</v>
      </c>
      <c r="C40" s="245" t="str">
        <f>IF(B40="","",IFERROR(VLOOKUP(B40,PERUMAHAN!$A:$B,2,FALSE),"ID tidak ditemukan"))</f>
        <v>GRIYA FAMILY 2</v>
      </c>
      <c r="D40" s="241">
        <v>2026</v>
      </c>
      <c r="E40" s="241" t="s">
        <v>1286</v>
      </c>
      <c r="F40" s="241" t="s">
        <v>1287</v>
      </c>
      <c r="G40" s="243"/>
      <c r="H40" s="254">
        <v>2024</v>
      </c>
      <c r="I40" s="241"/>
      <c r="J40" s="241" t="s">
        <v>1278</v>
      </c>
      <c r="K40" s="241" t="s">
        <v>1288</v>
      </c>
      <c r="L40" s="241" t="s">
        <v>1280</v>
      </c>
      <c r="M40" s="243" t="s">
        <v>64</v>
      </c>
      <c r="N40" s="243"/>
      <c r="O40" s="242"/>
      <c r="P40" s="241"/>
      <c r="Q40" s="241"/>
      <c r="R40" s="241" t="s">
        <v>1281</v>
      </c>
      <c r="S40" s="244" t="s">
        <v>223</v>
      </c>
      <c r="T40" s="244">
        <v>46250</v>
      </c>
      <c r="U40" t="s">
        <v>52</v>
      </c>
      <c r="AA40"/>
      <c r="AB40"/>
      <c r="AC40"/>
      <c r="AD40"/>
      <c r="AE40"/>
      <c r="AF40"/>
      <c r="AG40"/>
      <c r="AH40"/>
      <c r="AI40"/>
      <c r="AJ40"/>
      <c r="AK40"/>
      <c r="AL40"/>
      <c r="AM40"/>
      <c r="AN40"/>
      <c r="AO40"/>
      <c r="AP40"/>
      <c r="AQ40"/>
      <c r="AR40"/>
    </row>
    <row r="41" spans="1:44" s="239" customFormat="1">
      <c r="A41" s="241" t="s">
        <v>2931</v>
      </c>
      <c r="B41" s="241" t="s">
        <v>540</v>
      </c>
      <c r="C41" s="245" t="str">
        <f>IF(B41="","",IFERROR(VLOOKUP(B41,PERUMAHAN!$A:$B,2,FALSE),"ID tidak ditemukan"))</f>
        <v>GRIYA FAMILY 2</v>
      </c>
      <c r="D41" s="241">
        <v>2026</v>
      </c>
      <c r="E41" s="241" t="s">
        <v>1291</v>
      </c>
      <c r="F41" s="241" t="s">
        <v>1292</v>
      </c>
      <c r="G41" s="243"/>
      <c r="H41" s="254"/>
      <c r="I41" s="241">
        <v>5</v>
      </c>
      <c r="J41" s="241" t="s">
        <v>1293</v>
      </c>
      <c r="K41" s="241" t="s">
        <v>1308</v>
      </c>
      <c r="L41" s="241" t="s">
        <v>1280</v>
      </c>
      <c r="M41" s="243" t="s">
        <v>64</v>
      </c>
      <c r="N41" s="243"/>
      <c r="O41" s="242"/>
      <c r="P41" s="241"/>
      <c r="Q41" s="241"/>
      <c r="R41" s="241" t="s">
        <v>1281</v>
      </c>
      <c r="S41" s="244" t="s">
        <v>223</v>
      </c>
      <c r="T41" s="244">
        <v>46250</v>
      </c>
      <c r="U41" t="s">
        <v>52</v>
      </c>
      <c r="AA41"/>
      <c r="AB41"/>
      <c r="AC41"/>
      <c r="AD41"/>
      <c r="AE41"/>
      <c r="AF41"/>
      <c r="AG41"/>
      <c r="AH41"/>
      <c r="AI41"/>
      <c r="AJ41"/>
      <c r="AK41"/>
      <c r="AL41"/>
      <c r="AM41"/>
      <c r="AN41"/>
      <c r="AO41"/>
      <c r="AP41"/>
      <c r="AQ41"/>
      <c r="AR41"/>
    </row>
    <row r="42" spans="1:44" s="239" customFormat="1">
      <c r="A42" s="241" t="s">
        <v>2932</v>
      </c>
      <c r="B42" s="241" t="s">
        <v>624</v>
      </c>
      <c r="C42" s="245" t="str">
        <f>IF(B42="","",IFERROR(VLOOKUP(B42,PERUMAHAN!$A:$B,2,FALSE),"ID tidak ditemukan"))</f>
        <v>GREEN VALLEY RESIDENCE</v>
      </c>
      <c r="D42" s="241">
        <v>2026</v>
      </c>
      <c r="E42" s="241" t="s">
        <v>1258</v>
      </c>
      <c r="F42" s="241" t="s">
        <v>1259</v>
      </c>
      <c r="G42" s="243"/>
      <c r="H42" s="254">
        <v>1347.6</v>
      </c>
      <c r="I42" s="241"/>
      <c r="J42" s="241" t="s">
        <v>1278</v>
      </c>
      <c r="K42" s="241" t="s">
        <v>1279</v>
      </c>
      <c r="L42" s="241" t="s">
        <v>1280</v>
      </c>
      <c r="M42" s="243" t="s">
        <v>64</v>
      </c>
      <c r="N42" s="243"/>
      <c r="O42" s="242"/>
      <c r="P42" s="241"/>
      <c r="Q42" s="241"/>
      <c r="R42" s="241" t="s">
        <v>1281</v>
      </c>
      <c r="S42" s="244" t="s">
        <v>223</v>
      </c>
      <c r="T42" s="244">
        <v>46250</v>
      </c>
      <c r="U42" t="s">
        <v>52</v>
      </c>
      <c r="AA42"/>
      <c r="AB42"/>
      <c r="AC42"/>
      <c r="AD42"/>
      <c r="AE42"/>
      <c r="AF42"/>
      <c r="AG42"/>
      <c r="AH42"/>
      <c r="AI42"/>
      <c r="AJ42"/>
      <c r="AK42"/>
      <c r="AL42"/>
      <c r="AM42"/>
      <c r="AN42"/>
      <c r="AO42"/>
      <c r="AP42"/>
      <c r="AQ42"/>
      <c r="AR42"/>
    </row>
    <row r="43" spans="1:44" s="239" customFormat="1" ht="28">
      <c r="A43" s="241" t="s">
        <v>2933</v>
      </c>
      <c r="B43" s="241" t="s">
        <v>624</v>
      </c>
      <c r="C43" s="245" t="str">
        <f>IF(B43="","",IFERROR(VLOOKUP(B43,PERUMAHAN!$A:$B,2,FALSE),"ID tidak ditemukan"))</f>
        <v>GREEN VALLEY RESIDENCE</v>
      </c>
      <c r="D43" s="241">
        <v>2026</v>
      </c>
      <c r="E43" s="241" t="s">
        <v>1286</v>
      </c>
      <c r="F43" s="241" t="s">
        <v>1287</v>
      </c>
      <c r="G43" s="243"/>
      <c r="H43" s="254">
        <v>561.79999999999995</v>
      </c>
      <c r="I43" s="241"/>
      <c r="J43" s="241" t="s">
        <v>1278</v>
      </c>
      <c r="K43" s="241" t="s">
        <v>1288</v>
      </c>
      <c r="L43" s="241" t="s">
        <v>1280</v>
      </c>
      <c r="M43" s="243" t="s">
        <v>64</v>
      </c>
      <c r="N43" s="243"/>
      <c r="O43" s="242"/>
      <c r="P43" s="241"/>
      <c r="Q43" s="241"/>
      <c r="R43" s="241" t="s">
        <v>1281</v>
      </c>
      <c r="S43" s="244" t="s">
        <v>223</v>
      </c>
      <c r="T43" s="244">
        <v>46250</v>
      </c>
      <c r="U43" t="s">
        <v>52</v>
      </c>
      <c r="AA43"/>
      <c r="AB43"/>
      <c r="AC43"/>
      <c r="AD43"/>
      <c r="AE43"/>
      <c r="AF43"/>
      <c r="AG43"/>
      <c r="AH43"/>
      <c r="AI43"/>
      <c r="AJ43"/>
      <c r="AK43"/>
      <c r="AL43"/>
      <c r="AM43"/>
      <c r="AN43"/>
      <c r="AO43"/>
      <c r="AP43"/>
      <c r="AQ43"/>
      <c r="AR43"/>
    </row>
    <row r="44" spans="1:44" s="239" customFormat="1">
      <c r="A44" s="241" t="s">
        <v>2934</v>
      </c>
      <c r="B44" s="241" t="s">
        <v>607</v>
      </c>
      <c r="C44" s="245" t="str">
        <f>IF(B44="","",IFERROR(VLOOKUP(B44,PERUMAHAN!$A:$B,2,FALSE),"ID tidak ditemukan"))</f>
        <v>GREEN HILL</v>
      </c>
      <c r="D44" s="241">
        <v>2026</v>
      </c>
      <c r="E44" s="241" t="s">
        <v>1258</v>
      </c>
      <c r="F44" s="241" t="s">
        <v>1259</v>
      </c>
      <c r="G44" s="243"/>
      <c r="H44" s="254">
        <v>2879</v>
      </c>
      <c r="I44" s="241"/>
      <c r="J44" s="241" t="s">
        <v>1278</v>
      </c>
      <c r="K44" s="241" t="s">
        <v>1279</v>
      </c>
      <c r="L44" s="241" t="s">
        <v>1280</v>
      </c>
      <c r="M44" s="243" t="s">
        <v>64</v>
      </c>
      <c r="N44" s="243"/>
      <c r="O44" s="242"/>
      <c r="P44" s="241"/>
      <c r="Q44" s="241"/>
      <c r="R44" s="241" t="s">
        <v>1281</v>
      </c>
      <c r="S44" s="244" t="s">
        <v>223</v>
      </c>
      <c r="T44" s="244">
        <v>46250</v>
      </c>
      <c r="U44" t="s">
        <v>52</v>
      </c>
      <c r="AA44"/>
      <c r="AB44"/>
      <c r="AC44"/>
      <c r="AD44"/>
      <c r="AE44"/>
      <c r="AF44"/>
      <c r="AG44"/>
      <c r="AH44"/>
      <c r="AI44"/>
      <c r="AJ44"/>
      <c r="AK44"/>
      <c r="AL44"/>
      <c r="AM44"/>
      <c r="AN44"/>
      <c r="AO44"/>
      <c r="AP44"/>
      <c r="AQ44"/>
      <c r="AR44"/>
    </row>
    <row r="45" spans="1:44" s="239" customFormat="1" ht="28">
      <c r="A45" s="241" t="s">
        <v>2935</v>
      </c>
      <c r="B45" s="241" t="s">
        <v>607</v>
      </c>
      <c r="C45" s="245" t="str">
        <f>IF(B45="","",IFERROR(VLOOKUP(B45,PERUMAHAN!$A:$B,2,FALSE),"ID tidak ditemukan"))</f>
        <v>GREEN HILL</v>
      </c>
      <c r="D45" s="241">
        <v>2026</v>
      </c>
      <c r="E45" s="241" t="s">
        <v>1258</v>
      </c>
      <c r="F45" s="241" t="s">
        <v>1276</v>
      </c>
      <c r="G45" s="243"/>
      <c r="H45" s="254">
        <v>432</v>
      </c>
      <c r="I45" s="241"/>
      <c r="J45" s="241" t="s">
        <v>1278</v>
      </c>
      <c r="K45" s="241" t="s">
        <v>1279</v>
      </c>
      <c r="L45" s="241" t="s">
        <v>1280</v>
      </c>
      <c r="M45" s="243" t="s">
        <v>64</v>
      </c>
      <c r="N45" s="243"/>
      <c r="O45" s="242"/>
      <c r="P45" s="241"/>
      <c r="Q45" s="241"/>
      <c r="R45" s="241" t="s">
        <v>1281</v>
      </c>
      <c r="S45" s="244" t="s">
        <v>223</v>
      </c>
      <c r="T45" s="244">
        <v>46250</v>
      </c>
      <c r="U45" t="s">
        <v>52</v>
      </c>
      <c r="AA45"/>
      <c r="AB45"/>
      <c r="AC45"/>
      <c r="AD45"/>
      <c r="AE45"/>
      <c r="AF45"/>
      <c r="AG45"/>
      <c r="AH45"/>
      <c r="AI45"/>
      <c r="AJ45"/>
      <c r="AK45"/>
      <c r="AL45"/>
      <c r="AM45"/>
      <c r="AN45"/>
      <c r="AO45"/>
      <c r="AP45"/>
      <c r="AQ45"/>
      <c r="AR45"/>
    </row>
    <row r="46" spans="1:44" s="239" customFormat="1" ht="28">
      <c r="A46" s="241" t="s">
        <v>2936</v>
      </c>
      <c r="B46" s="241" t="s">
        <v>607</v>
      </c>
      <c r="C46" s="245" t="str">
        <f>IF(B46="","",IFERROR(VLOOKUP(B46,PERUMAHAN!$A:$B,2,FALSE),"ID tidak ditemukan"))</f>
        <v>GREEN HILL</v>
      </c>
      <c r="D46" s="241">
        <v>2026</v>
      </c>
      <c r="E46" s="241" t="s">
        <v>1286</v>
      </c>
      <c r="F46" s="241" t="s">
        <v>1287</v>
      </c>
      <c r="G46" s="243"/>
      <c r="H46" s="254">
        <v>2300</v>
      </c>
      <c r="I46" s="241"/>
      <c r="J46" s="241" t="s">
        <v>1278</v>
      </c>
      <c r="K46" s="241" t="s">
        <v>1288</v>
      </c>
      <c r="L46" s="241" t="s">
        <v>1280</v>
      </c>
      <c r="M46" s="243" t="s">
        <v>64</v>
      </c>
      <c r="N46" s="243"/>
      <c r="O46" s="242"/>
      <c r="P46" s="241"/>
      <c r="Q46" s="241"/>
      <c r="R46" s="241" t="s">
        <v>1281</v>
      </c>
      <c r="S46" s="244" t="s">
        <v>223</v>
      </c>
      <c r="T46" s="244">
        <v>46250</v>
      </c>
      <c r="U46" t="s">
        <v>52</v>
      </c>
      <c r="AA46"/>
      <c r="AB46"/>
      <c r="AC46"/>
      <c r="AD46"/>
      <c r="AE46"/>
      <c r="AF46"/>
      <c r="AG46"/>
      <c r="AH46"/>
      <c r="AI46"/>
      <c r="AJ46"/>
      <c r="AK46"/>
      <c r="AL46"/>
      <c r="AM46"/>
      <c r="AN46"/>
      <c r="AO46"/>
      <c r="AP46"/>
      <c r="AQ46"/>
      <c r="AR46"/>
    </row>
    <row r="47" spans="1:44" s="239" customFormat="1">
      <c r="A47" s="241" t="s">
        <v>2937</v>
      </c>
      <c r="B47" s="241" t="s">
        <v>607</v>
      </c>
      <c r="C47" s="245" t="str">
        <f>IF(B47="","",IFERROR(VLOOKUP(B47,PERUMAHAN!$A:$B,2,FALSE),"ID tidak ditemukan"))</f>
        <v>GREEN HILL</v>
      </c>
      <c r="D47" s="241">
        <v>2026</v>
      </c>
      <c r="E47" s="241" t="s">
        <v>1291</v>
      </c>
      <c r="F47" s="241" t="s">
        <v>1292</v>
      </c>
      <c r="G47" s="243"/>
      <c r="H47" s="254"/>
      <c r="I47" s="241">
        <v>5</v>
      </c>
      <c r="J47" s="241" t="s">
        <v>1293</v>
      </c>
      <c r="K47" s="241" t="s">
        <v>1308</v>
      </c>
      <c r="L47" s="241" t="s">
        <v>1280</v>
      </c>
      <c r="M47" s="243" t="s">
        <v>64</v>
      </c>
      <c r="N47" s="243"/>
      <c r="O47" s="242"/>
      <c r="P47" s="241"/>
      <c r="Q47" s="241"/>
      <c r="R47" s="241" t="s">
        <v>1281</v>
      </c>
      <c r="S47" s="244" t="s">
        <v>223</v>
      </c>
      <c r="T47" s="244">
        <v>46250</v>
      </c>
      <c r="U47" t="s">
        <v>52</v>
      </c>
      <c r="AA47"/>
      <c r="AB47"/>
      <c r="AC47"/>
      <c r="AD47"/>
      <c r="AE47"/>
      <c r="AF47"/>
      <c r="AG47"/>
      <c r="AH47"/>
      <c r="AI47"/>
      <c r="AJ47"/>
      <c r="AK47"/>
      <c r="AL47"/>
      <c r="AM47"/>
      <c r="AN47"/>
      <c r="AO47"/>
      <c r="AP47"/>
      <c r="AQ47"/>
      <c r="AR47"/>
    </row>
    <row r="48" spans="1:44" s="239" customFormat="1" ht="28">
      <c r="A48" s="241" t="s">
        <v>2938</v>
      </c>
      <c r="B48" s="241" t="s">
        <v>504</v>
      </c>
      <c r="C48" s="245" t="str">
        <f>IF(B48="","",IFERROR(VLOOKUP(B48,PERUMAHAN!$A:$B,2,FALSE),"ID tidak ditemukan"))</f>
        <v>GANTUNG BRIDGE RESIDENCE</v>
      </c>
      <c r="D48" s="241">
        <v>2026</v>
      </c>
      <c r="E48" s="241" t="s">
        <v>1258</v>
      </c>
      <c r="F48" s="241" t="s">
        <v>1259</v>
      </c>
      <c r="G48" s="243"/>
      <c r="H48" s="254">
        <v>1909.08</v>
      </c>
      <c r="I48" s="241"/>
      <c r="J48" s="241" t="s">
        <v>1278</v>
      </c>
      <c r="K48" s="241" t="s">
        <v>1279</v>
      </c>
      <c r="L48" s="241" t="s">
        <v>1280</v>
      </c>
      <c r="M48" s="243" t="s">
        <v>64</v>
      </c>
      <c r="N48" s="243"/>
      <c r="O48" s="242"/>
      <c r="P48" s="241"/>
      <c r="Q48" s="241"/>
      <c r="R48" s="241" t="s">
        <v>1281</v>
      </c>
      <c r="S48" s="244" t="s">
        <v>223</v>
      </c>
      <c r="T48" s="244">
        <v>46250</v>
      </c>
      <c r="U48" t="s">
        <v>52</v>
      </c>
      <c r="AA48"/>
      <c r="AB48"/>
      <c r="AC48"/>
      <c r="AD48"/>
      <c r="AE48"/>
      <c r="AF48"/>
      <c r="AG48"/>
      <c r="AH48"/>
      <c r="AI48"/>
      <c r="AJ48"/>
      <c r="AK48"/>
      <c r="AL48"/>
      <c r="AM48"/>
      <c r="AN48"/>
      <c r="AO48"/>
      <c r="AP48"/>
      <c r="AQ48"/>
      <c r="AR48"/>
    </row>
    <row r="49" spans="1:44" s="239" customFormat="1" ht="28">
      <c r="A49" s="241" t="s">
        <v>2939</v>
      </c>
      <c r="B49" s="241" t="s">
        <v>504</v>
      </c>
      <c r="C49" s="245" t="str">
        <f>IF(B49="","",IFERROR(VLOOKUP(B49,PERUMAHAN!$A:$B,2,FALSE),"ID tidak ditemukan"))</f>
        <v>GANTUNG BRIDGE RESIDENCE</v>
      </c>
      <c r="D49" s="241">
        <v>2026</v>
      </c>
      <c r="E49" s="241" t="s">
        <v>1258</v>
      </c>
      <c r="F49" s="241" t="s">
        <v>1276</v>
      </c>
      <c r="G49" s="243"/>
      <c r="H49" s="254">
        <v>346.26400000000001</v>
      </c>
      <c r="I49" s="241"/>
      <c r="J49" s="241" t="s">
        <v>1278</v>
      </c>
      <c r="K49" s="241" t="s">
        <v>1279</v>
      </c>
      <c r="L49" s="241" t="s">
        <v>1280</v>
      </c>
      <c r="M49" s="243" t="s">
        <v>64</v>
      </c>
      <c r="N49" s="243"/>
      <c r="O49" s="242"/>
      <c r="P49" s="241"/>
      <c r="Q49" s="241"/>
      <c r="R49" s="241" t="s">
        <v>1281</v>
      </c>
      <c r="S49" s="244" t="s">
        <v>223</v>
      </c>
      <c r="T49" s="244">
        <v>46250</v>
      </c>
      <c r="U49" t="s">
        <v>52</v>
      </c>
      <c r="AA49"/>
      <c r="AB49"/>
      <c r="AC49"/>
      <c r="AD49"/>
      <c r="AE49"/>
      <c r="AF49"/>
      <c r="AG49"/>
      <c r="AH49"/>
      <c r="AI49"/>
      <c r="AJ49"/>
      <c r="AK49"/>
      <c r="AL49"/>
      <c r="AM49"/>
      <c r="AN49"/>
      <c r="AO49"/>
      <c r="AP49"/>
      <c r="AQ49"/>
      <c r="AR49"/>
    </row>
    <row r="50" spans="1:44" s="239" customFormat="1" ht="28">
      <c r="A50" s="241" t="s">
        <v>2940</v>
      </c>
      <c r="B50" s="241" t="s">
        <v>504</v>
      </c>
      <c r="C50" s="245" t="str">
        <f>IF(B50="","",IFERROR(VLOOKUP(B50,PERUMAHAN!$A:$B,2,FALSE),"ID tidak ditemukan"))</f>
        <v>GANTUNG BRIDGE RESIDENCE</v>
      </c>
      <c r="D50" s="241">
        <v>2026</v>
      </c>
      <c r="E50" s="241" t="s">
        <v>1286</v>
      </c>
      <c r="F50" s="241" t="s">
        <v>1287</v>
      </c>
      <c r="G50" s="243"/>
      <c r="H50" s="254">
        <v>726.3</v>
      </c>
      <c r="I50" s="241"/>
      <c r="J50" s="241" t="s">
        <v>1278</v>
      </c>
      <c r="K50" s="241" t="s">
        <v>1288</v>
      </c>
      <c r="L50" s="241" t="s">
        <v>1280</v>
      </c>
      <c r="M50" s="243" t="s">
        <v>64</v>
      </c>
      <c r="N50" s="243"/>
      <c r="O50" s="242"/>
      <c r="P50" s="241"/>
      <c r="Q50" s="241"/>
      <c r="R50" s="241" t="s">
        <v>1281</v>
      </c>
      <c r="S50" s="244" t="s">
        <v>223</v>
      </c>
      <c r="T50" s="244">
        <v>46250</v>
      </c>
      <c r="U50" t="s">
        <v>52</v>
      </c>
      <c r="AA50"/>
      <c r="AB50"/>
      <c r="AC50"/>
      <c r="AD50"/>
      <c r="AE50"/>
      <c r="AF50"/>
      <c r="AG50"/>
      <c r="AH50"/>
      <c r="AI50"/>
      <c r="AJ50"/>
      <c r="AK50"/>
      <c r="AL50"/>
      <c r="AM50"/>
      <c r="AN50"/>
      <c r="AO50"/>
      <c r="AP50"/>
      <c r="AQ50"/>
      <c r="AR50"/>
    </row>
    <row r="51" spans="1:44" s="239" customFormat="1" ht="28">
      <c r="A51" s="241" t="s">
        <v>2941</v>
      </c>
      <c r="B51" s="241" t="s">
        <v>504</v>
      </c>
      <c r="C51" s="245" t="str">
        <f>IF(B51="","",IFERROR(VLOOKUP(B51,PERUMAHAN!$A:$B,2,FALSE),"ID tidak ditemukan"))</f>
        <v>GANTUNG BRIDGE RESIDENCE</v>
      </c>
      <c r="D51" s="241">
        <v>2026</v>
      </c>
      <c r="E51" s="241" t="s">
        <v>1291</v>
      </c>
      <c r="F51" s="241" t="s">
        <v>1292</v>
      </c>
      <c r="G51" s="243"/>
      <c r="H51" s="254"/>
      <c r="I51" s="241">
        <v>5</v>
      </c>
      <c r="J51" s="241" t="s">
        <v>1293</v>
      </c>
      <c r="K51" s="241" t="s">
        <v>1308</v>
      </c>
      <c r="L51" s="241" t="s">
        <v>1280</v>
      </c>
      <c r="M51" s="243" t="s">
        <v>64</v>
      </c>
      <c r="N51" s="243"/>
      <c r="O51" s="242"/>
      <c r="P51" s="241"/>
      <c r="Q51" s="241"/>
      <c r="R51" s="241" t="s">
        <v>1281</v>
      </c>
      <c r="S51" s="244" t="s">
        <v>223</v>
      </c>
      <c r="T51" s="244">
        <v>46250</v>
      </c>
      <c r="U51" t="s">
        <v>52</v>
      </c>
      <c r="AA51"/>
      <c r="AB51"/>
      <c r="AC51"/>
      <c r="AD51"/>
      <c r="AE51"/>
      <c r="AF51"/>
      <c r="AG51"/>
      <c r="AH51"/>
      <c r="AI51"/>
      <c r="AJ51"/>
      <c r="AK51"/>
      <c r="AL51"/>
      <c r="AM51"/>
      <c r="AN51"/>
      <c r="AO51"/>
      <c r="AP51"/>
      <c r="AQ51"/>
      <c r="AR51"/>
    </row>
    <row r="52" spans="1:44" s="239" customFormat="1">
      <c r="A52" s="241"/>
      <c r="B52" s="241"/>
      <c r="C52" s="245" t="str">
        <f>IF(B52="","",IFERROR(VLOOKUP(B52,PERUMAHAN!$A:$B,2,FALSE),"ID tidak ditemukan"))</f>
        <v/>
      </c>
      <c r="D52" s="241"/>
      <c r="E52" s="241"/>
      <c r="F52" s="241"/>
      <c r="G52" s="243"/>
      <c r="H52" s="254"/>
      <c r="I52" s="241"/>
      <c r="J52" s="241"/>
      <c r="K52" s="241"/>
      <c r="L52" s="241"/>
      <c r="M52" s="243"/>
      <c r="N52" s="243"/>
      <c r="O52" s="242"/>
      <c r="P52" s="241"/>
      <c r="Q52" s="241"/>
      <c r="R52" s="241"/>
      <c r="S52" s="244"/>
      <c r="T52" s="244"/>
      <c r="U52"/>
      <c r="AA52"/>
      <c r="AB52"/>
      <c r="AC52"/>
      <c r="AD52"/>
      <c r="AE52"/>
      <c r="AF52"/>
      <c r="AG52"/>
      <c r="AH52"/>
      <c r="AI52"/>
      <c r="AJ52"/>
      <c r="AK52"/>
      <c r="AL52"/>
      <c r="AM52"/>
      <c r="AN52"/>
      <c r="AO52"/>
      <c r="AP52"/>
      <c r="AQ52"/>
      <c r="AR52"/>
    </row>
    <row r="53" spans="1:44" s="239" customFormat="1">
      <c r="A53" s="241"/>
      <c r="B53" s="241"/>
      <c r="C53" s="245" t="str">
        <f>IF(B53="","",IFERROR(VLOOKUP(B53,PERUMAHAN!$A:$B,2,FALSE),"ID tidak ditemukan"))</f>
        <v/>
      </c>
      <c r="D53" s="241"/>
      <c r="E53" s="241"/>
      <c r="F53" s="241"/>
      <c r="G53" s="243"/>
      <c r="H53" s="254"/>
      <c r="I53" s="241"/>
      <c r="J53" s="241"/>
      <c r="K53" s="241"/>
      <c r="L53" s="241"/>
      <c r="M53" s="243"/>
      <c r="N53" s="243"/>
      <c r="O53" s="242"/>
      <c r="P53" s="241"/>
      <c r="Q53" s="241"/>
      <c r="R53" s="241"/>
      <c r="S53" s="244"/>
      <c r="T53" s="244"/>
      <c r="U53"/>
      <c r="AA53"/>
      <c r="AB53"/>
      <c r="AC53"/>
      <c r="AD53"/>
      <c r="AE53"/>
      <c r="AF53"/>
      <c r="AG53"/>
      <c r="AH53"/>
      <c r="AI53"/>
      <c r="AJ53"/>
      <c r="AK53"/>
      <c r="AL53"/>
      <c r="AM53"/>
      <c r="AN53"/>
      <c r="AO53"/>
      <c r="AP53"/>
      <c r="AQ53"/>
      <c r="AR53"/>
    </row>
    <row r="54" spans="1:44" s="239" customFormat="1">
      <c r="A54" s="241"/>
      <c r="B54" s="241"/>
      <c r="C54" s="245" t="str">
        <f>IF(B54="","",IFERROR(VLOOKUP(B54,PERUMAHAN!$A:$B,2,FALSE),"ID tidak ditemukan"))</f>
        <v/>
      </c>
      <c r="D54" s="241"/>
      <c r="E54" s="241"/>
      <c r="F54" s="241"/>
      <c r="G54" s="243"/>
      <c r="H54" s="254"/>
      <c r="I54" s="241"/>
      <c r="J54" s="241"/>
      <c r="K54" s="241"/>
      <c r="L54" s="241"/>
      <c r="M54" s="243"/>
      <c r="N54" s="243"/>
      <c r="O54" s="242"/>
      <c r="P54" s="241"/>
      <c r="Q54" s="241"/>
      <c r="R54" s="241"/>
      <c r="S54" s="244"/>
      <c r="T54" s="244"/>
      <c r="U54"/>
      <c r="AA54"/>
      <c r="AB54"/>
      <c r="AC54"/>
      <c r="AD54"/>
      <c r="AE54"/>
      <c r="AF54"/>
      <c r="AG54"/>
      <c r="AH54"/>
      <c r="AI54"/>
      <c r="AJ54"/>
      <c r="AK54"/>
      <c r="AL54"/>
      <c r="AM54"/>
      <c r="AN54"/>
      <c r="AO54"/>
      <c r="AP54"/>
      <c r="AQ54"/>
      <c r="AR54"/>
    </row>
    <row r="55" spans="1:44" s="239" customFormat="1">
      <c r="A55" s="241"/>
      <c r="B55" s="241"/>
      <c r="C55" s="245" t="str">
        <f>IF(B55="","",IFERROR(VLOOKUP(B55,PERUMAHAN!$A:$B,2,FALSE),"ID tidak ditemukan"))</f>
        <v/>
      </c>
      <c r="D55" s="241"/>
      <c r="E55" s="241"/>
      <c r="F55" s="241"/>
      <c r="G55" s="243"/>
      <c r="H55" s="254"/>
      <c r="I55" s="241"/>
      <c r="J55" s="241"/>
      <c r="K55" s="241"/>
      <c r="L55" s="241"/>
      <c r="M55" s="243"/>
      <c r="N55" s="243"/>
      <c r="O55" s="242"/>
      <c r="P55" s="241"/>
      <c r="Q55" s="241"/>
      <c r="R55" s="241"/>
      <c r="S55" s="244"/>
      <c r="T55" s="244"/>
      <c r="U55"/>
      <c r="AA55"/>
      <c r="AB55"/>
      <c r="AC55"/>
      <c r="AD55"/>
      <c r="AE55"/>
      <c r="AF55"/>
      <c r="AG55"/>
      <c r="AH55"/>
      <c r="AI55"/>
      <c r="AJ55"/>
      <c r="AK55"/>
      <c r="AL55"/>
      <c r="AM55"/>
      <c r="AN55"/>
      <c r="AO55"/>
      <c r="AP55"/>
      <c r="AQ55"/>
      <c r="AR55"/>
    </row>
    <row r="56" spans="1:44" s="239" customFormat="1">
      <c r="A56" s="241"/>
      <c r="B56" s="241"/>
      <c r="C56" s="245" t="str">
        <f>IF(B56="","",IFERROR(VLOOKUP(B56,PERUMAHAN!$A:$B,2,FALSE),"ID tidak ditemukan"))</f>
        <v/>
      </c>
      <c r="D56" s="241"/>
      <c r="E56" s="241"/>
      <c r="F56" s="241"/>
      <c r="G56" s="243"/>
      <c r="H56" s="254"/>
      <c r="I56" s="241"/>
      <c r="J56" s="241"/>
      <c r="K56" s="241"/>
      <c r="L56" s="241"/>
      <c r="M56" s="243"/>
      <c r="N56" s="243"/>
      <c r="O56" s="242"/>
      <c r="P56" s="241"/>
      <c r="Q56" s="241"/>
      <c r="R56" s="241"/>
      <c r="S56" s="244"/>
      <c r="T56" s="244"/>
      <c r="U56"/>
      <c r="AA56"/>
      <c r="AB56"/>
      <c r="AC56"/>
      <c r="AD56"/>
      <c r="AE56"/>
      <c r="AF56"/>
      <c r="AG56"/>
      <c r="AH56"/>
      <c r="AI56"/>
      <c r="AJ56"/>
      <c r="AK56"/>
      <c r="AL56"/>
      <c r="AM56"/>
      <c r="AN56"/>
      <c r="AO56"/>
      <c r="AP56"/>
      <c r="AQ56"/>
      <c r="AR56"/>
    </row>
    <row r="57" spans="1:44" s="239" customFormat="1">
      <c r="A57" s="241"/>
      <c r="B57" s="241"/>
      <c r="C57" s="245" t="str">
        <f>IF(B57="","",IFERROR(VLOOKUP(B57,PERUMAHAN!$A:$B,2,FALSE),"ID tidak ditemukan"))</f>
        <v/>
      </c>
      <c r="D57" s="241"/>
      <c r="E57" s="241"/>
      <c r="F57" s="241"/>
      <c r="G57" s="243"/>
      <c r="H57" s="254"/>
      <c r="I57" s="241"/>
      <c r="J57" s="241"/>
      <c r="K57" s="241"/>
      <c r="L57" s="241"/>
      <c r="M57" s="243"/>
      <c r="N57" s="243"/>
      <c r="O57" s="242"/>
      <c r="P57" s="241"/>
      <c r="Q57" s="241"/>
      <c r="R57" s="241"/>
      <c r="S57" s="244"/>
      <c r="T57" s="244"/>
      <c r="U57"/>
      <c r="AA57"/>
      <c r="AB57"/>
      <c r="AC57"/>
      <c r="AD57"/>
      <c r="AE57"/>
      <c r="AF57"/>
      <c r="AG57"/>
      <c r="AH57"/>
      <c r="AI57"/>
      <c r="AJ57"/>
      <c r="AK57"/>
      <c r="AL57"/>
      <c r="AM57"/>
      <c r="AN57"/>
      <c r="AO57"/>
      <c r="AP57"/>
      <c r="AQ57"/>
      <c r="AR57"/>
    </row>
    <row r="58" spans="1:44" s="239" customFormat="1">
      <c r="A58" s="241"/>
      <c r="B58" s="241"/>
      <c r="C58" s="245" t="str">
        <f>IF(B58="","",IFERROR(VLOOKUP(B58,PERUMAHAN!$A:$B,2,FALSE),"ID tidak ditemukan"))</f>
        <v/>
      </c>
      <c r="D58" s="241"/>
      <c r="E58" s="241"/>
      <c r="F58" s="241"/>
      <c r="G58" s="243"/>
      <c r="H58" s="254"/>
      <c r="I58" s="241"/>
      <c r="J58" s="241"/>
      <c r="K58" s="241"/>
      <c r="L58" s="241"/>
      <c r="M58" s="243"/>
      <c r="N58" s="243"/>
      <c r="O58" s="242"/>
      <c r="P58" s="241"/>
      <c r="Q58" s="241"/>
      <c r="R58" s="241"/>
      <c r="S58" s="244"/>
      <c r="T58" s="244"/>
      <c r="U58"/>
      <c r="AA58"/>
      <c r="AB58"/>
      <c r="AC58"/>
      <c r="AD58"/>
      <c r="AE58"/>
      <c r="AF58"/>
      <c r="AG58"/>
      <c r="AH58"/>
      <c r="AI58"/>
      <c r="AJ58"/>
      <c r="AK58"/>
      <c r="AL58"/>
      <c r="AM58"/>
      <c r="AN58"/>
      <c r="AO58"/>
      <c r="AP58"/>
      <c r="AQ58"/>
      <c r="AR58"/>
    </row>
    <row r="59" spans="1:44" s="239" customFormat="1">
      <c r="A59" s="241"/>
      <c r="B59" s="241"/>
      <c r="C59" s="245" t="str">
        <f>IF(B59="","",IFERROR(VLOOKUP(B59,PERUMAHAN!$A:$B,2,FALSE),"ID tidak ditemukan"))</f>
        <v/>
      </c>
      <c r="D59" s="241"/>
      <c r="E59" s="241"/>
      <c r="F59" s="241"/>
      <c r="G59" s="243"/>
      <c r="H59" s="254"/>
      <c r="I59" s="241"/>
      <c r="J59" s="241"/>
      <c r="K59" s="241"/>
      <c r="L59" s="241"/>
      <c r="M59" s="243"/>
      <c r="N59" s="243"/>
      <c r="O59" s="242"/>
      <c r="P59" s="241"/>
      <c r="Q59" s="241"/>
      <c r="R59" s="241"/>
      <c r="S59" s="244"/>
      <c r="T59" s="244"/>
      <c r="U59"/>
      <c r="AA59"/>
      <c r="AB59"/>
      <c r="AC59"/>
      <c r="AD59"/>
      <c r="AE59"/>
      <c r="AF59"/>
      <c r="AG59"/>
      <c r="AH59"/>
      <c r="AI59"/>
      <c r="AJ59"/>
      <c r="AK59"/>
      <c r="AL59"/>
      <c r="AM59"/>
      <c r="AN59"/>
      <c r="AO59"/>
      <c r="AP59"/>
      <c r="AQ59"/>
      <c r="AR59"/>
    </row>
    <row r="60" spans="1:44" s="239" customFormat="1">
      <c r="A60" s="241"/>
      <c r="B60" s="241"/>
      <c r="C60" s="245" t="str">
        <f>IF(B60="","",IFERROR(VLOOKUP(B60,PERUMAHAN!$A:$B,2,FALSE),"ID tidak ditemukan"))</f>
        <v/>
      </c>
      <c r="D60" s="241"/>
      <c r="E60" s="241"/>
      <c r="F60" s="241"/>
      <c r="G60" s="243"/>
      <c r="H60" s="254"/>
      <c r="I60" s="241"/>
      <c r="J60" s="241"/>
      <c r="K60" s="241"/>
      <c r="L60" s="241"/>
      <c r="M60" s="243"/>
      <c r="N60" s="243"/>
      <c r="O60" s="242"/>
      <c r="P60" s="241"/>
      <c r="Q60" s="241"/>
      <c r="R60" s="241"/>
      <c r="S60" s="244"/>
      <c r="T60" s="244"/>
      <c r="U60"/>
      <c r="AA60"/>
      <c r="AB60"/>
      <c r="AC60"/>
      <c r="AD60"/>
      <c r="AE60"/>
      <c r="AF60"/>
      <c r="AG60"/>
      <c r="AH60"/>
      <c r="AI60"/>
      <c r="AJ60"/>
      <c r="AK60"/>
      <c r="AL60"/>
      <c r="AM60"/>
      <c r="AN60"/>
      <c r="AO60"/>
      <c r="AP60"/>
      <c r="AQ60"/>
      <c r="AR60"/>
    </row>
    <row r="61" spans="1:44" s="239" customFormat="1">
      <c r="A61" s="241"/>
      <c r="B61" s="241"/>
      <c r="C61" s="245" t="str">
        <f>IF(B61="","",IFERROR(VLOOKUP(B61,PERUMAHAN!$A:$B,2,FALSE),"ID tidak ditemukan"))</f>
        <v/>
      </c>
      <c r="D61" s="241"/>
      <c r="E61" s="241"/>
      <c r="F61" s="241"/>
      <c r="G61" s="243"/>
      <c r="H61" s="254"/>
      <c r="I61" s="241"/>
      <c r="J61" s="241"/>
      <c r="K61" s="241"/>
      <c r="L61" s="241"/>
      <c r="M61" s="243"/>
      <c r="N61" s="243"/>
      <c r="O61" s="242"/>
      <c r="P61" s="241"/>
      <c r="Q61" s="241"/>
      <c r="R61" s="241"/>
      <c r="S61" s="244"/>
      <c r="T61" s="244"/>
      <c r="U61"/>
      <c r="AA61"/>
      <c r="AB61"/>
      <c r="AC61"/>
      <c r="AD61"/>
      <c r="AE61"/>
      <c r="AF61"/>
      <c r="AG61"/>
      <c r="AH61"/>
      <c r="AI61"/>
      <c r="AJ61"/>
      <c r="AK61"/>
      <c r="AL61"/>
      <c r="AM61"/>
      <c r="AN61"/>
      <c r="AO61"/>
      <c r="AP61"/>
      <c r="AQ61"/>
      <c r="AR61"/>
    </row>
    <row r="62" spans="1:44" s="239" customFormat="1">
      <c r="A62" s="241"/>
      <c r="B62" s="241"/>
      <c r="C62" s="245" t="str">
        <f>IF(B62="","",IFERROR(VLOOKUP(B62,PERUMAHAN!$A:$B,2,FALSE),"ID tidak ditemukan"))</f>
        <v/>
      </c>
      <c r="D62" s="241"/>
      <c r="E62" s="241"/>
      <c r="F62" s="241"/>
      <c r="G62" s="243"/>
      <c r="H62" s="254"/>
      <c r="I62" s="241"/>
      <c r="J62" s="241"/>
      <c r="K62" s="241"/>
      <c r="L62" s="241"/>
      <c r="M62" s="243"/>
      <c r="N62" s="243"/>
      <c r="O62" s="242"/>
      <c r="P62" s="241"/>
      <c r="Q62" s="241"/>
      <c r="R62" s="241"/>
      <c r="S62" s="244"/>
      <c r="T62" s="244"/>
      <c r="U62"/>
      <c r="AA62"/>
      <c r="AB62"/>
      <c r="AC62"/>
      <c r="AD62"/>
      <c r="AE62"/>
      <c r="AF62"/>
      <c r="AG62"/>
      <c r="AH62"/>
      <c r="AI62"/>
      <c r="AJ62"/>
      <c r="AK62"/>
      <c r="AL62"/>
      <c r="AM62"/>
      <c r="AN62"/>
      <c r="AO62"/>
      <c r="AP62"/>
      <c r="AQ62"/>
      <c r="AR62"/>
    </row>
    <row r="63" spans="1:44" s="239" customFormat="1">
      <c r="A63" s="241"/>
      <c r="B63" s="241"/>
      <c r="C63" s="245" t="str">
        <f>IF(B63="","",IFERROR(VLOOKUP(B63,PERUMAHAN!$A:$B,2,FALSE),"ID tidak ditemukan"))</f>
        <v/>
      </c>
      <c r="D63" s="241"/>
      <c r="E63" s="241"/>
      <c r="F63" s="241"/>
      <c r="G63" s="243"/>
      <c r="H63" s="254"/>
      <c r="I63" s="241"/>
      <c r="J63" s="241"/>
      <c r="K63" s="241"/>
      <c r="L63" s="241"/>
      <c r="M63" s="243"/>
      <c r="N63" s="243"/>
      <c r="O63" s="242"/>
      <c r="P63" s="241"/>
      <c r="Q63" s="241"/>
      <c r="R63" s="241"/>
      <c r="S63" s="244"/>
      <c r="T63" s="244"/>
      <c r="U63"/>
      <c r="AA63"/>
      <c r="AB63"/>
      <c r="AC63"/>
      <c r="AD63"/>
      <c r="AE63"/>
      <c r="AF63"/>
      <c r="AG63"/>
      <c r="AH63"/>
      <c r="AI63"/>
      <c r="AJ63"/>
      <c r="AK63"/>
      <c r="AL63"/>
      <c r="AM63"/>
      <c r="AN63"/>
      <c r="AO63"/>
      <c r="AP63"/>
      <c r="AQ63"/>
      <c r="AR63"/>
    </row>
    <row r="64" spans="1:44" s="239" customFormat="1">
      <c r="A64" s="241"/>
      <c r="B64" s="241"/>
      <c r="C64" s="245" t="str">
        <f>IF(B64="","",IFERROR(VLOOKUP(B64,PERUMAHAN!$A:$B,2,FALSE),"ID tidak ditemukan"))</f>
        <v/>
      </c>
      <c r="D64" s="241"/>
      <c r="E64" s="241"/>
      <c r="F64" s="241"/>
      <c r="G64" s="243"/>
      <c r="H64" s="254"/>
      <c r="I64" s="241"/>
      <c r="J64" s="241"/>
      <c r="K64" s="241"/>
      <c r="L64" s="241"/>
      <c r="M64" s="243"/>
      <c r="N64" s="243"/>
      <c r="O64" s="242"/>
      <c r="P64" s="241"/>
      <c r="Q64" s="241"/>
      <c r="R64" s="241"/>
      <c r="S64" s="244"/>
      <c r="T64" s="244"/>
      <c r="U64"/>
      <c r="AA64"/>
      <c r="AB64"/>
      <c r="AC64"/>
      <c r="AD64"/>
      <c r="AE64"/>
      <c r="AF64"/>
      <c r="AG64"/>
      <c r="AH64"/>
      <c r="AI64"/>
      <c r="AJ64"/>
      <c r="AK64"/>
      <c r="AL64"/>
      <c r="AM64"/>
      <c r="AN64"/>
      <c r="AO64"/>
      <c r="AP64"/>
      <c r="AQ64"/>
      <c r="AR64"/>
    </row>
    <row r="65" spans="1:44" s="239" customFormat="1">
      <c r="A65" s="241"/>
      <c r="B65" s="241"/>
      <c r="C65" s="245" t="str">
        <f>IF(B65="","",IFERROR(VLOOKUP(B65,PERUMAHAN!$A:$B,2,FALSE),"ID tidak ditemukan"))</f>
        <v/>
      </c>
      <c r="D65" s="241"/>
      <c r="E65" s="241"/>
      <c r="F65" s="241"/>
      <c r="G65" s="243"/>
      <c r="H65" s="254"/>
      <c r="I65" s="241"/>
      <c r="J65" s="241"/>
      <c r="K65" s="241"/>
      <c r="L65" s="241"/>
      <c r="M65" s="243"/>
      <c r="N65" s="243"/>
      <c r="O65" s="242"/>
      <c r="P65" s="241"/>
      <c r="Q65" s="241"/>
      <c r="R65" s="241"/>
      <c r="S65" s="244"/>
      <c r="T65" s="244"/>
      <c r="U65"/>
      <c r="AA65"/>
      <c r="AB65"/>
      <c r="AC65"/>
      <c r="AD65"/>
      <c r="AE65"/>
      <c r="AF65"/>
      <c r="AG65"/>
      <c r="AH65"/>
      <c r="AI65"/>
      <c r="AJ65"/>
      <c r="AK65"/>
      <c r="AL65"/>
      <c r="AM65"/>
      <c r="AN65"/>
      <c r="AO65"/>
      <c r="AP65"/>
      <c r="AQ65"/>
      <c r="AR65"/>
    </row>
    <row r="66" spans="1:44" s="239" customFormat="1">
      <c r="A66" s="241"/>
      <c r="B66" s="241"/>
      <c r="C66" s="245" t="str">
        <f>IF(B66="","",IFERROR(VLOOKUP(B66,PERUMAHAN!$A:$B,2,FALSE),"ID tidak ditemukan"))</f>
        <v/>
      </c>
      <c r="D66" s="241"/>
      <c r="E66" s="241"/>
      <c r="F66" s="241"/>
      <c r="G66" s="243"/>
      <c r="H66" s="254"/>
      <c r="I66" s="241"/>
      <c r="J66" s="241"/>
      <c r="K66" s="241"/>
      <c r="L66" s="241"/>
      <c r="M66" s="243"/>
      <c r="N66" s="243"/>
      <c r="O66" s="242"/>
      <c r="P66" s="241"/>
      <c r="Q66" s="241"/>
      <c r="R66" s="241"/>
      <c r="S66" s="244"/>
      <c r="T66" s="244"/>
      <c r="U66"/>
      <c r="AA66"/>
      <c r="AB66"/>
      <c r="AC66"/>
      <c r="AD66"/>
      <c r="AE66"/>
      <c r="AF66"/>
      <c r="AG66"/>
      <c r="AH66"/>
      <c r="AI66"/>
      <c r="AJ66"/>
      <c r="AK66"/>
      <c r="AL66"/>
      <c r="AM66"/>
      <c r="AN66"/>
      <c r="AO66"/>
      <c r="AP66"/>
      <c r="AQ66"/>
      <c r="AR66"/>
    </row>
    <row r="67" spans="1:44" s="239" customFormat="1">
      <c r="A67" s="241"/>
      <c r="B67" s="241"/>
      <c r="C67" s="245" t="str">
        <f>IF(B67="","",IFERROR(VLOOKUP(B67,PERUMAHAN!$A:$B,2,FALSE),"ID tidak ditemukan"))</f>
        <v/>
      </c>
      <c r="D67" s="241"/>
      <c r="E67" s="241"/>
      <c r="F67" s="241"/>
      <c r="G67" s="243"/>
      <c r="H67" s="254"/>
      <c r="I67" s="241"/>
      <c r="J67" s="241"/>
      <c r="K67" s="241"/>
      <c r="L67" s="241"/>
      <c r="M67" s="243"/>
      <c r="N67" s="243"/>
      <c r="O67" s="242"/>
      <c r="P67" s="241"/>
      <c r="Q67" s="241"/>
      <c r="R67" s="241"/>
      <c r="S67" s="244"/>
      <c r="T67" s="244"/>
      <c r="U67"/>
      <c r="AA67"/>
      <c r="AB67"/>
      <c r="AC67"/>
      <c r="AD67"/>
      <c r="AE67"/>
      <c r="AF67"/>
      <c r="AG67"/>
      <c r="AH67"/>
      <c r="AI67"/>
      <c r="AJ67"/>
      <c r="AK67"/>
      <c r="AL67"/>
      <c r="AM67"/>
      <c r="AN67"/>
      <c r="AO67"/>
      <c r="AP67"/>
      <c r="AQ67"/>
      <c r="AR67"/>
    </row>
    <row r="68" spans="1:44" s="239" customFormat="1">
      <c r="A68" s="241"/>
      <c r="B68" s="241"/>
      <c r="C68" s="245" t="str">
        <f>IF(B68="","",IFERROR(VLOOKUP(B68,PERUMAHAN!$A:$B,2,FALSE),"ID tidak ditemukan"))</f>
        <v/>
      </c>
      <c r="D68" s="241"/>
      <c r="E68" s="241"/>
      <c r="F68" s="241"/>
      <c r="G68" s="243"/>
      <c r="H68" s="254"/>
      <c r="I68" s="241"/>
      <c r="J68" s="241"/>
      <c r="K68" s="241"/>
      <c r="L68" s="241"/>
      <c r="M68" s="243"/>
      <c r="N68" s="243"/>
      <c r="O68" s="242"/>
      <c r="P68" s="241"/>
      <c r="Q68" s="241"/>
      <c r="R68" s="241"/>
      <c r="S68" s="244"/>
      <c r="T68" s="244"/>
      <c r="U68"/>
      <c r="AA68"/>
      <c r="AB68"/>
      <c r="AC68"/>
      <c r="AD68"/>
      <c r="AE68"/>
      <c r="AF68"/>
      <c r="AG68"/>
      <c r="AH68"/>
      <c r="AI68"/>
      <c r="AJ68"/>
      <c r="AK68"/>
      <c r="AL68"/>
      <c r="AM68"/>
      <c r="AN68"/>
      <c r="AO68"/>
      <c r="AP68"/>
      <c r="AQ68"/>
      <c r="AR68"/>
    </row>
    <row r="69" spans="1:44" s="239" customFormat="1">
      <c r="A69" s="241"/>
      <c r="B69" s="241"/>
      <c r="C69" s="245" t="str">
        <f>IF(B69="","",IFERROR(VLOOKUP(B69,PERUMAHAN!$A:$B,2,FALSE),"ID tidak ditemukan"))</f>
        <v/>
      </c>
      <c r="D69" s="241"/>
      <c r="E69" s="241"/>
      <c r="F69" s="241"/>
      <c r="G69" s="243"/>
      <c r="H69" s="254"/>
      <c r="I69" s="241"/>
      <c r="J69" s="241"/>
      <c r="K69" s="241"/>
      <c r="L69" s="241"/>
      <c r="M69" s="243"/>
      <c r="N69" s="243"/>
      <c r="O69" s="242"/>
      <c r="P69" s="241"/>
      <c r="Q69" s="241"/>
      <c r="R69" s="241"/>
      <c r="S69" s="244"/>
      <c r="T69" s="244"/>
      <c r="U69"/>
      <c r="AA69"/>
      <c r="AB69"/>
      <c r="AC69"/>
      <c r="AD69"/>
      <c r="AE69"/>
      <c r="AF69"/>
      <c r="AG69"/>
      <c r="AH69"/>
      <c r="AI69"/>
      <c r="AJ69"/>
      <c r="AK69"/>
      <c r="AL69"/>
      <c r="AM69"/>
      <c r="AN69"/>
      <c r="AO69"/>
      <c r="AP69"/>
      <c r="AQ69"/>
      <c r="AR69"/>
    </row>
    <row r="70" spans="1:44" s="239" customFormat="1">
      <c r="A70" s="241"/>
      <c r="B70" s="241"/>
      <c r="C70" s="245" t="str">
        <f>IF(B70="","",IFERROR(VLOOKUP(B70,PERUMAHAN!$A:$B,2,FALSE),"ID tidak ditemukan"))</f>
        <v/>
      </c>
      <c r="D70" s="241"/>
      <c r="E70" s="241"/>
      <c r="F70" s="241"/>
      <c r="G70" s="243"/>
      <c r="H70" s="254"/>
      <c r="I70" s="241"/>
      <c r="J70" s="241"/>
      <c r="K70" s="241"/>
      <c r="L70" s="241"/>
      <c r="M70" s="243"/>
      <c r="N70" s="243"/>
      <c r="O70" s="242"/>
      <c r="P70" s="241"/>
      <c r="Q70" s="241"/>
      <c r="R70" s="241"/>
      <c r="S70" s="244"/>
      <c r="T70" s="244"/>
      <c r="U70"/>
      <c r="AA70"/>
      <c r="AB70"/>
      <c r="AC70"/>
      <c r="AD70"/>
      <c r="AE70"/>
      <c r="AF70"/>
      <c r="AG70"/>
      <c r="AH70"/>
      <c r="AI70"/>
      <c r="AJ70"/>
      <c r="AK70"/>
      <c r="AL70"/>
      <c r="AM70"/>
      <c r="AN70"/>
      <c r="AO70"/>
      <c r="AP70"/>
      <c r="AQ70"/>
      <c r="AR70"/>
    </row>
    <row r="71" spans="1:44" s="239" customFormat="1">
      <c r="A71" s="241"/>
      <c r="B71" s="241"/>
      <c r="C71" s="245" t="str">
        <f>IF(B71="","",IFERROR(VLOOKUP(B71,PERUMAHAN!$A:$B,2,FALSE),"ID tidak ditemukan"))</f>
        <v/>
      </c>
      <c r="D71" s="241"/>
      <c r="E71" s="241"/>
      <c r="F71" s="241"/>
      <c r="G71" s="243"/>
      <c r="H71" s="254"/>
      <c r="I71" s="241"/>
      <c r="J71" s="241"/>
      <c r="K71" s="241"/>
      <c r="L71" s="241"/>
      <c r="M71" s="243"/>
      <c r="N71" s="243"/>
      <c r="O71" s="242"/>
      <c r="P71" s="241"/>
      <c r="Q71" s="241"/>
      <c r="R71" s="241"/>
      <c r="S71" s="244"/>
      <c r="T71" s="244"/>
      <c r="U71"/>
      <c r="AA71"/>
      <c r="AB71"/>
      <c r="AC71"/>
      <c r="AD71"/>
      <c r="AE71"/>
      <c r="AF71"/>
      <c r="AG71"/>
      <c r="AH71"/>
      <c r="AI71"/>
      <c r="AJ71"/>
      <c r="AK71"/>
      <c r="AL71"/>
      <c r="AM71"/>
      <c r="AN71"/>
      <c r="AO71"/>
      <c r="AP71"/>
      <c r="AQ71"/>
      <c r="AR71"/>
    </row>
    <row r="72" spans="1:44" s="239" customFormat="1">
      <c r="A72" s="241"/>
      <c r="B72" s="241"/>
      <c r="C72" s="245" t="str">
        <f>IF(B72="","",IFERROR(VLOOKUP(B72,PERUMAHAN!$A:$B,2,FALSE),"ID tidak ditemukan"))</f>
        <v/>
      </c>
      <c r="D72" s="241"/>
      <c r="E72" s="241"/>
      <c r="F72" s="241"/>
      <c r="G72" s="243"/>
      <c r="H72" s="254"/>
      <c r="I72" s="241"/>
      <c r="J72" s="241"/>
      <c r="K72" s="241"/>
      <c r="L72" s="241"/>
      <c r="M72" s="243"/>
      <c r="N72" s="243"/>
      <c r="O72" s="242"/>
      <c r="P72" s="241"/>
      <c r="Q72" s="241"/>
      <c r="R72" s="241"/>
      <c r="S72" s="244"/>
      <c r="T72" s="244"/>
      <c r="U72"/>
      <c r="AA72"/>
      <c r="AB72"/>
      <c r="AC72"/>
      <c r="AD72"/>
      <c r="AE72"/>
      <c r="AF72"/>
      <c r="AG72"/>
      <c r="AH72"/>
      <c r="AI72"/>
      <c r="AJ72"/>
      <c r="AK72"/>
      <c r="AL72"/>
      <c r="AM72"/>
      <c r="AN72"/>
      <c r="AO72"/>
      <c r="AP72"/>
      <c r="AQ72"/>
      <c r="AR72"/>
    </row>
    <row r="73" spans="1:44" s="239" customFormat="1">
      <c r="A73" s="241"/>
      <c r="B73" s="241"/>
      <c r="C73" s="245" t="str">
        <f>IF(B73="","",IFERROR(VLOOKUP(B73,PERUMAHAN!$A:$B,2,FALSE),"ID tidak ditemukan"))</f>
        <v/>
      </c>
      <c r="D73" s="241"/>
      <c r="E73" s="241"/>
      <c r="F73" s="241"/>
      <c r="G73" s="243"/>
      <c r="H73" s="254"/>
      <c r="I73" s="241"/>
      <c r="J73" s="241"/>
      <c r="K73" s="241"/>
      <c r="L73" s="241"/>
      <c r="M73" s="243"/>
      <c r="N73" s="243"/>
      <c r="O73" s="242"/>
      <c r="P73" s="241"/>
      <c r="Q73" s="241"/>
      <c r="R73" s="241"/>
      <c r="S73" s="244"/>
      <c r="T73" s="244"/>
      <c r="U73"/>
      <c r="AA73"/>
      <c r="AB73"/>
      <c r="AC73"/>
      <c r="AD73"/>
      <c r="AE73"/>
      <c r="AF73"/>
      <c r="AG73"/>
      <c r="AH73"/>
      <c r="AI73"/>
      <c r="AJ73"/>
      <c r="AK73"/>
      <c r="AL73"/>
      <c r="AM73"/>
      <c r="AN73"/>
      <c r="AO73"/>
      <c r="AP73"/>
      <c r="AQ73"/>
      <c r="AR73"/>
    </row>
    <row r="74" spans="1:44" s="239" customFormat="1">
      <c r="A74" s="241"/>
      <c r="B74" s="241"/>
      <c r="C74" s="245" t="str">
        <f>IF(B74="","",IFERROR(VLOOKUP(B74,PERUMAHAN!$A:$B,2,FALSE),"ID tidak ditemukan"))</f>
        <v/>
      </c>
      <c r="D74" s="241"/>
      <c r="E74" s="241"/>
      <c r="F74" s="241"/>
      <c r="G74" s="243"/>
      <c r="H74" s="254"/>
      <c r="I74" s="241"/>
      <c r="J74" s="241"/>
      <c r="K74" s="241"/>
      <c r="L74" s="241"/>
      <c r="M74" s="243"/>
      <c r="N74" s="243"/>
      <c r="O74" s="242"/>
      <c r="P74" s="241"/>
      <c r="Q74" s="241"/>
      <c r="R74" s="241"/>
      <c r="S74" s="244"/>
      <c r="T74" s="244"/>
      <c r="U74"/>
      <c r="AA74"/>
      <c r="AB74"/>
      <c r="AC74"/>
      <c r="AD74"/>
      <c r="AE74"/>
      <c r="AF74"/>
      <c r="AG74"/>
      <c r="AH74"/>
      <c r="AI74"/>
      <c r="AJ74"/>
      <c r="AK74"/>
      <c r="AL74"/>
      <c r="AM74"/>
      <c r="AN74"/>
      <c r="AO74"/>
      <c r="AP74"/>
      <c r="AQ74"/>
      <c r="AR74"/>
    </row>
    <row r="75" spans="1:44" s="239" customFormat="1">
      <c r="A75" s="241"/>
      <c r="B75" s="241"/>
      <c r="C75" s="245" t="str">
        <f>IF(B75="","",IFERROR(VLOOKUP(B75,PERUMAHAN!$A:$B,2,FALSE),"ID tidak ditemukan"))</f>
        <v/>
      </c>
      <c r="D75" s="241"/>
      <c r="E75" s="241"/>
      <c r="F75" s="241"/>
      <c r="G75" s="243"/>
      <c r="H75" s="254"/>
      <c r="I75" s="241"/>
      <c r="J75" s="241"/>
      <c r="K75" s="241"/>
      <c r="L75" s="241"/>
      <c r="M75" s="243"/>
      <c r="N75" s="243"/>
      <c r="O75" s="242"/>
      <c r="P75" s="241"/>
      <c r="Q75" s="241"/>
      <c r="R75" s="241"/>
      <c r="S75" s="244"/>
      <c r="T75" s="244"/>
      <c r="U75"/>
      <c r="AA75"/>
      <c r="AB75"/>
      <c r="AC75"/>
      <c r="AD75"/>
      <c r="AE75"/>
      <c r="AF75"/>
      <c r="AG75"/>
      <c r="AH75"/>
      <c r="AI75"/>
      <c r="AJ75"/>
      <c r="AK75"/>
      <c r="AL75"/>
      <c r="AM75"/>
      <c r="AN75"/>
      <c r="AO75"/>
      <c r="AP75"/>
      <c r="AQ75"/>
      <c r="AR75"/>
    </row>
    <row r="76" spans="1:44" s="239" customFormat="1">
      <c r="A76" s="241"/>
      <c r="B76" s="241"/>
      <c r="C76" s="245" t="str">
        <f>IF(B76="","",IFERROR(VLOOKUP(B76,PERUMAHAN!$A:$B,2,FALSE),"ID tidak ditemukan"))</f>
        <v/>
      </c>
      <c r="D76" s="241"/>
      <c r="E76" s="241"/>
      <c r="F76" s="241"/>
      <c r="G76" s="243"/>
      <c r="H76" s="254"/>
      <c r="I76" s="241"/>
      <c r="J76" s="241"/>
      <c r="K76" s="241"/>
      <c r="L76" s="241"/>
      <c r="M76" s="243"/>
      <c r="N76" s="243"/>
      <c r="O76" s="242"/>
      <c r="P76" s="241"/>
      <c r="Q76" s="241"/>
      <c r="R76" s="241"/>
      <c r="S76" s="244"/>
      <c r="T76" s="244"/>
      <c r="U76"/>
      <c r="AA76"/>
      <c r="AB76"/>
      <c r="AC76"/>
      <c r="AD76"/>
      <c r="AE76"/>
      <c r="AF76"/>
      <c r="AG76"/>
      <c r="AH76"/>
      <c r="AI76"/>
      <c r="AJ76"/>
      <c r="AK76"/>
      <c r="AL76"/>
      <c r="AM76"/>
      <c r="AN76"/>
      <c r="AO76"/>
      <c r="AP76"/>
      <c r="AQ76"/>
      <c r="AR76"/>
    </row>
    <row r="77" spans="1:44" s="239" customFormat="1">
      <c r="A77" s="241"/>
      <c r="B77" s="241"/>
      <c r="C77" s="245" t="str">
        <f>IF(B77="","",IFERROR(VLOOKUP(B77,PERUMAHAN!$A:$B,2,FALSE),"ID tidak ditemukan"))</f>
        <v/>
      </c>
      <c r="D77" s="241"/>
      <c r="E77" s="241"/>
      <c r="F77" s="241"/>
      <c r="G77" s="243"/>
      <c r="H77" s="254"/>
      <c r="I77" s="241"/>
      <c r="J77" s="241"/>
      <c r="K77" s="241"/>
      <c r="L77" s="241"/>
      <c r="M77" s="243"/>
      <c r="N77" s="243"/>
      <c r="O77" s="242"/>
      <c r="P77" s="241"/>
      <c r="Q77" s="241"/>
      <c r="R77" s="241"/>
      <c r="S77" s="244"/>
      <c r="T77" s="244"/>
      <c r="U77"/>
      <c r="AA77"/>
      <c r="AB77"/>
      <c r="AC77"/>
      <c r="AD77"/>
      <c r="AE77"/>
      <c r="AF77"/>
      <c r="AG77"/>
      <c r="AH77"/>
      <c r="AI77"/>
      <c r="AJ77"/>
      <c r="AK77"/>
      <c r="AL77"/>
      <c r="AM77"/>
      <c r="AN77"/>
      <c r="AO77"/>
      <c r="AP77"/>
      <c r="AQ77"/>
      <c r="AR77"/>
    </row>
    <row r="78" spans="1:44" s="239" customFormat="1">
      <c r="A78" s="241"/>
      <c r="B78" s="241"/>
      <c r="C78" s="245" t="str">
        <f>IF(B78="","",IFERROR(VLOOKUP(B78,PERUMAHAN!$A:$B,2,FALSE),"ID tidak ditemukan"))</f>
        <v/>
      </c>
      <c r="D78" s="241"/>
      <c r="E78" s="241"/>
      <c r="F78" s="241"/>
      <c r="G78" s="243"/>
      <c r="H78" s="254"/>
      <c r="I78" s="241"/>
      <c r="J78" s="241"/>
      <c r="K78" s="241"/>
      <c r="L78" s="241"/>
      <c r="M78" s="243"/>
      <c r="N78" s="243"/>
      <c r="O78" s="242"/>
      <c r="P78" s="241"/>
      <c r="Q78" s="241"/>
      <c r="R78" s="241"/>
      <c r="S78" s="244"/>
      <c r="T78" s="244"/>
      <c r="U78"/>
      <c r="AA78"/>
      <c r="AB78"/>
      <c r="AC78"/>
      <c r="AD78"/>
      <c r="AE78"/>
      <c r="AF78"/>
      <c r="AG78"/>
      <c r="AH78"/>
      <c r="AI78"/>
      <c r="AJ78"/>
      <c r="AK78"/>
      <c r="AL78"/>
      <c r="AM78"/>
      <c r="AN78"/>
      <c r="AO78"/>
      <c r="AP78"/>
      <c r="AQ78"/>
      <c r="AR78"/>
    </row>
    <row r="79" spans="1:44" s="239" customFormat="1">
      <c r="A79" s="241"/>
      <c r="B79" s="241"/>
      <c r="C79" s="245" t="str">
        <f>IF(B79="","",IFERROR(VLOOKUP(B79,PERUMAHAN!$A:$B,2,FALSE),"ID tidak ditemukan"))</f>
        <v/>
      </c>
      <c r="D79" s="241"/>
      <c r="E79" s="241"/>
      <c r="F79" s="241"/>
      <c r="G79" s="243"/>
      <c r="H79" s="254"/>
      <c r="I79" s="241"/>
      <c r="J79" s="241"/>
      <c r="K79" s="241"/>
      <c r="L79" s="241"/>
      <c r="M79" s="243"/>
      <c r="N79" s="243"/>
      <c r="O79" s="242"/>
      <c r="P79" s="241"/>
      <c r="Q79" s="241"/>
      <c r="R79" s="241"/>
      <c r="S79" s="244"/>
      <c r="T79" s="244"/>
      <c r="U79"/>
      <c r="AA79"/>
      <c r="AB79"/>
      <c r="AC79"/>
      <c r="AD79"/>
      <c r="AE79"/>
      <c r="AF79"/>
      <c r="AG79"/>
      <c r="AH79"/>
      <c r="AI79"/>
      <c r="AJ79"/>
      <c r="AK79"/>
      <c r="AL79"/>
      <c r="AM79"/>
      <c r="AN79"/>
      <c r="AO79"/>
      <c r="AP79"/>
      <c r="AQ79"/>
      <c r="AR79"/>
    </row>
    <row r="80" spans="1:44" s="239" customFormat="1">
      <c r="A80" s="241"/>
      <c r="B80" s="241"/>
      <c r="C80" s="245" t="str">
        <f>IF(B80="","",IFERROR(VLOOKUP(B80,PERUMAHAN!$A:$B,2,FALSE),"ID tidak ditemukan"))</f>
        <v/>
      </c>
      <c r="D80" s="241"/>
      <c r="E80" s="241"/>
      <c r="F80" s="241"/>
      <c r="G80" s="243"/>
      <c r="H80" s="254"/>
      <c r="I80" s="241"/>
      <c r="J80" s="241"/>
      <c r="K80" s="241"/>
      <c r="L80" s="241"/>
      <c r="M80" s="243"/>
      <c r="N80" s="243"/>
      <c r="O80" s="242"/>
      <c r="P80" s="241"/>
      <c r="Q80" s="241"/>
      <c r="R80" s="241"/>
      <c r="S80" s="244"/>
      <c r="T80" s="244"/>
      <c r="U80"/>
      <c r="AA80"/>
      <c r="AB80"/>
      <c r="AC80"/>
      <c r="AD80"/>
      <c r="AE80"/>
      <c r="AF80"/>
      <c r="AG80"/>
      <c r="AH80"/>
      <c r="AI80"/>
      <c r="AJ80"/>
      <c r="AK80"/>
      <c r="AL80"/>
      <c r="AM80"/>
      <c r="AN80"/>
      <c r="AO80"/>
      <c r="AP80"/>
      <c r="AQ80"/>
      <c r="AR80"/>
    </row>
    <row r="81" spans="1:44" s="239" customFormat="1">
      <c r="A81" s="241"/>
      <c r="B81" s="241"/>
      <c r="C81" s="245" t="str">
        <f>IF(B81="","",IFERROR(VLOOKUP(B81,PERUMAHAN!$A:$B,2,FALSE),"ID tidak ditemukan"))</f>
        <v/>
      </c>
      <c r="D81" s="241"/>
      <c r="E81" s="241"/>
      <c r="F81" s="241"/>
      <c r="G81" s="243"/>
      <c r="H81" s="254"/>
      <c r="I81" s="241"/>
      <c r="J81" s="241"/>
      <c r="K81" s="241"/>
      <c r="L81" s="241"/>
      <c r="M81" s="243"/>
      <c r="N81" s="243"/>
      <c r="O81" s="242"/>
      <c r="P81" s="241"/>
      <c r="Q81" s="241"/>
      <c r="R81" s="241"/>
      <c r="S81" s="244"/>
      <c r="T81" s="244"/>
      <c r="U81"/>
      <c r="AA81"/>
      <c r="AB81"/>
      <c r="AC81"/>
      <c r="AD81"/>
      <c r="AE81"/>
      <c r="AF81"/>
      <c r="AG81"/>
      <c r="AH81"/>
      <c r="AI81"/>
      <c r="AJ81"/>
      <c r="AK81"/>
      <c r="AL81"/>
      <c r="AM81"/>
      <c r="AN81"/>
      <c r="AO81"/>
      <c r="AP81"/>
      <c r="AQ81"/>
      <c r="AR81"/>
    </row>
    <row r="82" spans="1:44" s="239" customFormat="1">
      <c r="A82" s="241"/>
      <c r="B82" s="241"/>
      <c r="C82" s="245" t="str">
        <f>IF(B82="","",IFERROR(VLOOKUP(B82,PERUMAHAN!$A:$B,2,FALSE),"ID tidak ditemukan"))</f>
        <v/>
      </c>
      <c r="D82" s="241"/>
      <c r="E82" s="241"/>
      <c r="F82" s="241"/>
      <c r="G82" s="243"/>
      <c r="H82" s="254"/>
      <c r="I82" s="241"/>
      <c r="J82" s="241"/>
      <c r="K82" s="241"/>
      <c r="L82" s="241"/>
      <c r="M82" s="243"/>
      <c r="N82" s="243"/>
      <c r="O82" s="242"/>
      <c r="P82" s="241"/>
      <c r="Q82" s="241"/>
      <c r="R82" s="241"/>
      <c r="S82" s="244"/>
      <c r="T82" s="244"/>
      <c r="U82"/>
      <c r="AA82"/>
      <c r="AB82"/>
      <c r="AC82"/>
      <c r="AD82"/>
      <c r="AE82"/>
      <c r="AF82"/>
      <c r="AG82"/>
      <c r="AH82"/>
      <c r="AI82"/>
      <c r="AJ82"/>
      <c r="AK82"/>
      <c r="AL82"/>
      <c r="AM82"/>
      <c r="AN82"/>
      <c r="AO82"/>
      <c r="AP82"/>
      <c r="AQ82"/>
      <c r="AR82"/>
    </row>
    <row r="83" spans="1:44" s="239" customFormat="1">
      <c r="A83" s="241"/>
      <c r="B83" s="241"/>
      <c r="C83" s="245" t="str">
        <f>IF(B83="","",IFERROR(VLOOKUP(B83,PERUMAHAN!$A:$B,2,FALSE),"ID tidak ditemukan"))</f>
        <v/>
      </c>
      <c r="D83" s="241"/>
      <c r="E83" s="241"/>
      <c r="F83" s="241"/>
      <c r="G83" s="243"/>
      <c r="H83" s="254"/>
      <c r="I83" s="241"/>
      <c r="J83" s="241"/>
      <c r="K83" s="241"/>
      <c r="L83" s="241"/>
      <c r="M83" s="243"/>
      <c r="N83" s="243"/>
      <c r="O83" s="242"/>
      <c r="P83" s="241"/>
      <c r="Q83" s="241"/>
      <c r="R83" s="241"/>
      <c r="S83" s="244"/>
      <c r="T83" s="244"/>
      <c r="U83"/>
      <c r="AA83"/>
      <c r="AB83"/>
      <c r="AC83"/>
      <c r="AD83"/>
      <c r="AE83"/>
      <c r="AF83"/>
      <c r="AG83"/>
      <c r="AH83"/>
      <c r="AI83"/>
      <c r="AJ83"/>
      <c r="AK83"/>
      <c r="AL83"/>
      <c r="AM83"/>
      <c r="AN83"/>
      <c r="AO83"/>
      <c r="AP83"/>
      <c r="AQ83"/>
      <c r="AR83"/>
    </row>
    <row r="84" spans="1:44" s="239" customFormat="1">
      <c r="A84" s="241"/>
      <c r="B84" s="241"/>
      <c r="C84" s="245" t="str">
        <f>IF(B84="","",IFERROR(VLOOKUP(B84,PERUMAHAN!$A:$B,2,FALSE),"ID tidak ditemukan"))</f>
        <v/>
      </c>
      <c r="D84" s="241"/>
      <c r="E84" s="241"/>
      <c r="F84" s="241"/>
      <c r="G84" s="243"/>
      <c r="H84" s="254"/>
      <c r="I84" s="241"/>
      <c r="J84" s="241"/>
      <c r="K84" s="241"/>
      <c r="L84" s="241"/>
      <c r="M84" s="243"/>
      <c r="N84" s="243"/>
      <c r="O84" s="242"/>
      <c r="P84" s="241"/>
      <c r="Q84" s="241"/>
      <c r="R84" s="241"/>
      <c r="S84" s="244"/>
      <c r="T84" s="244"/>
      <c r="U84"/>
      <c r="AA84"/>
      <c r="AB84"/>
      <c r="AC84"/>
      <c r="AD84"/>
      <c r="AE84"/>
      <c r="AF84"/>
      <c r="AG84"/>
      <c r="AH84"/>
      <c r="AI84"/>
      <c r="AJ84"/>
      <c r="AK84"/>
      <c r="AL84"/>
      <c r="AM84"/>
      <c r="AN84"/>
      <c r="AO84"/>
      <c r="AP84"/>
      <c r="AQ84"/>
      <c r="AR84"/>
    </row>
    <row r="85" spans="1:44" s="239" customFormat="1">
      <c r="A85" s="241"/>
      <c r="B85" s="241"/>
      <c r="C85" s="245" t="str">
        <f>IF(B85="","",IFERROR(VLOOKUP(B85,PERUMAHAN!$A:$B,2,FALSE),"ID tidak ditemukan"))</f>
        <v/>
      </c>
      <c r="D85" s="241"/>
      <c r="E85" s="241"/>
      <c r="F85" s="241"/>
      <c r="G85" s="243"/>
      <c r="H85" s="254"/>
      <c r="I85" s="241"/>
      <c r="J85" s="241"/>
      <c r="K85" s="241"/>
      <c r="L85" s="241"/>
      <c r="M85" s="243"/>
      <c r="N85" s="243"/>
      <c r="O85" s="242"/>
      <c r="P85" s="241"/>
      <c r="Q85" s="241"/>
      <c r="R85" s="241"/>
      <c r="S85" s="244"/>
      <c r="T85" s="244"/>
      <c r="U85"/>
      <c r="AA85"/>
      <c r="AB85"/>
      <c r="AC85"/>
      <c r="AD85"/>
      <c r="AE85"/>
      <c r="AF85"/>
      <c r="AG85"/>
      <c r="AH85"/>
      <c r="AI85"/>
      <c r="AJ85"/>
      <c r="AK85"/>
      <c r="AL85"/>
      <c r="AM85"/>
      <c r="AN85"/>
      <c r="AO85"/>
      <c r="AP85"/>
      <c r="AQ85"/>
      <c r="AR85"/>
    </row>
    <row r="86" spans="1:44" s="239" customFormat="1">
      <c r="A86" s="241"/>
      <c r="B86" s="241"/>
      <c r="C86" s="245" t="str">
        <f>IF(B86="","",IFERROR(VLOOKUP(B86,PERUMAHAN!$A:$B,2,FALSE),"ID tidak ditemukan"))</f>
        <v/>
      </c>
      <c r="D86" s="241"/>
      <c r="E86" s="241"/>
      <c r="F86" s="241"/>
      <c r="G86" s="243"/>
      <c r="H86" s="254"/>
      <c r="I86" s="241"/>
      <c r="J86" s="241"/>
      <c r="K86" s="241"/>
      <c r="L86" s="241"/>
      <c r="M86" s="243"/>
      <c r="N86" s="243"/>
      <c r="O86" s="242"/>
      <c r="P86" s="241"/>
      <c r="Q86" s="241"/>
      <c r="R86" s="241"/>
      <c r="S86" s="244"/>
      <c r="T86" s="244"/>
      <c r="U86"/>
      <c r="AA86"/>
      <c r="AB86"/>
      <c r="AC86"/>
      <c r="AD86"/>
      <c r="AE86"/>
      <c r="AF86"/>
      <c r="AG86"/>
      <c r="AH86"/>
      <c r="AI86"/>
      <c r="AJ86"/>
      <c r="AK86"/>
      <c r="AL86"/>
      <c r="AM86"/>
      <c r="AN86"/>
      <c r="AO86"/>
      <c r="AP86"/>
      <c r="AQ86"/>
      <c r="AR86"/>
    </row>
    <row r="87" spans="1:44" s="239" customFormat="1">
      <c r="A87" s="241"/>
      <c r="B87" s="241"/>
      <c r="C87" s="245" t="str">
        <f>IF(B87="","",IFERROR(VLOOKUP(B87,PERUMAHAN!$A:$B,2,FALSE),"ID tidak ditemukan"))</f>
        <v/>
      </c>
      <c r="D87" s="241"/>
      <c r="E87" s="241"/>
      <c r="F87" s="241"/>
      <c r="G87" s="243"/>
      <c r="H87" s="254"/>
      <c r="I87" s="241"/>
      <c r="J87" s="241"/>
      <c r="K87" s="241"/>
      <c r="L87" s="241"/>
      <c r="M87" s="243"/>
      <c r="N87" s="243"/>
      <c r="O87" s="242"/>
      <c r="P87" s="241"/>
      <c r="Q87" s="241"/>
      <c r="R87" s="241"/>
      <c r="S87" s="244"/>
      <c r="T87" s="244"/>
      <c r="U87"/>
      <c r="AA87"/>
      <c r="AB87"/>
      <c r="AC87"/>
      <c r="AD87"/>
      <c r="AE87"/>
      <c r="AF87"/>
      <c r="AG87"/>
      <c r="AH87"/>
      <c r="AI87"/>
      <c r="AJ87"/>
      <c r="AK87"/>
      <c r="AL87"/>
      <c r="AM87"/>
      <c r="AN87"/>
      <c r="AO87"/>
      <c r="AP87"/>
      <c r="AQ87"/>
      <c r="AR87"/>
    </row>
    <row r="88" spans="1:44" s="239" customFormat="1">
      <c r="A88" s="241"/>
      <c r="B88" s="241"/>
      <c r="C88" s="245" t="str">
        <f>IF(B88="","",IFERROR(VLOOKUP(B88,PERUMAHAN!$A:$B,2,FALSE),"ID tidak ditemukan"))</f>
        <v/>
      </c>
      <c r="D88" s="241"/>
      <c r="E88" s="241"/>
      <c r="F88" s="241"/>
      <c r="G88" s="243"/>
      <c r="H88" s="254"/>
      <c r="I88" s="241"/>
      <c r="J88" s="241"/>
      <c r="K88" s="241"/>
      <c r="L88" s="241"/>
      <c r="M88" s="243"/>
      <c r="N88" s="243"/>
      <c r="O88" s="242"/>
      <c r="P88" s="241"/>
      <c r="Q88" s="241"/>
      <c r="R88" s="241"/>
      <c r="S88" s="244"/>
      <c r="T88" s="244"/>
      <c r="U88"/>
      <c r="AA88"/>
      <c r="AB88"/>
      <c r="AC88"/>
      <c r="AD88"/>
      <c r="AE88"/>
      <c r="AF88"/>
      <c r="AG88"/>
      <c r="AH88"/>
      <c r="AI88"/>
      <c r="AJ88"/>
      <c r="AK88"/>
      <c r="AL88"/>
      <c r="AM88"/>
      <c r="AN88"/>
      <c r="AO88"/>
      <c r="AP88"/>
      <c r="AQ88"/>
      <c r="AR88"/>
    </row>
    <row r="89" spans="1:44" s="239" customFormat="1">
      <c r="A89" s="241"/>
      <c r="B89" s="241"/>
      <c r="C89" s="245" t="str">
        <f>IF(B89="","",IFERROR(VLOOKUP(B89,PERUMAHAN!$A:$B,2,FALSE),"ID tidak ditemukan"))</f>
        <v/>
      </c>
      <c r="D89" s="241"/>
      <c r="E89" s="241"/>
      <c r="F89" s="241"/>
      <c r="G89" s="243"/>
      <c r="H89" s="254"/>
      <c r="I89" s="241"/>
      <c r="J89" s="241"/>
      <c r="K89" s="241"/>
      <c r="L89" s="241"/>
      <c r="M89" s="243"/>
      <c r="N89" s="243"/>
      <c r="O89" s="242"/>
      <c r="P89" s="241"/>
      <c r="Q89" s="241"/>
      <c r="R89" s="241"/>
      <c r="S89" s="244"/>
      <c r="T89" s="244"/>
      <c r="U89"/>
      <c r="AA89"/>
      <c r="AB89"/>
      <c r="AC89"/>
      <c r="AD89"/>
      <c r="AE89"/>
      <c r="AF89"/>
      <c r="AG89"/>
      <c r="AH89"/>
      <c r="AI89"/>
      <c r="AJ89"/>
      <c r="AK89"/>
      <c r="AL89"/>
      <c r="AM89"/>
      <c r="AN89"/>
      <c r="AO89"/>
      <c r="AP89"/>
      <c r="AQ89"/>
      <c r="AR89"/>
    </row>
    <row r="90" spans="1:44" s="239" customFormat="1">
      <c r="A90" s="241"/>
      <c r="B90" s="241"/>
      <c r="C90" s="245" t="str">
        <f>IF(B90="","",IFERROR(VLOOKUP(B90,PERUMAHAN!$A:$B,2,FALSE),"ID tidak ditemukan"))</f>
        <v/>
      </c>
      <c r="D90" s="241"/>
      <c r="E90" s="241"/>
      <c r="F90" s="241"/>
      <c r="G90" s="243"/>
      <c r="H90" s="254"/>
      <c r="I90" s="241"/>
      <c r="J90" s="241"/>
      <c r="K90" s="241"/>
      <c r="L90" s="241"/>
      <c r="M90" s="243"/>
      <c r="N90" s="243"/>
      <c r="O90" s="242"/>
      <c r="P90" s="241"/>
      <c r="Q90" s="241"/>
      <c r="R90" s="241"/>
      <c r="S90" s="244"/>
      <c r="T90" s="244"/>
      <c r="U90"/>
      <c r="AA90"/>
      <c r="AB90"/>
      <c r="AC90"/>
      <c r="AD90"/>
      <c r="AE90"/>
      <c r="AF90"/>
      <c r="AG90"/>
      <c r="AH90"/>
      <c r="AI90"/>
      <c r="AJ90"/>
      <c r="AK90"/>
      <c r="AL90"/>
      <c r="AM90"/>
      <c r="AN90"/>
      <c r="AO90"/>
      <c r="AP90"/>
      <c r="AQ90"/>
      <c r="AR90"/>
    </row>
    <row r="91" spans="1:44" s="239" customFormat="1">
      <c r="A91" s="241"/>
      <c r="B91" s="241"/>
      <c r="C91" s="245" t="str">
        <f>IF(B91="","",IFERROR(VLOOKUP(B91,PERUMAHAN!$A:$B,2,FALSE),"ID tidak ditemukan"))</f>
        <v/>
      </c>
      <c r="D91" s="241"/>
      <c r="E91" s="241"/>
      <c r="F91" s="241"/>
      <c r="G91" s="243"/>
      <c r="H91" s="254"/>
      <c r="I91" s="241"/>
      <c r="J91" s="241"/>
      <c r="K91" s="241"/>
      <c r="L91" s="241"/>
      <c r="M91" s="243"/>
      <c r="N91" s="243"/>
      <c r="O91" s="242"/>
      <c r="P91" s="241"/>
      <c r="Q91" s="241"/>
      <c r="R91" s="241"/>
      <c r="S91" s="244"/>
      <c r="T91" s="244"/>
      <c r="U91"/>
      <c r="AA91"/>
      <c r="AB91"/>
      <c r="AC91"/>
      <c r="AD91"/>
      <c r="AE91"/>
      <c r="AF91"/>
      <c r="AG91"/>
      <c r="AH91"/>
      <c r="AI91"/>
      <c r="AJ91"/>
      <c r="AK91"/>
      <c r="AL91"/>
      <c r="AM91"/>
      <c r="AN91"/>
      <c r="AO91"/>
      <c r="AP91"/>
      <c r="AQ91"/>
      <c r="AR91"/>
    </row>
    <row r="92" spans="1:44" s="239" customFormat="1">
      <c r="A92" s="241"/>
      <c r="B92" s="241"/>
      <c r="C92" s="245" t="str">
        <f>IF(B92="","",IFERROR(VLOOKUP(B92,PERUMAHAN!$A:$B,2,FALSE),"ID tidak ditemukan"))</f>
        <v/>
      </c>
      <c r="D92" s="241"/>
      <c r="E92" s="241"/>
      <c r="F92" s="241"/>
      <c r="G92" s="243"/>
      <c r="H92" s="254"/>
      <c r="I92" s="241"/>
      <c r="J92" s="241"/>
      <c r="K92" s="241"/>
      <c r="L92" s="241"/>
      <c r="M92" s="243"/>
      <c r="N92" s="243"/>
      <c r="O92" s="242"/>
      <c r="P92" s="241"/>
      <c r="Q92" s="241"/>
      <c r="R92" s="241"/>
      <c r="S92" s="244"/>
      <c r="T92" s="244"/>
      <c r="U92"/>
      <c r="AA92"/>
      <c r="AB92"/>
      <c r="AC92"/>
      <c r="AD92"/>
      <c r="AE92"/>
      <c r="AF92"/>
      <c r="AG92"/>
      <c r="AH92"/>
      <c r="AI92"/>
      <c r="AJ92"/>
      <c r="AK92"/>
      <c r="AL92"/>
      <c r="AM92"/>
      <c r="AN92"/>
      <c r="AO92"/>
      <c r="AP92"/>
      <c r="AQ92"/>
      <c r="AR92"/>
    </row>
    <row r="93" spans="1:44" s="239" customFormat="1">
      <c r="A93" s="241"/>
      <c r="B93" s="241"/>
      <c r="C93" s="245" t="str">
        <f>IF(B93="","",IFERROR(VLOOKUP(B93,PERUMAHAN!$A:$B,2,FALSE),"ID tidak ditemukan"))</f>
        <v/>
      </c>
      <c r="D93" s="241"/>
      <c r="E93" s="241"/>
      <c r="F93" s="241"/>
      <c r="G93" s="243"/>
      <c r="H93" s="254"/>
      <c r="I93" s="241"/>
      <c r="J93" s="241"/>
      <c r="K93" s="241"/>
      <c r="L93" s="241"/>
      <c r="M93" s="243"/>
      <c r="N93" s="243"/>
      <c r="O93" s="242"/>
      <c r="P93" s="241"/>
      <c r="Q93" s="241"/>
      <c r="R93" s="241"/>
      <c r="S93" s="244"/>
      <c r="T93" s="244"/>
      <c r="U93"/>
      <c r="AA93"/>
      <c r="AB93"/>
      <c r="AC93"/>
      <c r="AD93"/>
      <c r="AE93"/>
      <c r="AF93"/>
      <c r="AG93"/>
      <c r="AH93"/>
      <c r="AI93"/>
      <c r="AJ93"/>
      <c r="AK93"/>
      <c r="AL93"/>
      <c r="AM93"/>
      <c r="AN93"/>
      <c r="AO93"/>
      <c r="AP93"/>
      <c r="AQ93"/>
      <c r="AR93"/>
    </row>
    <row r="94" spans="1:44" s="239" customFormat="1">
      <c r="A94" s="241"/>
      <c r="B94" s="241"/>
      <c r="C94" s="245" t="str">
        <f>IF(B94="","",IFERROR(VLOOKUP(B94,PERUMAHAN!$A:$B,2,FALSE),"ID tidak ditemukan"))</f>
        <v/>
      </c>
      <c r="D94" s="241"/>
      <c r="E94" s="241"/>
      <c r="F94" s="241"/>
      <c r="G94" s="243"/>
      <c r="H94" s="254"/>
      <c r="I94" s="241"/>
      <c r="J94" s="241"/>
      <c r="K94" s="241"/>
      <c r="L94" s="241"/>
      <c r="M94" s="243"/>
      <c r="N94" s="243"/>
      <c r="O94" s="242"/>
      <c r="P94" s="241"/>
      <c r="Q94" s="241"/>
      <c r="R94" s="241"/>
      <c r="S94" s="244"/>
      <c r="T94" s="244"/>
      <c r="U94"/>
      <c r="AA94"/>
      <c r="AB94"/>
      <c r="AC94"/>
      <c r="AD94"/>
      <c r="AE94"/>
      <c r="AF94"/>
      <c r="AG94"/>
      <c r="AH94"/>
      <c r="AI94"/>
      <c r="AJ94"/>
      <c r="AK94"/>
      <c r="AL94"/>
      <c r="AM94"/>
      <c r="AN94"/>
      <c r="AO94"/>
      <c r="AP94"/>
      <c r="AQ94"/>
      <c r="AR94"/>
    </row>
    <row r="95" spans="1:44" s="239" customFormat="1">
      <c r="A95" s="241"/>
      <c r="B95" s="241"/>
      <c r="C95" s="245" t="str">
        <f>IF(B95="","",IFERROR(VLOOKUP(B95,PERUMAHAN!$A:$B,2,FALSE),"ID tidak ditemukan"))</f>
        <v/>
      </c>
      <c r="D95" s="241"/>
      <c r="E95" s="241"/>
      <c r="F95" s="241"/>
      <c r="G95" s="243"/>
      <c r="H95" s="254"/>
      <c r="I95" s="241"/>
      <c r="J95" s="241"/>
      <c r="K95" s="241"/>
      <c r="L95" s="241"/>
      <c r="M95" s="243"/>
      <c r="N95" s="243"/>
      <c r="O95" s="242"/>
      <c r="P95" s="241"/>
      <c r="Q95" s="241"/>
      <c r="R95" s="241"/>
      <c r="S95" s="244"/>
      <c r="T95" s="244"/>
      <c r="U95"/>
      <c r="AA95"/>
      <c r="AB95"/>
      <c r="AC95"/>
      <c r="AD95"/>
      <c r="AE95"/>
      <c r="AF95"/>
      <c r="AG95"/>
      <c r="AH95"/>
      <c r="AI95"/>
      <c r="AJ95"/>
      <c r="AK95"/>
      <c r="AL95"/>
      <c r="AM95"/>
      <c r="AN95"/>
      <c r="AO95"/>
      <c r="AP95"/>
      <c r="AQ95"/>
      <c r="AR95"/>
    </row>
    <row r="96" spans="1:44" s="239" customFormat="1">
      <c r="A96" s="241"/>
      <c r="B96" s="241"/>
      <c r="C96" s="245" t="str">
        <f>IF(B96="","",IFERROR(VLOOKUP(B96,PERUMAHAN!$A:$B,2,FALSE),"ID tidak ditemukan"))</f>
        <v/>
      </c>
      <c r="D96" s="241"/>
      <c r="E96" s="241"/>
      <c r="F96" s="241"/>
      <c r="G96" s="243"/>
      <c r="H96" s="254"/>
      <c r="I96" s="241"/>
      <c r="J96" s="241"/>
      <c r="K96" s="241"/>
      <c r="L96" s="241"/>
      <c r="M96" s="243"/>
      <c r="N96" s="243"/>
      <c r="O96" s="242"/>
      <c r="P96" s="241"/>
      <c r="Q96" s="241"/>
      <c r="R96" s="241"/>
      <c r="S96" s="244"/>
      <c r="T96" s="244"/>
      <c r="U96"/>
      <c r="AA96"/>
      <c r="AB96"/>
      <c r="AC96"/>
      <c r="AD96"/>
      <c r="AE96"/>
      <c r="AF96"/>
      <c r="AG96"/>
      <c r="AH96"/>
      <c r="AI96"/>
      <c r="AJ96"/>
      <c r="AK96"/>
      <c r="AL96"/>
      <c r="AM96"/>
      <c r="AN96"/>
      <c r="AO96"/>
      <c r="AP96"/>
      <c r="AQ96"/>
      <c r="AR96"/>
    </row>
    <row r="97" spans="1:44" s="239" customFormat="1">
      <c r="A97" s="241"/>
      <c r="B97" s="241"/>
      <c r="C97" s="245" t="str">
        <f>IF(B97="","",IFERROR(VLOOKUP(B97,PERUMAHAN!$A:$B,2,FALSE),"ID tidak ditemukan"))</f>
        <v/>
      </c>
      <c r="D97" s="241"/>
      <c r="E97" s="241"/>
      <c r="F97" s="241"/>
      <c r="G97" s="243"/>
      <c r="H97" s="254"/>
      <c r="I97" s="241"/>
      <c r="J97" s="241"/>
      <c r="K97" s="241"/>
      <c r="L97" s="241"/>
      <c r="M97" s="243"/>
      <c r="N97" s="243"/>
      <c r="O97" s="242"/>
      <c r="P97" s="241"/>
      <c r="Q97" s="241"/>
      <c r="R97" s="241"/>
      <c r="S97" s="244"/>
      <c r="T97" s="244"/>
      <c r="U97"/>
      <c r="AA97"/>
      <c r="AB97"/>
      <c r="AC97"/>
      <c r="AD97"/>
      <c r="AE97"/>
      <c r="AF97"/>
      <c r="AG97"/>
      <c r="AH97"/>
      <c r="AI97"/>
      <c r="AJ97"/>
      <c r="AK97"/>
      <c r="AL97"/>
      <c r="AM97"/>
      <c r="AN97"/>
      <c r="AO97"/>
      <c r="AP97"/>
      <c r="AQ97"/>
      <c r="AR97"/>
    </row>
    <row r="98" spans="1:44" s="239" customFormat="1">
      <c r="A98" s="241"/>
      <c r="B98" s="241"/>
      <c r="C98" s="245" t="str">
        <f>IF(B98="","",IFERROR(VLOOKUP(B98,PERUMAHAN!$A:$B,2,FALSE),"ID tidak ditemukan"))</f>
        <v/>
      </c>
      <c r="D98" s="241"/>
      <c r="E98" s="241"/>
      <c r="F98" s="241"/>
      <c r="G98" s="243"/>
      <c r="H98" s="254"/>
      <c r="I98" s="241"/>
      <c r="J98" s="241"/>
      <c r="K98" s="241"/>
      <c r="L98" s="241"/>
      <c r="M98" s="243"/>
      <c r="N98" s="243"/>
      <c r="O98" s="242"/>
      <c r="P98" s="241"/>
      <c r="Q98" s="241"/>
      <c r="R98" s="241"/>
      <c r="S98" s="244"/>
      <c r="T98" s="244"/>
      <c r="U98"/>
      <c r="AA98"/>
      <c r="AB98"/>
      <c r="AC98"/>
      <c r="AD98"/>
      <c r="AE98"/>
      <c r="AF98"/>
      <c r="AG98"/>
      <c r="AH98"/>
      <c r="AI98"/>
      <c r="AJ98"/>
      <c r="AK98"/>
      <c r="AL98"/>
      <c r="AM98"/>
      <c r="AN98"/>
      <c r="AO98"/>
      <c r="AP98"/>
      <c r="AQ98"/>
      <c r="AR98"/>
    </row>
    <row r="99" spans="1:44" s="239" customFormat="1">
      <c r="A99" s="241"/>
      <c r="B99" s="241"/>
      <c r="C99" s="245" t="str">
        <f>IF(B99="","",IFERROR(VLOOKUP(B99,PERUMAHAN!$A:$B,2,FALSE),"ID tidak ditemukan"))</f>
        <v/>
      </c>
      <c r="D99" s="241"/>
      <c r="E99" s="241"/>
      <c r="F99" s="241"/>
      <c r="G99" s="243"/>
      <c r="H99" s="254"/>
      <c r="I99" s="241"/>
      <c r="J99" s="241"/>
      <c r="K99" s="241"/>
      <c r="L99" s="241"/>
      <c r="M99" s="243"/>
      <c r="N99" s="243"/>
      <c r="O99" s="242"/>
      <c r="P99" s="241"/>
      <c r="Q99" s="241"/>
      <c r="R99" s="241"/>
      <c r="S99" s="244"/>
      <c r="T99" s="244"/>
      <c r="U99"/>
      <c r="AA99"/>
      <c r="AB99"/>
      <c r="AC99"/>
      <c r="AD99"/>
      <c r="AE99"/>
      <c r="AF99"/>
      <c r="AG99"/>
      <c r="AH99"/>
      <c r="AI99"/>
      <c r="AJ99"/>
      <c r="AK99"/>
      <c r="AL99"/>
      <c r="AM99"/>
      <c r="AN99"/>
      <c r="AO99"/>
      <c r="AP99"/>
      <c r="AQ99"/>
      <c r="AR99"/>
    </row>
    <row r="100" spans="1:44" s="239" customFormat="1">
      <c r="A100" s="241"/>
      <c r="B100" s="241"/>
      <c r="C100" s="245" t="str">
        <f>IF(B100="","",IFERROR(VLOOKUP(B100,PERUMAHAN!$A:$B,2,FALSE),"ID tidak ditemukan"))</f>
        <v/>
      </c>
      <c r="D100" s="241"/>
      <c r="E100" s="241"/>
      <c r="F100" s="241"/>
      <c r="G100" s="243"/>
      <c r="H100" s="254"/>
      <c r="I100" s="241"/>
      <c r="J100" s="241"/>
      <c r="K100" s="241"/>
      <c r="L100" s="241"/>
      <c r="M100" s="243"/>
      <c r="N100" s="243"/>
      <c r="O100" s="242"/>
      <c r="P100" s="241"/>
      <c r="Q100" s="241"/>
      <c r="R100" s="241"/>
      <c r="S100" s="244"/>
      <c r="T100" s="244"/>
      <c r="U100"/>
      <c r="AA100"/>
      <c r="AB100"/>
      <c r="AC100"/>
      <c r="AD100"/>
      <c r="AE100"/>
      <c r="AF100"/>
      <c r="AG100"/>
      <c r="AH100"/>
      <c r="AI100"/>
      <c r="AJ100"/>
      <c r="AK100"/>
      <c r="AL100"/>
      <c r="AM100"/>
      <c r="AN100"/>
      <c r="AO100"/>
      <c r="AP100"/>
      <c r="AQ100"/>
      <c r="AR100"/>
    </row>
    <row r="101" spans="1:44" s="239" customFormat="1">
      <c r="A101" s="241"/>
      <c r="B101" s="241"/>
      <c r="C101" s="245" t="str">
        <f>IF(B101="","",IFERROR(VLOOKUP(B101,PERUMAHAN!$A:$B,2,FALSE),"ID tidak ditemukan"))</f>
        <v/>
      </c>
      <c r="D101" s="241"/>
      <c r="E101" s="241"/>
      <c r="F101" s="241"/>
      <c r="G101" s="243"/>
      <c r="H101" s="254"/>
      <c r="I101" s="241"/>
      <c r="J101" s="241"/>
      <c r="K101" s="241"/>
      <c r="L101" s="241"/>
      <c r="M101" s="243"/>
      <c r="N101" s="243"/>
      <c r="O101" s="242"/>
      <c r="P101" s="241"/>
      <c r="Q101" s="241"/>
      <c r="R101" s="241"/>
      <c r="S101" s="244"/>
      <c r="T101" s="244"/>
      <c r="U101"/>
      <c r="AA101"/>
      <c r="AB101"/>
      <c r="AC101"/>
      <c r="AD101"/>
      <c r="AE101"/>
      <c r="AF101"/>
      <c r="AG101"/>
      <c r="AH101"/>
      <c r="AI101"/>
      <c r="AJ101"/>
      <c r="AK101"/>
      <c r="AL101"/>
      <c r="AM101"/>
      <c r="AN101"/>
      <c r="AO101"/>
      <c r="AP101"/>
      <c r="AQ101"/>
      <c r="AR101"/>
    </row>
    <row r="102" spans="1:44" s="239" customFormat="1">
      <c r="A102" s="241"/>
      <c r="B102" s="241"/>
      <c r="C102" s="245" t="str">
        <f>IF(B102="","",IFERROR(VLOOKUP(B102,PERUMAHAN!$A:$B,2,FALSE),"ID tidak ditemukan"))</f>
        <v/>
      </c>
      <c r="D102" s="241"/>
      <c r="E102" s="241"/>
      <c r="F102" s="241"/>
      <c r="G102" s="243"/>
      <c r="H102" s="254"/>
      <c r="I102" s="241"/>
      <c r="J102" s="241"/>
      <c r="K102" s="241"/>
      <c r="L102" s="241"/>
      <c r="M102" s="243"/>
      <c r="N102" s="243"/>
      <c r="O102" s="242"/>
      <c r="P102" s="241"/>
      <c r="Q102" s="241"/>
      <c r="R102" s="241"/>
      <c r="S102" s="244"/>
      <c r="T102" s="244"/>
      <c r="U102"/>
      <c r="AA102"/>
      <c r="AB102"/>
      <c r="AC102"/>
      <c r="AD102"/>
      <c r="AE102"/>
      <c r="AF102"/>
      <c r="AG102"/>
      <c r="AH102"/>
      <c r="AI102"/>
      <c r="AJ102"/>
      <c r="AK102"/>
      <c r="AL102"/>
      <c r="AM102"/>
      <c r="AN102"/>
      <c r="AO102"/>
      <c r="AP102"/>
      <c r="AQ102"/>
      <c r="AR102"/>
    </row>
    <row r="103" spans="1:44" s="239" customFormat="1">
      <c r="A103" s="241"/>
      <c r="B103" s="241"/>
      <c r="C103" s="245" t="str">
        <f>IF(B103="","",IFERROR(VLOOKUP(B103,PERUMAHAN!$A:$B,2,FALSE),"ID tidak ditemukan"))</f>
        <v/>
      </c>
      <c r="D103" s="241"/>
      <c r="E103" s="241"/>
      <c r="F103" s="241"/>
      <c r="G103" s="243"/>
      <c r="H103" s="254"/>
      <c r="I103" s="241"/>
      <c r="J103" s="241"/>
      <c r="K103" s="241"/>
      <c r="L103" s="241"/>
      <c r="M103" s="243"/>
      <c r="N103" s="243"/>
      <c r="O103" s="242"/>
      <c r="P103" s="241"/>
      <c r="Q103" s="241"/>
      <c r="R103" s="241"/>
      <c r="S103" s="244"/>
      <c r="T103" s="244"/>
      <c r="U103"/>
      <c r="AA103"/>
      <c r="AB103"/>
      <c r="AC103"/>
      <c r="AD103"/>
      <c r="AE103"/>
      <c r="AF103"/>
      <c r="AG103"/>
      <c r="AH103"/>
      <c r="AI103"/>
      <c r="AJ103"/>
      <c r="AK103"/>
      <c r="AL103"/>
      <c r="AM103"/>
      <c r="AN103"/>
      <c r="AO103"/>
      <c r="AP103"/>
      <c r="AQ103"/>
      <c r="AR103"/>
    </row>
    <row r="104" spans="1:44" s="239" customFormat="1">
      <c r="A104" s="241"/>
      <c r="B104" s="241"/>
      <c r="C104" s="245" t="str">
        <f>IF(B104="","",IFERROR(VLOOKUP(B104,PERUMAHAN!$A:$B,2,FALSE),"ID tidak ditemukan"))</f>
        <v/>
      </c>
      <c r="D104" s="241"/>
      <c r="E104" s="241"/>
      <c r="F104" s="241"/>
      <c r="G104" s="243"/>
      <c r="H104" s="254"/>
      <c r="I104" s="241"/>
      <c r="J104" s="241"/>
      <c r="K104" s="241"/>
      <c r="L104" s="241"/>
      <c r="M104" s="243"/>
      <c r="N104" s="243"/>
      <c r="O104" s="242"/>
      <c r="P104" s="241"/>
      <c r="Q104" s="241"/>
      <c r="R104" s="241"/>
      <c r="S104" s="244"/>
      <c r="T104" s="244"/>
      <c r="U104"/>
      <c r="AA104"/>
      <c r="AB104"/>
      <c r="AC104"/>
      <c r="AD104"/>
      <c r="AE104"/>
      <c r="AF104"/>
      <c r="AG104"/>
      <c r="AH104"/>
      <c r="AI104"/>
      <c r="AJ104"/>
      <c r="AK104"/>
      <c r="AL104"/>
      <c r="AM104"/>
      <c r="AN104"/>
      <c r="AO104"/>
      <c r="AP104"/>
      <c r="AQ104"/>
      <c r="AR104"/>
    </row>
    <row r="105" spans="1:44" s="239" customFormat="1">
      <c r="A105" s="241"/>
      <c r="B105" s="241"/>
      <c r="C105" s="245" t="str">
        <f>IF(B105="","",IFERROR(VLOOKUP(B105,PERUMAHAN!$A:$B,2,FALSE),"ID tidak ditemukan"))</f>
        <v/>
      </c>
      <c r="D105" s="241"/>
      <c r="E105" s="241"/>
      <c r="F105" s="241"/>
      <c r="G105" s="243"/>
      <c r="H105" s="254"/>
      <c r="I105" s="241"/>
      <c r="J105" s="241"/>
      <c r="K105" s="241"/>
      <c r="L105" s="241"/>
      <c r="M105" s="243"/>
      <c r="N105" s="243"/>
      <c r="O105" s="242"/>
      <c r="P105" s="241"/>
      <c r="Q105" s="241"/>
      <c r="R105" s="241"/>
      <c r="S105" s="244"/>
      <c r="T105" s="244"/>
      <c r="U105"/>
      <c r="AA105"/>
      <c r="AB105"/>
      <c r="AC105"/>
      <c r="AD105"/>
      <c r="AE105"/>
      <c r="AF105"/>
      <c r="AG105"/>
      <c r="AH105"/>
      <c r="AI105"/>
      <c r="AJ105"/>
      <c r="AK105"/>
      <c r="AL105"/>
      <c r="AM105"/>
      <c r="AN105"/>
      <c r="AO105"/>
      <c r="AP105"/>
      <c r="AQ105"/>
      <c r="AR105"/>
    </row>
    <row r="106" spans="1:44" s="239" customFormat="1">
      <c r="A106" s="241"/>
      <c r="B106" s="241"/>
      <c r="C106" s="245" t="str">
        <f>IF(B106="","",IFERROR(VLOOKUP(B106,PERUMAHAN!$A:$B,2,FALSE),"ID tidak ditemukan"))</f>
        <v/>
      </c>
      <c r="D106" s="241"/>
      <c r="E106" s="241"/>
      <c r="F106" s="241"/>
      <c r="G106" s="243"/>
      <c r="H106" s="254"/>
      <c r="I106" s="241"/>
      <c r="J106" s="241"/>
      <c r="K106" s="241"/>
      <c r="L106" s="241"/>
      <c r="M106" s="243"/>
      <c r="N106" s="243"/>
      <c r="O106" s="242"/>
      <c r="P106" s="241"/>
      <c r="Q106" s="241"/>
      <c r="R106" s="241"/>
      <c r="S106" s="244"/>
      <c r="T106" s="244"/>
      <c r="U106"/>
      <c r="AA106"/>
      <c r="AB106"/>
      <c r="AC106"/>
      <c r="AD106"/>
      <c r="AE106"/>
      <c r="AF106"/>
      <c r="AG106"/>
      <c r="AH106"/>
      <c r="AI106"/>
      <c r="AJ106"/>
      <c r="AK106"/>
      <c r="AL106"/>
      <c r="AM106"/>
      <c r="AN106"/>
      <c r="AO106"/>
      <c r="AP106"/>
      <c r="AQ106"/>
      <c r="AR106"/>
    </row>
    <row r="107" spans="1:44" s="239" customFormat="1">
      <c r="A107" s="241"/>
      <c r="B107" s="241"/>
      <c r="C107" s="245" t="str">
        <f>IF(B107="","",IFERROR(VLOOKUP(B107,PERUMAHAN!$A:$B,2,FALSE),"ID tidak ditemukan"))</f>
        <v/>
      </c>
      <c r="D107" s="241"/>
      <c r="E107" s="241"/>
      <c r="F107" s="241"/>
      <c r="G107" s="243"/>
      <c r="H107" s="254"/>
      <c r="I107" s="241"/>
      <c r="J107" s="241"/>
      <c r="K107" s="241"/>
      <c r="L107" s="241"/>
      <c r="M107" s="243"/>
      <c r="N107" s="243"/>
      <c r="O107" s="242"/>
      <c r="P107" s="241"/>
      <c r="Q107" s="241"/>
      <c r="R107" s="241"/>
      <c r="S107" s="244"/>
      <c r="T107" s="244"/>
      <c r="U107"/>
      <c r="AA107"/>
      <c r="AB107"/>
      <c r="AC107"/>
      <c r="AD107"/>
      <c r="AE107"/>
      <c r="AF107"/>
      <c r="AG107"/>
      <c r="AH107"/>
      <c r="AI107"/>
      <c r="AJ107"/>
      <c r="AK107"/>
      <c r="AL107"/>
      <c r="AM107"/>
      <c r="AN107"/>
      <c r="AO107"/>
      <c r="AP107"/>
      <c r="AQ107"/>
      <c r="AR107"/>
    </row>
    <row r="108" spans="1:44" s="239" customFormat="1">
      <c r="A108" s="241"/>
      <c r="B108" s="241"/>
      <c r="C108" s="245" t="str">
        <f>IF(B108="","",IFERROR(VLOOKUP(B108,PERUMAHAN!$A:$B,2,FALSE),"ID tidak ditemukan"))</f>
        <v/>
      </c>
      <c r="D108" s="241"/>
      <c r="E108" s="241"/>
      <c r="F108" s="241"/>
      <c r="G108" s="243"/>
      <c r="H108" s="254"/>
      <c r="I108" s="241"/>
      <c r="J108" s="241"/>
      <c r="K108" s="241"/>
      <c r="L108" s="241"/>
      <c r="M108" s="243"/>
      <c r="N108" s="243"/>
      <c r="O108" s="242"/>
      <c r="P108" s="241"/>
      <c r="Q108" s="241"/>
      <c r="R108" s="241"/>
      <c r="S108" s="244"/>
      <c r="T108" s="244"/>
      <c r="U108"/>
      <c r="AA108"/>
      <c r="AB108"/>
      <c r="AC108"/>
      <c r="AD108"/>
      <c r="AE108"/>
      <c r="AF108"/>
      <c r="AG108"/>
      <c r="AH108"/>
      <c r="AI108"/>
      <c r="AJ108"/>
      <c r="AK108"/>
      <c r="AL108"/>
      <c r="AM108"/>
      <c r="AN108"/>
      <c r="AO108"/>
      <c r="AP108"/>
      <c r="AQ108"/>
      <c r="AR108"/>
    </row>
    <row r="109" spans="1:44" s="239" customFormat="1">
      <c r="A109" s="241"/>
      <c r="B109" s="241"/>
      <c r="C109" s="245" t="str">
        <f>IF(B109="","",IFERROR(VLOOKUP(B109,PERUMAHAN!$A:$B,2,FALSE),"ID tidak ditemukan"))</f>
        <v/>
      </c>
      <c r="D109" s="241"/>
      <c r="E109" s="241"/>
      <c r="F109" s="241"/>
      <c r="G109" s="243"/>
      <c r="H109" s="254"/>
      <c r="I109" s="241"/>
      <c r="J109" s="241"/>
      <c r="K109" s="241"/>
      <c r="L109" s="241"/>
      <c r="M109" s="243"/>
      <c r="N109" s="243"/>
      <c r="O109" s="242"/>
      <c r="P109" s="241"/>
      <c r="Q109" s="241"/>
      <c r="R109" s="241"/>
      <c r="S109" s="244"/>
      <c r="T109" s="244"/>
      <c r="U109"/>
      <c r="AA109"/>
      <c r="AB109"/>
      <c r="AC109"/>
      <c r="AD109"/>
      <c r="AE109"/>
      <c r="AF109"/>
      <c r="AG109"/>
      <c r="AH109"/>
      <c r="AI109"/>
      <c r="AJ109"/>
      <c r="AK109"/>
      <c r="AL109"/>
      <c r="AM109"/>
      <c r="AN109"/>
      <c r="AO109"/>
      <c r="AP109"/>
      <c r="AQ109"/>
      <c r="AR109"/>
    </row>
    <row r="110" spans="1:44" s="239" customFormat="1">
      <c r="A110" s="241"/>
      <c r="B110" s="241"/>
      <c r="C110" s="245" t="str">
        <f>IF(B110="","",IFERROR(VLOOKUP(B110,PERUMAHAN!$A:$B,2,FALSE),"ID tidak ditemukan"))</f>
        <v/>
      </c>
      <c r="D110" s="241"/>
      <c r="E110" s="241"/>
      <c r="F110" s="241"/>
      <c r="G110" s="243"/>
      <c r="H110" s="254"/>
      <c r="I110" s="241"/>
      <c r="J110" s="241"/>
      <c r="K110" s="241"/>
      <c r="L110" s="241"/>
      <c r="M110" s="243"/>
      <c r="N110" s="243"/>
      <c r="O110" s="242"/>
      <c r="P110" s="241"/>
      <c r="Q110" s="241"/>
      <c r="R110" s="241"/>
      <c r="S110" s="244"/>
      <c r="T110" s="244"/>
      <c r="U110"/>
      <c r="AA110"/>
      <c r="AB110"/>
      <c r="AC110"/>
      <c r="AD110"/>
      <c r="AE110"/>
      <c r="AF110"/>
      <c r="AG110"/>
      <c r="AH110"/>
      <c r="AI110"/>
      <c r="AJ110"/>
      <c r="AK110"/>
      <c r="AL110"/>
      <c r="AM110"/>
      <c r="AN110"/>
      <c r="AO110"/>
      <c r="AP110"/>
      <c r="AQ110"/>
      <c r="AR110"/>
    </row>
    <row r="111" spans="1:44" s="239" customFormat="1">
      <c r="A111" s="241"/>
      <c r="B111" s="241"/>
      <c r="C111" s="245" t="str">
        <f>IF(B111="","",IFERROR(VLOOKUP(B111,PERUMAHAN!$A:$B,2,FALSE),"ID tidak ditemukan"))</f>
        <v/>
      </c>
      <c r="D111" s="241"/>
      <c r="E111" s="241"/>
      <c r="F111" s="241"/>
      <c r="G111" s="243"/>
      <c r="H111" s="254"/>
      <c r="I111" s="241"/>
      <c r="J111" s="241"/>
      <c r="K111" s="241"/>
      <c r="L111" s="241"/>
      <c r="M111" s="243"/>
      <c r="N111" s="243"/>
      <c r="O111" s="242"/>
      <c r="P111" s="241"/>
      <c r="Q111" s="241"/>
      <c r="R111" s="241"/>
      <c r="S111" s="244"/>
      <c r="T111" s="244"/>
      <c r="U111"/>
      <c r="AA111"/>
      <c r="AB111"/>
      <c r="AC111"/>
      <c r="AD111"/>
      <c r="AE111"/>
      <c r="AF111"/>
      <c r="AG111"/>
      <c r="AH111"/>
      <c r="AI111"/>
      <c r="AJ111"/>
      <c r="AK111"/>
      <c r="AL111"/>
      <c r="AM111"/>
      <c r="AN111"/>
      <c r="AO111"/>
      <c r="AP111"/>
      <c r="AQ111"/>
      <c r="AR111"/>
    </row>
    <row r="112" spans="1:44" s="239" customFormat="1">
      <c r="A112" s="241"/>
      <c r="B112" s="241"/>
      <c r="C112" s="245" t="str">
        <f>IF(B112="","",IFERROR(VLOOKUP(B112,PERUMAHAN!$A:$B,2,FALSE),"ID tidak ditemukan"))</f>
        <v/>
      </c>
      <c r="D112" s="241"/>
      <c r="E112" s="241"/>
      <c r="F112" s="241"/>
      <c r="G112" s="243"/>
      <c r="H112" s="254"/>
      <c r="I112" s="241"/>
      <c r="J112" s="241"/>
      <c r="K112" s="241"/>
      <c r="L112" s="241"/>
      <c r="M112" s="243"/>
      <c r="N112" s="243"/>
      <c r="O112" s="242"/>
      <c r="P112" s="241"/>
      <c r="Q112" s="241"/>
      <c r="R112" s="241"/>
      <c r="S112" s="244"/>
      <c r="T112" s="244"/>
      <c r="U112"/>
      <c r="AA112"/>
      <c r="AB112"/>
      <c r="AC112"/>
      <c r="AD112"/>
      <c r="AE112"/>
      <c r="AF112"/>
      <c r="AG112"/>
      <c r="AH112"/>
      <c r="AI112"/>
      <c r="AJ112"/>
      <c r="AK112"/>
      <c r="AL112"/>
      <c r="AM112"/>
      <c r="AN112"/>
      <c r="AO112"/>
      <c r="AP112"/>
      <c r="AQ112"/>
      <c r="AR112"/>
    </row>
    <row r="113" spans="1:44" s="239" customFormat="1">
      <c r="A113" s="241"/>
      <c r="B113" s="241"/>
      <c r="C113" s="245" t="str">
        <f>IF(B113="","",IFERROR(VLOOKUP(B113,PERUMAHAN!$A:$B,2,FALSE),"ID tidak ditemukan"))</f>
        <v/>
      </c>
      <c r="D113" s="241"/>
      <c r="E113" s="241"/>
      <c r="F113" s="241"/>
      <c r="G113" s="243"/>
      <c r="H113" s="254"/>
      <c r="I113" s="241"/>
      <c r="J113" s="241"/>
      <c r="K113" s="241"/>
      <c r="L113" s="241"/>
      <c r="M113" s="243"/>
      <c r="N113" s="243"/>
      <c r="O113" s="242"/>
      <c r="P113" s="241"/>
      <c r="Q113" s="241"/>
      <c r="R113" s="241"/>
      <c r="S113" s="244"/>
      <c r="T113" s="244"/>
      <c r="U113"/>
      <c r="AA113"/>
      <c r="AB113"/>
      <c r="AC113"/>
      <c r="AD113"/>
      <c r="AE113"/>
      <c r="AF113"/>
      <c r="AG113"/>
      <c r="AH113"/>
      <c r="AI113"/>
      <c r="AJ113"/>
      <c r="AK113"/>
      <c r="AL113"/>
      <c r="AM113"/>
      <c r="AN113"/>
      <c r="AO113"/>
      <c r="AP113"/>
      <c r="AQ113"/>
      <c r="AR113"/>
    </row>
    <row r="114" spans="1:44" s="239" customFormat="1">
      <c r="A114" s="241"/>
      <c r="B114" s="241"/>
      <c r="C114" s="245" t="str">
        <f>IF(B114="","",IFERROR(VLOOKUP(B114,PERUMAHAN!$A:$B,2,FALSE),"ID tidak ditemukan"))</f>
        <v/>
      </c>
      <c r="D114" s="241"/>
      <c r="E114" s="241"/>
      <c r="F114" s="241"/>
      <c r="G114" s="243"/>
      <c r="H114" s="254"/>
      <c r="I114" s="241"/>
      <c r="J114" s="241"/>
      <c r="K114" s="241"/>
      <c r="L114" s="241"/>
      <c r="M114" s="243"/>
      <c r="N114" s="243"/>
      <c r="O114" s="242"/>
      <c r="P114" s="241"/>
      <c r="Q114" s="241"/>
      <c r="R114" s="241"/>
      <c r="S114" s="244"/>
      <c r="T114" s="244"/>
      <c r="U114"/>
      <c r="AA114"/>
      <c r="AB114"/>
      <c r="AC114"/>
      <c r="AD114"/>
      <c r="AE114"/>
      <c r="AF114"/>
      <c r="AG114"/>
      <c r="AH114"/>
      <c r="AI114"/>
      <c r="AJ114"/>
      <c r="AK114"/>
      <c r="AL114"/>
      <c r="AM114"/>
      <c r="AN114"/>
      <c r="AO114"/>
      <c r="AP114"/>
      <c r="AQ114"/>
      <c r="AR114"/>
    </row>
    <row r="115" spans="1:44" s="239" customFormat="1">
      <c r="A115" s="241"/>
      <c r="B115" s="241"/>
      <c r="C115" s="245" t="str">
        <f>IF(B115="","",IFERROR(VLOOKUP(B115,PERUMAHAN!$A:$B,2,FALSE),"ID tidak ditemukan"))</f>
        <v/>
      </c>
      <c r="D115" s="241"/>
      <c r="E115" s="241"/>
      <c r="F115" s="241"/>
      <c r="G115" s="243"/>
      <c r="H115" s="254"/>
      <c r="I115" s="241"/>
      <c r="J115" s="241"/>
      <c r="K115" s="241"/>
      <c r="L115" s="241"/>
      <c r="M115" s="243"/>
      <c r="N115" s="243"/>
      <c r="O115" s="242"/>
      <c r="P115" s="241"/>
      <c r="Q115" s="241"/>
      <c r="R115" s="241"/>
      <c r="S115" s="244"/>
      <c r="T115" s="244"/>
      <c r="U115"/>
      <c r="AA115"/>
      <c r="AB115"/>
      <c r="AC115"/>
      <c r="AD115"/>
      <c r="AE115"/>
      <c r="AF115"/>
      <c r="AG115"/>
      <c r="AH115"/>
      <c r="AI115"/>
      <c r="AJ115"/>
      <c r="AK115"/>
      <c r="AL115"/>
      <c r="AM115"/>
      <c r="AN115"/>
      <c r="AO115"/>
      <c r="AP115"/>
      <c r="AQ115"/>
      <c r="AR115"/>
    </row>
    <row r="116" spans="1:44" s="239" customFormat="1">
      <c r="A116" s="241"/>
      <c r="B116" s="241"/>
      <c r="C116" s="245" t="str">
        <f>IF(B116="","",IFERROR(VLOOKUP(B116,PERUMAHAN!$A:$B,2,FALSE),"ID tidak ditemukan"))</f>
        <v/>
      </c>
      <c r="D116" s="241"/>
      <c r="E116" s="241"/>
      <c r="F116" s="241"/>
      <c r="G116" s="243"/>
      <c r="H116" s="254"/>
      <c r="I116" s="241"/>
      <c r="J116" s="241"/>
      <c r="K116" s="241"/>
      <c r="L116" s="241"/>
      <c r="M116" s="243"/>
      <c r="N116" s="243"/>
      <c r="O116" s="242"/>
      <c r="P116" s="241"/>
      <c r="Q116" s="241"/>
      <c r="R116" s="241"/>
      <c r="S116" s="244"/>
      <c r="T116" s="244"/>
      <c r="U116"/>
      <c r="AA116"/>
      <c r="AB116"/>
      <c r="AC116"/>
      <c r="AD116"/>
      <c r="AE116"/>
      <c r="AF116"/>
      <c r="AG116"/>
      <c r="AH116"/>
      <c r="AI116"/>
      <c r="AJ116"/>
      <c r="AK116"/>
      <c r="AL116"/>
      <c r="AM116"/>
      <c r="AN116"/>
      <c r="AO116"/>
      <c r="AP116"/>
      <c r="AQ116"/>
      <c r="AR116"/>
    </row>
    <row r="117" spans="1:44" s="239" customFormat="1">
      <c r="A117" s="241"/>
      <c r="B117" s="241"/>
      <c r="C117" s="245" t="str">
        <f>IF(B117="","",IFERROR(VLOOKUP(B117,PERUMAHAN!$A:$B,2,FALSE),"ID tidak ditemukan"))</f>
        <v/>
      </c>
      <c r="D117" s="241"/>
      <c r="E117" s="241"/>
      <c r="F117" s="241"/>
      <c r="G117" s="243"/>
      <c r="H117" s="254"/>
      <c r="I117" s="241"/>
      <c r="J117" s="241"/>
      <c r="K117" s="241"/>
      <c r="L117" s="241"/>
      <c r="M117" s="243"/>
      <c r="N117" s="243"/>
      <c r="O117" s="242"/>
      <c r="P117" s="241"/>
      <c r="Q117" s="241"/>
      <c r="R117" s="241"/>
      <c r="S117" s="244"/>
      <c r="T117" s="244"/>
      <c r="U117"/>
      <c r="AA117"/>
      <c r="AB117"/>
      <c r="AC117"/>
      <c r="AD117"/>
      <c r="AE117"/>
      <c r="AF117"/>
      <c r="AG117"/>
      <c r="AH117"/>
      <c r="AI117"/>
      <c r="AJ117"/>
      <c r="AK117"/>
      <c r="AL117"/>
      <c r="AM117"/>
      <c r="AN117"/>
      <c r="AO117"/>
      <c r="AP117"/>
      <c r="AQ117"/>
      <c r="AR117"/>
    </row>
    <row r="118" spans="1:44" s="239" customFormat="1">
      <c r="A118" s="241"/>
      <c r="B118" s="241"/>
      <c r="C118" s="245" t="str">
        <f>IF(B118="","",IFERROR(VLOOKUP(B118,PERUMAHAN!$A:$B,2,FALSE),"ID tidak ditemukan"))</f>
        <v/>
      </c>
      <c r="D118" s="241"/>
      <c r="E118" s="241"/>
      <c r="F118" s="241"/>
      <c r="G118" s="243"/>
      <c r="H118" s="254"/>
      <c r="I118" s="241"/>
      <c r="J118" s="241"/>
      <c r="K118" s="241"/>
      <c r="L118" s="241"/>
      <c r="M118" s="243"/>
      <c r="N118" s="243"/>
      <c r="O118" s="242"/>
      <c r="P118" s="241"/>
      <c r="Q118" s="241"/>
      <c r="R118" s="241"/>
      <c r="S118" s="244"/>
      <c r="T118" s="244"/>
      <c r="U118"/>
      <c r="AA118"/>
      <c r="AB118"/>
      <c r="AC118"/>
      <c r="AD118"/>
      <c r="AE118"/>
      <c r="AF118"/>
      <c r="AG118"/>
      <c r="AH118"/>
      <c r="AI118"/>
      <c r="AJ118"/>
      <c r="AK118"/>
      <c r="AL118"/>
      <c r="AM118"/>
      <c r="AN118"/>
      <c r="AO118"/>
      <c r="AP118"/>
      <c r="AQ118"/>
      <c r="AR118"/>
    </row>
    <row r="119" spans="1:44" s="239" customFormat="1">
      <c r="A119" s="241"/>
      <c r="B119" s="241"/>
      <c r="C119" s="245" t="str">
        <f>IF(B119="","",IFERROR(VLOOKUP(B119,PERUMAHAN!$A:$B,2,FALSE),"ID tidak ditemukan"))</f>
        <v/>
      </c>
      <c r="D119" s="241"/>
      <c r="E119" s="241"/>
      <c r="F119" s="241"/>
      <c r="G119" s="243"/>
      <c r="H119" s="254"/>
      <c r="I119" s="241"/>
      <c r="J119" s="241"/>
      <c r="K119" s="241"/>
      <c r="L119" s="241"/>
      <c r="M119" s="243"/>
      <c r="N119" s="243"/>
      <c r="O119" s="242"/>
      <c r="P119" s="241"/>
      <c r="Q119" s="241"/>
      <c r="R119" s="241"/>
      <c r="S119" s="244"/>
      <c r="T119" s="244"/>
      <c r="U119"/>
      <c r="AA119"/>
      <c r="AB119"/>
      <c r="AC119"/>
      <c r="AD119"/>
      <c r="AE119"/>
      <c r="AF119"/>
      <c r="AG119"/>
      <c r="AH119"/>
      <c r="AI119"/>
      <c r="AJ119"/>
      <c r="AK119"/>
      <c r="AL119"/>
      <c r="AM119"/>
      <c r="AN119"/>
      <c r="AO119"/>
      <c r="AP119"/>
      <c r="AQ119"/>
      <c r="AR119"/>
    </row>
    <row r="120" spans="1:44" s="239" customFormat="1">
      <c r="A120" s="241"/>
      <c r="B120" s="241"/>
      <c r="C120" s="245" t="str">
        <f>IF(B120="","",IFERROR(VLOOKUP(B120,PERUMAHAN!$A:$B,2,FALSE),"ID tidak ditemukan"))</f>
        <v/>
      </c>
      <c r="D120" s="241"/>
      <c r="E120" s="241"/>
      <c r="F120" s="241"/>
      <c r="G120" s="243"/>
      <c r="H120" s="254"/>
      <c r="I120" s="241"/>
      <c r="J120" s="241"/>
      <c r="K120" s="241"/>
      <c r="L120" s="241"/>
      <c r="M120" s="243"/>
      <c r="N120" s="243"/>
      <c r="O120" s="242"/>
      <c r="P120" s="241"/>
      <c r="Q120" s="241"/>
      <c r="R120" s="241"/>
      <c r="S120" s="244"/>
      <c r="T120" s="244"/>
      <c r="U120"/>
      <c r="AA120"/>
      <c r="AB120"/>
      <c r="AC120"/>
      <c r="AD120"/>
      <c r="AE120"/>
      <c r="AF120"/>
      <c r="AG120"/>
      <c r="AH120"/>
      <c r="AI120"/>
      <c r="AJ120"/>
      <c r="AK120"/>
      <c r="AL120"/>
      <c r="AM120"/>
      <c r="AN120"/>
      <c r="AO120"/>
      <c r="AP120"/>
      <c r="AQ120"/>
      <c r="AR120"/>
    </row>
    <row r="121" spans="1:44" s="239" customFormat="1">
      <c r="A121" s="241"/>
      <c r="B121" s="241"/>
      <c r="C121" s="245" t="str">
        <f>IF(B121="","",IFERROR(VLOOKUP(B121,PERUMAHAN!$A:$B,2,FALSE),"ID tidak ditemukan"))</f>
        <v/>
      </c>
      <c r="D121" s="241"/>
      <c r="E121" s="241"/>
      <c r="F121" s="241"/>
      <c r="G121" s="243"/>
      <c r="H121" s="254"/>
      <c r="I121" s="241"/>
      <c r="J121" s="241"/>
      <c r="K121" s="241"/>
      <c r="L121" s="241"/>
      <c r="M121" s="243"/>
      <c r="N121" s="243"/>
      <c r="O121" s="242"/>
      <c r="P121" s="241"/>
      <c r="Q121" s="241"/>
      <c r="R121" s="241"/>
      <c r="S121" s="244"/>
      <c r="T121" s="244"/>
      <c r="U121"/>
      <c r="AA121"/>
      <c r="AB121"/>
      <c r="AC121"/>
      <c r="AD121"/>
      <c r="AE121"/>
      <c r="AF121"/>
      <c r="AG121"/>
      <c r="AH121"/>
      <c r="AI121"/>
      <c r="AJ121"/>
      <c r="AK121"/>
      <c r="AL121"/>
      <c r="AM121"/>
      <c r="AN121"/>
      <c r="AO121"/>
      <c r="AP121"/>
      <c r="AQ121"/>
      <c r="AR121"/>
    </row>
    <row r="122" spans="1:44" s="239" customFormat="1">
      <c r="A122" s="241"/>
      <c r="B122" s="241"/>
      <c r="C122" s="245" t="str">
        <f>IF(B122="","",IFERROR(VLOOKUP(B122,PERUMAHAN!$A:$B,2,FALSE),"ID tidak ditemukan"))</f>
        <v/>
      </c>
      <c r="D122" s="241"/>
      <c r="E122" s="241"/>
      <c r="F122" s="241"/>
      <c r="G122" s="243"/>
      <c r="H122" s="254"/>
      <c r="I122" s="241"/>
      <c r="J122" s="241"/>
      <c r="K122" s="241"/>
      <c r="L122" s="241"/>
      <c r="M122" s="243"/>
      <c r="N122" s="243"/>
      <c r="O122" s="242"/>
      <c r="P122" s="241"/>
      <c r="Q122" s="241"/>
      <c r="R122" s="241"/>
      <c r="S122" s="244"/>
      <c r="T122" s="244"/>
      <c r="U122"/>
      <c r="AA122"/>
      <c r="AB122"/>
      <c r="AC122"/>
      <c r="AD122"/>
      <c r="AE122"/>
      <c r="AF122"/>
      <c r="AG122"/>
      <c r="AH122"/>
      <c r="AI122"/>
      <c r="AJ122"/>
      <c r="AK122"/>
      <c r="AL122"/>
      <c r="AM122"/>
      <c r="AN122"/>
      <c r="AO122"/>
      <c r="AP122"/>
      <c r="AQ122"/>
      <c r="AR122"/>
    </row>
    <row r="123" spans="1:44" s="239" customFormat="1">
      <c r="A123" s="241"/>
      <c r="B123" s="241"/>
      <c r="C123" s="245" t="str">
        <f>IF(B123="","",IFERROR(VLOOKUP(B123,PERUMAHAN!$A:$B,2,FALSE),"ID tidak ditemukan"))</f>
        <v/>
      </c>
      <c r="D123" s="241"/>
      <c r="E123" s="241"/>
      <c r="F123" s="241"/>
      <c r="G123" s="243"/>
      <c r="H123" s="254"/>
      <c r="I123" s="241"/>
      <c r="J123" s="241"/>
      <c r="K123" s="241"/>
      <c r="L123" s="241"/>
      <c r="M123" s="243"/>
      <c r="N123" s="243"/>
      <c r="O123" s="242"/>
      <c r="P123" s="241"/>
      <c r="Q123" s="241"/>
      <c r="R123" s="241"/>
      <c r="S123" s="244"/>
      <c r="T123" s="244"/>
      <c r="U123"/>
      <c r="AA123"/>
      <c r="AB123"/>
      <c r="AC123"/>
      <c r="AD123"/>
      <c r="AE123"/>
      <c r="AF123"/>
      <c r="AG123"/>
      <c r="AH123"/>
      <c r="AI123"/>
      <c r="AJ123"/>
      <c r="AK123"/>
      <c r="AL123"/>
      <c r="AM123"/>
      <c r="AN123"/>
      <c r="AO123"/>
      <c r="AP123"/>
      <c r="AQ123"/>
      <c r="AR123"/>
    </row>
    <row r="124" spans="1:44" s="239" customFormat="1">
      <c r="A124" s="241"/>
      <c r="B124" s="241"/>
      <c r="C124" s="245" t="str">
        <f>IF(B124="","",IFERROR(VLOOKUP(B124,PERUMAHAN!$A:$B,2,FALSE),"ID tidak ditemukan"))</f>
        <v/>
      </c>
      <c r="D124" s="241"/>
      <c r="E124" s="241"/>
      <c r="F124" s="241"/>
      <c r="G124" s="243"/>
      <c r="H124" s="254"/>
      <c r="I124" s="241"/>
      <c r="J124" s="241"/>
      <c r="K124" s="241"/>
      <c r="L124" s="241"/>
      <c r="M124" s="243"/>
      <c r="N124" s="243"/>
      <c r="O124" s="242"/>
      <c r="P124" s="241"/>
      <c r="Q124" s="241"/>
      <c r="R124" s="241"/>
      <c r="S124" s="244"/>
      <c r="T124" s="244"/>
      <c r="U124"/>
      <c r="AA124"/>
      <c r="AB124"/>
      <c r="AC124"/>
      <c r="AD124"/>
      <c r="AE124"/>
      <c r="AF124"/>
      <c r="AG124"/>
      <c r="AH124"/>
      <c r="AI124"/>
      <c r="AJ124"/>
      <c r="AK124"/>
      <c r="AL124"/>
      <c r="AM124"/>
      <c r="AN124"/>
      <c r="AO124"/>
      <c r="AP124"/>
      <c r="AQ124"/>
      <c r="AR124"/>
    </row>
    <row r="125" spans="1:44" s="239" customFormat="1">
      <c r="A125" s="241"/>
      <c r="B125" s="241"/>
      <c r="C125" s="245" t="str">
        <f>IF(B125="","",IFERROR(VLOOKUP(B125,PERUMAHAN!$A:$B,2,FALSE),"ID tidak ditemukan"))</f>
        <v/>
      </c>
      <c r="D125" s="241"/>
      <c r="E125" s="241"/>
      <c r="F125" s="241"/>
      <c r="G125" s="243"/>
      <c r="H125" s="254"/>
      <c r="I125" s="241"/>
      <c r="J125" s="241"/>
      <c r="K125" s="241"/>
      <c r="L125" s="241"/>
      <c r="M125" s="243"/>
      <c r="N125" s="243"/>
      <c r="O125" s="242"/>
      <c r="P125" s="241"/>
      <c r="Q125" s="241"/>
      <c r="R125" s="241"/>
      <c r="S125" s="244"/>
      <c r="T125" s="244"/>
      <c r="U125"/>
      <c r="AA125"/>
      <c r="AB125"/>
      <c r="AC125"/>
      <c r="AD125"/>
      <c r="AE125"/>
      <c r="AF125"/>
      <c r="AG125"/>
      <c r="AH125"/>
      <c r="AI125"/>
      <c r="AJ125"/>
      <c r="AK125"/>
      <c r="AL125"/>
      <c r="AM125"/>
      <c r="AN125"/>
      <c r="AO125"/>
      <c r="AP125"/>
      <c r="AQ125"/>
      <c r="AR125"/>
    </row>
    <row r="126" spans="1:44" s="239" customFormat="1">
      <c r="A126" s="241"/>
      <c r="B126" s="241"/>
      <c r="C126" s="245" t="str">
        <f>IF(B126="","",IFERROR(VLOOKUP(B126,PERUMAHAN!$A:$B,2,FALSE),"ID tidak ditemukan"))</f>
        <v/>
      </c>
      <c r="D126" s="241"/>
      <c r="E126" s="241"/>
      <c r="F126" s="241"/>
      <c r="G126" s="243"/>
      <c r="H126" s="254"/>
      <c r="I126" s="241"/>
      <c r="J126" s="241"/>
      <c r="K126" s="241"/>
      <c r="L126" s="241"/>
      <c r="M126" s="243"/>
      <c r="N126" s="243"/>
      <c r="O126" s="242"/>
      <c r="P126" s="241"/>
      <c r="Q126" s="241"/>
      <c r="R126" s="241"/>
      <c r="S126" s="244"/>
      <c r="T126" s="244"/>
      <c r="U126"/>
      <c r="AA126"/>
      <c r="AB126"/>
      <c r="AC126"/>
      <c r="AD126"/>
      <c r="AE126"/>
      <c r="AF126"/>
      <c r="AG126"/>
      <c r="AH126"/>
      <c r="AI126"/>
      <c r="AJ126"/>
      <c r="AK126"/>
      <c r="AL126"/>
      <c r="AM126"/>
      <c r="AN126"/>
      <c r="AO126"/>
      <c r="AP126"/>
      <c r="AQ126"/>
      <c r="AR126"/>
    </row>
    <row r="127" spans="1:44" s="239" customFormat="1">
      <c r="A127" s="241"/>
      <c r="B127" s="241"/>
      <c r="C127" s="245" t="str">
        <f>IF(B127="","",IFERROR(VLOOKUP(B127,PERUMAHAN!$A:$B,2,FALSE),"ID tidak ditemukan"))</f>
        <v/>
      </c>
      <c r="D127" s="241"/>
      <c r="E127" s="241"/>
      <c r="F127" s="241"/>
      <c r="G127" s="243"/>
      <c r="H127" s="254"/>
      <c r="I127" s="241"/>
      <c r="J127" s="241"/>
      <c r="K127" s="241"/>
      <c r="L127" s="241"/>
      <c r="M127" s="243"/>
      <c r="N127" s="243"/>
      <c r="O127" s="242"/>
      <c r="P127" s="241"/>
      <c r="Q127" s="241"/>
      <c r="R127" s="241"/>
      <c r="S127" s="244"/>
      <c r="T127" s="244"/>
      <c r="U127"/>
      <c r="AA127"/>
      <c r="AB127"/>
      <c r="AC127"/>
      <c r="AD127"/>
      <c r="AE127"/>
      <c r="AF127"/>
      <c r="AG127"/>
      <c r="AH127"/>
      <c r="AI127"/>
      <c r="AJ127"/>
      <c r="AK127"/>
      <c r="AL127"/>
      <c r="AM127"/>
      <c r="AN127"/>
      <c r="AO127"/>
      <c r="AP127"/>
      <c r="AQ127"/>
      <c r="AR127"/>
    </row>
    <row r="128" spans="1:44" s="239" customFormat="1">
      <c r="A128" s="241"/>
      <c r="B128" s="241"/>
      <c r="C128" s="245" t="str">
        <f>IF(B128="","",IFERROR(VLOOKUP(B128,PERUMAHAN!$A:$B,2,FALSE),"ID tidak ditemukan"))</f>
        <v/>
      </c>
      <c r="D128" s="241"/>
      <c r="E128" s="241"/>
      <c r="F128" s="241"/>
      <c r="G128" s="243"/>
      <c r="H128" s="254"/>
      <c r="I128" s="241"/>
      <c r="J128" s="241"/>
      <c r="K128" s="241"/>
      <c r="L128" s="241"/>
      <c r="M128" s="243"/>
      <c r="N128" s="243"/>
      <c r="O128" s="242"/>
      <c r="P128" s="241"/>
      <c r="Q128" s="241"/>
      <c r="R128" s="241"/>
      <c r="S128" s="244"/>
      <c r="T128" s="244"/>
      <c r="U128"/>
      <c r="AA128"/>
      <c r="AB128"/>
      <c r="AC128"/>
      <c r="AD128"/>
      <c r="AE128"/>
      <c r="AF128"/>
      <c r="AG128"/>
      <c r="AH128"/>
      <c r="AI128"/>
      <c r="AJ128"/>
      <c r="AK128"/>
      <c r="AL128"/>
      <c r="AM128"/>
      <c r="AN128"/>
      <c r="AO128"/>
      <c r="AP128"/>
      <c r="AQ128"/>
      <c r="AR128"/>
    </row>
    <row r="129" spans="1:44" s="239" customFormat="1">
      <c r="A129" s="241"/>
      <c r="B129" s="241"/>
      <c r="C129" s="245" t="str">
        <f>IF(B129="","",IFERROR(VLOOKUP(B129,PERUMAHAN!$A:$B,2,FALSE),"ID tidak ditemukan"))</f>
        <v/>
      </c>
      <c r="D129" s="241"/>
      <c r="E129" s="241"/>
      <c r="F129" s="241"/>
      <c r="G129" s="243"/>
      <c r="H129" s="254"/>
      <c r="I129" s="241"/>
      <c r="J129" s="241"/>
      <c r="K129" s="241"/>
      <c r="L129" s="241"/>
      <c r="M129" s="243"/>
      <c r="N129" s="243"/>
      <c r="O129" s="242"/>
      <c r="P129" s="241"/>
      <c r="Q129" s="241"/>
      <c r="R129" s="241"/>
      <c r="S129" s="244"/>
      <c r="T129" s="244"/>
      <c r="U129"/>
      <c r="AA129"/>
      <c r="AB129"/>
      <c r="AC129"/>
      <c r="AD129"/>
      <c r="AE129"/>
      <c r="AF129"/>
      <c r="AG129"/>
      <c r="AH129"/>
      <c r="AI129"/>
      <c r="AJ129"/>
      <c r="AK129"/>
      <c r="AL129"/>
      <c r="AM129"/>
      <c r="AN129"/>
      <c r="AO129"/>
      <c r="AP129"/>
      <c r="AQ129"/>
      <c r="AR129"/>
    </row>
    <row r="130" spans="1:44" s="239" customFormat="1">
      <c r="A130" s="241"/>
      <c r="B130" s="241"/>
      <c r="C130" s="245" t="str">
        <f>IF(B130="","",IFERROR(VLOOKUP(B130,PERUMAHAN!$A:$B,2,FALSE),"ID tidak ditemukan"))</f>
        <v/>
      </c>
      <c r="D130" s="241"/>
      <c r="E130" s="241"/>
      <c r="F130" s="241"/>
      <c r="G130" s="243"/>
      <c r="H130" s="254"/>
      <c r="I130" s="241"/>
      <c r="J130" s="241"/>
      <c r="K130" s="241"/>
      <c r="L130" s="241"/>
      <c r="M130" s="243"/>
      <c r="N130" s="243"/>
      <c r="O130" s="242"/>
      <c r="P130" s="241"/>
      <c r="Q130" s="241"/>
      <c r="R130" s="241"/>
      <c r="S130" s="244"/>
      <c r="T130" s="244"/>
      <c r="U130"/>
      <c r="AA130"/>
      <c r="AB130"/>
      <c r="AC130"/>
      <c r="AD130"/>
      <c r="AE130"/>
      <c r="AF130"/>
      <c r="AG130"/>
      <c r="AH130"/>
      <c r="AI130"/>
      <c r="AJ130"/>
      <c r="AK130"/>
      <c r="AL130"/>
      <c r="AM130"/>
      <c r="AN130"/>
      <c r="AO130"/>
      <c r="AP130"/>
      <c r="AQ130"/>
      <c r="AR130"/>
    </row>
    <row r="131" spans="1:44" s="239" customFormat="1">
      <c r="A131" s="241"/>
      <c r="B131" s="241"/>
      <c r="C131" s="245" t="str">
        <f>IF(B131="","",IFERROR(VLOOKUP(B131,PERUMAHAN!$A:$B,2,FALSE),"ID tidak ditemukan"))</f>
        <v/>
      </c>
      <c r="D131" s="241"/>
      <c r="E131" s="241"/>
      <c r="F131" s="241"/>
      <c r="G131" s="243"/>
      <c r="H131" s="254"/>
      <c r="I131" s="241"/>
      <c r="J131" s="241"/>
      <c r="K131" s="241"/>
      <c r="L131" s="241"/>
      <c r="M131" s="243"/>
      <c r="N131" s="243"/>
      <c r="O131" s="242"/>
      <c r="P131" s="241"/>
      <c r="Q131" s="241"/>
      <c r="R131" s="241"/>
      <c r="S131" s="244"/>
      <c r="T131" s="244"/>
      <c r="U131"/>
      <c r="AA131"/>
      <c r="AB131"/>
      <c r="AC131"/>
      <c r="AD131"/>
      <c r="AE131"/>
      <c r="AF131"/>
      <c r="AG131"/>
      <c r="AH131"/>
      <c r="AI131"/>
      <c r="AJ131"/>
      <c r="AK131"/>
      <c r="AL131"/>
      <c r="AM131"/>
      <c r="AN131"/>
      <c r="AO131"/>
      <c r="AP131"/>
      <c r="AQ131"/>
      <c r="AR131"/>
    </row>
    <row r="132" spans="1:44" s="239" customFormat="1">
      <c r="A132" s="241"/>
      <c r="B132" s="241"/>
      <c r="C132" s="245" t="str">
        <f>IF(B132="","",IFERROR(VLOOKUP(B132,PERUMAHAN!$A:$B,2,FALSE),"ID tidak ditemukan"))</f>
        <v/>
      </c>
      <c r="D132" s="241"/>
      <c r="E132" s="241"/>
      <c r="F132" s="241"/>
      <c r="G132" s="243"/>
      <c r="H132" s="254"/>
      <c r="I132" s="241"/>
      <c r="J132" s="241"/>
      <c r="K132" s="241"/>
      <c r="L132" s="241"/>
      <c r="M132" s="243"/>
      <c r="N132" s="243"/>
      <c r="O132" s="242"/>
      <c r="P132" s="241"/>
      <c r="Q132" s="241"/>
      <c r="R132" s="241"/>
      <c r="S132" s="244"/>
      <c r="T132" s="244"/>
      <c r="U132"/>
      <c r="AA132"/>
      <c r="AB132"/>
      <c r="AC132"/>
      <c r="AD132"/>
      <c r="AE132"/>
      <c r="AF132"/>
      <c r="AG132"/>
      <c r="AH132"/>
      <c r="AI132"/>
      <c r="AJ132"/>
      <c r="AK132"/>
      <c r="AL132"/>
      <c r="AM132"/>
      <c r="AN132"/>
      <c r="AO132"/>
      <c r="AP132"/>
      <c r="AQ132"/>
      <c r="AR132"/>
    </row>
    <row r="133" spans="1:44" s="239" customFormat="1">
      <c r="A133" s="241"/>
      <c r="B133" s="241"/>
      <c r="C133" s="245" t="str">
        <f>IF(B133="","",IFERROR(VLOOKUP(B133,PERUMAHAN!$A:$B,2,FALSE),"ID tidak ditemukan"))</f>
        <v/>
      </c>
      <c r="D133" s="241"/>
      <c r="E133" s="241"/>
      <c r="F133" s="241"/>
      <c r="G133" s="243"/>
      <c r="H133" s="254"/>
      <c r="I133" s="241"/>
      <c r="J133" s="241"/>
      <c r="K133" s="241"/>
      <c r="L133" s="241"/>
      <c r="M133" s="243"/>
      <c r="N133" s="243"/>
      <c r="O133" s="242"/>
      <c r="P133" s="241"/>
      <c r="Q133" s="241"/>
      <c r="R133" s="241"/>
      <c r="S133" s="244"/>
      <c r="T133" s="244"/>
      <c r="U133"/>
      <c r="AA133"/>
      <c r="AB133"/>
      <c r="AC133"/>
      <c r="AD133"/>
      <c r="AE133"/>
      <c r="AF133"/>
      <c r="AG133"/>
      <c r="AH133"/>
      <c r="AI133"/>
      <c r="AJ133"/>
      <c r="AK133"/>
      <c r="AL133"/>
      <c r="AM133"/>
      <c r="AN133"/>
      <c r="AO133"/>
      <c r="AP133"/>
      <c r="AQ133"/>
      <c r="AR133"/>
    </row>
    <row r="134" spans="1:44" s="239" customFormat="1">
      <c r="A134" s="241"/>
      <c r="B134" s="241"/>
      <c r="C134" s="245" t="str">
        <f>IF(B134="","",IFERROR(VLOOKUP(B134,PERUMAHAN!$A:$B,2,FALSE),"ID tidak ditemukan"))</f>
        <v/>
      </c>
      <c r="D134" s="241"/>
      <c r="E134" s="241"/>
      <c r="F134" s="241"/>
      <c r="G134" s="243"/>
      <c r="H134" s="254"/>
      <c r="I134" s="241"/>
      <c r="J134" s="241"/>
      <c r="K134" s="241"/>
      <c r="L134" s="241"/>
      <c r="M134" s="243"/>
      <c r="N134" s="243"/>
      <c r="O134" s="242"/>
      <c r="P134" s="241"/>
      <c r="Q134" s="241"/>
      <c r="R134" s="241"/>
      <c r="S134" s="244"/>
      <c r="T134" s="244"/>
      <c r="U134"/>
      <c r="AA134"/>
      <c r="AB134"/>
      <c r="AC134"/>
      <c r="AD134"/>
      <c r="AE134"/>
      <c r="AF134"/>
      <c r="AG134"/>
      <c r="AH134"/>
      <c r="AI134"/>
      <c r="AJ134"/>
      <c r="AK134"/>
      <c r="AL134"/>
      <c r="AM134"/>
      <c r="AN134"/>
      <c r="AO134"/>
      <c r="AP134"/>
      <c r="AQ134"/>
      <c r="AR134"/>
    </row>
    <row r="135" spans="1:44" s="239" customFormat="1">
      <c r="A135" s="241"/>
      <c r="B135" s="241"/>
      <c r="C135" s="245" t="str">
        <f>IF(B135="","",IFERROR(VLOOKUP(B135,PERUMAHAN!$A:$B,2,FALSE),"ID tidak ditemukan"))</f>
        <v/>
      </c>
      <c r="D135" s="241"/>
      <c r="E135" s="241"/>
      <c r="F135" s="241"/>
      <c r="G135" s="243"/>
      <c r="H135" s="254"/>
      <c r="I135" s="241"/>
      <c r="J135" s="241"/>
      <c r="K135" s="241"/>
      <c r="L135" s="241"/>
      <c r="M135" s="243"/>
      <c r="N135" s="243"/>
      <c r="O135" s="242"/>
      <c r="P135" s="241"/>
      <c r="Q135" s="241"/>
      <c r="R135" s="241"/>
      <c r="S135" s="244"/>
      <c r="T135" s="244"/>
      <c r="U135"/>
      <c r="AA135"/>
      <c r="AB135"/>
      <c r="AC135"/>
      <c r="AD135"/>
      <c r="AE135"/>
      <c r="AF135"/>
      <c r="AG135"/>
      <c r="AH135"/>
      <c r="AI135"/>
      <c r="AJ135"/>
      <c r="AK135"/>
      <c r="AL135"/>
      <c r="AM135"/>
      <c r="AN135"/>
      <c r="AO135"/>
      <c r="AP135"/>
      <c r="AQ135"/>
      <c r="AR135"/>
    </row>
    <row r="136" spans="1:44" s="239" customFormat="1">
      <c r="A136" s="241"/>
      <c r="B136" s="241"/>
      <c r="C136" s="245" t="str">
        <f>IF(B136="","",IFERROR(VLOOKUP(B136,PERUMAHAN!$A:$B,2,FALSE),"ID tidak ditemukan"))</f>
        <v/>
      </c>
      <c r="D136" s="241"/>
      <c r="E136" s="241"/>
      <c r="F136" s="241"/>
      <c r="G136" s="243"/>
      <c r="H136" s="254"/>
      <c r="I136" s="241"/>
      <c r="J136" s="241"/>
      <c r="K136" s="241"/>
      <c r="L136" s="241"/>
      <c r="M136" s="243"/>
      <c r="N136" s="243"/>
      <c r="O136" s="242"/>
      <c r="P136" s="241"/>
      <c r="Q136" s="241"/>
      <c r="R136" s="241"/>
      <c r="S136" s="244"/>
      <c r="T136" s="244"/>
      <c r="U136"/>
      <c r="AA136"/>
      <c r="AB136"/>
      <c r="AC136"/>
      <c r="AD136"/>
      <c r="AE136"/>
      <c r="AF136"/>
      <c r="AG136"/>
      <c r="AH136"/>
      <c r="AI136"/>
      <c r="AJ136"/>
      <c r="AK136"/>
      <c r="AL136"/>
      <c r="AM136"/>
      <c r="AN136"/>
      <c r="AO136"/>
      <c r="AP136"/>
      <c r="AQ136"/>
      <c r="AR136"/>
    </row>
    <row r="137" spans="1:44" s="239" customFormat="1">
      <c r="A137" s="241"/>
      <c r="B137" s="241"/>
      <c r="C137" s="245" t="str">
        <f>IF(B137="","",IFERROR(VLOOKUP(B137,PERUMAHAN!$A:$B,2,FALSE),"ID tidak ditemukan"))</f>
        <v/>
      </c>
      <c r="D137" s="241"/>
      <c r="E137" s="241"/>
      <c r="F137" s="241"/>
      <c r="G137" s="243"/>
      <c r="H137" s="254"/>
      <c r="I137" s="241"/>
      <c r="J137" s="241"/>
      <c r="K137" s="241"/>
      <c r="L137" s="241"/>
      <c r="M137" s="243"/>
      <c r="N137" s="243"/>
      <c r="O137" s="242"/>
      <c r="P137" s="241"/>
      <c r="Q137" s="241"/>
      <c r="R137" s="241"/>
      <c r="S137" s="244"/>
      <c r="T137" s="244"/>
      <c r="U137"/>
      <c r="AA137"/>
      <c r="AB137"/>
      <c r="AC137"/>
      <c r="AD137"/>
      <c r="AE137"/>
      <c r="AF137"/>
      <c r="AG137"/>
      <c r="AH137"/>
      <c r="AI137"/>
      <c r="AJ137"/>
      <c r="AK137"/>
      <c r="AL137"/>
      <c r="AM137"/>
      <c r="AN137"/>
      <c r="AO137"/>
      <c r="AP137"/>
      <c r="AQ137"/>
      <c r="AR137"/>
    </row>
    <row r="138" spans="1:44" s="239" customFormat="1">
      <c r="A138" s="241"/>
      <c r="B138" s="241"/>
      <c r="C138" s="245" t="str">
        <f>IF(B138="","",IFERROR(VLOOKUP(B138,PERUMAHAN!$A:$B,2,FALSE),"ID tidak ditemukan"))</f>
        <v/>
      </c>
      <c r="D138" s="241"/>
      <c r="E138" s="241"/>
      <c r="F138" s="241"/>
      <c r="G138" s="243"/>
      <c r="H138" s="254"/>
      <c r="I138" s="241"/>
      <c r="J138" s="241"/>
      <c r="K138" s="241"/>
      <c r="L138" s="241"/>
      <c r="M138" s="243"/>
      <c r="N138" s="243"/>
      <c r="O138" s="242"/>
      <c r="P138" s="241"/>
      <c r="Q138" s="241"/>
      <c r="R138" s="241"/>
      <c r="S138" s="244"/>
      <c r="T138" s="244"/>
      <c r="U138"/>
      <c r="AA138"/>
      <c r="AB138"/>
      <c r="AC138"/>
      <c r="AD138"/>
      <c r="AE138"/>
      <c r="AF138"/>
      <c r="AG138"/>
      <c r="AH138"/>
      <c r="AI138"/>
      <c r="AJ138"/>
      <c r="AK138"/>
      <c r="AL138"/>
      <c r="AM138"/>
      <c r="AN138"/>
      <c r="AO138"/>
      <c r="AP138"/>
      <c r="AQ138"/>
      <c r="AR138"/>
    </row>
    <row r="139" spans="1:44" s="239" customFormat="1">
      <c r="A139" s="241"/>
      <c r="B139" s="241"/>
      <c r="C139" s="245" t="str">
        <f>IF(B139="","",IFERROR(VLOOKUP(B139,PERUMAHAN!$A:$B,2,FALSE),"ID tidak ditemukan"))</f>
        <v/>
      </c>
      <c r="D139" s="241"/>
      <c r="E139" s="241"/>
      <c r="F139" s="241"/>
      <c r="G139" s="243"/>
      <c r="H139" s="254"/>
      <c r="I139" s="241"/>
      <c r="J139" s="241"/>
      <c r="K139" s="241"/>
      <c r="L139" s="241"/>
      <c r="M139" s="243"/>
      <c r="N139" s="243"/>
      <c r="O139" s="242"/>
      <c r="P139" s="241"/>
      <c r="Q139" s="241"/>
      <c r="R139" s="241"/>
      <c r="S139" s="244"/>
      <c r="T139" s="244"/>
      <c r="U139"/>
      <c r="AA139"/>
      <c r="AB139"/>
      <c r="AC139"/>
      <c r="AD139"/>
      <c r="AE139"/>
      <c r="AF139"/>
      <c r="AG139"/>
      <c r="AH139"/>
      <c r="AI139"/>
      <c r="AJ139"/>
      <c r="AK139"/>
      <c r="AL139"/>
      <c r="AM139"/>
      <c r="AN139"/>
      <c r="AO139"/>
      <c r="AP139"/>
      <c r="AQ139"/>
      <c r="AR139"/>
    </row>
    <row r="140" spans="1:44" s="239" customFormat="1">
      <c r="A140" s="241"/>
      <c r="B140" s="241"/>
      <c r="C140" s="245" t="str">
        <f>IF(B140="","",IFERROR(VLOOKUP(B140,PERUMAHAN!$A:$B,2,FALSE),"ID tidak ditemukan"))</f>
        <v/>
      </c>
      <c r="D140" s="241"/>
      <c r="E140" s="241"/>
      <c r="F140" s="241"/>
      <c r="G140" s="243"/>
      <c r="H140" s="254"/>
      <c r="I140" s="241"/>
      <c r="J140" s="241"/>
      <c r="K140" s="241"/>
      <c r="L140" s="241"/>
      <c r="M140" s="243"/>
      <c r="N140" s="243"/>
      <c r="O140" s="242"/>
      <c r="P140" s="241"/>
      <c r="Q140" s="241"/>
      <c r="R140" s="241"/>
      <c r="S140" s="244"/>
      <c r="T140" s="244"/>
      <c r="U140"/>
      <c r="AA140"/>
      <c r="AB140"/>
      <c r="AC140"/>
      <c r="AD140"/>
      <c r="AE140"/>
      <c r="AF140"/>
      <c r="AG140"/>
      <c r="AH140"/>
      <c r="AI140"/>
      <c r="AJ140"/>
      <c r="AK140"/>
      <c r="AL140"/>
      <c r="AM140"/>
      <c r="AN140"/>
      <c r="AO140"/>
      <c r="AP140"/>
      <c r="AQ140"/>
      <c r="AR140"/>
    </row>
    <row r="141" spans="1:44" s="239" customFormat="1">
      <c r="A141" s="241"/>
      <c r="B141" s="241"/>
      <c r="C141" s="245" t="str">
        <f>IF(B141="","",IFERROR(VLOOKUP(B141,PERUMAHAN!$A:$B,2,FALSE),"ID tidak ditemukan"))</f>
        <v/>
      </c>
      <c r="D141" s="241"/>
      <c r="E141" s="241"/>
      <c r="F141" s="241"/>
      <c r="G141" s="243"/>
      <c r="H141" s="254"/>
      <c r="I141" s="241"/>
      <c r="J141" s="241"/>
      <c r="K141" s="241"/>
      <c r="L141" s="241"/>
      <c r="M141" s="243"/>
      <c r="N141" s="243"/>
      <c r="O141" s="242"/>
      <c r="P141" s="241"/>
      <c r="Q141" s="241"/>
      <c r="R141" s="241"/>
      <c r="S141" s="244"/>
      <c r="T141" s="244"/>
      <c r="U141"/>
      <c r="AA141"/>
      <c r="AB141"/>
      <c r="AC141"/>
      <c r="AD141"/>
      <c r="AE141"/>
      <c r="AF141"/>
      <c r="AG141"/>
      <c r="AH141"/>
      <c r="AI141"/>
      <c r="AJ141"/>
      <c r="AK141"/>
      <c r="AL141"/>
      <c r="AM141"/>
      <c r="AN141"/>
      <c r="AO141"/>
      <c r="AP141"/>
      <c r="AQ141"/>
      <c r="AR141"/>
    </row>
    <row r="142" spans="1:44" s="239" customFormat="1">
      <c r="A142" s="241"/>
      <c r="B142" s="241"/>
      <c r="C142" s="245" t="str">
        <f>IF(B142="","",IFERROR(VLOOKUP(B142,PERUMAHAN!$A:$B,2,FALSE),"ID tidak ditemukan"))</f>
        <v/>
      </c>
      <c r="D142" s="241"/>
      <c r="E142" s="241"/>
      <c r="F142" s="241"/>
      <c r="G142" s="243"/>
      <c r="H142" s="254"/>
      <c r="I142" s="241"/>
      <c r="J142" s="241"/>
      <c r="K142" s="241"/>
      <c r="L142" s="241"/>
      <c r="M142" s="243"/>
      <c r="N142" s="243"/>
      <c r="O142" s="242"/>
      <c r="P142" s="241"/>
      <c r="Q142" s="241"/>
      <c r="R142" s="241"/>
      <c r="S142" s="244"/>
      <c r="T142" s="244"/>
      <c r="U142"/>
      <c r="AA142"/>
      <c r="AB142"/>
      <c r="AC142"/>
      <c r="AD142"/>
      <c r="AE142"/>
      <c r="AF142"/>
      <c r="AG142"/>
      <c r="AH142"/>
      <c r="AI142"/>
      <c r="AJ142"/>
      <c r="AK142"/>
      <c r="AL142"/>
      <c r="AM142"/>
      <c r="AN142"/>
      <c r="AO142"/>
      <c r="AP142"/>
      <c r="AQ142"/>
      <c r="AR142"/>
    </row>
    <row r="143" spans="1:44" s="239" customFormat="1">
      <c r="A143" s="241"/>
      <c r="B143" s="241"/>
      <c r="C143" s="245" t="str">
        <f>IF(B143="","",IFERROR(VLOOKUP(B143,PERUMAHAN!$A:$B,2,FALSE),"ID tidak ditemukan"))</f>
        <v/>
      </c>
      <c r="D143" s="241"/>
      <c r="E143" s="241"/>
      <c r="F143" s="241"/>
      <c r="G143" s="243"/>
      <c r="H143" s="254"/>
      <c r="I143" s="241"/>
      <c r="J143" s="241"/>
      <c r="K143" s="241"/>
      <c r="L143" s="241"/>
      <c r="M143" s="243"/>
      <c r="N143" s="243"/>
      <c r="O143" s="242"/>
      <c r="P143" s="241"/>
      <c r="Q143" s="241"/>
      <c r="R143" s="241"/>
      <c r="S143" s="244"/>
      <c r="T143" s="244"/>
      <c r="U143"/>
      <c r="AA143"/>
      <c r="AB143"/>
      <c r="AC143"/>
      <c r="AD143"/>
      <c r="AE143"/>
      <c r="AF143"/>
      <c r="AG143"/>
      <c r="AH143"/>
      <c r="AI143"/>
      <c r="AJ143"/>
      <c r="AK143"/>
      <c r="AL143"/>
      <c r="AM143"/>
      <c r="AN143"/>
      <c r="AO143"/>
      <c r="AP143"/>
      <c r="AQ143"/>
      <c r="AR143"/>
    </row>
    <row r="144" spans="1:44" s="239" customFormat="1">
      <c r="A144" s="241"/>
      <c r="B144" s="241"/>
      <c r="C144" s="245" t="str">
        <f>IF(B144="","",IFERROR(VLOOKUP(B144,PERUMAHAN!$A:$B,2,FALSE),"ID tidak ditemukan"))</f>
        <v/>
      </c>
      <c r="D144" s="241"/>
      <c r="E144" s="241"/>
      <c r="F144" s="241"/>
      <c r="G144" s="243"/>
      <c r="H144" s="254"/>
      <c r="I144" s="241"/>
      <c r="J144" s="241"/>
      <c r="K144" s="241"/>
      <c r="L144" s="241"/>
      <c r="M144" s="243"/>
      <c r="N144" s="243"/>
      <c r="O144" s="242"/>
      <c r="P144" s="241"/>
      <c r="Q144" s="241"/>
      <c r="R144" s="241"/>
      <c r="S144" s="244"/>
      <c r="T144" s="244"/>
      <c r="U144"/>
      <c r="AA144"/>
      <c r="AB144"/>
      <c r="AC144"/>
      <c r="AD144"/>
      <c r="AE144"/>
      <c r="AF144"/>
      <c r="AG144"/>
      <c r="AH144"/>
      <c r="AI144"/>
      <c r="AJ144"/>
      <c r="AK144"/>
      <c r="AL144"/>
      <c r="AM144"/>
      <c r="AN144"/>
      <c r="AO144"/>
      <c r="AP144"/>
      <c r="AQ144"/>
      <c r="AR144"/>
    </row>
    <row r="145" spans="1:44" s="239" customFormat="1">
      <c r="A145" s="241"/>
      <c r="B145" s="241"/>
      <c r="C145" s="245" t="str">
        <f>IF(B145="","",IFERROR(VLOOKUP(B145,PERUMAHAN!$A:$B,2,FALSE),"ID tidak ditemukan"))</f>
        <v/>
      </c>
      <c r="D145" s="241"/>
      <c r="E145" s="241"/>
      <c r="F145" s="241"/>
      <c r="G145" s="243"/>
      <c r="H145" s="254"/>
      <c r="I145" s="241"/>
      <c r="J145" s="241"/>
      <c r="K145" s="241"/>
      <c r="L145" s="241"/>
      <c r="M145" s="243"/>
      <c r="N145" s="243"/>
      <c r="O145" s="242"/>
      <c r="P145" s="241"/>
      <c r="Q145" s="241"/>
      <c r="R145" s="241"/>
      <c r="S145" s="244"/>
      <c r="T145" s="244"/>
      <c r="U145"/>
      <c r="AA145"/>
      <c r="AB145"/>
      <c r="AC145"/>
      <c r="AD145"/>
      <c r="AE145"/>
      <c r="AF145"/>
      <c r="AG145"/>
      <c r="AH145"/>
      <c r="AI145"/>
      <c r="AJ145"/>
      <c r="AK145"/>
      <c r="AL145"/>
      <c r="AM145"/>
      <c r="AN145"/>
      <c r="AO145"/>
      <c r="AP145"/>
      <c r="AQ145"/>
      <c r="AR145"/>
    </row>
    <row r="146" spans="1:44" s="239" customFormat="1">
      <c r="A146" s="241"/>
      <c r="B146" s="241"/>
      <c r="C146" s="245" t="str">
        <f>IF(B146="","",IFERROR(VLOOKUP(B146,PERUMAHAN!$A:$B,2,FALSE),"ID tidak ditemukan"))</f>
        <v/>
      </c>
      <c r="D146" s="241"/>
      <c r="E146" s="241"/>
      <c r="F146" s="241"/>
      <c r="G146" s="243"/>
      <c r="H146" s="254"/>
      <c r="I146" s="241"/>
      <c r="J146" s="241"/>
      <c r="K146" s="241"/>
      <c r="L146" s="241"/>
      <c r="M146" s="243"/>
      <c r="N146" s="243"/>
      <c r="O146" s="242"/>
      <c r="P146" s="241"/>
      <c r="Q146" s="241"/>
      <c r="R146" s="241"/>
      <c r="S146" s="244"/>
      <c r="T146" s="244"/>
      <c r="U146"/>
      <c r="AA146"/>
      <c r="AB146"/>
      <c r="AC146"/>
      <c r="AD146"/>
      <c r="AE146"/>
      <c r="AF146"/>
      <c r="AG146"/>
      <c r="AH146"/>
      <c r="AI146"/>
      <c r="AJ146"/>
      <c r="AK146"/>
      <c r="AL146"/>
      <c r="AM146"/>
      <c r="AN146"/>
      <c r="AO146"/>
      <c r="AP146"/>
      <c r="AQ146"/>
      <c r="AR146"/>
    </row>
    <row r="147" spans="1:44" s="239" customFormat="1">
      <c r="A147" s="241"/>
      <c r="B147" s="241"/>
      <c r="C147" s="245" t="str">
        <f>IF(B147="","",IFERROR(VLOOKUP(B147,PERUMAHAN!$A:$B,2,FALSE),"ID tidak ditemukan"))</f>
        <v/>
      </c>
      <c r="D147" s="241"/>
      <c r="E147" s="241"/>
      <c r="F147" s="241"/>
      <c r="G147" s="243"/>
      <c r="H147" s="254"/>
      <c r="I147" s="241"/>
      <c r="J147" s="241"/>
      <c r="K147" s="241"/>
      <c r="L147" s="241"/>
      <c r="M147" s="243"/>
      <c r="N147" s="243"/>
      <c r="O147" s="242"/>
      <c r="P147" s="241"/>
      <c r="Q147" s="241"/>
      <c r="R147" s="241"/>
      <c r="S147" s="244"/>
      <c r="T147" s="244"/>
      <c r="U147"/>
      <c r="AA147"/>
      <c r="AB147"/>
      <c r="AC147"/>
      <c r="AD147"/>
      <c r="AE147"/>
      <c r="AF147"/>
      <c r="AG147"/>
      <c r="AH147"/>
      <c r="AI147"/>
      <c r="AJ147"/>
      <c r="AK147"/>
      <c r="AL147"/>
      <c r="AM147"/>
      <c r="AN147"/>
      <c r="AO147"/>
      <c r="AP147"/>
      <c r="AQ147"/>
      <c r="AR147"/>
    </row>
    <row r="148" spans="1:44" s="239" customFormat="1">
      <c r="A148" s="241"/>
      <c r="B148" s="241"/>
      <c r="C148" s="245" t="str">
        <f>IF(B148="","",IFERROR(VLOOKUP(B148,PERUMAHAN!$A:$B,2,FALSE),"ID tidak ditemukan"))</f>
        <v/>
      </c>
      <c r="D148" s="241"/>
      <c r="E148" s="241"/>
      <c r="F148" s="241"/>
      <c r="G148" s="243"/>
      <c r="H148" s="254"/>
      <c r="I148" s="241"/>
      <c r="J148" s="241"/>
      <c r="K148" s="241"/>
      <c r="L148" s="241"/>
      <c r="M148" s="243"/>
      <c r="N148" s="243"/>
      <c r="O148" s="242"/>
      <c r="P148" s="241"/>
      <c r="Q148" s="241"/>
      <c r="R148" s="241"/>
      <c r="S148" s="244"/>
      <c r="T148" s="244"/>
      <c r="U148"/>
      <c r="AA148"/>
      <c r="AB148"/>
      <c r="AC148"/>
      <c r="AD148"/>
      <c r="AE148"/>
      <c r="AF148"/>
      <c r="AG148"/>
      <c r="AH148"/>
      <c r="AI148"/>
      <c r="AJ148"/>
      <c r="AK148"/>
      <c r="AL148"/>
      <c r="AM148"/>
      <c r="AN148"/>
      <c r="AO148"/>
      <c r="AP148"/>
      <c r="AQ148"/>
      <c r="AR148"/>
    </row>
    <row r="149" spans="1:44" s="239" customFormat="1">
      <c r="A149" s="241"/>
      <c r="B149" s="241"/>
      <c r="C149" s="245" t="str">
        <f>IF(B149="","",IFERROR(VLOOKUP(B149,PERUMAHAN!$A:$B,2,FALSE),"ID tidak ditemukan"))</f>
        <v/>
      </c>
      <c r="D149" s="241"/>
      <c r="E149" s="241"/>
      <c r="F149" s="241"/>
      <c r="G149" s="243"/>
      <c r="H149" s="254"/>
      <c r="I149" s="241"/>
      <c r="J149" s="241"/>
      <c r="K149" s="241"/>
      <c r="L149" s="241"/>
      <c r="M149" s="243"/>
      <c r="N149" s="243"/>
      <c r="O149" s="242"/>
      <c r="P149" s="241"/>
      <c r="Q149" s="241"/>
      <c r="R149" s="241"/>
      <c r="S149" s="244"/>
      <c r="T149" s="244"/>
      <c r="U149"/>
      <c r="AA149"/>
      <c r="AB149"/>
      <c r="AC149"/>
      <c r="AD149"/>
      <c r="AE149"/>
      <c r="AF149"/>
      <c r="AG149"/>
      <c r="AH149"/>
      <c r="AI149"/>
      <c r="AJ149"/>
      <c r="AK149"/>
      <c r="AL149"/>
      <c r="AM149"/>
      <c r="AN149"/>
      <c r="AO149"/>
      <c r="AP149"/>
      <c r="AQ149"/>
      <c r="AR149"/>
    </row>
    <row r="150" spans="1:44" s="239" customFormat="1">
      <c r="A150" s="241"/>
      <c r="B150" s="241"/>
      <c r="C150" s="245" t="str">
        <f>IF(B150="","",IFERROR(VLOOKUP(B150,PERUMAHAN!$A:$B,2,FALSE),"ID tidak ditemukan"))</f>
        <v/>
      </c>
      <c r="D150" s="241"/>
      <c r="E150" s="241"/>
      <c r="F150" s="241"/>
      <c r="G150" s="243"/>
      <c r="H150" s="254"/>
      <c r="I150" s="241"/>
      <c r="J150" s="241"/>
      <c r="K150" s="241"/>
      <c r="L150" s="241"/>
      <c r="M150" s="243"/>
      <c r="N150" s="243"/>
      <c r="O150" s="242"/>
      <c r="P150" s="241"/>
      <c r="Q150" s="241"/>
      <c r="R150" s="241"/>
      <c r="S150" s="244"/>
      <c r="T150" s="244"/>
      <c r="U150"/>
      <c r="AA150"/>
      <c r="AB150"/>
      <c r="AC150"/>
      <c r="AD150"/>
      <c r="AE150"/>
      <c r="AF150"/>
      <c r="AG150"/>
      <c r="AH150"/>
      <c r="AI150"/>
      <c r="AJ150"/>
      <c r="AK150"/>
      <c r="AL150"/>
      <c r="AM150"/>
      <c r="AN150"/>
      <c r="AO150"/>
      <c r="AP150"/>
      <c r="AQ150"/>
      <c r="AR150"/>
    </row>
    <row r="151" spans="1:44" s="239" customFormat="1">
      <c r="A151" s="241"/>
      <c r="B151" s="241"/>
      <c r="C151" s="245" t="str">
        <f>IF(B151="","",IFERROR(VLOOKUP(B151,PERUMAHAN!$A:$B,2,FALSE),"ID tidak ditemukan"))</f>
        <v/>
      </c>
      <c r="D151" s="241"/>
      <c r="E151" s="241"/>
      <c r="F151" s="241"/>
      <c r="G151" s="243"/>
      <c r="H151" s="254"/>
      <c r="I151" s="241"/>
      <c r="J151" s="241"/>
      <c r="K151" s="241"/>
      <c r="L151" s="241"/>
      <c r="M151" s="243"/>
      <c r="N151" s="243"/>
      <c r="O151" s="242"/>
      <c r="P151" s="241"/>
      <c r="Q151" s="241"/>
      <c r="R151" s="241"/>
      <c r="S151" s="244"/>
      <c r="T151" s="244"/>
      <c r="U151"/>
      <c r="AA151"/>
      <c r="AB151"/>
      <c r="AC151"/>
      <c r="AD151"/>
      <c r="AE151"/>
      <c r="AF151"/>
      <c r="AG151"/>
      <c r="AH151"/>
      <c r="AI151"/>
      <c r="AJ151"/>
      <c r="AK151"/>
      <c r="AL151"/>
      <c r="AM151"/>
      <c r="AN151"/>
      <c r="AO151"/>
      <c r="AP151"/>
      <c r="AQ151"/>
      <c r="AR151"/>
    </row>
    <row r="152" spans="1:44" s="239" customFormat="1">
      <c r="A152" s="241"/>
      <c r="B152" s="241"/>
      <c r="C152" s="245" t="str">
        <f>IF(B152="","",IFERROR(VLOOKUP(B152,PERUMAHAN!$A:$B,2,FALSE),"ID tidak ditemukan"))</f>
        <v/>
      </c>
      <c r="D152" s="241"/>
      <c r="E152" s="241"/>
      <c r="F152" s="241"/>
      <c r="G152" s="243"/>
      <c r="H152" s="254"/>
      <c r="I152" s="241"/>
      <c r="J152" s="241"/>
      <c r="K152" s="241"/>
      <c r="L152" s="241"/>
      <c r="M152" s="243"/>
      <c r="N152" s="243"/>
      <c r="O152" s="242"/>
      <c r="P152" s="241"/>
      <c r="Q152" s="241"/>
      <c r="R152" s="241"/>
      <c r="S152" s="244"/>
      <c r="T152" s="244"/>
      <c r="U152"/>
      <c r="AA152"/>
      <c r="AB152"/>
      <c r="AC152"/>
      <c r="AD152"/>
      <c r="AE152"/>
      <c r="AF152"/>
      <c r="AG152"/>
      <c r="AH152"/>
      <c r="AI152"/>
      <c r="AJ152"/>
      <c r="AK152"/>
      <c r="AL152"/>
      <c r="AM152"/>
      <c r="AN152"/>
      <c r="AO152"/>
      <c r="AP152"/>
      <c r="AQ152"/>
      <c r="AR152"/>
    </row>
    <row r="153" spans="1:44" s="239" customFormat="1">
      <c r="A153" s="241"/>
      <c r="B153" s="241"/>
      <c r="C153" s="245" t="str">
        <f>IF(B153="","",IFERROR(VLOOKUP(B153,PERUMAHAN!$A:$B,2,FALSE),"ID tidak ditemukan"))</f>
        <v/>
      </c>
      <c r="D153" s="241"/>
      <c r="E153" s="241"/>
      <c r="F153" s="241"/>
      <c r="G153" s="243"/>
      <c r="H153" s="254"/>
      <c r="I153" s="241"/>
      <c r="J153" s="241"/>
      <c r="K153" s="241"/>
      <c r="L153" s="241"/>
      <c r="M153" s="243"/>
      <c r="N153" s="243"/>
      <c r="O153" s="242"/>
      <c r="P153" s="241"/>
      <c r="Q153" s="241"/>
      <c r="R153" s="241"/>
      <c r="S153" s="244"/>
      <c r="T153" s="244"/>
      <c r="U153"/>
      <c r="AA153"/>
      <c r="AB153"/>
      <c r="AC153"/>
      <c r="AD153"/>
      <c r="AE153"/>
      <c r="AF153"/>
      <c r="AG153"/>
      <c r="AH153"/>
      <c r="AI153"/>
      <c r="AJ153"/>
      <c r="AK153"/>
      <c r="AL153"/>
      <c r="AM153"/>
      <c r="AN153"/>
      <c r="AO153"/>
      <c r="AP153"/>
      <c r="AQ153"/>
      <c r="AR153"/>
    </row>
    <row r="154" spans="1:44" s="239" customFormat="1">
      <c r="A154" s="241"/>
      <c r="B154" s="241"/>
      <c r="C154" s="245" t="str">
        <f>IF(B154="","",IFERROR(VLOOKUP(B154,PERUMAHAN!$A:$B,2,FALSE),"ID tidak ditemukan"))</f>
        <v/>
      </c>
      <c r="D154" s="241"/>
      <c r="E154" s="241"/>
      <c r="F154" s="241"/>
      <c r="G154" s="243"/>
      <c r="H154" s="254"/>
      <c r="I154" s="241"/>
      <c r="J154" s="241"/>
      <c r="K154" s="241"/>
      <c r="L154" s="241"/>
      <c r="M154" s="243"/>
      <c r="N154" s="243"/>
      <c r="O154" s="242"/>
      <c r="P154" s="241"/>
      <c r="Q154" s="241"/>
      <c r="R154" s="241"/>
      <c r="S154" s="244"/>
      <c r="T154" s="244"/>
      <c r="U154"/>
      <c r="AA154"/>
      <c r="AB154"/>
      <c r="AC154"/>
      <c r="AD154"/>
      <c r="AE154"/>
      <c r="AF154"/>
      <c r="AG154"/>
      <c r="AH154"/>
      <c r="AI154"/>
      <c r="AJ154"/>
      <c r="AK154"/>
      <c r="AL154"/>
      <c r="AM154"/>
      <c r="AN154"/>
      <c r="AO154"/>
      <c r="AP154"/>
      <c r="AQ154"/>
      <c r="AR154"/>
    </row>
    <row r="155" spans="1:44" s="239" customFormat="1">
      <c r="A155" s="241"/>
      <c r="B155" s="241"/>
      <c r="C155" s="245" t="str">
        <f>IF(B155="","",IFERROR(VLOOKUP(B155,PERUMAHAN!$A:$B,2,FALSE),"ID tidak ditemukan"))</f>
        <v/>
      </c>
      <c r="D155" s="241"/>
      <c r="E155" s="241"/>
      <c r="F155" s="241"/>
      <c r="G155" s="243"/>
      <c r="H155" s="254"/>
      <c r="I155" s="241"/>
      <c r="J155" s="241"/>
      <c r="K155" s="241"/>
      <c r="L155" s="241"/>
      <c r="M155" s="243"/>
      <c r="N155" s="243"/>
      <c r="O155" s="242"/>
      <c r="P155" s="241"/>
      <c r="Q155" s="241"/>
      <c r="R155" s="241"/>
      <c r="S155" s="244"/>
      <c r="T155" s="244"/>
      <c r="U155"/>
      <c r="AA155"/>
      <c r="AB155"/>
      <c r="AC155"/>
      <c r="AD155"/>
      <c r="AE155"/>
      <c r="AF155"/>
      <c r="AG155"/>
      <c r="AH155"/>
      <c r="AI155"/>
      <c r="AJ155"/>
      <c r="AK155"/>
      <c r="AL155"/>
      <c r="AM155"/>
      <c r="AN155"/>
      <c r="AO155"/>
      <c r="AP155"/>
      <c r="AQ155"/>
      <c r="AR155"/>
    </row>
    <row r="156" spans="1:44" s="239" customFormat="1">
      <c r="A156" s="241"/>
      <c r="B156" s="241"/>
      <c r="C156" s="245" t="str">
        <f>IF(B156="","",IFERROR(VLOOKUP(B156,PERUMAHAN!$A:$B,2,FALSE),"ID tidak ditemukan"))</f>
        <v/>
      </c>
      <c r="D156" s="241"/>
      <c r="E156" s="241"/>
      <c r="F156" s="241"/>
      <c r="G156" s="243"/>
      <c r="H156" s="254"/>
      <c r="I156" s="241"/>
      <c r="J156" s="241"/>
      <c r="K156" s="241"/>
      <c r="L156" s="241"/>
      <c r="M156" s="243"/>
      <c r="N156" s="243"/>
      <c r="O156" s="242"/>
      <c r="P156" s="241"/>
      <c r="Q156" s="241"/>
      <c r="R156" s="241"/>
      <c r="S156" s="244"/>
      <c r="T156" s="244"/>
      <c r="U156"/>
      <c r="AA156"/>
      <c r="AB156"/>
      <c r="AC156"/>
      <c r="AD156"/>
      <c r="AE156"/>
      <c r="AF156"/>
      <c r="AG156"/>
      <c r="AH156"/>
      <c r="AI156"/>
      <c r="AJ156"/>
      <c r="AK156"/>
      <c r="AL156"/>
      <c r="AM156"/>
      <c r="AN156"/>
      <c r="AO156"/>
      <c r="AP156"/>
      <c r="AQ156"/>
      <c r="AR156"/>
    </row>
    <row r="157" spans="1:44" s="239" customFormat="1">
      <c r="A157" s="241"/>
      <c r="B157" s="241"/>
      <c r="C157" s="245" t="str">
        <f>IF(B157="","",IFERROR(VLOOKUP(B157,PERUMAHAN!$A:$B,2,FALSE),"ID tidak ditemukan"))</f>
        <v/>
      </c>
      <c r="D157" s="241"/>
      <c r="E157" s="241"/>
      <c r="F157" s="241"/>
      <c r="G157" s="243"/>
      <c r="H157" s="254"/>
      <c r="I157" s="241"/>
      <c r="J157" s="241"/>
      <c r="K157" s="241"/>
      <c r="L157" s="241"/>
      <c r="M157" s="243"/>
      <c r="N157" s="243"/>
      <c r="O157" s="242"/>
      <c r="P157" s="241"/>
      <c r="Q157" s="241"/>
      <c r="R157" s="241"/>
      <c r="S157" s="244"/>
      <c r="T157" s="244"/>
      <c r="U157"/>
      <c r="AA157"/>
      <c r="AB157"/>
      <c r="AC157"/>
      <c r="AD157"/>
      <c r="AE157"/>
      <c r="AF157"/>
      <c r="AG157"/>
      <c r="AH157"/>
      <c r="AI157"/>
      <c r="AJ157"/>
      <c r="AK157"/>
      <c r="AL157"/>
      <c r="AM157"/>
      <c r="AN157"/>
      <c r="AO157"/>
      <c r="AP157"/>
      <c r="AQ157"/>
      <c r="AR157"/>
    </row>
    <row r="158" spans="1:44" s="239" customFormat="1">
      <c r="A158" s="241"/>
      <c r="B158" s="241"/>
      <c r="C158" s="245" t="str">
        <f>IF(B158="","",IFERROR(VLOOKUP(B158,PERUMAHAN!$A:$B,2,FALSE),"ID tidak ditemukan"))</f>
        <v/>
      </c>
      <c r="D158" s="241"/>
      <c r="E158" s="241"/>
      <c r="F158" s="241"/>
      <c r="G158" s="243"/>
      <c r="H158" s="254"/>
      <c r="I158" s="241"/>
      <c r="J158" s="241"/>
      <c r="K158" s="241"/>
      <c r="L158" s="241"/>
      <c r="M158" s="243"/>
      <c r="N158" s="243"/>
      <c r="O158" s="242"/>
      <c r="P158" s="241"/>
      <c r="Q158" s="241"/>
      <c r="R158" s="241"/>
      <c r="S158" s="244"/>
      <c r="T158" s="244"/>
      <c r="U158"/>
      <c r="AA158"/>
      <c r="AB158"/>
      <c r="AC158"/>
      <c r="AD158"/>
      <c r="AE158"/>
      <c r="AF158"/>
      <c r="AG158"/>
      <c r="AH158"/>
      <c r="AI158"/>
      <c r="AJ158"/>
      <c r="AK158"/>
      <c r="AL158"/>
      <c r="AM158"/>
      <c r="AN158"/>
      <c r="AO158"/>
      <c r="AP158"/>
      <c r="AQ158"/>
      <c r="AR158"/>
    </row>
    <row r="159" spans="1:44" s="239" customFormat="1">
      <c r="A159" s="241"/>
      <c r="B159" s="241"/>
      <c r="C159" s="245" t="str">
        <f>IF(B159="","",IFERROR(VLOOKUP(B159,PERUMAHAN!$A:$B,2,FALSE),"ID tidak ditemukan"))</f>
        <v/>
      </c>
      <c r="D159" s="241"/>
      <c r="E159" s="241"/>
      <c r="F159" s="241"/>
      <c r="G159" s="243"/>
      <c r="H159" s="254"/>
      <c r="I159" s="241"/>
      <c r="J159" s="241"/>
      <c r="K159" s="241"/>
      <c r="L159" s="241"/>
      <c r="M159" s="243"/>
      <c r="N159" s="243"/>
      <c r="O159" s="242"/>
      <c r="P159" s="241"/>
      <c r="Q159" s="241"/>
      <c r="R159" s="241"/>
      <c r="S159" s="244"/>
      <c r="T159" s="244"/>
      <c r="U159"/>
      <c r="AA159"/>
      <c r="AB159"/>
      <c r="AC159"/>
      <c r="AD159"/>
      <c r="AE159"/>
      <c r="AF159"/>
      <c r="AG159"/>
      <c r="AH159"/>
      <c r="AI159"/>
      <c r="AJ159"/>
      <c r="AK159"/>
      <c r="AL159"/>
      <c r="AM159"/>
      <c r="AN159"/>
      <c r="AO159"/>
      <c r="AP159"/>
      <c r="AQ159"/>
      <c r="AR159"/>
    </row>
    <row r="160" spans="1:44" s="239" customFormat="1">
      <c r="A160" s="241"/>
      <c r="B160" s="241"/>
      <c r="C160" s="245" t="str">
        <f>IF(B160="","",IFERROR(VLOOKUP(B160,PERUMAHAN!$A:$B,2,FALSE),"ID tidak ditemukan"))</f>
        <v/>
      </c>
      <c r="D160" s="241"/>
      <c r="E160" s="241"/>
      <c r="F160" s="241"/>
      <c r="G160" s="243"/>
      <c r="H160" s="254"/>
      <c r="I160" s="241"/>
      <c r="J160" s="241"/>
      <c r="K160" s="241"/>
      <c r="L160" s="241"/>
      <c r="M160" s="243"/>
      <c r="N160" s="243"/>
      <c r="O160" s="242"/>
      <c r="P160" s="241"/>
      <c r="Q160" s="241"/>
      <c r="R160" s="241"/>
      <c r="S160" s="244"/>
      <c r="T160" s="244"/>
      <c r="U160"/>
      <c r="AA160"/>
      <c r="AB160"/>
      <c r="AC160"/>
      <c r="AD160"/>
      <c r="AE160"/>
      <c r="AF160"/>
      <c r="AG160"/>
      <c r="AH160"/>
      <c r="AI160"/>
      <c r="AJ160"/>
      <c r="AK160"/>
      <c r="AL160"/>
      <c r="AM160"/>
      <c r="AN160"/>
      <c r="AO160"/>
      <c r="AP160"/>
      <c r="AQ160"/>
      <c r="AR160"/>
    </row>
    <row r="161" spans="1:44" s="239" customFormat="1">
      <c r="A161" s="241"/>
      <c r="B161" s="241"/>
      <c r="C161" s="245" t="str">
        <f>IF(B161="","",IFERROR(VLOOKUP(B161,PERUMAHAN!$A:$B,2,FALSE),"ID tidak ditemukan"))</f>
        <v/>
      </c>
      <c r="D161" s="241"/>
      <c r="E161" s="241"/>
      <c r="F161" s="241"/>
      <c r="G161" s="243"/>
      <c r="H161" s="254"/>
      <c r="I161" s="241"/>
      <c r="J161" s="241"/>
      <c r="K161" s="241"/>
      <c r="L161" s="241"/>
      <c r="M161" s="243"/>
      <c r="N161" s="243"/>
      <c r="O161" s="242"/>
      <c r="P161" s="241"/>
      <c r="Q161" s="241"/>
      <c r="R161" s="241"/>
      <c r="S161" s="244"/>
      <c r="T161" s="244"/>
      <c r="U161"/>
      <c r="AA161"/>
      <c r="AB161"/>
      <c r="AC161"/>
      <c r="AD161"/>
      <c r="AE161"/>
      <c r="AF161"/>
      <c r="AG161"/>
      <c r="AH161"/>
      <c r="AI161"/>
      <c r="AJ161"/>
      <c r="AK161"/>
      <c r="AL161"/>
      <c r="AM161"/>
      <c r="AN161"/>
      <c r="AO161"/>
      <c r="AP161"/>
      <c r="AQ161"/>
      <c r="AR161"/>
    </row>
    <row r="162" spans="1:44" s="239" customFormat="1">
      <c r="A162" s="241"/>
      <c r="B162" s="241"/>
      <c r="C162" s="245" t="str">
        <f>IF(B162="","",IFERROR(VLOOKUP(B162,PERUMAHAN!$A:$B,2,FALSE),"ID tidak ditemukan"))</f>
        <v/>
      </c>
      <c r="D162" s="241"/>
      <c r="E162" s="241"/>
      <c r="F162" s="241"/>
      <c r="G162" s="243"/>
      <c r="H162" s="254"/>
      <c r="I162" s="241"/>
      <c r="J162" s="241"/>
      <c r="K162" s="241"/>
      <c r="L162" s="241"/>
      <c r="M162" s="243"/>
      <c r="N162" s="243"/>
      <c r="O162" s="242"/>
      <c r="P162" s="241"/>
      <c r="Q162" s="241"/>
      <c r="R162" s="241"/>
      <c r="S162" s="244"/>
      <c r="T162" s="244"/>
      <c r="U162"/>
      <c r="AA162"/>
      <c r="AB162"/>
      <c r="AC162"/>
      <c r="AD162"/>
      <c r="AE162"/>
      <c r="AF162"/>
      <c r="AG162"/>
      <c r="AH162"/>
      <c r="AI162"/>
      <c r="AJ162"/>
      <c r="AK162"/>
      <c r="AL162"/>
      <c r="AM162"/>
      <c r="AN162"/>
      <c r="AO162"/>
      <c r="AP162"/>
      <c r="AQ162"/>
      <c r="AR162"/>
    </row>
    <row r="163" spans="1:44" s="239" customFormat="1">
      <c r="A163" s="241"/>
      <c r="B163" s="241"/>
      <c r="C163" s="245" t="str">
        <f>IF(B163="","",IFERROR(VLOOKUP(B163,PERUMAHAN!$A:$B,2,FALSE),"ID tidak ditemukan"))</f>
        <v/>
      </c>
      <c r="D163" s="241"/>
      <c r="E163" s="241"/>
      <c r="F163" s="241"/>
      <c r="G163" s="243"/>
      <c r="H163" s="254"/>
      <c r="I163" s="241"/>
      <c r="J163" s="241"/>
      <c r="K163" s="241"/>
      <c r="L163" s="241"/>
      <c r="M163" s="243"/>
      <c r="N163" s="243"/>
      <c r="O163" s="242"/>
      <c r="P163" s="241"/>
      <c r="Q163" s="241"/>
      <c r="R163" s="241"/>
      <c r="S163" s="244"/>
      <c r="T163" s="244"/>
      <c r="U163"/>
      <c r="AA163"/>
      <c r="AB163"/>
      <c r="AC163"/>
      <c r="AD163"/>
      <c r="AE163"/>
      <c r="AF163"/>
      <c r="AG163"/>
      <c r="AH163"/>
      <c r="AI163"/>
      <c r="AJ163"/>
      <c r="AK163"/>
      <c r="AL163"/>
      <c r="AM163"/>
      <c r="AN163"/>
      <c r="AO163"/>
      <c r="AP163"/>
      <c r="AQ163"/>
      <c r="AR163"/>
    </row>
    <row r="164" spans="1:44" s="239" customFormat="1">
      <c r="A164" s="241"/>
      <c r="B164" s="241"/>
      <c r="C164" s="245" t="str">
        <f>IF(B164="","",IFERROR(VLOOKUP(B164,PERUMAHAN!$A:$B,2,FALSE),"ID tidak ditemukan"))</f>
        <v/>
      </c>
      <c r="D164" s="241"/>
      <c r="E164" s="241"/>
      <c r="F164" s="241"/>
      <c r="G164" s="243"/>
      <c r="H164" s="254"/>
      <c r="I164" s="241"/>
      <c r="J164" s="241"/>
      <c r="K164" s="241"/>
      <c r="L164" s="241"/>
      <c r="M164" s="243"/>
      <c r="N164" s="243"/>
      <c r="O164" s="242"/>
      <c r="P164" s="241"/>
      <c r="Q164" s="241"/>
      <c r="R164" s="241"/>
      <c r="S164" s="244"/>
      <c r="T164" s="244"/>
      <c r="U164"/>
      <c r="AA164"/>
      <c r="AB164"/>
      <c r="AC164"/>
      <c r="AD164"/>
      <c r="AE164"/>
      <c r="AF164"/>
      <c r="AG164"/>
      <c r="AH164"/>
      <c r="AI164"/>
      <c r="AJ164"/>
      <c r="AK164"/>
      <c r="AL164"/>
      <c r="AM164"/>
      <c r="AN164"/>
      <c r="AO164"/>
      <c r="AP164"/>
      <c r="AQ164"/>
      <c r="AR164"/>
    </row>
    <row r="165" spans="1:44" s="239" customFormat="1">
      <c r="A165" s="241"/>
      <c r="B165" s="241"/>
      <c r="C165" s="245" t="str">
        <f>IF(B165="","",IFERROR(VLOOKUP(B165,PERUMAHAN!$A:$B,2,FALSE),"ID tidak ditemukan"))</f>
        <v/>
      </c>
      <c r="D165" s="241"/>
      <c r="E165" s="241"/>
      <c r="F165" s="241"/>
      <c r="G165" s="243"/>
      <c r="H165" s="254"/>
      <c r="I165" s="241"/>
      <c r="J165" s="241"/>
      <c r="K165" s="241"/>
      <c r="L165" s="241"/>
      <c r="M165" s="243"/>
      <c r="N165" s="243"/>
      <c r="O165" s="242"/>
      <c r="P165" s="241"/>
      <c r="Q165" s="241"/>
      <c r="R165" s="241"/>
      <c r="S165" s="244"/>
      <c r="T165" s="244"/>
      <c r="U165"/>
      <c r="AA165"/>
      <c r="AB165"/>
      <c r="AC165"/>
      <c r="AD165"/>
      <c r="AE165"/>
      <c r="AF165"/>
      <c r="AG165"/>
      <c r="AH165"/>
      <c r="AI165"/>
      <c r="AJ165"/>
      <c r="AK165"/>
      <c r="AL165"/>
      <c r="AM165"/>
      <c r="AN165"/>
      <c r="AO165"/>
      <c r="AP165"/>
      <c r="AQ165"/>
      <c r="AR165"/>
    </row>
    <row r="166" spans="1:44" s="239" customFormat="1">
      <c r="A166" s="241"/>
      <c r="B166" s="241"/>
      <c r="C166" s="245" t="str">
        <f>IF(B166="","",IFERROR(VLOOKUP(B166,PERUMAHAN!$A:$B,2,FALSE),"ID tidak ditemukan"))</f>
        <v/>
      </c>
      <c r="D166" s="241"/>
      <c r="E166" s="241"/>
      <c r="F166" s="241"/>
      <c r="G166" s="243"/>
      <c r="H166" s="254"/>
      <c r="I166" s="241"/>
      <c r="J166" s="241"/>
      <c r="K166" s="241"/>
      <c r="L166" s="241"/>
      <c r="M166" s="243"/>
      <c r="N166" s="243"/>
      <c r="O166" s="242"/>
      <c r="P166" s="241"/>
      <c r="Q166" s="241"/>
      <c r="R166" s="241"/>
      <c r="S166" s="244"/>
      <c r="T166" s="244"/>
      <c r="U166"/>
      <c r="AA166"/>
      <c r="AB166"/>
      <c r="AC166"/>
      <c r="AD166"/>
      <c r="AE166"/>
      <c r="AF166"/>
      <c r="AG166"/>
      <c r="AH166"/>
      <c r="AI166"/>
      <c r="AJ166"/>
      <c r="AK166"/>
      <c r="AL166"/>
      <c r="AM166"/>
      <c r="AN166"/>
      <c r="AO166"/>
      <c r="AP166"/>
      <c r="AQ166"/>
      <c r="AR166"/>
    </row>
    <row r="167" spans="1:44" s="239" customFormat="1">
      <c r="A167" s="241"/>
      <c r="B167" s="241"/>
      <c r="C167" s="245" t="str">
        <f>IF(B167="","",IFERROR(VLOOKUP(B167,PERUMAHAN!$A:$B,2,FALSE),"ID tidak ditemukan"))</f>
        <v/>
      </c>
      <c r="D167" s="241"/>
      <c r="E167" s="241"/>
      <c r="F167" s="241"/>
      <c r="G167" s="243"/>
      <c r="H167" s="254"/>
      <c r="I167" s="241"/>
      <c r="J167" s="241"/>
      <c r="K167" s="241"/>
      <c r="L167" s="241"/>
      <c r="M167" s="243"/>
      <c r="N167" s="243"/>
      <c r="O167" s="242"/>
      <c r="P167" s="241"/>
      <c r="Q167" s="241"/>
      <c r="R167" s="241"/>
      <c r="S167" s="244"/>
      <c r="T167" s="244"/>
      <c r="U167"/>
      <c r="AA167"/>
      <c r="AB167"/>
      <c r="AC167"/>
      <c r="AD167"/>
      <c r="AE167"/>
      <c r="AF167"/>
      <c r="AG167"/>
      <c r="AH167"/>
      <c r="AI167"/>
      <c r="AJ167"/>
      <c r="AK167"/>
      <c r="AL167"/>
      <c r="AM167"/>
      <c r="AN167"/>
      <c r="AO167"/>
      <c r="AP167"/>
      <c r="AQ167"/>
      <c r="AR167"/>
    </row>
    <row r="168" spans="1:44" s="239" customFormat="1">
      <c r="A168" s="241"/>
      <c r="B168" s="241"/>
      <c r="C168" s="245" t="str">
        <f>IF(B168="","",IFERROR(VLOOKUP(B168,PERUMAHAN!$A:$B,2,FALSE),"ID tidak ditemukan"))</f>
        <v/>
      </c>
      <c r="D168" s="241"/>
      <c r="E168" s="241"/>
      <c r="F168" s="241"/>
      <c r="G168" s="243"/>
      <c r="H168" s="254"/>
      <c r="I168" s="241"/>
      <c r="J168" s="241"/>
      <c r="K168" s="241"/>
      <c r="L168" s="241"/>
      <c r="M168" s="243"/>
      <c r="N168" s="243"/>
      <c r="O168" s="242"/>
      <c r="P168" s="241"/>
      <c r="Q168" s="241"/>
      <c r="R168" s="241"/>
      <c r="S168" s="244"/>
      <c r="T168" s="244"/>
      <c r="U168"/>
      <c r="AA168"/>
      <c r="AB168"/>
      <c r="AC168"/>
      <c r="AD168"/>
      <c r="AE168"/>
      <c r="AF168"/>
      <c r="AG168"/>
      <c r="AH168"/>
      <c r="AI168"/>
      <c r="AJ168"/>
      <c r="AK168"/>
      <c r="AL168"/>
      <c r="AM168"/>
      <c r="AN168"/>
      <c r="AO168"/>
      <c r="AP168"/>
      <c r="AQ168"/>
      <c r="AR168"/>
    </row>
    <row r="169" spans="1:44" s="239" customFormat="1">
      <c r="A169" s="241"/>
      <c r="B169" s="241"/>
      <c r="C169" s="245" t="str">
        <f>IF(B169="","",IFERROR(VLOOKUP(B169,PERUMAHAN!$A:$B,2,FALSE),"ID tidak ditemukan"))</f>
        <v/>
      </c>
      <c r="D169" s="241"/>
      <c r="E169" s="241"/>
      <c r="F169" s="241"/>
      <c r="G169" s="243"/>
      <c r="H169" s="254"/>
      <c r="I169" s="241"/>
      <c r="J169" s="241"/>
      <c r="K169" s="241"/>
      <c r="L169" s="241"/>
      <c r="M169" s="243"/>
      <c r="N169" s="243"/>
      <c r="O169" s="242"/>
      <c r="P169" s="241"/>
      <c r="Q169" s="241"/>
      <c r="R169" s="241"/>
      <c r="S169" s="244"/>
      <c r="T169" s="244"/>
      <c r="U169"/>
      <c r="AA169"/>
      <c r="AB169"/>
      <c r="AC169"/>
      <c r="AD169"/>
      <c r="AE169"/>
      <c r="AF169"/>
      <c r="AG169"/>
      <c r="AH169"/>
      <c r="AI169"/>
      <c r="AJ169"/>
      <c r="AK169"/>
      <c r="AL169"/>
      <c r="AM169"/>
      <c r="AN169"/>
      <c r="AO169"/>
      <c r="AP169"/>
      <c r="AQ169"/>
      <c r="AR169"/>
    </row>
    <row r="170" spans="1:44" s="239" customFormat="1">
      <c r="A170" s="241"/>
      <c r="B170" s="241"/>
      <c r="C170" s="245" t="str">
        <f>IF(B170="","",IFERROR(VLOOKUP(B170,PERUMAHAN!$A:$B,2,FALSE),"ID tidak ditemukan"))</f>
        <v/>
      </c>
      <c r="D170" s="241"/>
      <c r="E170" s="241"/>
      <c r="F170" s="241"/>
      <c r="G170" s="243"/>
      <c r="H170" s="254"/>
      <c r="I170" s="241"/>
      <c r="J170" s="241"/>
      <c r="K170" s="241"/>
      <c r="L170" s="241"/>
      <c r="M170" s="243"/>
      <c r="N170" s="243"/>
      <c r="O170" s="242"/>
      <c r="P170" s="241"/>
      <c r="Q170" s="241"/>
      <c r="R170" s="241"/>
      <c r="S170" s="244"/>
      <c r="T170" s="244"/>
      <c r="U170"/>
      <c r="AA170"/>
      <c r="AB170"/>
      <c r="AC170"/>
      <c r="AD170"/>
      <c r="AE170"/>
      <c r="AF170"/>
      <c r="AG170"/>
      <c r="AH170"/>
      <c r="AI170"/>
      <c r="AJ170"/>
      <c r="AK170"/>
      <c r="AL170"/>
      <c r="AM170"/>
      <c r="AN170"/>
      <c r="AO170"/>
      <c r="AP170"/>
      <c r="AQ170"/>
      <c r="AR170"/>
    </row>
    <row r="171" spans="1:44" s="239" customFormat="1">
      <c r="A171" s="241"/>
      <c r="B171" s="241"/>
      <c r="C171" s="245" t="str">
        <f>IF(B171="","",IFERROR(VLOOKUP(B171,PERUMAHAN!$A:$B,2,FALSE),"ID tidak ditemukan"))</f>
        <v/>
      </c>
      <c r="D171" s="241"/>
      <c r="E171" s="241"/>
      <c r="F171" s="241"/>
      <c r="G171" s="243"/>
      <c r="H171" s="254"/>
      <c r="I171" s="241"/>
      <c r="J171" s="241"/>
      <c r="K171" s="241"/>
      <c r="L171" s="241"/>
      <c r="M171" s="243"/>
      <c r="N171" s="243"/>
      <c r="O171" s="242"/>
      <c r="P171" s="241"/>
      <c r="Q171" s="241"/>
      <c r="R171" s="241"/>
      <c r="S171" s="244"/>
      <c r="T171" s="244"/>
      <c r="U171"/>
      <c r="AA171"/>
      <c r="AB171"/>
      <c r="AC171"/>
      <c r="AD171"/>
      <c r="AE171"/>
      <c r="AF171"/>
      <c r="AG171"/>
      <c r="AH171"/>
      <c r="AI171"/>
      <c r="AJ171"/>
      <c r="AK171"/>
      <c r="AL171"/>
      <c r="AM171"/>
      <c r="AN171"/>
      <c r="AO171"/>
      <c r="AP171"/>
      <c r="AQ171"/>
      <c r="AR171"/>
    </row>
    <row r="172" spans="1:44" s="239" customFormat="1">
      <c r="A172" s="241"/>
      <c r="B172" s="241"/>
      <c r="C172" s="245" t="str">
        <f>IF(B172="","",IFERROR(VLOOKUP(B172,PERUMAHAN!$A:$B,2,FALSE),"ID tidak ditemukan"))</f>
        <v/>
      </c>
      <c r="D172" s="241"/>
      <c r="E172" s="241"/>
      <c r="F172" s="241"/>
      <c r="G172" s="243"/>
      <c r="H172" s="254"/>
      <c r="I172" s="241"/>
      <c r="J172" s="241"/>
      <c r="K172" s="241"/>
      <c r="L172" s="241"/>
      <c r="M172" s="243"/>
      <c r="N172" s="243"/>
      <c r="O172" s="242"/>
      <c r="P172" s="241"/>
      <c r="Q172" s="241"/>
      <c r="R172" s="241"/>
      <c r="S172" s="244"/>
      <c r="T172" s="244"/>
      <c r="U172"/>
      <c r="AA172"/>
      <c r="AB172"/>
      <c r="AC172"/>
      <c r="AD172"/>
      <c r="AE172"/>
      <c r="AF172"/>
      <c r="AG172"/>
      <c r="AH172"/>
      <c r="AI172"/>
      <c r="AJ172"/>
      <c r="AK172"/>
      <c r="AL172"/>
      <c r="AM172"/>
      <c r="AN172"/>
      <c r="AO172"/>
      <c r="AP172"/>
      <c r="AQ172"/>
      <c r="AR172"/>
    </row>
    <row r="173" spans="1:44" s="239" customFormat="1">
      <c r="A173" s="241"/>
      <c r="B173" s="241"/>
      <c r="C173" s="245" t="str">
        <f>IF(B173="","",IFERROR(VLOOKUP(B173,PERUMAHAN!$A:$B,2,FALSE),"ID tidak ditemukan"))</f>
        <v/>
      </c>
      <c r="D173" s="241"/>
      <c r="E173" s="241"/>
      <c r="F173" s="241"/>
      <c r="G173" s="243"/>
      <c r="H173" s="254"/>
      <c r="I173" s="241"/>
      <c r="J173" s="241"/>
      <c r="K173" s="241"/>
      <c r="L173" s="241"/>
      <c r="M173" s="243"/>
      <c r="N173" s="243"/>
      <c r="O173" s="242"/>
      <c r="P173" s="241"/>
      <c r="Q173" s="241"/>
      <c r="R173" s="241"/>
      <c r="S173" s="244"/>
      <c r="T173" s="244"/>
      <c r="U173"/>
      <c r="AA173"/>
      <c r="AB173"/>
      <c r="AC173"/>
      <c r="AD173"/>
      <c r="AE173"/>
      <c r="AF173"/>
      <c r="AG173"/>
      <c r="AH173"/>
      <c r="AI173"/>
      <c r="AJ173"/>
      <c r="AK173"/>
      <c r="AL173"/>
      <c r="AM173"/>
      <c r="AN173"/>
      <c r="AO173"/>
      <c r="AP173"/>
      <c r="AQ173"/>
      <c r="AR173"/>
    </row>
    <row r="174" spans="1:44" s="239" customFormat="1">
      <c r="A174" s="241"/>
      <c r="B174" s="241"/>
      <c r="C174" s="245" t="str">
        <f>IF(B174="","",IFERROR(VLOOKUP(B174,PERUMAHAN!$A:$B,2,FALSE),"ID tidak ditemukan"))</f>
        <v/>
      </c>
      <c r="D174" s="241"/>
      <c r="E174" s="241"/>
      <c r="F174" s="241"/>
      <c r="G174" s="243"/>
      <c r="H174" s="254"/>
      <c r="I174" s="241"/>
      <c r="J174" s="241"/>
      <c r="K174" s="241"/>
      <c r="L174" s="241"/>
      <c r="M174" s="243"/>
      <c r="N174" s="243"/>
      <c r="O174" s="242"/>
      <c r="P174" s="241"/>
      <c r="Q174" s="241"/>
      <c r="R174" s="241"/>
      <c r="S174" s="244"/>
      <c r="T174" s="244"/>
      <c r="U174"/>
      <c r="AA174"/>
      <c r="AB174"/>
      <c r="AC174"/>
      <c r="AD174"/>
      <c r="AE174"/>
      <c r="AF174"/>
      <c r="AG174"/>
      <c r="AH174"/>
      <c r="AI174"/>
      <c r="AJ174"/>
      <c r="AK174"/>
      <c r="AL174"/>
      <c r="AM174"/>
      <c r="AN174"/>
      <c r="AO174"/>
      <c r="AP174"/>
      <c r="AQ174"/>
      <c r="AR174"/>
    </row>
    <row r="175" spans="1:44" s="239" customFormat="1">
      <c r="A175" s="241"/>
      <c r="B175" s="241"/>
      <c r="C175" s="245" t="str">
        <f>IF(B175="","",IFERROR(VLOOKUP(B175,PERUMAHAN!$A:$B,2,FALSE),"ID tidak ditemukan"))</f>
        <v/>
      </c>
      <c r="D175" s="241"/>
      <c r="E175" s="241"/>
      <c r="F175" s="241"/>
      <c r="G175" s="243"/>
      <c r="H175" s="254"/>
      <c r="I175" s="241"/>
      <c r="J175" s="241"/>
      <c r="K175" s="241"/>
      <c r="L175" s="241"/>
      <c r="M175" s="243"/>
      <c r="N175" s="243"/>
      <c r="O175" s="242"/>
      <c r="P175" s="241"/>
      <c r="Q175" s="241"/>
      <c r="R175" s="241"/>
      <c r="S175" s="244"/>
      <c r="T175" s="244"/>
      <c r="U175"/>
      <c r="AA175"/>
      <c r="AB175"/>
      <c r="AC175"/>
      <c r="AD175"/>
      <c r="AE175"/>
      <c r="AF175"/>
      <c r="AG175"/>
      <c r="AH175"/>
      <c r="AI175"/>
      <c r="AJ175"/>
      <c r="AK175"/>
      <c r="AL175"/>
      <c r="AM175"/>
      <c r="AN175"/>
      <c r="AO175"/>
      <c r="AP175"/>
      <c r="AQ175"/>
      <c r="AR175"/>
    </row>
    <row r="176" spans="1:44" s="239" customFormat="1">
      <c r="A176" s="241"/>
      <c r="B176" s="241"/>
      <c r="C176" s="245" t="str">
        <f>IF(B176="","",IFERROR(VLOOKUP(B176,PERUMAHAN!$A:$B,2,FALSE),"ID tidak ditemukan"))</f>
        <v/>
      </c>
      <c r="D176" s="241"/>
      <c r="E176" s="241"/>
      <c r="F176" s="241"/>
      <c r="G176" s="243"/>
      <c r="H176" s="254"/>
      <c r="I176" s="241"/>
      <c r="J176" s="241"/>
      <c r="K176" s="241"/>
      <c r="L176" s="241"/>
      <c r="M176" s="243"/>
      <c r="N176" s="243"/>
      <c r="O176" s="242"/>
      <c r="P176" s="241"/>
      <c r="Q176" s="241"/>
      <c r="R176" s="241"/>
      <c r="S176" s="244"/>
      <c r="T176" s="244"/>
      <c r="U176"/>
      <c r="AA176"/>
      <c r="AB176"/>
      <c r="AC176"/>
      <c r="AD176"/>
      <c r="AE176"/>
      <c r="AF176"/>
      <c r="AG176"/>
      <c r="AH176"/>
      <c r="AI176"/>
      <c r="AJ176"/>
      <c r="AK176"/>
      <c r="AL176"/>
      <c r="AM176"/>
      <c r="AN176"/>
      <c r="AO176"/>
      <c r="AP176"/>
      <c r="AQ176"/>
      <c r="AR176"/>
    </row>
    <row r="177" spans="1:44" s="239" customFormat="1">
      <c r="A177" s="241"/>
      <c r="B177" s="241"/>
      <c r="C177" s="245" t="str">
        <f>IF(B177="","",IFERROR(VLOOKUP(B177,PERUMAHAN!$A:$B,2,FALSE),"ID tidak ditemukan"))</f>
        <v/>
      </c>
      <c r="D177" s="241"/>
      <c r="E177" s="241"/>
      <c r="F177" s="241"/>
      <c r="G177" s="243"/>
      <c r="H177" s="254"/>
      <c r="I177" s="241"/>
      <c r="J177" s="241"/>
      <c r="K177" s="241"/>
      <c r="L177" s="241"/>
      <c r="M177" s="243"/>
      <c r="N177" s="243"/>
      <c r="O177" s="242"/>
      <c r="P177" s="241"/>
      <c r="Q177" s="241"/>
      <c r="R177" s="241"/>
      <c r="S177" s="244"/>
      <c r="T177" s="244"/>
      <c r="U177"/>
      <c r="AA177"/>
      <c r="AB177"/>
      <c r="AC177"/>
      <c r="AD177"/>
      <c r="AE177"/>
      <c r="AF177"/>
      <c r="AG177"/>
      <c r="AH177"/>
      <c r="AI177"/>
      <c r="AJ177"/>
      <c r="AK177"/>
      <c r="AL177"/>
      <c r="AM177"/>
      <c r="AN177"/>
      <c r="AO177"/>
      <c r="AP177"/>
      <c r="AQ177"/>
      <c r="AR177"/>
    </row>
    <row r="178" spans="1:44" s="239" customFormat="1">
      <c r="A178" s="241"/>
      <c r="B178" s="241"/>
      <c r="C178" s="245" t="str">
        <f>IF(B178="","",IFERROR(VLOOKUP(B178,PERUMAHAN!$A:$B,2,FALSE),"ID tidak ditemukan"))</f>
        <v/>
      </c>
      <c r="D178" s="241"/>
      <c r="E178" s="241"/>
      <c r="F178" s="241"/>
      <c r="G178" s="243"/>
      <c r="H178" s="254"/>
      <c r="I178" s="241"/>
      <c r="J178" s="241"/>
      <c r="K178" s="241"/>
      <c r="L178" s="241"/>
      <c r="M178" s="243"/>
      <c r="N178" s="243"/>
      <c r="O178" s="242"/>
      <c r="P178" s="241"/>
      <c r="Q178" s="241"/>
      <c r="R178" s="241"/>
      <c r="S178" s="244"/>
      <c r="T178" s="244"/>
      <c r="U178"/>
      <c r="AA178"/>
      <c r="AB178"/>
      <c r="AC178"/>
      <c r="AD178"/>
      <c r="AE178"/>
      <c r="AF178"/>
      <c r="AG178"/>
      <c r="AH178"/>
      <c r="AI178"/>
      <c r="AJ178"/>
      <c r="AK178"/>
      <c r="AL178"/>
      <c r="AM178"/>
      <c r="AN178"/>
      <c r="AO178"/>
      <c r="AP178"/>
      <c r="AQ178"/>
      <c r="AR178"/>
    </row>
    <row r="179" spans="1:44" s="239" customFormat="1">
      <c r="A179" s="241"/>
      <c r="B179" s="241"/>
      <c r="C179" s="245" t="str">
        <f>IF(B179="","",IFERROR(VLOOKUP(B179,PERUMAHAN!$A:$B,2,FALSE),"ID tidak ditemukan"))</f>
        <v/>
      </c>
      <c r="D179" s="241"/>
      <c r="E179" s="241"/>
      <c r="F179" s="241"/>
      <c r="G179" s="243"/>
      <c r="H179" s="254"/>
      <c r="I179" s="241"/>
      <c r="J179" s="241"/>
      <c r="K179" s="241"/>
      <c r="L179" s="241"/>
      <c r="M179" s="243"/>
      <c r="N179" s="243"/>
      <c r="O179" s="242"/>
      <c r="P179" s="241"/>
      <c r="Q179" s="241"/>
      <c r="R179" s="241"/>
      <c r="S179" s="244"/>
      <c r="T179" s="244"/>
      <c r="U179"/>
      <c r="AA179"/>
      <c r="AB179"/>
      <c r="AC179"/>
      <c r="AD179"/>
      <c r="AE179"/>
      <c r="AF179"/>
      <c r="AG179"/>
      <c r="AH179"/>
      <c r="AI179"/>
      <c r="AJ179"/>
      <c r="AK179"/>
      <c r="AL179"/>
      <c r="AM179"/>
      <c r="AN179"/>
      <c r="AO179"/>
      <c r="AP179"/>
      <c r="AQ179"/>
      <c r="AR179"/>
    </row>
    <row r="180" spans="1:44" s="239" customFormat="1">
      <c r="A180" s="241"/>
      <c r="B180" s="241"/>
      <c r="C180" s="245" t="str">
        <f>IF(B180="","",IFERROR(VLOOKUP(B180,PERUMAHAN!$A:$B,2,FALSE),"ID tidak ditemukan"))</f>
        <v/>
      </c>
      <c r="D180" s="241"/>
      <c r="E180" s="241"/>
      <c r="F180" s="241"/>
      <c r="G180" s="243"/>
      <c r="H180" s="254"/>
      <c r="I180" s="241"/>
      <c r="J180" s="241"/>
      <c r="K180" s="241"/>
      <c r="L180" s="241"/>
      <c r="M180" s="243"/>
      <c r="N180" s="243"/>
      <c r="O180" s="242"/>
      <c r="P180" s="241"/>
      <c r="Q180" s="241"/>
      <c r="R180" s="241"/>
      <c r="S180" s="244"/>
      <c r="T180" s="244"/>
      <c r="U180"/>
      <c r="AA180"/>
      <c r="AB180"/>
      <c r="AC180"/>
      <c r="AD180"/>
      <c r="AE180"/>
      <c r="AF180"/>
      <c r="AG180"/>
      <c r="AH180"/>
      <c r="AI180"/>
      <c r="AJ180"/>
      <c r="AK180"/>
      <c r="AL180"/>
      <c r="AM180"/>
      <c r="AN180"/>
      <c r="AO180"/>
      <c r="AP180"/>
      <c r="AQ180"/>
      <c r="AR180"/>
    </row>
    <row r="181" spans="1:44" s="239" customFormat="1">
      <c r="A181" s="241"/>
      <c r="B181" s="241"/>
      <c r="C181" s="245" t="str">
        <f>IF(B181="","",IFERROR(VLOOKUP(B181,PERUMAHAN!$A:$B,2,FALSE),"ID tidak ditemukan"))</f>
        <v/>
      </c>
      <c r="D181" s="241"/>
      <c r="E181" s="241"/>
      <c r="F181" s="241"/>
      <c r="G181" s="243"/>
      <c r="H181" s="254"/>
      <c r="I181" s="241"/>
      <c r="J181" s="241"/>
      <c r="K181" s="241"/>
      <c r="L181" s="241"/>
      <c r="M181" s="243"/>
      <c r="N181" s="243"/>
      <c r="O181" s="242"/>
      <c r="P181" s="241"/>
      <c r="Q181" s="241"/>
      <c r="R181" s="241"/>
      <c r="S181" s="244"/>
      <c r="T181" s="244"/>
      <c r="U181"/>
      <c r="AA181"/>
      <c r="AB181"/>
      <c r="AC181"/>
      <c r="AD181"/>
      <c r="AE181"/>
      <c r="AF181"/>
      <c r="AG181"/>
      <c r="AH181"/>
      <c r="AI181"/>
      <c r="AJ181"/>
      <c r="AK181"/>
      <c r="AL181"/>
      <c r="AM181"/>
      <c r="AN181"/>
      <c r="AO181"/>
      <c r="AP181"/>
      <c r="AQ181"/>
      <c r="AR181"/>
    </row>
    <row r="182" spans="1:44" s="239" customFormat="1">
      <c r="A182" s="241"/>
      <c r="B182" s="241"/>
      <c r="C182" s="245" t="str">
        <f>IF(B182="","",IFERROR(VLOOKUP(B182,PERUMAHAN!$A:$B,2,FALSE),"ID tidak ditemukan"))</f>
        <v/>
      </c>
      <c r="D182" s="241"/>
      <c r="E182" s="241"/>
      <c r="F182" s="241"/>
      <c r="G182" s="243"/>
      <c r="H182" s="254"/>
      <c r="I182" s="241"/>
      <c r="J182" s="241"/>
      <c r="K182" s="241"/>
      <c r="L182" s="241"/>
      <c r="M182" s="243"/>
      <c r="N182" s="243"/>
      <c r="O182" s="242"/>
      <c r="P182" s="241"/>
      <c r="Q182" s="241"/>
      <c r="R182" s="241"/>
      <c r="S182" s="244"/>
      <c r="T182" s="244"/>
      <c r="U182"/>
      <c r="AA182"/>
      <c r="AB182"/>
      <c r="AC182"/>
      <c r="AD182"/>
      <c r="AE182"/>
      <c r="AF182"/>
      <c r="AG182"/>
      <c r="AH182"/>
      <c r="AI182"/>
      <c r="AJ182"/>
      <c r="AK182"/>
      <c r="AL182"/>
      <c r="AM182"/>
      <c r="AN182"/>
      <c r="AO182"/>
      <c r="AP182"/>
      <c r="AQ182"/>
      <c r="AR182"/>
    </row>
    <row r="183" spans="1:44" s="239" customFormat="1">
      <c r="A183" s="241"/>
      <c r="B183" s="241"/>
      <c r="C183" s="245" t="str">
        <f>IF(B183="","",IFERROR(VLOOKUP(B183,PERUMAHAN!$A:$B,2,FALSE),"ID tidak ditemukan"))</f>
        <v/>
      </c>
      <c r="D183" s="241"/>
      <c r="E183" s="241"/>
      <c r="F183" s="241"/>
      <c r="G183" s="243"/>
      <c r="H183" s="254"/>
      <c r="I183" s="241"/>
      <c r="J183" s="241"/>
      <c r="K183" s="241"/>
      <c r="L183" s="241"/>
      <c r="M183" s="243"/>
      <c r="N183" s="243"/>
      <c r="O183" s="242"/>
      <c r="P183" s="241"/>
      <c r="Q183" s="241"/>
      <c r="R183" s="241"/>
      <c r="S183" s="244"/>
      <c r="T183" s="244"/>
      <c r="U183"/>
      <c r="AA183"/>
      <c r="AB183"/>
      <c r="AC183"/>
      <c r="AD183"/>
      <c r="AE183"/>
      <c r="AF183"/>
      <c r="AG183"/>
      <c r="AH183"/>
      <c r="AI183"/>
      <c r="AJ183"/>
      <c r="AK183"/>
      <c r="AL183"/>
      <c r="AM183"/>
      <c r="AN183"/>
      <c r="AO183"/>
      <c r="AP183"/>
      <c r="AQ183"/>
      <c r="AR183"/>
    </row>
    <row r="184" spans="1:44" s="239" customFormat="1">
      <c r="A184" s="241"/>
      <c r="B184" s="241"/>
      <c r="C184" s="245" t="str">
        <f>IF(B184="","",IFERROR(VLOOKUP(B184,PERUMAHAN!$A:$B,2,FALSE),"ID tidak ditemukan"))</f>
        <v/>
      </c>
      <c r="D184" s="241"/>
      <c r="E184" s="241"/>
      <c r="F184" s="241"/>
      <c r="G184" s="243"/>
      <c r="H184" s="254"/>
      <c r="I184" s="241"/>
      <c r="J184" s="241"/>
      <c r="K184" s="241"/>
      <c r="L184" s="241"/>
      <c r="M184" s="243"/>
      <c r="N184" s="243"/>
      <c r="O184" s="242"/>
      <c r="P184" s="241"/>
      <c r="Q184" s="241"/>
      <c r="R184" s="241"/>
      <c r="S184" s="244"/>
      <c r="T184" s="244"/>
      <c r="U184"/>
      <c r="AA184"/>
      <c r="AB184"/>
      <c r="AC184"/>
      <c r="AD184"/>
      <c r="AE184"/>
      <c r="AF184"/>
      <c r="AG184"/>
      <c r="AH184"/>
      <c r="AI184"/>
      <c r="AJ184"/>
      <c r="AK184"/>
      <c r="AL184"/>
      <c r="AM184"/>
      <c r="AN184"/>
      <c r="AO184"/>
      <c r="AP184"/>
      <c r="AQ184"/>
      <c r="AR184"/>
    </row>
    <row r="185" spans="1:44" s="239" customFormat="1">
      <c r="A185" s="241"/>
      <c r="B185" s="241"/>
      <c r="C185" s="245" t="str">
        <f>IF(B185="","",IFERROR(VLOOKUP(B185,PERUMAHAN!$A:$B,2,FALSE),"ID tidak ditemukan"))</f>
        <v/>
      </c>
      <c r="D185" s="241"/>
      <c r="E185" s="241"/>
      <c r="F185" s="241"/>
      <c r="G185" s="243"/>
      <c r="H185" s="254"/>
      <c r="I185" s="241"/>
      <c r="J185" s="241"/>
      <c r="K185" s="241"/>
      <c r="L185" s="241"/>
      <c r="M185" s="243"/>
      <c r="N185" s="243"/>
      <c r="O185" s="242"/>
      <c r="P185" s="241"/>
      <c r="Q185" s="241"/>
      <c r="R185" s="241"/>
      <c r="S185" s="244"/>
      <c r="T185" s="244"/>
      <c r="U185"/>
      <c r="AA185"/>
      <c r="AB185"/>
      <c r="AC185"/>
      <c r="AD185"/>
      <c r="AE185"/>
      <c r="AF185"/>
      <c r="AG185"/>
      <c r="AH185"/>
      <c r="AI185"/>
      <c r="AJ185"/>
      <c r="AK185"/>
      <c r="AL185"/>
      <c r="AM185"/>
      <c r="AN185"/>
      <c r="AO185"/>
      <c r="AP185"/>
      <c r="AQ185"/>
      <c r="AR185"/>
    </row>
    <row r="186" spans="1:44" s="239" customFormat="1">
      <c r="A186" s="241"/>
      <c r="B186" s="241"/>
      <c r="C186" s="245" t="str">
        <f>IF(B186="","",IFERROR(VLOOKUP(B186,PERUMAHAN!$A:$B,2,FALSE),"ID tidak ditemukan"))</f>
        <v/>
      </c>
      <c r="D186" s="241"/>
      <c r="E186" s="241"/>
      <c r="F186" s="241"/>
      <c r="G186" s="243"/>
      <c r="H186" s="254"/>
      <c r="I186" s="241"/>
      <c r="J186" s="241"/>
      <c r="K186" s="241"/>
      <c r="L186" s="241"/>
      <c r="M186" s="243"/>
      <c r="N186" s="243"/>
      <c r="O186" s="242"/>
      <c r="P186" s="241"/>
      <c r="Q186" s="241"/>
      <c r="R186" s="241"/>
      <c r="S186" s="244"/>
      <c r="T186" s="244"/>
      <c r="U186"/>
      <c r="AA186"/>
      <c r="AB186"/>
      <c r="AC186"/>
      <c r="AD186"/>
      <c r="AE186"/>
      <c r="AF186"/>
      <c r="AG186"/>
      <c r="AH186"/>
      <c r="AI186"/>
      <c r="AJ186"/>
      <c r="AK186"/>
      <c r="AL186"/>
      <c r="AM186"/>
      <c r="AN186"/>
      <c r="AO186"/>
      <c r="AP186"/>
      <c r="AQ186"/>
      <c r="AR186"/>
    </row>
    <row r="187" spans="1:44" s="239" customFormat="1">
      <c r="A187" s="241"/>
      <c r="B187" s="241"/>
      <c r="C187" s="245" t="str">
        <f>IF(B187="","",IFERROR(VLOOKUP(B187,PERUMAHAN!$A:$B,2,FALSE),"ID tidak ditemukan"))</f>
        <v/>
      </c>
      <c r="D187" s="241"/>
      <c r="E187" s="241"/>
      <c r="F187" s="241"/>
      <c r="G187" s="243"/>
      <c r="H187" s="254"/>
      <c r="I187" s="241"/>
      <c r="J187" s="241"/>
      <c r="K187" s="241"/>
      <c r="L187" s="241"/>
      <c r="M187" s="243"/>
      <c r="N187" s="243"/>
      <c r="O187" s="242"/>
      <c r="P187" s="241"/>
      <c r="Q187" s="241"/>
      <c r="R187" s="241"/>
      <c r="S187" s="244"/>
      <c r="T187" s="244"/>
      <c r="U187"/>
      <c r="AA187"/>
      <c r="AB187"/>
      <c r="AC187"/>
      <c r="AD187"/>
      <c r="AE187"/>
      <c r="AF187"/>
      <c r="AG187"/>
      <c r="AH187"/>
      <c r="AI187"/>
      <c r="AJ187"/>
      <c r="AK187"/>
      <c r="AL187"/>
      <c r="AM187"/>
      <c r="AN187"/>
      <c r="AO187"/>
      <c r="AP187"/>
      <c r="AQ187"/>
      <c r="AR187"/>
    </row>
    <row r="188" spans="1:44" s="239" customFormat="1">
      <c r="A188" s="241"/>
      <c r="B188" s="241"/>
      <c r="C188" s="245" t="str">
        <f>IF(B188="","",IFERROR(VLOOKUP(B188,PERUMAHAN!$A:$B,2,FALSE),"ID tidak ditemukan"))</f>
        <v/>
      </c>
      <c r="D188" s="241"/>
      <c r="E188" s="241"/>
      <c r="F188" s="241"/>
      <c r="G188" s="243"/>
      <c r="H188" s="254"/>
      <c r="I188" s="241"/>
      <c r="J188" s="241"/>
      <c r="K188" s="241"/>
      <c r="L188" s="241"/>
      <c r="M188" s="243"/>
      <c r="N188" s="243"/>
      <c r="O188" s="242"/>
      <c r="P188" s="241"/>
      <c r="Q188" s="241"/>
      <c r="R188" s="241"/>
      <c r="S188" s="244"/>
      <c r="T188" s="244"/>
      <c r="U188"/>
      <c r="AA188"/>
      <c r="AB188"/>
      <c r="AC188"/>
      <c r="AD188"/>
      <c r="AE188"/>
      <c r="AF188"/>
      <c r="AG188"/>
      <c r="AH188"/>
      <c r="AI188"/>
      <c r="AJ188"/>
      <c r="AK188"/>
      <c r="AL188"/>
      <c r="AM188"/>
      <c r="AN188"/>
      <c r="AO188"/>
      <c r="AP188"/>
      <c r="AQ188"/>
      <c r="AR188"/>
    </row>
    <row r="189" spans="1:44" s="239" customFormat="1">
      <c r="A189" s="241"/>
      <c r="B189" s="241"/>
      <c r="C189" s="245" t="str">
        <f>IF(B189="","",IFERROR(VLOOKUP(B189,PERUMAHAN!$A:$B,2,FALSE),"ID tidak ditemukan"))</f>
        <v/>
      </c>
      <c r="D189" s="241"/>
      <c r="E189" s="241"/>
      <c r="F189" s="241"/>
      <c r="G189" s="243"/>
      <c r="H189" s="254"/>
      <c r="I189" s="241"/>
      <c r="J189" s="241"/>
      <c r="K189" s="241"/>
      <c r="L189" s="241"/>
      <c r="M189" s="243"/>
      <c r="N189" s="243"/>
      <c r="O189" s="242"/>
      <c r="P189" s="241"/>
      <c r="Q189" s="241"/>
      <c r="R189" s="241"/>
      <c r="S189" s="244"/>
      <c r="T189" s="244"/>
      <c r="U189"/>
      <c r="AA189"/>
      <c r="AB189"/>
      <c r="AC189"/>
      <c r="AD189"/>
      <c r="AE189"/>
      <c r="AF189"/>
      <c r="AG189"/>
      <c r="AH189"/>
      <c r="AI189"/>
      <c r="AJ189"/>
      <c r="AK189"/>
      <c r="AL189"/>
      <c r="AM189"/>
      <c r="AN189"/>
      <c r="AO189"/>
      <c r="AP189"/>
      <c r="AQ189"/>
      <c r="AR189"/>
    </row>
    <row r="190" spans="1:44" s="239" customFormat="1">
      <c r="A190" s="241"/>
      <c r="B190" s="241"/>
      <c r="C190" s="245" t="str">
        <f>IF(B190="","",IFERROR(VLOOKUP(B190,PERUMAHAN!$A:$B,2,FALSE),"ID tidak ditemukan"))</f>
        <v/>
      </c>
      <c r="D190" s="241"/>
      <c r="E190" s="241"/>
      <c r="F190" s="241"/>
      <c r="G190" s="243"/>
      <c r="H190" s="254"/>
      <c r="I190" s="241"/>
      <c r="J190" s="241"/>
      <c r="K190" s="241"/>
      <c r="L190" s="241"/>
      <c r="M190" s="243"/>
      <c r="N190" s="243"/>
      <c r="O190" s="242"/>
      <c r="P190" s="241"/>
      <c r="Q190" s="241"/>
      <c r="R190" s="241"/>
      <c r="S190" s="244"/>
      <c r="T190" s="244"/>
      <c r="U190"/>
      <c r="AA190"/>
      <c r="AB190"/>
      <c r="AC190"/>
      <c r="AD190"/>
      <c r="AE190"/>
      <c r="AF190"/>
      <c r="AG190"/>
      <c r="AH190"/>
      <c r="AI190"/>
      <c r="AJ190"/>
      <c r="AK190"/>
      <c r="AL190"/>
      <c r="AM190"/>
      <c r="AN190"/>
      <c r="AO190"/>
      <c r="AP190"/>
      <c r="AQ190"/>
      <c r="AR190"/>
    </row>
    <row r="191" spans="1:44" s="239" customFormat="1">
      <c r="A191" s="241"/>
      <c r="B191" s="241"/>
      <c r="C191" s="245" t="str">
        <f>IF(B191="","",IFERROR(VLOOKUP(B191,PERUMAHAN!$A:$B,2,FALSE),"ID tidak ditemukan"))</f>
        <v/>
      </c>
      <c r="D191" s="241"/>
      <c r="E191" s="241"/>
      <c r="F191" s="241"/>
      <c r="G191" s="243"/>
      <c r="H191" s="254"/>
      <c r="I191" s="241"/>
      <c r="J191" s="241"/>
      <c r="K191" s="241"/>
      <c r="L191" s="241"/>
      <c r="M191" s="243"/>
      <c r="N191" s="243"/>
      <c r="O191" s="242"/>
      <c r="P191" s="241"/>
      <c r="Q191" s="241"/>
      <c r="R191" s="241"/>
      <c r="S191" s="244"/>
      <c r="T191" s="244"/>
      <c r="U191"/>
      <c r="AA191"/>
      <c r="AB191"/>
      <c r="AC191"/>
      <c r="AD191"/>
      <c r="AE191"/>
      <c r="AF191"/>
      <c r="AG191"/>
      <c r="AH191"/>
      <c r="AI191"/>
      <c r="AJ191"/>
      <c r="AK191"/>
      <c r="AL191"/>
      <c r="AM191"/>
      <c r="AN191"/>
      <c r="AO191"/>
      <c r="AP191"/>
      <c r="AQ191"/>
      <c r="AR191"/>
    </row>
    <row r="192" spans="1:44" s="239" customFormat="1">
      <c r="A192" s="241"/>
      <c r="B192" s="241"/>
      <c r="C192" s="245" t="str">
        <f>IF(B192="","",IFERROR(VLOOKUP(B192,PERUMAHAN!$A:$B,2,FALSE),"ID tidak ditemukan"))</f>
        <v/>
      </c>
      <c r="D192" s="241"/>
      <c r="E192" s="241"/>
      <c r="F192" s="241"/>
      <c r="G192" s="243"/>
      <c r="H192" s="254"/>
      <c r="I192" s="241"/>
      <c r="J192" s="241"/>
      <c r="K192" s="241"/>
      <c r="L192" s="241"/>
      <c r="M192" s="243"/>
      <c r="N192" s="243"/>
      <c r="O192" s="242"/>
      <c r="P192" s="241"/>
      <c r="Q192" s="241"/>
      <c r="R192" s="241"/>
      <c r="S192" s="244"/>
      <c r="T192" s="244"/>
      <c r="U192"/>
      <c r="AA192"/>
      <c r="AB192"/>
      <c r="AC192"/>
      <c r="AD192"/>
      <c r="AE192"/>
      <c r="AF192"/>
      <c r="AG192"/>
      <c r="AH192"/>
      <c r="AI192"/>
      <c r="AJ192"/>
      <c r="AK192"/>
      <c r="AL192"/>
      <c r="AM192"/>
      <c r="AN192"/>
      <c r="AO192"/>
      <c r="AP192"/>
      <c r="AQ192"/>
      <c r="AR192"/>
    </row>
    <row r="193" spans="1:44" s="239" customFormat="1">
      <c r="A193" s="241"/>
      <c r="B193" s="241"/>
      <c r="C193" s="245" t="str">
        <f>IF(B193="","",IFERROR(VLOOKUP(B193,PERUMAHAN!$A:$B,2,FALSE),"ID tidak ditemukan"))</f>
        <v/>
      </c>
      <c r="D193" s="241"/>
      <c r="E193" s="241"/>
      <c r="F193" s="241"/>
      <c r="G193" s="243"/>
      <c r="H193" s="254"/>
      <c r="I193" s="241"/>
      <c r="J193" s="241"/>
      <c r="K193" s="241"/>
      <c r="L193" s="241"/>
      <c r="M193" s="243"/>
      <c r="N193" s="243"/>
      <c r="O193" s="242"/>
      <c r="P193" s="241"/>
      <c r="Q193" s="241"/>
      <c r="R193" s="241"/>
      <c r="S193" s="244"/>
      <c r="T193" s="244"/>
      <c r="U193"/>
      <c r="AA193"/>
      <c r="AB193"/>
      <c r="AC193"/>
      <c r="AD193"/>
      <c r="AE193"/>
      <c r="AF193"/>
      <c r="AG193"/>
      <c r="AH193"/>
      <c r="AI193"/>
      <c r="AJ193"/>
      <c r="AK193"/>
      <c r="AL193"/>
      <c r="AM193"/>
      <c r="AN193"/>
      <c r="AO193"/>
      <c r="AP193"/>
      <c r="AQ193"/>
      <c r="AR193"/>
    </row>
    <row r="194" spans="1:44" s="239" customFormat="1">
      <c r="A194" s="241"/>
      <c r="B194" s="241"/>
      <c r="C194" s="245" t="str">
        <f>IF(B194="","",IFERROR(VLOOKUP(B194,PERUMAHAN!$A:$B,2,FALSE),"ID tidak ditemukan"))</f>
        <v/>
      </c>
      <c r="D194" s="241"/>
      <c r="E194" s="241"/>
      <c r="F194" s="241"/>
      <c r="G194" s="243"/>
      <c r="H194" s="254"/>
      <c r="I194" s="241"/>
      <c r="J194" s="241"/>
      <c r="K194" s="241"/>
      <c r="L194" s="241"/>
      <c r="M194" s="243"/>
      <c r="N194" s="243"/>
      <c r="O194" s="242"/>
      <c r="P194" s="241"/>
      <c r="Q194" s="241"/>
      <c r="R194" s="241"/>
      <c r="S194" s="244"/>
      <c r="T194" s="244"/>
      <c r="U194"/>
      <c r="AA194"/>
      <c r="AB194"/>
      <c r="AC194"/>
      <c r="AD194"/>
      <c r="AE194"/>
      <c r="AF194"/>
      <c r="AG194"/>
      <c r="AH194"/>
      <c r="AI194"/>
      <c r="AJ194"/>
      <c r="AK194"/>
      <c r="AL194"/>
      <c r="AM194"/>
      <c r="AN194"/>
      <c r="AO194"/>
      <c r="AP194"/>
      <c r="AQ194"/>
      <c r="AR194"/>
    </row>
    <row r="195" spans="1:44" s="239" customFormat="1">
      <c r="A195" s="241"/>
      <c r="B195" s="241"/>
      <c r="C195" s="245" t="str">
        <f>IF(B195="","",IFERROR(VLOOKUP(B195,PERUMAHAN!$A:$B,2,FALSE),"ID tidak ditemukan"))</f>
        <v/>
      </c>
      <c r="D195" s="241"/>
      <c r="E195" s="241"/>
      <c r="F195" s="241"/>
      <c r="G195" s="243"/>
      <c r="H195" s="254"/>
      <c r="I195" s="241"/>
      <c r="J195" s="241"/>
      <c r="K195" s="241"/>
      <c r="L195" s="241"/>
      <c r="M195" s="243"/>
      <c r="N195" s="243"/>
      <c r="O195" s="242"/>
      <c r="P195" s="241"/>
      <c r="Q195" s="241"/>
      <c r="R195" s="241"/>
      <c r="S195" s="244"/>
      <c r="T195" s="244"/>
      <c r="U195"/>
      <c r="AA195"/>
      <c r="AB195"/>
      <c r="AC195"/>
      <c r="AD195"/>
      <c r="AE195"/>
      <c r="AF195"/>
      <c r="AG195"/>
      <c r="AH195"/>
      <c r="AI195"/>
      <c r="AJ195"/>
      <c r="AK195"/>
      <c r="AL195"/>
      <c r="AM195"/>
      <c r="AN195"/>
      <c r="AO195"/>
      <c r="AP195"/>
      <c r="AQ195"/>
      <c r="AR195"/>
    </row>
    <row r="196" spans="1:44" s="239" customFormat="1">
      <c r="A196" s="241"/>
      <c r="B196" s="241"/>
      <c r="C196" s="245" t="str">
        <f>IF(B196="","",IFERROR(VLOOKUP(B196,PERUMAHAN!$A:$B,2,FALSE),"ID tidak ditemukan"))</f>
        <v/>
      </c>
      <c r="D196" s="241"/>
      <c r="E196" s="241"/>
      <c r="F196" s="241"/>
      <c r="G196" s="243"/>
      <c r="H196" s="254"/>
      <c r="I196" s="241"/>
      <c r="J196" s="241"/>
      <c r="K196" s="241"/>
      <c r="L196" s="241"/>
      <c r="M196" s="243"/>
      <c r="N196" s="243"/>
      <c r="O196" s="242"/>
      <c r="P196" s="241"/>
      <c r="Q196" s="241"/>
      <c r="R196" s="241"/>
      <c r="S196" s="244"/>
      <c r="T196" s="244"/>
      <c r="U196"/>
      <c r="AA196"/>
      <c r="AB196"/>
      <c r="AC196"/>
      <c r="AD196"/>
      <c r="AE196"/>
      <c r="AF196"/>
      <c r="AG196"/>
      <c r="AH196"/>
      <c r="AI196"/>
      <c r="AJ196"/>
      <c r="AK196"/>
      <c r="AL196"/>
      <c r="AM196"/>
      <c r="AN196"/>
      <c r="AO196"/>
      <c r="AP196"/>
      <c r="AQ196"/>
      <c r="AR196"/>
    </row>
    <row r="197" spans="1:44" s="239" customFormat="1">
      <c r="A197" s="241"/>
      <c r="B197" s="241"/>
      <c r="C197" s="245" t="str">
        <f>IF(B197="","",IFERROR(VLOOKUP(B197,PERUMAHAN!$A:$B,2,FALSE),"ID tidak ditemukan"))</f>
        <v/>
      </c>
      <c r="D197" s="241"/>
      <c r="E197" s="241"/>
      <c r="F197" s="241"/>
      <c r="G197" s="243"/>
      <c r="H197" s="254"/>
      <c r="I197" s="241"/>
      <c r="J197" s="241"/>
      <c r="K197" s="241"/>
      <c r="L197" s="241"/>
      <c r="M197" s="243"/>
      <c r="N197" s="243"/>
      <c r="O197" s="242"/>
      <c r="P197" s="241"/>
      <c r="Q197" s="241"/>
      <c r="R197" s="241"/>
      <c r="S197" s="244"/>
      <c r="T197" s="244"/>
      <c r="U197"/>
      <c r="AA197"/>
      <c r="AB197"/>
      <c r="AC197"/>
      <c r="AD197"/>
      <c r="AE197"/>
      <c r="AF197"/>
      <c r="AG197"/>
      <c r="AH197"/>
      <c r="AI197"/>
      <c r="AJ197"/>
      <c r="AK197"/>
      <c r="AL197"/>
      <c r="AM197"/>
      <c r="AN197"/>
      <c r="AO197"/>
      <c r="AP197"/>
      <c r="AQ197"/>
      <c r="AR197"/>
    </row>
    <row r="198" spans="1:44" s="239" customFormat="1">
      <c r="A198" s="241"/>
      <c r="B198" s="241"/>
      <c r="C198" s="245" t="str">
        <f>IF(B198="","",IFERROR(VLOOKUP(B198,PERUMAHAN!$A:$B,2,FALSE),"ID tidak ditemukan"))</f>
        <v/>
      </c>
      <c r="D198" s="241"/>
      <c r="E198" s="241"/>
      <c r="F198" s="241"/>
      <c r="G198" s="243"/>
      <c r="H198" s="254"/>
      <c r="I198" s="241"/>
      <c r="J198" s="241"/>
      <c r="K198" s="241"/>
      <c r="L198" s="241"/>
      <c r="M198" s="243"/>
      <c r="N198" s="243"/>
      <c r="O198" s="242"/>
      <c r="P198" s="241"/>
      <c r="Q198" s="241"/>
      <c r="R198" s="241"/>
      <c r="S198" s="244"/>
      <c r="T198" s="244"/>
      <c r="U198"/>
      <c r="AA198"/>
      <c r="AB198"/>
      <c r="AC198"/>
      <c r="AD198"/>
      <c r="AE198"/>
      <c r="AF198"/>
      <c r="AG198"/>
      <c r="AH198"/>
      <c r="AI198"/>
      <c r="AJ198"/>
      <c r="AK198"/>
      <c r="AL198"/>
      <c r="AM198"/>
      <c r="AN198"/>
      <c r="AO198"/>
      <c r="AP198"/>
      <c r="AQ198"/>
      <c r="AR198"/>
    </row>
    <row r="199" spans="1:44" s="239" customFormat="1">
      <c r="A199" s="241"/>
      <c r="B199" s="241"/>
      <c r="C199" s="245" t="str">
        <f>IF(B199="","",IFERROR(VLOOKUP(B199,PERUMAHAN!$A:$B,2,FALSE),"ID tidak ditemukan"))</f>
        <v/>
      </c>
      <c r="D199" s="241"/>
      <c r="E199" s="241"/>
      <c r="F199" s="241"/>
      <c r="G199" s="243"/>
      <c r="H199" s="254"/>
      <c r="I199" s="241"/>
      <c r="J199" s="241"/>
      <c r="K199" s="241"/>
      <c r="L199" s="241"/>
      <c r="M199" s="243"/>
      <c r="N199" s="243"/>
      <c r="O199" s="242"/>
      <c r="P199" s="241"/>
      <c r="Q199" s="241"/>
      <c r="R199" s="241"/>
      <c r="S199" s="244"/>
      <c r="T199" s="244"/>
      <c r="U199"/>
      <c r="AA199"/>
      <c r="AB199"/>
      <c r="AC199"/>
      <c r="AD199"/>
      <c r="AE199"/>
      <c r="AF199"/>
      <c r="AG199"/>
      <c r="AH199"/>
      <c r="AI199"/>
      <c r="AJ199"/>
      <c r="AK199"/>
      <c r="AL199"/>
      <c r="AM199"/>
      <c r="AN199"/>
      <c r="AO199"/>
      <c r="AP199"/>
      <c r="AQ199"/>
      <c r="AR199"/>
    </row>
    <row r="200" spans="1:44" s="239" customFormat="1">
      <c r="A200" s="241"/>
      <c r="B200" s="241"/>
      <c r="C200" s="245" t="str">
        <f>IF(B200="","",IFERROR(VLOOKUP(B200,PERUMAHAN!$A:$B,2,FALSE),"ID tidak ditemukan"))</f>
        <v/>
      </c>
      <c r="D200" s="241"/>
      <c r="E200" s="241"/>
      <c r="F200" s="241"/>
      <c r="G200" s="243"/>
      <c r="H200" s="254"/>
      <c r="I200" s="241"/>
      <c r="J200" s="241"/>
      <c r="K200" s="241"/>
      <c r="L200" s="241"/>
      <c r="M200" s="243"/>
      <c r="N200" s="243"/>
      <c r="O200" s="242"/>
      <c r="P200" s="241"/>
      <c r="Q200" s="241"/>
      <c r="R200" s="241"/>
      <c r="S200" s="244"/>
      <c r="T200" s="244"/>
      <c r="U200"/>
      <c r="AA200"/>
      <c r="AB200"/>
      <c r="AC200"/>
      <c r="AD200"/>
      <c r="AE200"/>
      <c r="AF200"/>
      <c r="AG200"/>
      <c r="AH200"/>
      <c r="AI200"/>
      <c r="AJ200"/>
      <c r="AK200"/>
      <c r="AL200"/>
      <c r="AM200"/>
      <c r="AN200"/>
      <c r="AO200"/>
      <c r="AP200"/>
      <c r="AQ200"/>
      <c r="AR200"/>
    </row>
    <row r="201" spans="1:44" s="239" customFormat="1">
      <c r="A201" s="241"/>
      <c r="B201" s="241"/>
      <c r="C201" s="245" t="str">
        <f>IF(B201="","",IFERROR(VLOOKUP(B201,PERUMAHAN!$A:$B,2,FALSE),"ID tidak ditemukan"))</f>
        <v/>
      </c>
      <c r="D201" s="241"/>
      <c r="E201" s="241"/>
      <c r="F201" s="241"/>
      <c r="G201" s="243"/>
      <c r="H201" s="254"/>
      <c r="I201" s="241"/>
      <c r="J201" s="241"/>
      <c r="K201" s="241"/>
      <c r="L201" s="241"/>
      <c r="M201" s="243"/>
      <c r="N201" s="243"/>
      <c r="O201" s="242"/>
      <c r="P201" s="241"/>
      <c r="Q201" s="241"/>
      <c r="R201" s="241"/>
      <c r="S201" s="244"/>
      <c r="T201" s="244"/>
      <c r="U201"/>
      <c r="AA201"/>
      <c r="AB201"/>
      <c r="AC201"/>
      <c r="AD201"/>
      <c r="AE201"/>
      <c r="AF201"/>
      <c r="AG201"/>
      <c r="AH201"/>
      <c r="AI201"/>
      <c r="AJ201"/>
      <c r="AK201"/>
      <c r="AL201"/>
      <c r="AM201"/>
      <c r="AN201"/>
      <c r="AO201"/>
      <c r="AP201"/>
      <c r="AQ201"/>
      <c r="AR201"/>
    </row>
    <row r="202" spans="1:44" s="239" customFormat="1">
      <c r="A202" s="241"/>
      <c r="B202" s="241"/>
      <c r="C202" s="245" t="str">
        <f>IF(B202="","",IFERROR(VLOOKUP(B202,PERUMAHAN!$A:$B,2,FALSE),"ID tidak ditemukan"))</f>
        <v/>
      </c>
      <c r="D202" s="241"/>
      <c r="E202" s="241"/>
      <c r="F202" s="241"/>
      <c r="G202" s="243"/>
      <c r="H202" s="254"/>
      <c r="I202" s="241"/>
      <c r="J202" s="241"/>
      <c r="K202" s="241"/>
      <c r="L202" s="241"/>
      <c r="M202" s="243"/>
      <c r="N202" s="243"/>
      <c r="O202" s="242"/>
      <c r="P202" s="241"/>
      <c r="Q202" s="241"/>
      <c r="R202" s="241"/>
      <c r="S202" s="244"/>
      <c r="T202" s="244"/>
      <c r="U202"/>
      <c r="AA202"/>
      <c r="AB202"/>
      <c r="AC202"/>
      <c r="AD202"/>
      <c r="AE202"/>
      <c r="AF202"/>
      <c r="AG202"/>
      <c r="AH202"/>
      <c r="AI202"/>
      <c r="AJ202"/>
      <c r="AK202"/>
      <c r="AL202"/>
      <c r="AM202"/>
      <c r="AN202"/>
      <c r="AO202"/>
      <c r="AP202"/>
      <c r="AQ202"/>
      <c r="AR202"/>
    </row>
    <row r="203" spans="1:44" s="239" customFormat="1">
      <c r="A203" s="241"/>
      <c r="B203" s="241"/>
      <c r="C203" s="245" t="str">
        <f>IF(B203="","",IFERROR(VLOOKUP(B203,PERUMAHAN!$A:$B,2,FALSE),"ID tidak ditemukan"))</f>
        <v/>
      </c>
      <c r="D203" s="241"/>
      <c r="E203" s="241"/>
      <c r="F203" s="241"/>
      <c r="G203" s="243"/>
      <c r="H203" s="254"/>
      <c r="I203" s="241"/>
      <c r="J203" s="241"/>
      <c r="K203" s="241"/>
      <c r="L203" s="241"/>
      <c r="M203" s="243"/>
      <c r="N203" s="243"/>
      <c r="O203" s="242"/>
      <c r="P203" s="241"/>
      <c r="Q203" s="241"/>
      <c r="R203" s="241"/>
      <c r="S203" s="244"/>
      <c r="T203" s="244"/>
      <c r="U203"/>
      <c r="AA203"/>
      <c r="AB203"/>
      <c r="AC203"/>
      <c r="AD203"/>
      <c r="AE203"/>
      <c r="AF203"/>
      <c r="AG203"/>
      <c r="AH203"/>
      <c r="AI203"/>
      <c r="AJ203"/>
      <c r="AK203"/>
      <c r="AL203"/>
      <c r="AM203"/>
      <c r="AN203"/>
      <c r="AO203"/>
      <c r="AP203"/>
      <c r="AQ203"/>
      <c r="AR203"/>
    </row>
    <row r="204" spans="1:44" s="239" customFormat="1">
      <c r="A204" s="241"/>
      <c r="B204" s="241"/>
      <c r="C204" s="245" t="str">
        <f>IF(B204="","",IFERROR(VLOOKUP(B204,PERUMAHAN!$A:$B,2,FALSE),"ID tidak ditemukan"))</f>
        <v/>
      </c>
      <c r="D204" s="241"/>
      <c r="E204" s="241"/>
      <c r="F204" s="241"/>
      <c r="G204" s="243"/>
      <c r="H204" s="254"/>
      <c r="I204" s="241"/>
      <c r="J204" s="241"/>
      <c r="K204" s="241"/>
      <c r="L204" s="241"/>
      <c r="M204" s="243"/>
      <c r="N204" s="243"/>
      <c r="O204" s="242"/>
      <c r="P204" s="241"/>
      <c r="Q204" s="241"/>
      <c r="R204" s="241"/>
      <c r="S204" s="244"/>
      <c r="T204" s="244"/>
      <c r="U204"/>
      <c r="AA204"/>
      <c r="AB204"/>
      <c r="AC204"/>
      <c r="AD204"/>
      <c r="AE204"/>
      <c r="AF204"/>
      <c r="AG204"/>
      <c r="AH204"/>
      <c r="AI204"/>
      <c r="AJ204"/>
      <c r="AK204"/>
      <c r="AL204"/>
      <c r="AM204"/>
      <c r="AN204"/>
      <c r="AO204"/>
      <c r="AP204"/>
      <c r="AQ204"/>
      <c r="AR204"/>
    </row>
    <row r="205" spans="1:44" s="239" customFormat="1">
      <c r="A205" s="241"/>
      <c r="B205" s="241"/>
      <c r="C205" s="245" t="str">
        <f>IF(B205="","",IFERROR(VLOOKUP(B205,PERUMAHAN!$A:$B,2,FALSE),"ID tidak ditemukan"))</f>
        <v/>
      </c>
      <c r="D205" s="241"/>
      <c r="E205" s="241"/>
      <c r="F205" s="241"/>
      <c r="G205" s="243"/>
      <c r="H205" s="254"/>
      <c r="I205" s="241"/>
      <c r="J205" s="241"/>
      <c r="K205" s="241"/>
      <c r="L205" s="241"/>
      <c r="M205" s="243"/>
      <c r="N205" s="243"/>
      <c r="O205" s="242"/>
      <c r="P205" s="241"/>
      <c r="Q205" s="241"/>
      <c r="R205" s="241"/>
      <c r="S205" s="244"/>
      <c r="T205" s="244"/>
      <c r="U205"/>
      <c r="AA205"/>
      <c r="AB205"/>
      <c r="AC205"/>
      <c r="AD205"/>
      <c r="AE205"/>
      <c r="AF205"/>
      <c r="AG205"/>
      <c r="AH205"/>
      <c r="AI205"/>
      <c r="AJ205"/>
      <c r="AK205"/>
      <c r="AL205"/>
      <c r="AM205"/>
      <c r="AN205"/>
      <c r="AO205"/>
      <c r="AP205"/>
      <c r="AQ205"/>
      <c r="AR205"/>
    </row>
    <row r="206" spans="1:44" s="239" customFormat="1">
      <c r="A206" s="241"/>
      <c r="B206" s="241"/>
      <c r="C206" s="245" t="str">
        <f>IF(B206="","",IFERROR(VLOOKUP(B206,PERUMAHAN!$A:$B,2,FALSE),"ID tidak ditemukan"))</f>
        <v/>
      </c>
      <c r="D206" s="241"/>
      <c r="E206" s="241"/>
      <c r="F206" s="241"/>
      <c r="G206" s="243"/>
      <c r="H206" s="254"/>
      <c r="I206" s="241"/>
      <c r="J206" s="241"/>
      <c r="K206" s="241"/>
      <c r="L206" s="241"/>
      <c r="M206" s="243"/>
      <c r="N206" s="243"/>
      <c r="O206" s="242"/>
      <c r="P206" s="241"/>
      <c r="Q206" s="241"/>
      <c r="R206" s="241"/>
      <c r="S206" s="244"/>
      <c r="T206" s="244"/>
      <c r="U206"/>
      <c r="AA206"/>
      <c r="AB206"/>
      <c r="AC206"/>
      <c r="AD206"/>
      <c r="AE206"/>
      <c r="AF206"/>
      <c r="AG206"/>
      <c r="AH206"/>
      <c r="AI206"/>
      <c r="AJ206"/>
      <c r="AK206"/>
      <c r="AL206"/>
      <c r="AM206"/>
      <c r="AN206"/>
      <c r="AO206"/>
      <c r="AP206"/>
      <c r="AQ206"/>
      <c r="AR206"/>
    </row>
    <row r="207" spans="1:44" s="239" customFormat="1">
      <c r="A207" s="241"/>
      <c r="B207" s="241"/>
      <c r="C207" s="245" t="str">
        <f>IF(B207="","",IFERROR(VLOOKUP(B207,PERUMAHAN!$A:$B,2,FALSE),"ID tidak ditemukan"))</f>
        <v/>
      </c>
      <c r="D207" s="241"/>
      <c r="E207" s="241"/>
      <c r="F207" s="241"/>
      <c r="G207" s="243"/>
      <c r="H207" s="254"/>
      <c r="I207" s="241"/>
      <c r="J207" s="241"/>
      <c r="K207" s="241"/>
      <c r="L207" s="241"/>
      <c r="M207" s="243"/>
      <c r="N207" s="243"/>
      <c r="O207" s="242"/>
      <c r="P207" s="241"/>
      <c r="Q207" s="241"/>
      <c r="R207" s="241"/>
      <c r="S207" s="244"/>
      <c r="T207" s="244"/>
      <c r="U207"/>
      <c r="AA207"/>
      <c r="AB207"/>
      <c r="AC207"/>
      <c r="AD207"/>
      <c r="AE207"/>
      <c r="AF207"/>
      <c r="AG207"/>
      <c r="AH207"/>
      <c r="AI207"/>
      <c r="AJ207"/>
      <c r="AK207"/>
      <c r="AL207"/>
      <c r="AM207"/>
      <c r="AN207"/>
      <c r="AO207"/>
      <c r="AP207"/>
      <c r="AQ207"/>
      <c r="AR207"/>
    </row>
    <row r="208" spans="1:44" s="239" customFormat="1">
      <c r="A208" s="241"/>
      <c r="B208" s="241"/>
      <c r="C208" s="245" t="str">
        <f>IF(B208="","",IFERROR(VLOOKUP(B208,PERUMAHAN!$A:$B,2,FALSE),"ID tidak ditemukan"))</f>
        <v/>
      </c>
      <c r="D208" s="241"/>
      <c r="E208" s="241"/>
      <c r="F208" s="241"/>
      <c r="G208" s="243"/>
      <c r="H208" s="254"/>
      <c r="I208" s="241"/>
      <c r="J208" s="241"/>
      <c r="K208" s="241"/>
      <c r="L208" s="241"/>
      <c r="M208" s="243"/>
      <c r="N208" s="243"/>
      <c r="O208" s="242"/>
      <c r="P208" s="241"/>
      <c r="Q208" s="241"/>
      <c r="R208" s="241"/>
      <c r="S208" s="244"/>
      <c r="T208" s="244"/>
      <c r="U208"/>
      <c r="AA208"/>
      <c r="AB208"/>
      <c r="AC208"/>
      <c r="AD208"/>
      <c r="AE208"/>
      <c r="AF208"/>
      <c r="AG208"/>
      <c r="AH208"/>
      <c r="AI208"/>
      <c r="AJ208"/>
      <c r="AK208"/>
      <c r="AL208"/>
      <c r="AM208"/>
      <c r="AN208"/>
      <c r="AO208"/>
      <c r="AP208"/>
      <c r="AQ208"/>
      <c r="AR208"/>
    </row>
    <row r="209" spans="1:44" s="239" customFormat="1">
      <c r="A209" s="241"/>
      <c r="B209" s="241"/>
      <c r="C209" s="245" t="str">
        <f>IF(B209="","",IFERROR(VLOOKUP(B209,PERUMAHAN!$A:$B,2,FALSE),"ID tidak ditemukan"))</f>
        <v/>
      </c>
      <c r="D209" s="241"/>
      <c r="E209" s="241"/>
      <c r="F209" s="241"/>
      <c r="G209" s="243"/>
      <c r="H209" s="254"/>
      <c r="I209" s="241"/>
      <c r="J209" s="241"/>
      <c r="K209" s="241"/>
      <c r="L209" s="241"/>
      <c r="M209" s="243"/>
      <c r="N209" s="243"/>
      <c r="O209" s="242"/>
      <c r="P209" s="241"/>
      <c r="Q209" s="241"/>
      <c r="R209" s="241"/>
      <c r="S209" s="244"/>
      <c r="T209" s="244"/>
      <c r="U209"/>
      <c r="AA209"/>
      <c r="AB209"/>
      <c r="AC209"/>
      <c r="AD209"/>
      <c r="AE209"/>
      <c r="AF209"/>
      <c r="AG209"/>
      <c r="AH209"/>
      <c r="AI209"/>
      <c r="AJ209"/>
      <c r="AK209"/>
      <c r="AL209"/>
      <c r="AM209"/>
      <c r="AN209"/>
      <c r="AO209"/>
      <c r="AP209"/>
      <c r="AQ209"/>
      <c r="AR209"/>
    </row>
    <row r="210" spans="1:44" s="239" customFormat="1">
      <c r="A210" s="241"/>
      <c r="B210" s="241"/>
      <c r="C210" s="245" t="str">
        <f>IF(B210="","",IFERROR(VLOOKUP(B210,PERUMAHAN!$A:$B,2,FALSE),"ID tidak ditemukan"))</f>
        <v/>
      </c>
      <c r="D210" s="241"/>
      <c r="E210" s="241"/>
      <c r="F210" s="241"/>
      <c r="G210" s="243"/>
      <c r="H210" s="254"/>
      <c r="I210" s="241"/>
      <c r="J210" s="241"/>
      <c r="K210" s="241"/>
      <c r="L210" s="241"/>
      <c r="M210" s="243"/>
      <c r="N210" s="243"/>
      <c r="O210" s="242"/>
      <c r="P210" s="241"/>
      <c r="Q210" s="241"/>
      <c r="R210" s="241"/>
      <c r="S210" s="244"/>
      <c r="T210" s="244"/>
      <c r="U210"/>
      <c r="AA210"/>
      <c r="AB210"/>
      <c r="AC210"/>
      <c r="AD210"/>
      <c r="AE210"/>
      <c r="AF210"/>
      <c r="AG210"/>
      <c r="AH210"/>
      <c r="AI210"/>
      <c r="AJ210"/>
      <c r="AK210"/>
      <c r="AL210"/>
      <c r="AM210"/>
      <c r="AN210"/>
      <c r="AO210"/>
      <c r="AP210"/>
      <c r="AQ210"/>
      <c r="AR210"/>
    </row>
    <row r="211" spans="1:44" s="239" customFormat="1">
      <c r="A211" s="241"/>
      <c r="B211" s="241"/>
      <c r="C211" s="245" t="str">
        <f>IF(B211="","",IFERROR(VLOOKUP(B211,PERUMAHAN!$A:$B,2,FALSE),"ID tidak ditemukan"))</f>
        <v/>
      </c>
      <c r="D211" s="241"/>
      <c r="E211" s="241"/>
      <c r="F211" s="241"/>
      <c r="G211" s="243"/>
      <c r="H211" s="254"/>
      <c r="I211" s="241"/>
      <c r="J211" s="241"/>
      <c r="K211" s="241"/>
      <c r="L211" s="241"/>
      <c r="M211" s="243"/>
      <c r="N211" s="243"/>
      <c r="O211" s="242"/>
      <c r="P211" s="241"/>
      <c r="Q211" s="241"/>
      <c r="R211" s="241"/>
      <c r="S211" s="244"/>
      <c r="T211" s="244"/>
      <c r="U211"/>
      <c r="AA211"/>
      <c r="AB211"/>
      <c r="AC211"/>
      <c r="AD211"/>
      <c r="AE211"/>
      <c r="AF211"/>
      <c r="AG211"/>
      <c r="AH211"/>
      <c r="AI211"/>
      <c r="AJ211"/>
      <c r="AK211"/>
      <c r="AL211"/>
      <c r="AM211"/>
      <c r="AN211"/>
      <c r="AO211"/>
      <c r="AP211"/>
      <c r="AQ211"/>
      <c r="AR211"/>
    </row>
    <row r="212" spans="1:44" s="239" customFormat="1">
      <c r="A212" s="241"/>
      <c r="B212" s="241"/>
      <c r="C212" s="245" t="str">
        <f>IF(B212="","",IFERROR(VLOOKUP(B212,PERUMAHAN!$A:$B,2,FALSE),"ID tidak ditemukan"))</f>
        <v/>
      </c>
      <c r="D212" s="241"/>
      <c r="E212" s="241"/>
      <c r="F212" s="241"/>
      <c r="G212" s="243"/>
      <c r="H212" s="254"/>
      <c r="I212" s="241"/>
      <c r="J212" s="241"/>
      <c r="K212" s="241"/>
      <c r="L212" s="241"/>
      <c r="M212" s="243"/>
      <c r="N212" s="243"/>
      <c r="O212" s="242"/>
      <c r="P212" s="241"/>
      <c r="Q212" s="241"/>
      <c r="R212" s="241"/>
      <c r="S212" s="244"/>
      <c r="T212" s="244"/>
      <c r="U212"/>
      <c r="AA212"/>
      <c r="AB212"/>
      <c r="AC212"/>
      <c r="AD212"/>
      <c r="AE212"/>
      <c r="AF212"/>
      <c r="AG212"/>
      <c r="AH212"/>
      <c r="AI212"/>
      <c r="AJ212"/>
      <c r="AK212"/>
      <c r="AL212"/>
      <c r="AM212"/>
      <c r="AN212"/>
      <c r="AO212"/>
      <c r="AP212"/>
      <c r="AQ212"/>
      <c r="AR212"/>
    </row>
    <row r="213" spans="1:44" s="239" customFormat="1">
      <c r="A213" s="241"/>
      <c r="B213" s="241"/>
      <c r="C213" s="245" t="str">
        <f>IF(B213="","",IFERROR(VLOOKUP(B213,PERUMAHAN!$A:$B,2,FALSE),"ID tidak ditemukan"))</f>
        <v/>
      </c>
      <c r="D213" s="241"/>
      <c r="E213" s="241"/>
      <c r="F213" s="241"/>
      <c r="G213" s="243"/>
      <c r="H213" s="254"/>
      <c r="I213" s="241"/>
      <c r="J213" s="241"/>
      <c r="K213" s="241"/>
      <c r="L213" s="241"/>
      <c r="M213" s="243"/>
      <c r="N213" s="243"/>
      <c r="O213" s="242"/>
      <c r="P213" s="241"/>
      <c r="Q213" s="241"/>
      <c r="R213" s="241"/>
      <c r="S213" s="244"/>
      <c r="T213" s="244"/>
      <c r="U213"/>
      <c r="AA213"/>
      <c r="AB213"/>
      <c r="AC213"/>
      <c r="AD213"/>
      <c r="AE213"/>
      <c r="AF213"/>
      <c r="AG213"/>
      <c r="AH213"/>
      <c r="AI213"/>
      <c r="AJ213"/>
      <c r="AK213"/>
      <c r="AL213"/>
      <c r="AM213"/>
      <c r="AN213"/>
      <c r="AO213"/>
      <c r="AP213"/>
      <c r="AQ213"/>
      <c r="AR213"/>
    </row>
    <row r="214" spans="1:44" s="239" customFormat="1">
      <c r="A214" s="241"/>
      <c r="B214" s="241"/>
      <c r="C214" s="245" t="str">
        <f>IF(B214="","",IFERROR(VLOOKUP(B214,PERUMAHAN!$A:$B,2,FALSE),"ID tidak ditemukan"))</f>
        <v/>
      </c>
      <c r="D214" s="241"/>
      <c r="E214" s="241"/>
      <c r="F214" s="241"/>
      <c r="G214" s="243"/>
      <c r="H214" s="254"/>
      <c r="I214" s="241"/>
      <c r="J214" s="241"/>
      <c r="K214" s="241"/>
      <c r="L214" s="241"/>
      <c r="M214" s="243"/>
      <c r="N214" s="243"/>
      <c r="O214" s="242"/>
      <c r="P214" s="241"/>
      <c r="Q214" s="241"/>
      <c r="R214" s="241"/>
      <c r="S214" s="244"/>
      <c r="T214" s="244"/>
      <c r="U214"/>
      <c r="AA214"/>
      <c r="AB214"/>
      <c r="AC214"/>
      <c r="AD214"/>
      <c r="AE214"/>
      <c r="AF214"/>
      <c r="AG214"/>
      <c r="AH214"/>
      <c r="AI214"/>
      <c r="AJ214"/>
      <c r="AK214"/>
      <c r="AL214"/>
      <c r="AM214"/>
      <c r="AN214"/>
      <c r="AO214"/>
      <c r="AP214"/>
      <c r="AQ214"/>
      <c r="AR214"/>
    </row>
    <row r="215" spans="1:44" s="239" customFormat="1">
      <c r="A215" s="241"/>
      <c r="B215" s="241"/>
      <c r="C215" s="245" t="str">
        <f>IF(B215="","",IFERROR(VLOOKUP(B215,PERUMAHAN!$A:$B,2,FALSE),"ID tidak ditemukan"))</f>
        <v/>
      </c>
      <c r="D215" s="241"/>
      <c r="E215" s="241"/>
      <c r="F215" s="241"/>
      <c r="G215" s="243"/>
      <c r="H215" s="254"/>
      <c r="I215" s="241"/>
      <c r="J215" s="241"/>
      <c r="K215" s="241"/>
      <c r="L215" s="241"/>
      <c r="M215" s="243"/>
      <c r="N215" s="243"/>
      <c r="O215" s="242"/>
      <c r="P215" s="241"/>
      <c r="Q215" s="241"/>
      <c r="R215" s="241"/>
      <c r="S215" s="244"/>
      <c r="T215" s="244"/>
      <c r="U215"/>
      <c r="AA215"/>
      <c r="AB215"/>
      <c r="AC215"/>
      <c r="AD215"/>
      <c r="AE215"/>
      <c r="AF215"/>
      <c r="AG215"/>
      <c r="AH215"/>
      <c r="AI215"/>
      <c r="AJ215"/>
      <c r="AK215"/>
      <c r="AL215"/>
      <c r="AM215"/>
      <c r="AN215"/>
      <c r="AO215"/>
      <c r="AP215"/>
      <c r="AQ215"/>
      <c r="AR215"/>
    </row>
    <row r="216" spans="1:44" s="239" customFormat="1">
      <c r="A216" s="241"/>
      <c r="B216" s="241"/>
      <c r="C216" s="245" t="str">
        <f>IF(B216="","",IFERROR(VLOOKUP(B216,PERUMAHAN!$A:$B,2,FALSE),"ID tidak ditemukan"))</f>
        <v/>
      </c>
      <c r="D216" s="241"/>
      <c r="E216" s="241"/>
      <c r="F216" s="241"/>
      <c r="G216" s="243"/>
      <c r="H216" s="254"/>
      <c r="I216" s="241"/>
      <c r="J216" s="241"/>
      <c r="K216" s="241"/>
      <c r="L216" s="241"/>
      <c r="M216" s="243"/>
      <c r="N216" s="243"/>
      <c r="O216" s="242"/>
      <c r="P216" s="241"/>
      <c r="Q216" s="241"/>
      <c r="R216" s="241"/>
      <c r="S216" s="244"/>
      <c r="T216" s="244"/>
      <c r="U216"/>
      <c r="AA216"/>
      <c r="AB216"/>
      <c r="AC216"/>
      <c r="AD216"/>
      <c r="AE216"/>
      <c r="AF216"/>
      <c r="AG216"/>
      <c r="AH216"/>
      <c r="AI216"/>
      <c r="AJ216"/>
      <c r="AK216"/>
      <c r="AL216"/>
      <c r="AM216"/>
      <c r="AN216"/>
      <c r="AO216"/>
      <c r="AP216"/>
      <c r="AQ216"/>
      <c r="AR216"/>
    </row>
    <row r="217" spans="1:44" s="239" customFormat="1">
      <c r="A217" s="241"/>
      <c r="B217" s="241"/>
      <c r="C217" s="245" t="str">
        <f>IF(B217="","",IFERROR(VLOOKUP(B217,PERUMAHAN!$A:$B,2,FALSE),"ID tidak ditemukan"))</f>
        <v/>
      </c>
      <c r="D217" s="241"/>
      <c r="E217" s="241"/>
      <c r="F217" s="241"/>
      <c r="G217" s="243"/>
      <c r="H217" s="254"/>
      <c r="I217" s="241"/>
      <c r="J217" s="241"/>
      <c r="K217" s="241"/>
      <c r="L217" s="241"/>
      <c r="M217" s="243"/>
      <c r="N217" s="243"/>
      <c r="O217" s="242"/>
      <c r="P217" s="241"/>
      <c r="Q217" s="241"/>
      <c r="R217" s="241"/>
      <c r="S217" s="244"/>
      <c r="T217" s="244"/>
      <c r="U217"/>
      <c r="AA217"/>
      <c r="AB217"/>
      <c r="AC217"/>
      <c r="AD217"/>
      <c r="AE217"/>
      <c r="AF217"/>
      <c r="AG217"/>
      <c r="AH217"/>
      <c r="AI217"/>
      <c r="AJ217"/>
      <c r="AK217"/>
      <c r="AL217"/>
      <c r="AM217"/>
      <c r="AN217"/>
      <c r="AO217"/>
      <c r="AP217"/>
      <c r="AQ217"/>
      <c r="AR217"/>
    </row>
    <row r="218" spans="1:44" s="239" customFormat="1">
      <c r="A218" s="241"/>
      <c r="B218" s="241"/>
      <c r="C218" s="245" t="str">
        <f>IF(B218="","",IFERROR(VLOOKUP(B218,PERUMAHAN!$A:$B,2,FALSE),"ID tidak ditemukan"))</f>
        <v/>
      </c>
      <c r="D218" s="241"/>
      <c r="E218" s="241"/>
      <c r="F218" s="241"/>
      <c r="G218" s="243"/>
      <c r="H218" s="254"/>
      <c r="I218" s="241"/>
      <c r="J218" s="241"/>
      <c r="K218" s="241"/>
      <c r="L218" s="241"/>
      <c r="M218" s="243"/>
      <c r="N218" s="243"/>
      <c r="O218" s="242"/>
      <c r="P218" s="241"/>
      <c r="Q218" s="241"/>
      <c r="R218" s="241"/>
      <c r="S218" s="244"/>
      <c r="T218" s="244"/>
      <c r="U218"/>
      <c r="AA218"/>
      <c r="AB218"/>
      <c r="AC218"/>
      <c r="AD218"/>
      <c r="AE218"/>
      <c r="AF218"/>
      <c r="AG218"/>
      <c r="AH218"/>
      <c r="AI218"/>
      <c r="AJ218"/>
      <c r="AK218"/>
      <c r="AL218"/>
      <c r="AM218"/>
      <c r="AN218"/>
      <c r="AO218"/>
      <c r="AP218"/>
      <c r="AQ218"/>
      <c r="AR218"/>
    </row>
    <row r="219" spans="1:44" s="239" customFormat="1">
      <c r="A219" s="241"/>
      <c r="B219" s="241"/>
      <c r="C219" s="245" t="str">
        <f>IF(B219="","",IFERROR(VLOOKUP(B219,PERUMAHAN!$A:$B,2,FALSE),"ID tidak ditemukan"))</f>
        <v/>
      </c>
      <c r="D219" s="241"/>
      <c r="E219" s="241"/>
      <c r="F219" s="241"/>
      <c r="G219" s="243"/>
      <c r="H219" s="254"/>
      <c r="I219" s="241"/>
      <c r="J219" s="241"/>
      <c r="K219" s="241"/>
      <c r="L219" s="241"/>
      <c r="M219" s="243"/>
      <c r="N219" s="243"/>
      <c r="O219" s="242"/>
      <c r="P219" s="241"/>
      <c r="Q219" s="241"/>
      <c r="R219" s="241"/>
      <c r="S219" s="244"/>
      <c r="T219" s="244"/>
      <c r="U219"/>
      <c r="AA219"/>
      <c r="AB219"/>
      <c r="AC219"/>
      <c r="AD219"/>
      <c r="AE219"/>
      <c r="AF219"/>
      <c r="AG219"/>
      <c r="AH219"/>
      <c r="AI219"/>
      <c r="AJ219"/>
      <c r="AK219"/>
      <c r="AL219"/>
      <c r="AM219"/>
      <c r="AN219"/>
      <c r="AO219"/>
      <c r="AP219"/>
      <c r="AQ219"/>
      <c r="AR219"/>
    </row>
    <row r="220" spans="1:44" s="239" customFormat="1">
      <c r="A220" s="241"/>
      <c r="B220" s="241"/>
      <c r="C220" s="245" t="str">
        <f>IF(B220="","",IFERROR(VLOOKUP(B220,PERUMAHAN!$A:$B,2,FALSE),"ID tidak ditemukan"))</f>
        <v/>
      </c>
      <c r="D220" s="241"/>
      <c r="E220" s="241"/>
      <c r="F220" s="241"/>
      <c r="G220" s="243"/>
      <c r="H220" s="254"/>
      <c r="I220" s="241"/>
      <c r="J220" s="241"/>
      <c r="K220" s="241"/>
      <c r="L220" s="241"/>
      <c r="M220" s="243"/>
      <c r="N220" s="243"/>
      <c r="O220" s="242"/>
      <c r="P220" s="241"/>
      <c r="Q220" s="241"/>
      <c r="R220" s="241"/>
      <c r="S220" s="244"/>
      <c r="T220" s="244"/>
      <c r="U220"/>
      <c r="AA220"/>
      <c r="AB220"/>
      <c r="AC220"/>
      <c r="AD220"/>
      <c r="AE220"/>
      <c r="AF220"/>
      <c r="AG220"/>
      <c r="AH220"/>
      <c r="AI220"/>
      <c r="AJ220"/>
      <c r="AK220"/>
      <c r="AL220"/>
      <c r="AM220"/>
      <c r="AN220"/>
      <c r="AO220"/>
      <c r="AP220"/>
      <c r="AQ220"/>
      <c r="AR220"/>
    </row>
    <row r="221" spans="1:44" s="239" customFormat="1">
      <c r="A221" s="241"/>
      <c r="B221" s="241"/>
      <c r="C221" s="245" t="str">
        <f>IF(B221="","",IFERROR(VLOOKUP(B221,PERUMAHAN!$A:$B,2,FALSE),"ID tidak ditemukan"))</f>
        <v/>
      </c>
      <c r="D221" s="241"/>
      <c r="E221" s="241"/>
      <c r="F221" s="241"/>
      <c r="G221" s="243"/>
      <c r="H221" s="254"/>
      <c r="I221" s="241"/>
      <c r="J221" s="241"/>
      <c r="K221" s="241"/>
      <c r="L221" s="241"/>
      <c r="M221" s="243"/>
      <c r="N221" s="243"/>
      <c r="O221" s="242"/>
      <c r="P221" s="241"/>
      <c r="Q221" s="241"/>
      <c r="R221" s="241"/>
      <c r="S221" s="244"/>
      <c r="T221" s="244"/>
      <c r="U221"/>
      <c r="AA221"/>
      <c r="AB221"/>
      <c r="AC221"/>
      <c r="AD221"/>
      <c r="AE221"/>
      <c r="AF221"/>
      <c r="AG221"/>
      <c r="AH221"/>
      <c r="AI221"/>
      <c r="AJ221"/>
      <c r="AK221"/>
      <c r="AL221"/>
      <c r="AM221"/>
      <c r="AN221"/>
      <c r="AO221"/>
      <c r="AP221"/>
      <c r="AQ221"/>
      <c r="AR221"/>
    </row>
    <row r="222" spans="1:44" s="239" customFormat="1">
      <c r="A222" s="241"/>
      <c r="B222" s="241"/>
      <c r="C222" s="245" t="str">
        <f>IF(B222="","",IFERROR(VLOOKUP(B222,PERUMAHAN!$A:$B,2,FALSE),"ID tidak ditemukan"))</f>
        <v/>
      </c>
      <c r="D222" s="241"/>
      <c r="E222" s="241"/>
      <c r="F222" s="241"/>
      <c r="G222" s="243"/>
      <c r="H222" s="254"/>
      <c r="I222" s="241"/>
      <c r="J222" s="241"/>
      <c r="K222" s="241"/>
      <c r="L222" s="241"/>
      <c r="M222" s="243"/>
      <c r="N222" s="243"/>
      <c r="O222" s="242"/>
      <c r="P222" s="241"/>
      <c r="Q222" s="241"/>
      <c r="R222" s="241"/>
      <c r="S222" s="244"/>
      <c r="T222" s="244"/>
      <c r="U222"/>
      <c r="AA222"/>
      <c r="AB222"/>
      <c r="AC222"/>
      <c r="AD222"/>
      <c r="AE222"/>
      <c r="AF222"/>
      <c r="AG222"/>
      <c r="AH222"/>
      <c r="AI222"/>
      <c r="AJ222"/>
      <c r="AK222"/>
      <c r="AL222"/>
      <c r="AM222"/>
      <c r="AN222"/>
      <c r="AO222"/>
      <c r="AP222"/>
      <c r="AQ222"/>
      <c r="AR222"/>
    </row>
    <row r="223" spans="1:44" s="239" customFormat="1">
      <c r="A223" s="241"/>
      <c r="B223" s="241"/>
      <c r="C223" s="245" t="str">
        <f>IF(B223="","",IFERROR(VLOOKUP(B223,PERUMAHAN!$A:$B,2,FALSE),"ID tidak ditemukan"))</f>
        <v/>
      </c>
      <c r="D223" s="241"/>
      <c r="E223" s="241"/>
      <c r="F223" s="241"/>
      <c r="G223" s="243"/>
      <c r="H223" s="254"/>
      <c r="I223" s="241"/>
      <c r="J223" s="241"/>
      <c r="K223" s="241"/>
      <c r="L223" s="241"/>
      <c r="M223" s="243"/>
      <c r="N223" s="243"/>
      <c r="O223" s="242"/>
      <c r="P223" s="241"/>
      <c r="Q223" s="241"/>
      <c r="R223" s="241"/>
      <c r="S223" s="244"/>
      <c r="T223" s="244"/>
      <c r="U223"/>
      <c r="AA223"/>
      <c r="AB223"/>
      <c r="AC223"/>
      <c r="AD223"/>
      <c r="AE223"/>
      <c r="AF223"/>
      <c r="AG223"/>
      <c r="AH223"/>
      <c r="AI223"/>
      <c r="AJ223"/>
      <c r="AK223"/>
      <c r="AL223"/>
      <c r="AM223"/>
      <c r="AN223"/>
      <c r="AO223"/>
      <c r="AP223"/>
      <c r="AQ223"/>
      <c r="AR223"/>
    </row>
    <row r="224" spans="1:44" s="239" customFormat="1">
      <c r="A224" s="241"/>
      <c r="B224" s="241"/>
      <c r="C224" s="245" t="str">
        <f>IF(B224="","",IFERROR(VLOOKUP(B224,PERUMAHAN!$A:$B,2,FALSE),"ID tidak ditemukan"))</f>
        <v/>
      </c>
      <c r="D224" s="241"/>
      <c r="E224" s="241"/>
      <c r="F224" s="241"/>
      <c r="G224" s="243"/>
      <c r="H224" s="254"/>
      <c r="I224" s="241"/>
      <c r="J224" s="241"/>
      <c r="K224" s="241"/>
      <c r="L224" s="241"/>
      <c r="M224" s="243"/>
      <c r="N224" s="243"/>
      <c r="O224" s="242"/>
      <c r="P224" s="241"/>
      <c r="Q224" s="241"/>
      <c r="R224" s="241"/>
      <c r="S224" s="244"/>
      <c r="T224" s="244"/>
      <c r="U224"/>
      <c r="AA224"/>
      <c r="AB224"/>
      <c r="AC224"/>
      <c r="AD224"/>
      <c r="AE224"/>
      <c r="AF224"/>
      <c r="AG224"/>
      <c r="AH224"/>
      <c r="AI224"/>
      <c r="AJ224"/>
      <c r="AK224"/>
      <c r="AL224"/>
      <c r="AM224"/>
      <c r="AN224"/>
      <c r="AO224"/>
      <c r="AP224"/>
      <c r="AQ224"/>
      <c r="AR224"/>
    </row>
    <row r="225" spans="1:44" s="239" customFormat="1">
      <c r="A225" s="241"/>
      <c r="B225" s="241"/>
      <c r="C225" s="245" t="str">
        <f>IF(B225="","",IFERROR(VLOOKUP(B225,PERUMAHAN!$A:$B,2,FALSE),"ID tidak ditemukan"))</f>
        <v/>
      </c>
      <c r="D225" s="241"/>
      <c r="E225" s="241"/>
      <c r="F225" s="241"/>
      <c r="G225" s="243"/>
      <c r="H225" s="254"/>
      <c r="I225" s="241"/>
      <c r="J225" s="241"/>
      <c r="K225" s="241"/>
      <c r="L225" s="241"/>
      <c r="M225" s="243"/>
      <c r="N225" s="243"/>
      <c r="O225" s="242"/>
      <c r="P225" s="241"/>
      <c r="Q225" s="241"/>
      <c r="R225" s="241"/>
      <c r="S225" s="244"/>
      <c r="T225" s="244"/>
      <c r="U225"/>
      <c r="AA225"/>
      <c r="AB225"/>
      <c r="AC225"/>
      <c r="AD225"/>
      <c r="AE225"/>
      <c r="AF225"/>
      <c r="AG225"/>
      <c r="AH225"/>
      <c r="AI225"/>
      <c r="AJ225"/>
      <c r="AK225"/>
      <c r="AL225"/>
      <c r="AM225"/>
      <c r="AN225"/>
      <c r="AO225"/>
      <c r="AP225"/>
      <c r="AQ225"/>
      <c r="AR225"/>
    </row>
    <row r="226" spans="1:44" s="239" customFormat="1">
      <c r="A226" s="241"/>
      <c r="B226" s="241"/>
      <c r="C226" s="245" t="str">
        <f>IF(B226="","",IFERROR(VLOOKUP(B226,PERUMAHAN!$A:$B,2,FALSE),"ID tidak ditemukan"))</f>
        <v/>
      </c>
      <c r="D226" s="241"/>
      <c r="E226" s="241"/>
      <c r="F226" s="241"/>
      <c r="G226" s="243"/>
      <c r="H226" s="254"/>
      <c r="I226" s="241"/>
      <c r="J226" s="241"/>
      <c r="K226" s="241"/>
      <c r="L226" s="241"/>
      <c r="M226" s="243"/>
      <c r="N226" s="243"/>
      <c r="O226" s="242"/>
      <c r="P226" s="241"/>
      <c r="Q226" s="241"/>
      <c r="R226" s="241"/>
      <c r="S226" s="244"/>
      <c r="T226" s="244"/>
      <c r="U226"/>
      <c r="AA226"/>
      <c r="AB226"/>
      <c r="AC226"/>
      <c r="AD226"/>
      <c r="AE226"/>
      <c r="AF226"/>
      <c r="AG226"/>
      <c r="AH226"/>
      <c r="AI226"/>
      <c r="AJ226"/>
      <c r="AK226"/>
      <c r="AL226"/>
      <c r="AM226"/>
      <c r="AN226"/>
      <c r="AO226"/>
      <c r="AP226"/>
      <c r="AQ226"/>
      <c r="AR226"/>
    </row>
    <row r="227" spans="1:44" s="239" customFormat="1">
      <c r="A227" s="241"/>
      <c r="B227" s="241"/>
      <c r="C227" s="245" t="str">
        <f>IF(B227="","",IFERROR(VLOOKUP(B227,PERUMAHAN!$A:$B,2,FALSE),"ID tidak ditemukan"))</f>
        <v/>
      </c>
      <c r="D227" s="241"/>
      <c r="E227" s="241"/>
      <c r="F227" s="241"/>
      <c r="G227" s="243"/>
      <c r="H227" s="254"/>
      <c r="I227" s="241"/>
      <c r="J227" s="241"/>
      <c r="K227" s="241"/>
      <c r="L227" s="241"/>
      <c r="M227" s="243"/>
      <c r="N227" s="243"/>
      <c r="O227" s="242"/>
      <c r="P227" s="241"/>
      <c r="Q227" s="241"/>
      <c r="R227" s="241"/>
      <c r="S227" s="244"/>
      <c r="T227" s="244"/>
      <c r="U227"/>
      <c r="AA227"/>
      <c r="AB227"/>
      <c r="AC227"/>
      <c r="AD227"/>
      <c r="AE227"/>
      <c r="AF227"/>
      <c r="AG227"/>
      <c r="AH227"/>
      <c r="AI227"/>
      <c r="AJ227"/>
      <c r="AK227"/>
      <c r="AL227"/>
      <c r="AM227"/>
      <c r="AN227"/>
      <c r="AO227"/>
      <c r="AP227"/>
      <c r="AQ227"/>
      <c r="AR227"/>
    </row>
    <row r="228" spans="1:44" s="239" customFormat="1">
      <c r="A228" s="241"/>
      <c r="B228" s="241"/>
      <c r="C228" s="245" t="str">
        <f>IF(B228="","",IFERROR(VLOOKUP(B228,PERUMAHAN!$A:$B,2,FALSE),"ID tidak ditemukan"))</f>
        <v/>
      </c>
      <c r="D228" s="241"/>
      <c r="E228" s="241"/>
      <c r="F228" s="241"/>
      <c r="G228" s="243"/>
      <c r="H228" s="254"/>
      <c r="I228" s="241"/>
      <c r="J228" s="241"/>
      <c r="K228" s="241"/>
      <c r="L228" s="241"/>
      <c r="M228" s="243"/>
      <c r="N228" s="243"/>
      <c r="O228" s="242"/>
      <c r="P228" s="241"/>
      <c r="Q228" s="241"/>
      <c r="R228" s="241"/>
      <c r="S228" s="244"/>
      <c r="T228" s="244"/>
      <c r="U228"/>
      <c r="AA228"/>
      <c r="AB228"/>
      <c r="AC228"/>
      <c r="AD228"/>
      <c r="AE228"/>
      <c r="AF228"/>
      <c r="AG228"/>
      <c r="AH228"/>
      <c r="AI228"/>
      <c r="AJ228"/>
      <c r="AK228"/>
      <c r="AL228"/>
      <c r="AM228"/>
      <c r="AN228"/>
      <c r="AO228"/>
      <c r="AP228"/>
      <c r="AQ228"/>
      <c r="AR228"/>
    </row>
    <row r="229" spans="1:44" s="239" customFormat="1">
      <c r="A229" s="241"/>
      <c r="B229" s="241"/>
      <c r="C229" s="245" t="str">
        <f>IF(B229="","",IFERROR(VLOOKUP(B229,PERUMAHAN!$A:$B,2,FALSE),"ID tidak ditemukan"))</f>
        <v/>
      </c>
      <c r="D229" s="241"/>
      <c r="E229" s="241"/>
      <c r="F229" s="241"/>
      <c r="G229" s="243"/>
      <c r="H229" s="254"/>
      <c r="I229" s="241"/>
      <c r="J229" s="241"/>
      <c r="K229" s="241"/>
      <c r="L229" s="241"/>
      <c r="M229" s="243"/>
      <c r="N229" s="243"/>
      <c r="O229" s="242"/>
      <c r="P229" s="241"/>
      <c r="Q229" s="241"/>
      <c r="R229" s="241"/>
      <c r="S229" s="244"/>
      <c r="T229" s="244"/>
      <c r="U229"/>
      <c r="AA229"/>
      <c r="AB229"/>
      <c r="AC229"/>
      <c r="AD229"/>
      <c r="AE229"/>
      <c r="AF229"/>
      <c r="AG229"/>
      <c r="AH229"/>
      <c r="AI229"/>
      <c r="AJ229"/>
      <c r="AK229"/>
      <c r="AL229"/>
      <c r="AM229"/>
      <c r="AN229"/>
      <c r="AO229"/>
      <c r="AP229"/>
      <c r="AQ229"/>
      <c r="AR229"/>
    </row>
    <row r="230" spans="1:44" s="239" customFormat="1">
      <c r="A230" s="241"/>
      <c r="B230" s="241"/>
      <c r="C230" s="245" t="str">
        <f>IF(B230="","",IFERROR(VLOOKUP(B230,PERUMAHAN!$A:$B,2,FALSE),"ID tidak ditemukan"))</f>
        <v/>
      </c>
      <c r="D230" s="241"/>
      <c r="E230" s="241"/>
      <c r="F230" s="241"/>
      <c r="G230" s="243"/>
      <c r="H230" s="254"/>
      <c r="I230" s="241"/>
      <c r="J230" s="241"/>
      <c r="K230" s="241"/>
      <c r="L230" s="241"/>
      <c r="M230" s="243"/>
      <c r="N230" s="243"/>
      <c r="O230" s="242"/>
      <c r="P230" s="241"/>
      <c r="Q230" s="241"/>
      <c r="R230" s="241"/>
      <c r="S230" s="244"/>
      <c r="T230" s="244"/>
      <c r="U230"/>
      <c r="AA230"/>
      <c r="AB230"/>
      <c r="AC230"/>
      <c r="AD230"/>
      <c r="AE230"/>
      <c r="AF230"/>
      <c r="AG230"/>
      <c r="AH230"/>
      <c r="AI230"/>
      <c r="AJ230"/>
      <c r="AK230"/>
      <c r="AL230"/>
      <c r="AM230"/>
      <c r="AN230"/>
      <c r="AO230"/>
      <c r="AP230"/>
      <c r="AQ230"/>
      <c r="AR230"/>
    </row>
    <row r="231" spans="1:44" s="239" customFormat="1">
      <c r="A231" s="241"/>
      <c r="B231" s="241"/>
      <c r="C231" s="245" t="str">
        <f>IF(B231="","",IFERROR(VLOOKUP(B231,PERUMAHAN!$A:$B,2,FALSE),"ID tidak ditemukan"))</f>
        <v/>
      </c>
      <c r="D231" s="241"/>
      <c r="E231" s="241"/>
      <c r="F231" s="241"/>
      <c r="G231" s="243"/>
      <c r="H231" s="254"/>
      <c r="I231" s="241"/>
      <c r="J231" s="241"/>
      <c r="K231" s="241"/>
      <c r="L231" s="241"/>
      <c r="M231" s="243"/>
      <c r="N231" s="243"/>
      <c r="O231" s="242"/>
      <c r="P231" s="241"/>
      <c r="Q231" s="241"/>
      <c r="R231" s="241"/>
      <c r="S231" s="244"/>
      <c r="T231" s="244"/>
      <c r="U231"/>
      <c r="AA231"/>
      <c r="AB231"/>
      <c r="AC231"/>
      <c r="AD231"/>
      <c r="AE231"/>
      <c r="AF231"/>
      <c r="AG231"/>
      <c r="AH231"/>
      <c r="AI231"/>
      <c r="AJ231"/>
      <c r="AK231"/>
      <c r="AL231"/>
      <c r="AM231"/>
      <c r="AN231"/>
      <c r="AO231"/>
      <c r="AP231"/>
      <c r="AQ231"/>
      <c r="AR231"/>
    </row>
    <row r="232" spans="1:44" s="239" customFormat="1">
      <c r="A232" s="241"/>
      <c r="B232" s="241"/>
      <c r="C232" s="245" t="str">
        <f>IF(B232="","",IFERROR(VLOOKUP(B232,PERUMAHAN!$A:$B,2,FALSE),"ID tidak ditemukan"))</f>
        <v/>
      </c>
      <c r="D232" s="241"/>
      <c r="E232" s="241"/>
      <c r="F232" s="241"/>
      <c r="G232" s="243"/>
      <c r="H232" s="254"/>
      <c r="I232" s="241"/>
      <c r="J232" s="241"/>
      <c r="K232" s="241"/>
      <c r="L232" s="241"/>
      <c r="M232" s="243"/>
      <c r="N232" s="243"/>
      <c r="O232" s="242"/>
      <c r="P232" s="241"/>
      <c r="Q232" s="241"/>
      <c r="R232" s="241"/>
      <c r="S232" s="244"/>
      <c r="T232" s="244"/>
      <c r="U232"/>
      <c r="AA232"/>
      <c r="AB232"/>
      <c r="AC232"/>
      <c r="AD232"/>
      <c r="AE232"/>
      <c r="AF232"/>
      <c r="AG232"/>
      <c r="AH232"/>
      <c r="AI232"/>
      <c r="AJ232"/>
      <c r="AK232"/>
      <c r="AL232"/>
      <c r="AM232"/>
      <c r="AN232"/>
      <c r="AO232"/>
      <c r="AP232"/>
      <c r="AQ232"/>
      <c r="AR232"/>
    </row>
    <row r="233" spans="1:44" s="239" customFormat="1">
      <c r="A233" s="241"/>
      <c r="B233" s="241"/>
      <c r="C233" s="245" t="str">
        <f>IF(B233="","",IFERROR(VLOOKUP(B233,PERUMAHAN!$A:$B,2,FALSE),"ID tidak ditemukan"))</f>
        <v/>
      </c>
      <c r="D233" s="241"/>
      <c r="E233" s="241"/>
      <c r="F233" s="241"/>
      <c r="G233" s="243"/>
      <c r="H233" s="254"/>
      <c r="I233" s="241"/>
      <c r="J233" s="241"/>
      <c r="K233" s="241"/>
      <c r="L233" s="241"/>
      <c r="M233" s="243"/>
      <c r="N233" s="243"/>
      <c r="O233" s="242"/>
      <c r="P233" s="241"/>
      <c r="Q233" s="241"/>
      <c r="R233" s="241"/>
      <c r="S233" s="244"/>
      <c r="T233" s="244"/>
      <c r="U233"/>
      <c r="AA233"/>
      <c r="AB233"/>
      <c r="AC233"/>
      <c r="AD233"/>
      <c r="AE233"/>
      <c r="AF233"/>
      <c r="AG233"/>
      <c r="AH233"/>
      <c r="AI233"/>
      <c r="AJ233"/>
      <c r="AK233"/>
      <c r="AL233"/>
      <c r="AM233"/>
      <c r="AN233"/>
      <c r="AO233"/>
      <c r="AP233"/>
      <c r="AQ233"/>
      <c r="AR233"/>
    </row>
    <row r="234" spans="1:44" s="239" customFormat="1">
      <c r="A234" s="241"/>
      <c r="B234" s="241"/>
      <c r="C234" s="245" t="str">
        <f>IF(B234="","",IFERROR(VLOOKUP(B234,PERUMAHAN!$A:$B,2,FALSE),"ID tidak ditemukan"))</f>
        <v/>
      </c>
      <c r="D234" s="241"/>
      <c r="E234" s="241"/>
      <c r="F234" s="241"/>
      <c r="G234" s="243"/>
      <c r="H234" s="254"/>
      <c r="I234" s="241"/>
      <c r="J234" s="241"/>
      <c r="K234" s="241"/>
      <c r="L234" s="241"/>
      <c r="M234" s="243"/>
      <c r="N234" s="243"/>
      <c r="O234" s="242"/>
      <c r="P234" s="241"/>
      <c r="Q234" s="241"/>
      <c r="R234" s="241"/>
      <c r="S234" s="244"/>
      <c r="T234" s="244"/>
      <c r="U234"/>
      <c r="AA234"/>
      <c r="AB234"/>
      <c r="AC234"/>
      <c r="AD234"/>
      <c r="AE234"/>
      <c r="AF234"/>
      <c r="AG234"/>
      <c r="AH234"/>
      <c r="AI234"/>
      <c r="AJ234"/>
      <c r="AK234"/>
      <c r="AL234"/>
      <c r="AM234"/>
      <c r="AN234"/>
      <c r="AO234"/>
      <c r="AP234"/>
      <c r="AQ234"/>
      <c r="AR234"/>
    </row>
    <row r="235" spans="1:44" s="239" customFormat="1">
      <c r="A235" s="241"/>
      <c r="B235" s="241"/>
      <c r="C235" s="245" t="str">
        <f>IF(B235="","",IFERROR(VLOOKUP(B235,PERUMAHAN!$A:$B,2,FALSE),"ID tidak ditemukan"))</f>
        <v/>
      </c>
      <c r="D235" s="241"/>
      <c r="E235" s="241"/>
      <c r="F235" s="241"/>
      <c r="G235" s="243"/>
      <c r="H235" s="254"/>
      <c r="I235" s="241"/>
      <c r="J235" s="241"/>
      <c r="K235" s="241"/>
      <c r="L235" s="241"/>
      <c r="M235" s="243"/>
      <c r="N235" s="243"/>
      <c r="O235" s="242"/>
      <c r="P235" s="241"/>
      <c r="Q235" s="241"/>
      <c r="R235" s="241"/>
      <c r="S235" s="244"/>
      <c r="T235" s="244"/>
      <c r="U235"/>
      <c r="AA235"/>
      <c r="AB235"/>
      <c r="AC235"/>
      <c r="AD235"/>
      <c r="AE235"/>
      <c r="AF235"/>
      <c r="AG235"/>
      <c r="AH235"/>
      <c r="AI235"/>
      <c r="AJ235"/>
      <c r="AK235"/>
      <c r="AL235"/>
      <c r="AM235"/>
      <c r="AN235"/>
      <c r="AO235"/>
      <c r="AP235"/>
      <c r="AQ235"/>
      <c r="AR235"/>
    </row>
    <row r="236" spans="1:44" s="239" customFormat="1">
      <c r="A236" s="241"/>
      <c r="B236" s="241"/>
      <c r="C236" s="245" t="str">
        <f>IF(B236="","",IFERROR(VLOOKUP(B236,PERUMAHAN!$A:$B,2,FALSE),"ID tidak ditemukan"))</f>
        <v/>
      </c>
      <c r="D236" s="241"/>
      <c r="E236" s="241"/>
      <c r="F236" s="241"/>
      <c r="G236" s="243"/>
      <c r="H236" s="254"/>
      <c r="I236" s="241"/>
      <c r="J236" s="241"/>
      <c r="K236" s="241"/>
      <c r="L236" s="241"/>
      <c r="M236" s="243"/>
      <c r="N236" s="243"/>
      <c r="O236" s="242"/>
      <c r="P236" s="241"/>
      <c r="Q236" s="241"/>
      <c r="R236" s="241"/>
      <c r="S236" s="244"/>
      <c r="T236" s="244"/>
      <c r="U236"/>
      <c r="AA236"/>
      <c r="AB236"/>
      <c r="AC236"/>
      <c r="AD236"/>
      <c r="AE236"/>
      <c r="AF236"/>
      <c r="AG236"/>
      <c r="AH236"/>
      <c r="AI236"/>
      <c r="AJ236"/>
      <c r="AK236"/>
      <c r="AL236"/>
      <c r="AM236"/>
      <c r="AN236"/>
      <c r="AO236"/>
      <c r="AP236"/>
      <c r="AQ236"/>
      <c r="AR236"/>
    </row>
    <row r="237" spans="1:44" s="239" customFormat="1">
      <c r="A237" s="241"/>
      <c r="B237" s="241"/>
      <c r="C237" s="245" t="str">
        <f>IF(B237="","",IFERROR(VLOOKUP(B237,PERUMAHAN!$A:$B,2,FALSE),"ID tidak ditemukan"))</f>
        <v/>
      </c>
      <c r="D237" s="241"/>
      <c r="E237" s="241"/>
      <c r="F237" s="241"/>
      <c r="G237" s="243"/>
      <c r="H237" s="254"/>
      <c r="I237" s="241"/>
      <c r="J237" s="241"/>
      <c r="K237" s="241"/>
      <c r="L237" s="241"/>
      <c r="M237" s="243"/>
      <c r="N237" s="243"/>
      <c r="O237" s="242"/>
      <c r="P237" s="241"/>
      <c r="Q237" s="241"/>
      <c r="R237" s="241"/>
      <c r="S237" s="244"/>
      <c r="T237" s="244"/>
      <c r="U237"/>
      <c r="AA237"/>
      <c r="AB237"/>
      <c r="AC237"/>
      <c r="AD237"/>
      <c r="AE237"/>
      <c r="AF237"/>
      <c r="AG237"/>
      <c r="AH237"/>
      <c r="AI237"/>
      <c r="AJ237"/>
      <c r="AK237"/>
      <c r="AL237"/>
      <c r="AM237"/>
      <c r="AN237"/>
      <c r="AO237"/>
      <c r="AP237"/>
      <c r="AQ237"/>
      <c r="AR237"/>
    </row>
    <row r="238" spans="1:44" s="239" customFormat="1">
      <c r="A238" s="241"/>
      <c r="B238" s="241"/>
      <c r="C238" s="245" t="str">
        <f>IF(B238="","",IFERROR(VLOOKUP(B238,PERUMAHAN!$A:$B,2,FALSE),"ID tidak ditemukan"))</f>
        <v/>
      </c>
      <c r="D238" s="241"/>
      <c r="E238" s="241"/>
      <c r="F238" s="241"/>
      <c r="G238" s="243"/>
      <c r="H238" s="254"/>
      <c r="I238" s="241"/>
      <c r="J238" s="241"/>
      <c r="K238" s="241"/>
      <c r="L238" s="241"/>
      <c r="M238" s="243"/>
      <c r="N238" s="243"/>
      <c r="O238" s="242"/>
      <c r="P238" s="241"/>
      <c r="Q238" s="241"/>
      <c r="R238" s="241"/>
      <c r="S238" s="244"/>
      <c r="T238" s="244"/>
      <c r="U238"/>
      <c r="AA238"/>
      <c r="AB238"/>
      <c r="AC238"/>
      <c r="AD238"/>
      <c r="AE238"/>
      <c r="AF238"/>
      <c r="AG238"/>
      <c r="AH238"/>
      <c r="AI238"/>
      <c r="AJ238"/>
      <c r="AK238"/>
      <c r="AL238"/>
      <c r="AM238"/>
      <c r="AN238"/>
      <c r="AO238"/>
      <c r="AP238"/>
      <c r="AQ238"/>
      <c r="AR238"/>
    </row>
    <row r="239" spans="1:44" s="239" customFormat="1">
      <c r="A239" s="241"/>
      <c r="B239" s="241"/>
      <c r="C239" s="245" t="str">
        <f>IF(B239="","",IFERROR(VLOOKUP(B239,PERUMAHAN!$A:$B,2,FALSE),"ID tidak ditemukan"))</f>
        <v/>
      </c>
      <c r="D239" s="241"/>
      <c r="E239" s="241"/>
      <c r="F239" s="241"/>
      <c r="G239" s="243"/>
      <c r="H239" s="254"/>
      <c r="I239" s="241"/>
      <c r="J239" s="241"/>
      <c r="K239" s="241"/>
      <c r="L239" s="241"/>
      <c r="M239" s="243"/>
      <c r="N239" s="243"/>
      <c r="O239" s="242"/>
      <c r="P239" s="241"/>
      <c r="Q239" s="241"/>
      <c r="R239" s="241"/>
      <c r="S239" s="244"/>
      <c r="T239" s="244"/>
      <c r="U239"/>
      <c r="AA239"/>
      <c r="AB239"/>
      <c r="AC239"/>
      <c r="AD239"/>
      <c r="AE239"/>
      <c r="AF239"/>
      <c r="AG239"/>
      <c r="AH239"/>
      <c r="AI239"/>
      <c r="AJ239"/>
      <c r="AK239"/>
      <c r="AL239"/>
      <c r="AM239"/>
      <c r="AN239"/>
      <c r="AO239"/>
      <c r="AP239"/>
      <c r="AQ239"/>
      <c r="AR239"/>
    </row>
    <row r="240" spans="1:44" s="239" customFormat="1">
      <c r="A240" s="241"/>
      <c r="B240" s="241"/>
      <c r="C240" s="245" t="str">
        <f>IF(B240="","",IFERROR(VLOOKUP(B240,PERUMAHAN!$A:$B,2,FALSE),"ID tidak ditemukan"))</f>
        <v/>
      </c>
      <c r="D240" s="241"/>
      <c r="E240" s="241"/>
      <c r="F240" s="241"/>
      <c r="G240" s="243"/>
      <c r="H240" s="254"/>
      <c r="I240" s="241"/>
      <c r="J240" s="241"/>
      <c r="K240" s="241"/>
      <c r="L240" s="241"/>
      <c r="M240" s="243"/>
      <c r="N240" s="243"/>
      <c r="O240" s="242"/>
      <c r="P240" s="241"/>
      <c r="Q240" s="241"/>
      <c r="R240" s="241"/>
      <c r="S240" s="244"/>
      <c r="T240" s="244"/>
      <c r="U240"/>
      <c r="AA240"/>
      <c r="AB240"/>
      <c r="AC240"/>
      <c r="AD240"/>
      <c r="AE240"/>
      <c r="AF240"/>
      <c r="AG240"/>
      <c r="AH240"/>
      <c r="AI240"/>
      <c r="AJ240"/>
      <c r="AK240"/>
      <c r="AL240"/>
      <c r="AM240"/>
      <c r="AN240"/>
      <c r="AO240"/>
      <c r="AP240"/>
      <c r="AQ240"/>
      <c r="AR240"/>
    </row>
    <row r="241" spans="1:44" s="239" customFormat="1">
      <c r="A241" s="241"/>
      <c r="B241" s="241"/>
      <c r="C241" s="245" t="str">
        <f>IF(B241="","",IFERROR(VLOOKUP(B241,PERUMAHAN!$A:$B,2,FALSE),"ID tidak ditemukan"))</f>
        <v/>
      </c>
      <c r="D241" s="241"/>
      <c r="E241" s="241"/>
      <c r="F241" s="241"/>
      <c r="G241" s="243"/>
      <c r="H241" s="254"/>
      <c r="I241" s="241"/>
      <c r="J241" s="241"/>
      <c r="K241" s="241"/>
      <c r="L241" s="241"/>
      <c r="M241" s="243"/>
      <c r="N241" s="243"/>
      <c r="O241" s="242"/>
      <c r="P241" s="241"/>
      <c r="Q241" s="241"/>
      <c r="R241" s="241"/>
      <c r="S241" s="244"/>
      <c r="T241" s="244"/>
      <c r="U241"/>
      <c r="AA241"/>
      <c r="AB241"/>
      <c r="AC241"/>
      <c r="AD241"/>
      <c r="AE241"/>
      <c r="AF241"/>
      <c r="AG241"/>
      <c r="AH241"/>
      <c r="AI241"/>
      <c r="AJ241"/>
      <c r="AK241"/>
      <c r="AL241"/>
      <c r="AM241"/>
      <c r="AN241"/>
      <c r="AO241"/>
      <c r="AP241"/>
      <c r="AQ241"/>
      <c r="AR241"/>
    </row>
    <row r="242" spans="1:44" s="239" customFormat="1">
      <c r="A242" s="241"/>
      <c r="B242" s="241"/>
      <c r="C242" s="245" t="str">
        <f>IF(B242="","",IFERROR(VLOOKUP(B242,PERUMAHAN!$A:$B,2,FALSE),"ID tidak ditemukan"))</f>
        <v/>
      </c>
      <c r="D242" s="241"/>
      <c r="E242" s="241"/>
      <c r="F242" s="241"/>
      <c r="G242" s="243"/>
      <c r="H242" s="254"/>
      <c r="I242" s="241"/>
      <c r="J242" s="241"/>
      <c r="K242" s="241"/>
      <c r="L242" s="241"/>
      <c r="M242" s="243"/>
      <c r="N242" s="243"/>
      <c r="O242" s="242"/>
      <c r="P242" s="241"/>
      <c r="Q242" s="241"/>
      <c r="R242" s="241"/>
      <c r="S242" s="244"/>
      <c r="T242" s="244"/>
      <c r="U242"/>
      <c r="AA242"/>
      <c r="AB242"/>
      <c r="AC242"/>
      <c r="AD242"/>
      <c r="AE242"/>
      <c r="AF242"/>
      <c r="AG242"/>
      <c r="AH242"/>
      <c r="AI242"/>
      <c r="AJ242"/>
      <c r="AK242"/>
      <c r="AL242"/>
      <c r="AM242"/>
      <c r="AN242"/>
      <c r="AO242"/>
      <c r="AP242"/>
      <c r="AQ242"/>
      <c r="AR242"/>
    </row>
    <row r="243" spans="1:44" s="239" customFormat="1">
      <c r="A243" s="241"/>
      <c r="B243" s="241"/>
      <c r="C243" s="245" t="str">
        <f>IF(B243="","",IFERROR(VLOOKUP(B243,PERUMAHAN!$A:$B,2,FALSE),"ID tidak ditemukan"))</f>
        <v/>
      </c>
      <c r="D243" s="241"/>
      <c r="E243" s="241"/>
      <c r="F243" s="241"/>
      <c r="G243" s="243"/>
      <c r="H243" s="254"/>
      <c r="I243" s="241"/>
      <c r="J243" s="241"/>
      <c r="K243" s="241"/>
      <c r="L243" s="241"/>
      <c r="M243" s="243"/>
      <c r="N243" s="243"/>
      <c r="O243" s="242"/>
      <c r="P243" s="241"/>
      <c r="Q243" s="241"/>
      <c r="R243" s="241"/>
      <c r="S243" s="244"/>
      <c r="T243" s="244"/>
      <c r="U243"/>
      <c r="AA243"/>
      <c r="AB243"/>
      <c r="AC243"/>
      <c r="AD243"/>
      <c r="AE243"/>
      <c r="AF243"/>
      <c r="AG243"/>
      <c r="AH243"/>
      <c r="AI243"/>
      <c r="AJ243"/>
      <c r="AK243"/>
      <c r="AL243"/>
      <c r="AM243"/>
      <c r="AN243"/>
      <c r="AO243"/>
      <c r="AP243"/>
      <c r="AQ243"/>
      <c r="AR243"/>
    </row>
    <row r="244" spans="1:44" s="239" customFormat="1">
      <c r="A244" s="241"/>
      <c r="B244" s="241"/>
      <c r="C244" s="245" t="str">
        <f>IF(B244="","",IFERROR(VLOOKUP(B244,PERUMAHAN!$A:$B,2,FALSE),"ID tidak ditemukan"))</f>
        <v/>
      </c>
      <c r="D244" s="241"/>
      <c r="E244" s="241"/>
      <c r="F244" s="241"/>
      <c r="G244" s="243"/>
      <c r="H244" s="254"/>
      <c r="I244" s="241"/>
      <c r="J244" s="241"/>
      <c r="K244" s="241"/>
      <c r="L244" s="241"/>
      <c r="M244" s="243"/>
      <c r="N244" s="243"/>
      <c r="O244" s="242"/>
      <c r="P244" s="241"/>
      <c r="Q244" s="241"/>
      <c r="R244" s="241"/>
      <c r="S244" s="244"/>
      <c r="T244" s="244"/>
      <c r="U244"/>
      <c r="AA244"/>
      <c r="AB244"/>
      <c r="AC244"/>
      <c r="AD244"/>
      <c r="AE244"/>
      <c r="AF244"/>
      <c r="AG244"/>
      <c r="AH244"/>
      <c r="AI244"/>
      <c r="AJ244"/>
      <c r="AK244"/>
      <c r="AL244"/>
      <c r="AM244"/>
      <c r="AN244"/>
      <c r="AO244"/>
      <c r="AP244"/>
      <c r="AQ244"/>
      <c r="AR244"/>
    </row>
    <row r="245" spans="1:44" s="239" customFormat="1">
      <c r="A245" s="241"/>
      <c r="B245" s="241"/>
      <c r="C245" s="245" t="str">
        <f>IF(B245="","",IFERROR(VLOOKUP(B245,PERUMAHAN!$A:$B,2,FALSE),"ID tidak ditemukan"))</f>
        <v/>
      </c>
      <c r="D245" s="241"/>
      <c r="E245" s="241"/>
      <c r="F245" s="241"/>
      <c r="G245" s="243"/>
      <c r="H245" s="254"/>
      <c r="I245" s="241"/>
      <c r="J245" s="241"/>
      <c r="K245" s="241"/>
      <c r="L245" s="241"/>
      <c r="M245" s="243"/>
      <c r="N245" s="243"/>
      <c r="O245" s="242"/>
      <c r="P245" s="241"/>
      <c r="Q245" s="241"/>
      <c r="R245" s="241"/>
      <c r="S245" s="244"/>
      <c r="T245" s="244"/>
      <c r="U245"/>
      <c r="AA245"/>
      <c r="AB245"/>
      <c r="AC245"/>
      <c r="AD245"/>
      <c r="AE245"/>
      <c r="AF245"/>
      <c r="AG245"/>
      <c r="AH245"/>
      <c r="AI245"/>
      <c r="AJ245"/>
      <c r="AK245"/>
      <c r="AL245"/>
      <c r="AM245"/>
      <c r="AN245"/>
      <c r="AO245"/>
      <c r="AP245"/>
      <c r="AQ245"/>
      <c r="AR245"/>
    </row>
    <row r="246" spans="1:44" s="239" customFormat="1">
      <c r="A246" s="241"/>
      <c r="B246" s="241"/>
      <c r="C246" s="245" t="str">
        <f>IF(B246="","",IFERROR(VLOOKUP(B246,PERUMAHAN!$A:$B,2,FALSE),"ID tidak ditemukan"))</f>
        <v/>
      </c>
      <c r="D246" s="241"/>
      <c r="E246" s="241"/>
      <c r="F246" s="241"/>
      <c r="G246" s="243"/>
      <c r="H246" s="254"/>
      <c r="I246" s="241"/>
      <c r="J246" s="241"/>
      <c r="K246" s="241"/>
      <c r="L246" s="241"/>
      <c r="M246" s="243"/>
      <c r="N246" s="243"/>
      <c r="O246" s="242"/>
      <c r="P246" s="241"/>
      <c r="Q246" s="241"/>
      <c r="R246" s="241"/>
      <c r="S246" s="244"/>
      <c r="T246" s="244"/>
      <c r="U246"/>
      <c r="AA246"/>
      <c r="AB246"/>
      <c r="AC246"/>
      <c r="AD246"/>
      <c r="AE246"/>
      <c r="AF246"/>
      <c r="AG246"/>
      <c r="AH246"/>
      <c r="AI246"/>
      <c r="AJ246"/>
      <c r="AK246"/>
      <c r="AL246"/>
      <c r="AM246"/>
      <c r="AN246"/>
      <c r="AO246"/>
      <c r="AP246"/>
      <c r="AQ246"/>
      <c r="AR246"/>
    </row>
    <row r="247" spans="1:44" s="239" customFormat="1">
      <c r="A247" s="241"/>
      <c r="B247" s="241"/>
      <c r="C247" s="245" t="str">
        <f>IF(B247="","",IFERROR(VLOOKUP(B247,PERUMAHAN!$A:$B,2,FALSE),"ID tidak ditemukan"))</f>
        <v/>
      </c>
      <c r="D247" s="241"/>
      <c r="E247" s="241"/>
      <c r="F247" s="241"/>
      <c r="G247" s="243"/>
      <c r="H247" s="254"/>
      <c r="I247" s="241"/>
      <c r="J247" s="241"/>
      <c r="K247" s="241"/>
      <c r="L247" s="241"/>
      <c r="M247" s="243"/>
      <c r="N247" s="243"/>
      <c r="O247" s="242"/>
      <c r="P247" s="241"/>
      <c r="Q247" s="241"/>
      <c r="R247" s="241"/>
      <c r="S247" s="244"/>
      <c r="T247" s="244"/>
      <c r="U247"/>
      <c r="AA247"/>
      <c r="AB247"/>
      <c r="AC247"/>
      <c r="AD247"/>
      <c r="AE247"/>
      <c r="AF247"/>
      <c r="AG247"/>
      <c r="AH247"/>
      <c r="AI247"/>
      <c r="AJ247"/>
      <c r="AK247"/>
      <c r="AL247"/>
      <c r="AM247"/>
      <c r="AN247"/>
      <c r="AO247"/>
      <c r="AP247"/>
      <c r="AQ247"/>
      <c r="AR247"/>
    </row>
    <row r="248" spans="1:44" s="239" customFormat="1">
      <c r="A248" s="241"/>
      <c r="B248" s="241"/>
      <c r="C248" s="245" t="str">
        <f>IF(B248="","",IFERROR(VLOOKUP(B248,PERUMAHAN!$A:$B,2,FALSE),"ID tidak ditemukan"))</f>
        <v/>
      </c>
      <c r="D248" s="241"/>
      <c r="E248" s="241"/>
      <c r="F248" s="241"/>
      <c r="G248" s="243"/>
      <c r="H248" s="254"/>
      <c r="I248" s="241"/>
      <c r="J248" s="241"/>
      <c r="K248" s="241"/>
      <c r="L248" s="241"/>
      <c r="M248" s="243"/>
      <c r="N248" s="243"/>
      <c r="O248" s="242"/>
      <c r="P248" s="241"/>
      <c r="Q248" s="241"/>
      <c r="R248" s="241"/>
      <c r="S248" s="244"/>
      <c r="T248" s="244"/>
      <c r="U248"/>
      <c r="AA248"/>
      <c r="AB248"/>
      <c r="AC248"/>
      <c r="AD248"/>
      <c r="AE248"/>
      <c r="AF248"/>
      <c r="AG248"/>
      <c r="AH248"/>
      <c r="AI248"/>
      <c r="AJ248"/>
      <c r="AK248"/>
      <c r="AL248"/>
      <c r="AM248"/>
      <c r="AN248"/>
      <c r="AO248"/>
      <c r="AP248"/>
      <c r="AQ248"/>
      <c r="AR248"/>
    </row>
    <row r="249" spans="1:44" s="239" customFormat="1">
      <c r="A249" s="241"/>
      <c r="B249" s="241"/>
      <c r="C249" s="245" t="str">
        <f>IF(B249="","",IFERROR(VLOOKUP(B249,PERUMAHAN!$A:$B,2,FALSE),"ID tidak ditemukan"))</f>
        <v/>
      </c>
      <c r="D249" s="241"/>
      <c r="E249" s="241"/>
      <c r="F249" s="241"/>
      <c r="G249" s="243"/>
      <c r="H249" s="254"/>
      <c r="I249" s="241"/>
      <c r="J249" s="241"/>
      <c r="K249" s="241"/>
      <c r="L249" s="241"/>
      <c r="M249" s="243"/>
      <c r="N249" s="243"/>
      <c r="O249" s="242"/>
      <c r="P249" s="241"/>
      <c r="Q249" s="241"/>
      <c r="R249" s="241"/>
      <c r="S249" s="244"/>
      <c r="T249" s="244"/>
      <c r="U249"/>
      <c r="AA249"/>
      <c r="AB249"/>
      <c r="AC249"/>
      <c r="AD249"/>
      <c r="AE249"/>
      <c r="AF249"/>
      <c r="AG249"/>
      <c r="AH249"/>
      <c r="AI249"/>
      <c r="AJ249"/>
      <c r="AK249"/>
      <c r="AL249"/>
      <c r="AM249"/>
      <c r="AN249"/>
      <c r="AO249"/>
      <c r="AP249"/>
      <c r="AQ249"/>
      <c r="AR249"/>
    </row>
    <row r="250" spans="1:44" s="239" customFormat="1">
      <c r="A250" s="241"/>
      <c r="B250" s="241"/>
      <c r="C250" s="245" t="str">
        <f>IF(B250="","",IFERROR(VLOOKUP(B250,PERUMAHAN!$A:$B,2,FALSE),"ID tidak ditemukan"))</f>
        <v/>
      </c>
      <c r="D250" s="241"/>
      <c r="E250" s="241"/>
      <c r="F250" s="241"/>
      <c r="G250" s="243"/>
      <c r="H250" s="254"/>
      <c r="I250" s="241"/>
      <c r="J250" s="241"/>
      <c r="K250" s="241"/>
      <c r="L250" s="241"/>
      <c r="M250" s="243"/>
      <c r="N250" s="243"/>
      <c r="O250" s="242"/>
      <c r="P250" s="241"/>
      <c r="Q250" s="241"/>
      <c r="R250" s="241"/>
      <c r="S250" s="244"/>
      <c r="T250" s="244"/>
      <c r="U250"/>
      <c r="AA250"/>
      <c r="AB250"/>
      <c r="AC250"/>
      <c r="AD250"/>
      <c r="AE250"/>
      <c r="AF250"/>
      <c r="AG250"/>
      <c r="AH250"/>
      <c r="AI250"/>
      <c r="AJ250"/>
      <c r="AK250"/>
      <c r="AL250"/>
      <c r="AM250"/>
      <c r="AN250"/>
      <c r="AO250"/>
      <c r="AP250"/>
      <c r="AQ250"/>
      <c r="AR250"/>
    </row>
    <row r="251" spans="1:44" s="239" customFormat="1">
      <c r="A251" s="241"/>
      <c r="B251" s="241"/>
      <c r="C251" s="245" t="str">
        <f>IF(B251="","",IFERROR(VLOOKUP(B251,PERUMAHAN!$A:$B,2,FALSE),"ID tidak ditemukan"))</f>
        <v/>
      </c>
      <c r="D251" s="241"/>
      <c r="E251" s="241"/>
      <c r="F251" s="241"/>
      <c r="G251" s="243"/>
      <c r="H251" s="254"/>
      <c r="I251" s="241"/>
      <c r="J251" s="241"/>
      <c r="K251" s="241"/>
      <c r="L251" s="241"/>
      <c r="M251" s="243"/>
      <c r="N251" s="243"/>
      <c r="O251" s="242"/>
      <c r="P251" s="241"/>
      <c r="Q251" s="241"/>
      <c r="R251" s="241"/>
      <c r="S251" s="244"/>
      <c r="T251" s="244"/>
      <c r="U251"/>
      <c r="AA251"/>
      <c r="AB251"/>
      <c r="AC251"/>
      <c r="AD251"/>
      <c r="AE251"/>
      <c r="AF251"/>
      <c r="AG251"/>
      <c r="AH251"/>
      <c r="AI251"/>
      <c r="AJ251"/>
      <c r="AK251"/>
      <c r="AL251"/>
      <c r="AM251"/>
      <c r="AN251"/>
      <c r="AO251"/>
      <c r="AP251"/>
      <c r="AQ251"/>
      <c r="AR251"/>
    </row>
    <row r="252" spans="1:44" s="239" customFormat="1">
      <c r="A252" s="241"/>
      <c r="B252" s="241"/>
      <c r="C252" s="245" t="str">
        <f>IF(B252="","",IFERROR(VLOOKUP(B252,PERUMAHAN!$A:$B,2,FALSE),"ID tidak ditemukan"))</f>
        <v/>
      </c>
      <c r="D252" s="241"/>
      <c r="E252" s="241"/>
      <c r="F252" s="241"/>
      <c r="G252" s="243"/>
      <c r="H252" s="254"/>
      <c r="I252" s="241"/>
      <c r="J252" s="241"/>
      <c r="K252" s="241"/>
      <c r="L252" s="241"/>
      <c r="M252" s="243"/>
      <c r="N252" s="243"/>
      <c r="O252" s="242"/>
      <c r="P252" s="241"/>
      <c r="Q252" s="241"/>
      <c r="R252" s="241"/>
      <c r="S252" s="244"/>
      <c r="T252" s="244"/>
      <c r="U252"/>
      <c r="AA252"/>
      <c r="AB252"/>
      <c r="AC252"/>
      <c r="AD252"/>
      <c r="AE252"/>
      <c r="AF252"/>
      <c r="AG252"/>
      <c r="AH252"/>
      <c r="AI252"/>
      <c r="AJ252"/>
      <c r="AK252"/>
      <c r="AL252"/>
      <c r="AM252"/>
      <c r="AN252"/>
      <c r="AO252"/>
      <c r="AP252"/>
      <c r="AQ252"/>
      <c r="AR252"/>
    </row>
    <row r="253" spans="1:44" s="239" customFormat="1">
      <c r="A253" s="241"/>
      <c r="B253" s="241"/>
      <c r="C253" s="245" t="str">
        <f>IF(B253="","",IFERROR(VLOOKUP(B253,PERUMAHAN!$A:$B,2,FALSE),"ID tidak ditemukan"))</f>
        <v/>
      </c>
      <c r="D253" s="241"/>
      <c r="E253" s="241"/>
      <c r="F253" s="241"/>
      <c r="G253" s="243"/>
      <c r="H253" s="254"/>
      <c r="I253" s="241"/>
      <c r="J253" s="241"/>
      <c r="K253" s="241"/>
      <c r="L253" s="241"/>
      <c r="M253" s="243"/>
      <c r="N253" s="243"/>
      <c r="O253" s="242"/>
      <c r="P253" s="241"/>
      <c r="Q253" s="241"/>
      <c r="R253" s="241"/>
      <c r="S253" s="244"/>
      <c r="T253" s="244"/>
      <c r="U253"/>
      <c r="AA253"/>
      <c r="AB253"/>
      <c r="AC253"/>
      <c r="AD253"/>
      <c r="AE253"/>
      <c r="AF253"/>
      <c r="AG253"/>
      <c r="AH253"/>
      <c r="AI253"/>
      <c r="AJ253"/>
      <c r="AK253"/>
      <c r="AL253"/>
      <c r="AM253"/>
      <c r="AN253"/>
      <c r="AO253"/>
      <c r="AP253"/>
      <c r="AQ253"/>
      <c r="AR253"/>
    </row>
    <row r="254" spans="1:44" s="239" customFormat="1">
      <c r="A254" s="241"/>
      <c r="B254" s="241"/>
      <c r="C254" s="245" t="str">
        <f>IF(B254="","",IFERROR(VLOOKUP(B254,PERUMAHAN!$A:$B,2,FALSE),"ID tidak ditemukan"))</f>
        <v/>
      </c>
      <c r="D254" s="241"/>
      <c r="E254" s="241"/>
      <c r="F254" s="241"/>
      <c r="G254" s="243"/>
      <c r="H254" s="254"/>
      <c r="I254" s="241"/>
      <c r="J254" s="241"/>
      <c r="K254" s="241"/>
      <c r="L254" s="241"/>
      <c r="M254" s="243"/>
      <c r="N254" s="243"/>
      <c r="O254" s="242"/>
      <c r="P254" s="241"/>
      <c r="Q254" s="241"/>
      <c r="R254" s="241"/>
      <c r="S254" s="244"/>
      <c r="T254" s="244"/>
      <c r="U254"/>
      <c r="AA254"/>
      <c r="AB254"/>
      <c r="AC254"/>
      <c r="AD254"/>
      <c r="AE254"/>
      <c r="AF254"/>
      <c r="AG254"/>
      <c r="AH254"/>
      <c r="AI254"/>
      <c r="AJ254"/>
      <c r="AK254"/>
      <c r="AL254"/>
      <c r="AM254"/>
      <c r="AN254"/>
      <c r="AO254"/>
      <c r="AP254"/>
      <c r="AQ254"/>
      <c r="AR254"/>
    </row>
    <row r="255" spans="1:44" s="239" customFormat="1">
      <c r="A255" s="241"/>
      <c r="B255" s="241"/>
      <c r="C255" s="245" t="str">
        <f>IF(B255="","",IFERROR(VLOOKUP(B255,PERUMAHAN!$A:$B,2,FALSE),"ID tidak ditemukan"))</f>
        <v/>
      </c>
      <c r="D255" s="241"/>
      <c r="E255" s="241"/>
      <c r="F255" s="241"/>
      <c r="G255" s="243"/>
      <c r="H255" s="254"/>
      <c r="I255" s="241"/>
      <c r="J255" s="241"/>
      <c r="K255" s="241"/>
      <c r="L255" s="241"/>
      <c r="M255" s="243"/>
      <c r="N255" s="243"/>
      <c r="O255" s="242"/>
      <c r="P255" s="241"/>
      <c r="Q255" s="241"/>
      <c r="R255" s="241"/>
      <c r="S255" s="244"/>
      <c r="T255" s="244"/>
      <c r="U255"/>
      <c r="AA255"/>
      <c r="AB255"/>
      <c r="AC255"/>
      <c r="AD255"/>
      <c r="AE255"/>
      <c r="AF255"/>
      <c r="AG255"/>
      <c r="AH255"/>
      <c r="AI255"/>
      <c r="AJ255"/>
      <c r="AK255"/>
      <c r="AL255"/>
      <c r="AM255"/>
      <c r="AN255"/>
      <c r="AO255"/>
      <c r="AP255"/>
      <c r="AQ255"/>
      <c r="AR255"/>
    </row>
    <row r="256" spans="1:44" s="239" customFormat="1">
      <c r="A256" s="241"/>
      <c r="B256" s="241"/>
      <c r="C256" s="245" t="str">
        <f>IF(B256="","",IFERROR(VLOOKUP(B256,PERUMAHAN!$A:$B,2,FALSE),"ID tidak ditemukan"))</f>
        <v/>
      </c>
      <c r="D256" s="241"/>
      <c r="E256" s="241"/>
      <c r="F256" s="241"/>
      <c r="G256" s="243"/>
      <c r="H256" s="254"/>
      <c r="I256" s="241"/>
      <c r="J256" s="241"/>
      <c r="K256" s="241"/>
      <c r="L256" s="241"/>
      <c r="M256" s="243"/>
      <c r="N256" s="243"/>
      <c r="O256" s="242"/>
      <c r="P256" s="241"/>
      <c r="Q256" s="241"/>
      <c r="R256" s="241"/>
      <c r="S256" s="244"/>
      <c r="T256" s="244"/>
      <c r="U256"/>
      <c r="AA256"/>
      <c r="AB256"/>
      <c r="AC256"/>
      <c r="AD256"/>
      <c r="AE256"/>
      <c r="AF256"/>
      <c r="AG256"/>
      <c r="AH256"/>
      <c r="AI256"/>
      <c r="AJ256"/>
      <c r="AK256"/>
      <c r="AL256"/>
      <c r="AM256"/>
      <c r="AN256"/>
      <c r="AO256"/>
      <c r="AP256"/>
      <c r="AQ256"/>
      <c r="AR256"/>
    </row>
    <row r="257" spans="1:44" s="239" customFormat="1">
      <c r="A257" s="241"/>
      <c r="B257" s="241"/>
      <c r="C257" s="245" t="str">
        <f>IF(B257="","",IFERROR(VLOOKUP(B257,PERUMAHAN!$A:$B,2,FALSE),"ID tidak ditemukan"))</f>
        <v/>
      </c>
      <c r="D257" s="241"/>
      <c r="E257" s="241"/>
      <c r="F257" s="241"/>
      <c r="G257" s="243"/>
      <c r="H257" s="254"/>
      <c r="I257" s="241"/>
      <c r="J257" s="241"/>
      <c r="K257" s="241"/>
      <c r="L257" s="241"/>
      <c r="M257" s="243"/>
      <c r="N257" s="243"/>
      <c r="O257" s="242"/>
      <c r="P257" s="241"/>
      <c r="Q257" s="241"/>
      <c r="R257" s="241"/>
      <c r="S257" s="244"/>
      <c r="T257" s="244"/>
      <c r="U257"/>
      <c r="AA257"/>
      <c r="AB257"/>
      <c r="AC257"/>
      <c r="AD257"/>
      <c r="AE257"/>
      <c r="AF257"/>
      <c r="AG257"/>
      <c r="AH257"/>
      <c r="AI257"/>
      <c r="AJ257"/>
      <c r="AK257"/>
      <c r="AL257"/>
      <c r="AM257"/>
      <c r="AN257"/>
      <c r="AO257"/>
      <c r="AP257"/>
      <c r="AQ257"/>
      <c r="AR257"/>
    </row>
    <row r="258" spans="1:44" s="239" customFormat="1">
      <c r="A258" s="241"/>
      <c r="B258" s="241"/>
      <c r="C258" s="245" t="str">
        <f>IF(B258="","",IFERROR(VLOOKUP(B258,PERUMAHAN!$A:$B,2,FALSE),"ID tidak ditemukan"))</f>
        <v/>
      </c>
      <c r="D258" s="241"/>
      <c r="E258" s="241"/>
      <c r="F258" s="241"/>
      <c r="G258" s="243"/>
      <c r="H258" s="254"/>
      <c r="I258" s="241"/>
      <c r="J258" s="241"/>
      <c r="K258" s="241"/>
      <c r="L258" s="241"/>
      <c r="M258" s="243"/>
      <c r="N258" s="243"/>
      <c r="O258" s="242"/>
      <c r="P258" s="241"/>
      <c r="Q258" s="241"/>
      <c r="R258" s="241"/>
      <c r="S258" s="244"/>
      <c r="T258" s="244"/>
      <c r="U258"/>
      <c r="AA258"/>
      <c r="AB258"/>
      <c r="AC258"/>
      <c r="AD258"/>
      <c r="AE258"/>
      <c r="AF258"/>
      <c r="AG258"/>
      <c r="AH258"/>
      <c r="AI258"/>
      <c r="AJ258"/>
      <c r="AK258"/>
      <c r="AL258"/>
      <c r="AM258"/>
      <c r="AN258"/>
      <c r="AO258"/>
      <c r="AP258"/>
      <c r="AQ258"/>
      <c r="AR258"/>
    </row>
    <row r="259" spans="1:44" s="239" customFormat="1">
      <c r="A259" s="241"/>
      <c r="B259" s="241"/>
      <c r="C259" s="245" t="str">
        <f>IF(B259="","",IFERROR(VLOOKUP(B259,PERUMAHAN!$A:$B,2,FALSE),"ID tidak ditemukan"))</f>
        <v/>
      </c>
      <c r="D259" s="241"/>
      <c r="E259" s="241"/>
      <c r="F259" s="241"/>
      <c r="G259" s="243"/>
      <c r="H259" s="254"/>
      <c r="I259" s="241"/>
      <c r="J259" s="241"/>
      <c r="K259" s="241"/>
      <c r="L259" s="241"/>
      <c r="M259" s="243"/>
      <c r="N259" s="243"/>
      <c r="O259" s="242"/>
      <c r="P259" s="241"/>
      <c r="Q259" s="241"/>
      <c r="R259" s="241"/>
      <c r="S259" s="244"/>
      <c r="T259" s="244"/>
      <c r="U259"/>
      <c r="AA259"/>
      <c r="AB259"/>
      <c r="AC259"/>
      <c r="AD259"/>
      <c r="AE259"/>
      <c r="AF259"/>
      <c r="AG259"/>
      <c r="AH259"/>
      <c r="AI259"/>
      <c r="AJ259"/>
      <c r="AK259"/>
      <c r="AL259"/>
      <c r="AM259"/>
      <c r="AN259"/>
      <c r="AO259"/>
      <c r="AP259"/>
      <c r="AQ259"/>
      <c r="AR259"/>
    </row>
    <row r="260" spans="1:44" s="239" customFormat="1">
      <c r="A260" s="241"/>
      <c r="B260" s="241"/>
      <c r="C260" s="245" t="str">
        <f>IF(B260="","",IFERROR(VLOOKUP(B260,PERUMAHAN!$A:$B,2,FALSE),"ID tidak ditemukan"))</f>
        <v/>
      </c>
      <c r="D260" s="241"/>
      <c r="E260" s="241"/>
      <c r="F260" s="241"/>
      <c r="G260" s="243"/>
      <c r="H260" s="254"/>
      <c r="I260" s="241"/>
      <c r="J260" s="241"/>
      <c r="K260" s="241"/>
      <c r="L260" s="241"/>
      <c r="M260" s="243"/>
      <c r="N260" s="243"/>
      <c r="O260" s="242"/>
      <c r="P260" s="241"/>
      <c r="Q260" s="241"/>
      <c r="R260" s="241"/>
      <c r="S260" s="244"/>
      <c r="T260" s="244"/>
      <c r="U260"/>
      <c r="AA260"/>
      <c r="AB260"/>
      <c r="AC260"/>
      <c r="AD260"/>
      <c r="AE260"/>
      <c r="AF260"/>
      <c r="AG260"/>
      <c r="AH260"/>
      <c r="AI260"/>
      <c r="AJ260"/>
      <c r="AK260"/>
      <c r="AL260"/>
      <c r="AM260"/>
      <c r="AN260"/>
      <c r="AO260"/>
      <c r="AP260"/>
      <c r="AQ260"/>
      <c r="AR260"/>
    </row>
    <row r="261" spans="1:44" s="239" customFormat="1">
      <c r="A261" s="241"/>
      <c r="B261" s="241"/>
      <c r="C261" s="245" t="str">
        <f>IF(B261="","",IFERROR(VLOOKUP(B261,PERUMAHAN!$A:$B,2,FALSE),"ID tidak ditemukan"))</f>
        <v/>
      </c>
      <c r="D261" s="241"/>
      <c r="E261" s="241"/>
      <c r="F261" s="241"/>
      <c r="G261" s="243"/>
      <c r="H261" s="254"/>
      <c r="I261" s="241"/>
      <c r="J261" s="241"/>
      <c r="K261" s="241"/>
      <c r="L261" s="241"/>
      <c r="M261" s="243"/>
      <c r="N261" s="243"/>
      <c r="O261" s="242"/>
      <c r="P261" s="241"/>
      <c r="Q261" s="241"/>
      <c r="R261" s="241"/>
      <c r="S261" s="244"/>
      <c r="T261" s="244"/>
      <c r="U261"/>
      <c r="AA261"/>
      <c r="AB261"/>
      <c r="AC261"/>
      <c r="AD261"/>
      <c r="AE261"/>
      <c r="AF261"/>
      <c r="AG261"/>
      <c r="AH261"/>
      <c r="AI261"/>
      <c r="AJ261"/>
      <c r="AK261"/>
      <c r="AL261"/>
      <c r="AM261"/>
      <c r="AN261"/>
      <c r="AO261"/>
      <c r="AP261"/>
      <c r="AQ261"/>
      <c r="AR261"/>
    </row>
    <row r="262" spans="1:44" s="239" customFormat="1">
      <c r="A262" s="241"/>
      <c r="B262" s="241"/>
      <c r="C262" s="245" t="str">
        <f>IF(B262="","",IFERROR(VLOOKUP(B262,PERUMAHAN!$A:$B,2,FALSE),"ID tidak ditemukan"))</f>
        <v/>
      </c>
      <c r="D262" s="241"/>
      <c r="E262" s="241"/>
      <c r="F262" s="241"/>
      <c r="G262" s="243"/>
      <c r="H262" s="254"/>
      <c r="I262" s="241"/>
      <c r="J262" s="241"/>
      <c r="K262" s="241"/>
      <c r="L262" s="241"/>
      <c r="M262" s="243"/>
      <c r="N262" s="243"/>
      <c r="O262" s="242"/>
      <c r="P262" s="241"/>
      <c r="Q262" s="241"/>
      <c r="R262" s="241"/>
      <c r="S262" s="244"/>
      <c r="T262" s="244"/>
      <c r="U262"/>
      <c r="AA262"/>
      <c r="AB262"/>
      <c r="AC262"/>
      <c r="AD262"/>
      <c r="AE262"/>
      <c r="AF262"/>
      <c r="AG262"/>
      <c r="AH262"/>
      <c r="AI262"/>
      <c r="AJ262"/>
      <c r="AK262"/>
      <c r="AL262"/>
      <c r="AM262"/>
      <c r="AN262"/>
      <c r="AO262"/>
      <c r="AP262"/>
      <c r="AQ262"/>
      <c r="AR262"/>
    </row>
    <row r="263" spans="1:44" s="239" customFormat="1">
      <c r="A263" s="241"/>
      <c r="B263" s="241"/>
      <c r="C263" s="245" t="str">
        <f>IF(B263="","",IFERROR(VLOOKUP(B263,PERUMAHAN!$A:$B,2,FALSE),"ID tidak ditemukan"))</f>
        <v/>
      </c>
      <c r="D263" s="241"/>
      <c r="E263" s="241"/>
      <c r="F263" s="241"/>
      <c r="G263" s="243"/>
      <c r="H263" s="254"/>
      <c r="I263" s="241"/>
      <c r="J263" s="241"/>
      <c r="K263" s="241"/>
      <c r="L263" s="241"/>
      <c r="M263" s="243"/>
      <c r="N263" s="243"/>
      <c r="O263" s="242"/>
      <c r="P263" s="241"/>
      <c r="Q263" s="241"/>
      <c r="R263" s="241"/>
      <c r="S263" s="244"/>
      <c r="T263" s="244"/>
      <c r="U263"/>
      <c r="AA263"/>
      <c r="AB263"/>
      <c r="AC263"/>
      <c r="AD263"/>
      <c r="AE263"/>
      <c r="AF263"/>
      <c r="AG263"/>
      <c r="AH263"/>
      <c r="AI263"/>
      <c r="AJ263"/>
      <c r="AK263"/>
      <c r="AL263"/>
      <c r="AM263"/>
      <c r="AN263"/>
      <c r="AO263"/>
      <c r="AP263"/>
      <c r="AQ263"/>
      <c r="AR263"/>
    </row>
    <row r="264" spans="1:44" s="239" customFormat="1">
      <c r="A264" s="241"/>
      <c r="B264" s="241"/>
      <c r="C264" s="245" t="str">
        <f>IF(B264="","",IFERROR(VLOOKUP(B264,PERUMAHAN!$A:$B,2,FALSE),"ID tidak ditemukan"))</f>
        <v/>
      </c>
      <c r="D264" s="241"/>
      <c r="E264" s="241"/>
      <c r="F264" s="241"/>
      <c r="G264" s="243"/>
      <c r="H264" s="254"/>
      <c r="I264" s="241"/>
      <c r="J264" s="241"/>
      <c r="K264" s="241"/>
      <c r="L264" s="241"/>
      <c r="M264" s="243"/>
      <c r="N264" s="243"/>
      <c r="O264" s="242"/>
      <c r="P264" s="241"/>
      <c r="Q264" s="241"/>
      <c r="R264" s="241"/>
      <c r="S264" s="244"/>
      <c r="T264" s="244"/>
      <c r="U264"/>
      <c r="AA264"/>
      <c r="AB264"/>
      <c r="AC264"/>
      <c r="AD264"/>
      <c r="AE264"/>
      <c r="AF264"/>
      <c r="AG264"/>
      <c r="AH264"/>
      <c r="AI264"/>
      <c r="AJ264"/>
      <c r="AK264"/>
      <c r="AL264"/>
      <c r="AM264"/>
      <c r="AN264"/>
      <c r="AO264"/>
      <c r="AP264"/>
      <c r="AQ264"/>
      <c r="AR264"/>
    </row>
    <row r="265" spans="1:44" s="239" customFormat="1">
      <c r="A265" s="241"/>
      <c r="B265" s="241"/>
      <c r="C265" s="245" t="str">
        <f>IF(B265="","",IFERROR(VLOOKUP(B265,PERUMAHAN!$A:$B,2,FALSE),"ID tidak ditemukan"))</f>
        <v/>
      </c>
      <c r="D265" s="241"/>
      <c r="E265" s="241"/>
      <c r="F265" s="241"/>
      <c r="G265" s="243"/>
      <c r="H265" s="254"/>
      <c r="I265" s="241"/>
      <c r="J265" s="241"/>
      <c r="K265" s="241"/>
      <c r="L265" s="241"/>
      <c r="M265" s="243"/>
      <c r="N265" s="243"/>
      <c r="O265" s="242"/>
      <c r="P265" s="241"/>
      <c r="Q265" s="241"/>
      <c r="R265" s="241"/>
      <c r="S265" s="244"/>
      <c r="T265" s="244"/>
      <c r="U265"/>
      <c r="AA265"/>
      <c r="AB265"/>
      <c r="AC265"/>
      <c r="AD265"/>
      <c r="AE265"/>
      <c r="AF265"/>
      <c r="AG265"/>
      <c r="AH265"/>
      <c r="AI265"/>
      <c r="AJ265"/>
      <c r="AK265"/>
      <c r="AL265"/>
      <c r="AM265"/>
      <c r="AN265"/>
      <c r="AO265"/>
      <c r="AP265"/>
      <c r="AQ265"/>
      <c r="AR265"/>
    </row>
    <row r="266" spans="1:44" s="239" customFormat="1">
      <c r="A266" s="241"/>
      <c r="B266" s="241"/>
      <c r="C266" s="245" t="str">
        <f>IF(B266="","",IFERROR(VLOOKUP(B266,PERUMAHAN!$A:$B,2,FALSE),"ID tidak ditemukan"))</f>
        <v/>
      </c>
      <c r="D266" s="241"/>
      <c r="E266" s="241"/>
      <c r="F266" s="241"/>
      <c r="G266" s="243"/>
      <c r="H266" s="254"/>
      <c r="I266" s="241"/>
      <c r="J266" s="241"/>
      <c r="K266" s="241"/>
      <c r="L266" s="241"/>
      <c r="M266" s="243"/>
      <c r="N266" s="243"/>
      <c r="O266" s="242"/>
      <c r="P266" s="241"/>
      <c r="Q266" s="241"/>
      <c r="R266" s="241"/>
      <c r="S266" s="244"/>
      <c r="T266" s="244"/>
      <c r="U266"/>
      <c r="AA266"/>
      <c r="AB266"/>
      <c r="AC266"/>
      <c r="AD266"/>
      <c r="AE266"/>
      <c r="AF266"/>
      <c r="AG266"/>
      <c r="AH266"/>
      <c r="AI266"/>
      <c r="AJ266"/>
      <c r="AK266"/>
      <c r="AL266"/>
      <c r="AM266"/>
      <c r="AN266"/>
      <c r="AO266"/>
      <c r="AP266"/>
      <c r="AQ266"/>
      <c r="AR266"/>
    </row>
    <row r="267" spans="1:44" s="239" customFormat="1">
      <c r="A267" s="241"/>
      <c r="B267" s="241"/>
      <c r="C267" s="245" t="str">
        <f>IF(B267="","",IFERROR(VLOOKUP(B267,PERUMAHAN!$A:$B,2,FALSE),"ID tidak ditemukan"))</f>
        <v/>
      </c>
      <c r="D267" s="241"/>
      <c r="E267" s="241"/>
      <c r="F267" s="241"/>
      <c r="G267" s="243"/>
      <c r="H267" s="254"/>
      <c r="I267" s="241"/>
      <c r="J267" s="241"/>
      <c r="K267" s="241"/>
      <c r="L267" s="241"/>
      <c r="M267" s="243"/>
      <c r="N267" s="243"/>
      <c r="O267" s="242"/>
      <c r="P267" s="241"/>
      <c r="Q267" s="241"/>
      <c r="R267" s="241"/>
      <c r="S267" s="244"/>
      <c r="T267" s="244"/>
      <c r="U267"/>
      <c r="AA267"/>
      <c r="AB267"/>
      <c r="AC267"/>
      <c r="AD267"/>
      <c r="AE267"/>
      <c r="AF267"/>
      <c r="AG267"/>
      <c r="AH267"/>
      <c r="AI267"/>
      <c r="AJ267"/>
      <c r="AK267"/>
      <c r="AL267"/>
      <c r="AM267"/>
      <c r="AN267"/>
      <c r="AO267"/>
      <c r="AP267"/>
      <c r="AQ267"/>
      <c r="AR267"/>
    </row>
    <row r="268" spans="1:44" s="239" customFormat="1">
      <c r="A268" s="241"/>
      <c r="B268" s="241"/>
      <c r="C268" s="245" t="str">
        <f>IF(B268="","",IFERROR(VLOOKUP(B268,PERUMAHAN!$A:$B,2,FALSE),"ID tidak ditemukan"))</f>
        <v/>
      </c>
      <c r="D268" s="241"/>
      <c r="E268" s="241"/>
      <c r="F268" s="241"/>
      <c r="G268" s="243"/>
      <c r="H268" s="254"/>
      <c r="I268" s="241"/>
      <c r="J268" s="241"/>
      <c r="K268" s="241"/>
      <c r="L268" s="241"/>
      <c r="M268" s="243"/>
      <c r="N268" s="243"/>
      <c r="O268" s="242"/>
      <c r="P268" s="241"/>
      <c r="Q268" s="241"/>
      <c r="R268" s="241"/>
      <c r="S268" s="244"/>
      <c r="T268" s="244"/>
      <c r="U268"/>
      <c r="AA268"/>
      <c r="AB268"/>
      <c r="AC268"/>
      <c r="AD268"/>
      <c r="AE268"/>
      <c r="AF268"/>
      <c r="AG268"/>
      <c r="AH268"/>
      <c r="AI268"/>
      <c r="AJ268"/>
      <c r="AK268"/>
      <c r="AL268"/>
      <c r="AM268"/>
      <c r="AN268"/>
      <c r="AO268"/>
      <c r="AP268"/>
      <c r="AQ268"/>
      <c r="AR268"/>
    </row>
    <row r="269" spans="1:44" s="239" customFormat="1">
      <c r="A269" s="241"/>
      <c r="B269" s="241"/>
      <c r="C269" s="245" t="str">
        <f>IF(B269="","",IFERROR(VLOOKUP(B269,PERUMAHAN!$A:$B,2,FALSE),"ID tidak ditemukan"))</f>
        <v/>
      </c>
      <c r="D269" s="241"/>
      <c r="E269" s="241"/>
      <c r="F269" s="241"/>
      <c r="G269" s="243"/>
      <c r="H269" s="254"/>
      <c r="I269" s="241"/>
      <c r="J269" s="241"/>
      <c r="K269" s="241"/>
      <c r="L269" s="241"/>
      <c r="M269" s="243"/>
      <c r="N269" s="243"/>
      <c r="O269" s="242"/>
      <c r="P269" s="241"/>
      <c r="Q269" s="241"/>
      <c r="R269" s="241"/>
      <c r="S269" s="244"/>
      <c r="T269" s="244"/>
      <c r="U269"/>
      <c r="AA269"/>
      <c r="AB269"/>
      <c r="AC269"/>
      <c r="AD269"/>
      <c r="AE269"/>
      <c r="AF269"/>
      <c r="AG269"/>
      <c r="AH269"/>
      <c r="AI269"/>
      <c r="AJ269"/>
      <c r="AK269"/>
      <c r="AL269"/>
      <c r="AM269"/>
      <c r="AN269"/>
      <c r="AO269"/>
      <c r="AP269"/>
      <c r="AQ269"/>
      <c r="AR269"/>
    </row>
    <row r="270" spans="1:44" s="239" customFormat="1">
      <c r="A270" s="241"/>
      <c r="B270" s="241"/>
      <c r="C270" s="245" t="str">
        <f>IF(B270="","",IFERROR(VLOOKUP(B270,PERUMAHAN!$A:$B,2,FALSE),"ID tidak ditemukan"))</f>
        <v/>
      </c>
      <c r="D270" s="241"/>
      <c r="E270" s="241"/>
      <c r="F270" s="241"/>
      <c r="G270" s="243"/>
      <c r="H270" s="254"/>
      <c r="I270" s="241"/>
      <c r="J270" s="241"/>
      <c r="K270" s="241"/>
      <c r="L270" s="241"/>
      <c r="M270" s="243"/>
      <c r="N270" s="243"/>
      <c r="O270" s="242"/>
      <c r="P270" s="241"/>
      <c r="Q270" s="241"/>
      <c r="R270" s="241"/>
      <c r="S270" s="244"/>
      <c r="T270" s="244"/>
      <c r="U270"/>
      <c r="AA270"/>
      <c r="AB270"/>
      <c r="AC270"/>
      <c r="AD270"/>
      <c r="AE270"/>
      <c r="AF270"/>
      <c r="AG270"/>
      <c r="AH270"/>
      <c r="AI270"/>
      <c r="AJ270"/>
      <c r="AK270"/>
      <c r="AL270"/>
      <c r="AM270"/>
      <c r="AN270"/>
      <c r="AO270"/>
      <c r="AP270"/>
      <c r="AQ270"/>
      <c r="AR270"/>
    </row>
    <row r="271" spans="1:44" s="239" customFormat="1">
      <c r="A271" s="241"/>
      <c r="B271" s="241"/>
      <c r="C271" s="245" t="str">
        <f>IF(B271="","",IFERROR(VLOOKUP(B271,PERUMAHAN!$A:$B,2,FALSE),"ID tidak ditemukan"))</f>
        <v/>
      </c>
      <c r="D271" s="241"/>
      <c r="E271" s="241"/>
      <c r="F271" s="241"/>
      <c r="G271" s="243"/>
      <c r="H271" s="254"/>
      <c r="I271" s="241"/>
      <c r="J271" s="241"/>
      <c r="K271" s="241"/>
      <c r="L271" s="241"/>
      <c r="M271" s="243"/>
      <c r="N271" s="243"/>
      <c r="O271" s="242"/>
      <c r="P271" s="241"/>
      <c r="Q271" s="241"/>
      <c r="R271" s="241"/>
      <c r="S271" s="244"/>
      <c r="T271" s="244"/>
      <c r="U271"/>
      <c r="AA271"/>
      <c r="AB271"/>
      <c r="AC271"/>
      <c r="AD271"/>
      <c r="AE271"/>
      <c r="AF271"/>
      <c r="AG271"/>
      <c r="AH271"/>
      <c r="AI271"/>
      <c r="AJ271"/>
      <c r="AK271"/>
      <c r="AL271"/>
      <c r="AM271"/>
      <c r="AN271"/>
      <c r="AO271"/>
      <c r="AP271"/>
      <c r="AQ271"/>
      <c r="AR271"/>
    </row>
    <row r="272" spans="1:44" s="239" customFormat="1">
      <c r="A272" s="241"/>
      <c r="B272" s="241"/>
      <c r="C272" s="245" t="str">
        <f>IF(B272="","",IFERROR(VLOOKUP(B272,PERUMAHAN!$A:$B,2,FALSE),"ID tidak ditemukan"))</f>
        <v/>
      </c>
      <c r="D272" s="241"/>
      <c r="E272" s="241"/>
      <c r="F272" s="241"/>
      <c r="G272" s="243"/>
      <c r="H272" s="254"/>
      <c r="I272" s="241"/>
      <c r="J272" s="241"/>
      <c r="K272" s="241"/>
      <c r="L272" s="241"/>
      <c r="M272" s="243"/>
      <c r="N272" s="243"/>
      <c r="O272" s="242"/>
      <c r="P272" s="241"/>
      <c r="Q272" s="241"/>
      <c r="R272" s="241"/>
      <c r="S272" s="244"/>
      <c r="T272" s="244"/>
      <c r="U272"/>
      <c r="AA272"/>
      <c r="AB272"/>
      <c r="AC272"/>
      <c r="AD272"/>
      <c r="AE272"/>
      <c r="AF272"/>
      <c r="AG272"/>
      <c r="AH272"/>
      <c r="AI272"/>
      <c r="AJ272"/>
      <c r="AK272"/>
      <c r="AL272"/>
      <c r="AM272"/>
      <c r="AN272"/>
      <c r="AO272"/>
      <c r="AP272"/>
      <c r="AQ272"/>
      <c r="AR272"/>
    </row>
    <row r="273" spans="1:44" s="239" customFormat="1">
      <c r="A273" s="241"/>
      <c r="B273" s="241"/>
      <c r="C273" s="245" t="str">
        <f>IF(B273="","",IFERROR(VLOOKUP(B273,PERUMAHAN!$A:$B,2,FALSE),"ID tidak ditemukan"))</f>
        <v/>
      </c>
      <c r="D273" s="241"/>
      <c r="E273" s="241"/>
      <c r="F273" s="241"/>
      <c r="G273" s="243"/>
      <c r="H273" s="254"/>
      <c r="I273" s="241"/>
      <c r="J273" s="241"/>
      <c r="K273" s="241"/>
      <c r="L273" s="241"/>
      <c r="M273" s="243"/>
      <c r="N273" s="243"/>
      <c r="O273" s="242"/>
      <c r="P273" s="241"/>
      <c r="Q273" s="241"/>
      <c r="R273" s="241"/>
      <c r="S273" s="244"/>
      <c r="T273" s="244"/>
      <c r="U273"/>
      <c r="AA273"/>
      <c r="AB273"/>
      <c r="AC273"/>
      <c r="AD273"/>
      <c r="AE273"/>
      <c r="AF273"/>
      <c r="AG273"/>
      <c r="AH273"/>
      <c r="AI273"/>
      <c r="AJ273"/>
      <c r="AK273"/>
      <c r="AL273"/>
      <c r="AM273"/>
      <c r="AN273"/>
      <c r="AO273"/>
      <c r="AP273"/>
      <c r="AQ273"/>
      <c r="AR273"/>
    </row>
    <row r="274" spans="1:44" s="239" customFormat="1">
      <c r="A274" s="241"/>
      <c r="B274" s="241"/>
      <c r="C274" s="245" t="str">
        <f>IF(B274="","",IFERROR(VLOOKUP(B274,PERUMAHAN!$A:$B,2,FALSE),"ID tidak ditemukan"))</f>
        <v/>
      </c>
      <c r="D274" s="241"/>
      <c r="E274" s="241"/>
      <c r="F274" s="241"/>
      <c r="G274" s="243"/>
      <c r="H274" s="254"/>
      <c r="I274" s="241"/>
      <c r="J274" s="241"/>
      <c r="K274" s="241"/>
      <c r="L274" s="241"/>
      <c r="M274" s="243"/>
      <c r="N274" s="243"/>
      <c r="O274" s="242"/>
      <c r="P274" s="241"/>
      <c r="Q274" s="241"/>
      <c r="R274" s="241"/>
      <c r="S274" s="244"/>
      <c r="T274" s="244"/>
      <c r="U274"/>
      <c r="AA274"/>
      <c r="AB274"/>
      <c r="AC274"/>
      <c r="AD274"/>
      <c r="AE274"/>
      <c r="AF274"/>
      <c r="AG274"/>
      <c r="AH274"/>
      <c r="AI274"/>
      <c r="AJ274"/>
      <c r="AK274"/>
      <c r="AL274"/>
      <c r="AM274"/>
      <c r="AN274"/>
      <c r="AO274"/>
      <c r="AP274"/>
      <c r="AQ274"/>
      <c r="AR274"/>
    </row>
    <row r="275" spans="1:44" s="239" customFormat="1">
      <c r="A275" s="241"/>
      <c r="B275" s="241"/>
      <c r="C275" s="245" t="str">
        <f>IF(B275="","",IFERROR(VLOOKUP(B275,PERUMAHAN!$A:$B,2,FALSE),"ID tidak ditemukan"))</f>
        <v/>
      </c>
      <c r="D275" s="241"/>
      <c r="E275" s="241"/>
      <c r="F275" s="241"/>
      <c r="G275" s="243"/>
      <c r="H275" s="254"/>
      <c r="I275" s="241"/>
      <c r="J275" s="241"/>
      <c r="K275" s="241"/>
      <c r="L275" s="241"/>
      <c r="M275" s="243"/>
      <c r="N275" s="243"/>
      <c r="O275" s="242"/>
      <c r="P275" s="241"/>
      <c r="Q275" s="241"/>
      <c r="R275" s="241"/>
      <c r="S275" s="244"/>
      <c r="T275" s="244"/>
      <c r="U275"/>
      <c r="AA275"/>
      <c r="AB275"/>
      <c r="AC275"/>
      <c r="AD275"/>
      <c r="AE275"/>
      <c r="AF275"/>
      <c r="AG275"/>
      <c r="AH275"/>
      <c r="AI275"/>
      <c r="AJ275"/>
      <c r="AK275"/>
      <c r="AL275"/>
      <c r="AM275"/>
      <c r="AN275"/>
      <c r="AO275"/>
      <c r="AP275"/>
      <c r="AQ275"/>
      <c r="AR275"/>
    </row>
    <row r="276" spans="1:44" s="239" customFormat="1">
      <c r="A276" s="241"/>
      <c r="B276" s="241"/>
      <c r="C276" s="245" t="str">
        <f>IF(B276="","",IFERROR(VLOOKUP(B276,PERUMAHAN!$A:$B,2,FALSE),"ID tidak ditemukan"))</f>
        <v/>
      </c>
      <c r="D276" s="241"/>
      <c r="E276" s="241"/>
      <c r="F276" s="241"/>
      <c r="G276" s="243"/>
      <c r="H276" s="254"/>
      <c r="I276" s="241"/>
      <c r="J276" s="241"/>
      <c r="K276" s="241"/>
      <c r="L276" s="241"/>
      <c r="M276" s="243"/>
      <c r="N276" s="243"/>
      <c r="O276" s="242"/>
      <c r="P276" s="241"/>
      <c r="Q276" s="241"/>
      <c r="R276" s="241"/>
      <c r="S276" s="244"/>
      <c r="T276" s="244"/>
      <c r="U276"/>
      <c r="AA276"/>
      <c r="AB276"/>
      <c r="AC276"/>
      <c r="AD276"/>
      <c r="AE276"/>
      <c r="AF276"/>
      <c r="AG276"/>
      <c r="AH276"/>
      <c r="AI276"/>
      <c r="AJ276"/>
      <c r="AK276"/>
      <c r="AL276"/>
      <c r="AM276"/>
      <c r="AN276"/>
      <c r="AO276"/>
      <c r="AP276"/>
      <c r="AQ276"/>
      <c r="AR276"/>
    </row>
    <row r="277" spans="1:44" s="239" customFormat="1">
      <c r="A277" s="241"/>
      <c r="B277" s="241"/>
      <c r="C277" s="245" t="str">
        <f>IF(B277="","",IFERROR(VLOOKUP(B277,PERUMAHAN!$A:$B,2,FALSE),"ID tidak ditemukan"))</f>
        <v/>
      </c>
      <c r="D277" s="241"/>
      <c r="E277" s="241"/>
      <c r="F277" s="241"/>
      <c r="G277" s="243"/>
      <c r="H277" s="254"/>
      <c r="I277" s="241"/>
      <c r="J277" s="241"/>
      <c r="K277" s="241"/>
      <c r="L277" s="241"/>
      <c r="M277" s="243"/>
      <c r="N277" s="243"/>
      <c r="O277" s="242"/>
      <c r="P277" s="241"/>
      <c r="Q277" s="241"/>
      <c r="R277" s="241"/>
      <c r="S277" s="244"/>
      <c r="T277" s="244"/>
      <c r="U277"/>
      <c r="AA277"/>
      <c r="AB277"/>
      <c r="AC277"/>
      <c r="AD277"/>
      <c r="AE277"/>
      <c r="AF277"/>
      <c r="AG277"/>
      <c r="AH277"/>
      <c r="AI277"/>
      <c r="AJ277"/>
      <c r="AK277"/>
      <c r="AL277"/>
      <c r="AM277"/>
      <c r="AN277"/>
      <c r="AO277"/>
      <c r="AP277"/>
      <c r="AQ277"/>
      <c r="AR277"/>
    </row>
    <row r="278" spans="1:44" s="239" customFormat="1">
      <c r="A278" s="241"/>
      <c r="B278" s="241"/>
      <c r="C278" s="245" t="str">
        <f>IF(B278="","",IFERROR(VLOOKUP(B278,PERUMAHAN!$A:$B,2,FALSE),"ID tidak ditemukan"))</f>
        <v/>
      </c>
      <c r="D278" s="241"/>
      <c r="E278" s="241"/>
      <c r="F278" s="241"/>
      <c r="G278" s="243"/>
      <c r="H278" s="254"/>
      <c r="I278" s="241"/>
      <c r="J278" s="241"/>
      <c r="K278" s="241"/>
      <c r="L278" s="241"/>
      <c r="M278" s="243"/>
      <c r="N278" s="243"/>
      <c r="O278" s="242"/>
      <c r="P278" s="241"/>
      <c r="Q278" s="241"/>
      <c r="R278" s="241"/>
      <c r="S278" s="244"/>
      <c r="T278" s="244"/>
      <c r="U278"/>
      <c r="AA278"/>
      <c r="AB278"/>
      <c r="AC278"/>
      <c r="AD278"/>
      <c r="AE278"/>
      <c r="AF278"/>
      <c r="AG278"/>
      <c r="AH278"/>
      <c r="AI278"/>
      <c r="AJ278"/>
      <c r="AK278"/>
      <c r="AL278"/>
      <c r="AM278"/>
      <c r="AN278"/>
      <c r="AO278"/>
      <c r="AP278"/>
      <c r="AQ278"/>
      <c r="AR278"/>
    </row>
    <row r="279" spans="1:44" s="239" customFormat="1">
      <c r="A279" s="241"/>
      <c r="B279" s="241"/>
      <c r="C279" s="245" t="str">
        <f>IF(B279="","",IFERROR(VLOOKUP(B279,PERUMAHAN!$A:$B,2,FALSE),"ID tidak ditemukan"))</f>
        <v/>
      </c>
      <c r="D279" s="241"/>
      <c r="E279" s="241"/>
      <c r="F279" s="241"/>
      <c r="G279" s="243"/>
      <c r="H279" s="254"/>
      <c r="I279" s="241"/>
      <c r="J279" s="241"/>
      <c r="K279" s="241"/>
      <c r="L279" s="241"/>
      <c r="M279" s="243"/>
      <c r="N279" s="243"/>
      <c r="O279" s="242"/>
      <c r="P279" s="241"/>
      <c r="Q279" s="241"/>
      <c r="R279" s="241"/>
      <c r="S279" s="244"/>
      <c r="T279" s="244"/>
      <c r="U279"/>
      <c r="AA279"/>
      <c r="AB279"/>
      <c r="AC279"/>
      <c r="AD279"/>
      <c r="AE279"/>
      <c r="AF279"/>
      <c r="AG279"/>
      <c r="AH279"/>
      <c r="AI279"/>
      <c r="AJ279"/>
      <c r="AK279"/>
      <c r="AL279"/>
      <c r="AM279"/>
      <c r="AN279"/>
      <c r="AO279"/>
      <c r="AP279"/>
      <c r="AQ279"/>
      <c r="AR279"/>
    </row>
    <row r="280" spans="1:44" s="239" customFormat="1">
      <c r="A280" s="241"/>
      <c r="B280" s="241"/>
      <c r="C280" s="245" t="str">
        <f>IF(B280="","",IFERROR(VLOOKUP(B280,PERUMAHAN!$A:$B,2,FALSE),"ID tidak ditemukan"))</f>
        <v/>
      </c>
      <c r="D280" s="241"/>
      <c r="E280" s="241"/>
      <c r="F280" s="241"/>
      <c r="G280" s="243"/>
      <c r="H280" s="254"/>
      <c r="I280" s="241"/>
      <c r="J280" s="241"/>
      <c r="K280" s="241"/>
      <c r="L280" s="241"/>
      <c r="M280" s="243"/>
      <c r="N280" s="243"/>
      <c r="O280" s="242"/>
      <c r="P280" s="241"/>
      <c r="Q280" s="241"/>
      <c r="R280" s="241"/>
      <c r="S280" s="244"/>
      <c r="T280" s="244"/>
      <c r="U280"/>
      <c r="AA280"/>
      <c r="AB280"/>
      <c r="AC280"/>
      <c r="AD280"/>
      <c r="AE280"/>
      <c r="AF280"/>
      <c r="AG280"/>
      <c r="AH280"/>
      <c r="AI280"/>
      <c r="AJ280"/>
      <c r="AK280"/>
      <c r="AL280"/>
      <c r="AM280"/>
      <c r="AN280"/>
      <c r="AO280"/>
      <c r="AP280"/>
      <c r="AQ280"/>
      <c r="AR280"/>
    </row>
    <row r="281" spans="1:44" s="239" customFormat="1">
      <c r="A281" s="241"/>
      <c r="B281" s="241"/>
      <c r="C281" s="245" t="str">
        <f>IF(B281="","",IFERROR(VLOOKUP(B281,PERUMAHAN!$A:$B,2,FALSE),"ID tidak ditemukan"))</f>
        <v/>
      </c>
      <c r="D281" s="241"/>
      <c r="E281" s="241"/>
      <c r="F281" s="241"/>
      <c r="G281" s="243"/>
      <c r="H281" s="254"/>
      <c r="I281" s="241"/>
      <c r="J281" s="241"/>
      <c r="K281" s="241"/>
      <c r="L281" s="241"/>
      <c r="M281" s="243"/>
      <c r="N281" s="243"/>
      <c r="O281" s="242"/>
      <c r="P281" s="241"/>
      <c r="Q281" s="241"/>
      <c r="R281" s="241"/>
      <c r="S281" s="244"/>
      <c r="T281" s="244"/>
      <c r="U281"/>
      <c r="AA281"/>
      <c r="AB281"/>
      <c r="AC281"/>
      <c r="AD281"/>
      <c r="AE281"/>
      <c r="AF281"/>
      <c r="AG281"/>
      <c r="AH281"/>
      <c r="AI281"/>
      <c r="AJ281"/>
      <c r="AK281"/>
      <c r="AL281"/>
      <c r="AM281"/>
      <c r="AN281"/>
      <c r="AO281"/>
      <c r="AP281"/>
      <c r="AQ281"/>
      <c r="AR281"/>
    </row>
    <row r="282" spans="1:44" s="239" customFormat="1">
      <c r="A282" s="241"/>
      <c r="B282" s="241"/>
      <c r="C282" s="245" t="str">
        <f>IF(B282="","",IFERROR(VLOOKUP(B282,PERUMAHAN!$A:$B,2,FALSE),"ID tidak ditemukan"))</f>
        <v/>
      </c>
      <c r="D282" s="241"/>
      <c r="E282" s="241"/>
      <c r="F282" s="241"/>
      <c r="G282" s="243"/>
      <c r="H282" s="254"/>
      <c r="I282" s="241"/>
      <c r="J282" s="241"/>
      <c r="K282" s="241"/>
      <c r="L282" s="241"/>
      <c r="M282" s="243"/>
      <c r="N282" s="243"/>
      <c r="O282" s="242"/>
      <c r="P282" s="241"/>
      <c r="Q282" s="241"/>
      <c r="R282" s="241"/>
      <c r="S282" s="244"/>
      <c r="T282" s="244"/>
      <c r="U282"/>
      <c r="AA282"/>
      <c r="AB282"/>
      <c r="AC282"/>
      <c r="AD282"/>
      <c r="AE282"/>
      <c r="AF282"/>
      <c r="AG282"/>
      <c r="AH282"/>
      <c r="AI282"/>
      <c r="AJ282"/>
      <c r="AK282"/>
      <c r="AL282"/>
      <c r="AM282"/>
      <c r="AN282"/>
      <c r="AO282"/>
      <c r="AP282"/>
      <c r="AQ282"/>
      <c r="AR282"/>
    </row>
    <row r="283" spans="1:44" s="239" customFormat="1">
      <c r="A283" s="241"/>
      <c r="B283" s="241"/>
      <c r="C283" s="245" t="str">
        <f>IF(B283="","",IFERROR(VLOOKUP(B283,PERUMAHAN!$A:$B,2,FALSE),"ID tidak ditemukan"))</f>
        <v/>
      </c>
      <c r="D283" s="241"/>
      <c r="E283" s="241"/>
      <c r="F283" s="241"/>
      <c r="G283" s="243"/>
      <c r="H283" s="254"/>
      <c r="I283" s="241"/>
      <c r="J283" s="241"/>
      <c r="K283" s="241"/>
      <c r="L283" s="241"/>
      <c r="M283" s="243"/>
      <c r="N283" s="243"/>
      <c r="O283" s="242"/>
      <c r="P283" s="241"/>
      <c r="Q283" s="241"/>
      <c r="R283" s="241"/>
      <c r="S283" s="244"/>
      <c r="T283" s="244"/>
      <c r="U283"/>
      <c r="AA283"/>
      <c r="AB283"/>
      <c r="AC283"/>
      <c r="AD283"/>
      <c r="AE283"/>
      <c r="AF283"/>
      <c r="AG283"/>
      <c r="AH283"/>
      <c r="AI283"/>
      <c r="AJ283"/>
      <c r="AK283"/>
      <c r="AL283"/>
      <c r="AM283"/>
      <c r="AN283"/>
      <c r="AO283"/>
      <c r="AP283"/>
      <c r="AQ283"/>
      <c r="AR283"/>
    </row>
    <row r="284" spans="1:44" s="239" customFormat="1">
      <c r="A284" s="241"/>
      <c r="B284" s="241"/>
      <c r="C284" s="245" t="str">
        <f>IF(B284="","",IFERROR(VLOOKUP(B284,PERUMAHAN!$A:$B,2,FALSE),"ID tidak ditemukan"))</f>
        <v/>
      </c>
      <c r="D284" s="241"/>
      <c r="E284" s="241"/>
      <c r="F284" s="241"/>
      <c r="G284" s="243"/>
      <c r="H284" s="254"/>
      <c r="I284" s="241"/>
      <c r="J284" s="241"/>
      <c r="K284" s="241"/>
      <c r="L284" s="241"/>
      <c r="M284" s="243"/>
      <c r="N284" s="243"/>
      <c r="O284" s="242"/>
      <c r="P284" s="241"/>
      <c r="Q284" s="241"/>
      <c r="R284" s="241"/>
      <c r="S284" s="244"/>
      <c r="T284" s="244"/>
      <c r="U284"/>
      <c r="AA284"/>
      <c r="AB284"/>
      <c r="AC284"/>
      <c r="AD284"/>
      <c r="AE284"/>
      <c r="AF284"/>
      <c r="AG284"/>
      <c r="AH284"/>
      <c r="AI284"/>
      <c r="AJ284"/>
      <c r="AK284"/>
      <c r="AL284"/>
      <c r="AM284"/>
      <c r="AN284"/>
      <c r="AO284"/>
      <c r="AP284"/>
      <c r="AQ284"/>
      <c r="AR284"/>
    </row>
    <row r="285" spans="1:44" s="239" customFormat="1">
      <c r="A285" s="241"/>
      <c r="B285" s="241"/>
      <c r="C285" s="245" t="str">
        <f>IF(B285="","",IFERROR(VLOOKUP(B285,PERUMAHAN!$A:$B,2,FALSE),"ID tidak ditemukan"))</f>
        <v/>
      </c>
      <c r="D285" s="241"/>
      <c r="E285" s="241"/>
      <c r="F285" s="241"/>
      <c r="G285" s="243"/>
      <c r="H285" s="254"/>
      <c r="I285" s="241"/>
      <c r="J285" s="241"/>
      <c r="K285" s="241"/>
      <c r="L285" s="241"/>
      <c r="M285" s="243"/>
      <c r="N285" s="243"/>
      <c r="O285" s="242"/>
      <c r="P285" s="241"/>
      <c r="Q285" s="241"/>
      <c r="R285" s="241"/>
      <c r="S285" s="244"/>
      <c r="T285" s="244"/>
      <c r="U285"/>
      <c r="AA285"/>
      <c r="AB285"/>
      <c r="AC285"/>
      <c r="AD285"/>
      <c r="AE285"/>
      <c r="AF285"/>
      <c r="AG285"/>
      <c r="AH285"/>
      <c r="AI285"/>
      <c r="AJ285"/>
      <c r="AK285"/>
      <c r="AL285"/>
      <c r="AM285"/>
      <c r="AN285"/>
      <c r="AO285"/>
      <c r="AP285"/>
      <c r="AQ285"/>
      <c r="AR285"/>
    </row>
    <row r="286" spans="1:44" s="239" customFormat="1">
      <c r="A286" s="241"/>
      <c r="B286" s="241"/>
      <c r="C286" s="245" t="str">
        <f>IF(B286="","",IFERROR(VLOOKUP(B286,PERUMAHAN!$A:$B,2,FALSE),"ID tidak ditemukan"))</f>
        <v/>
      </c>
      <c r="D286" s="241"/>
      <c r="E286" s="241"/>
      <c r="F286" s="241"/>
      <c r="G286" s="243"/>
      <c r="H286" s="254"/>
      <c r="I286" s="241"/>
      <c r="J286" s="241"/>
      <c r="K286" s="241"/>
      <c r="L286" s="241"/>
      <c r="M286" s="243"/>
      <c r="N286" s="243"/>
      <c r="O286" s="242"/>
      <c r="P286" s="241"/>
      <c r="Q286" s="241"/>
      <c r="R286" s="241"/>
      <c r="S286" s="244"/>
      <c r="T286" s="244"/>
      <c r="U286"/>
      <c r="AA286"/>
      <c r="AB286"/>
      <c r="AC286"/>
      <c r="AD286"/>
      <c r="AE286"/>
      <c r="AF286"/>
      <c r="AG286"/>
      <c r="AH286"/>
      <c r="AI286"/>
      <c r="AJ286"/>
      <c r="AK286"/>
      <c r="AL286"/>
      <c r="AM286"/>
      <c r="AN286"/>
      <c r="AO286"/>
      <c r="AP286"/>
      <c r="AQ286"/>
      <c r="AR286"/>
    </row>
    <row r="287" spans="1:44" s="239" customFormat="1">
      <c r="A287" s="241"/>
      <c r="B287" s="241"/>
      <c r="C287" s="245" t="str">
        <f>IF(B287="","",IFERROR(VLOOKUP(B287,PERUMAHAN!$A:$B,2,FALSE),"ID tidak ditemukan"))</f>
        <v/>
      </c>
      <c r="D287" s="241"/>
      <c r="E287" s="241"/>
      <c r="F287" s="241"/>
      <c r="G287" s="243"/>
      <c r="H287" s="254"/>
      <c r="I287" s="241"/>
      <c r="J287" s="241"/>
      <c r="K287" s="241"/>
      <c r="L287" s="241"/>
      <c r="M287" s="243"/>
      <c r="N287" s="243"/>
      <c r="O287" s="242"/>
      <c r="P287" s="241"/>
      <c r="Q287" s="241"/>
      <c r="R287" s="241"/>
      <c r="S287" s="244"/>
      <c r="T287" s="244"/>
      <c r="U287"/>
      <c r="AA287"/>
      <c r="AB287"/>
      <c r="AC287"/>
      <c r="AD287"/>
      <c r="AE287"/>
      <c r="AF287"/>
      <c r="AG287"/>
      <c r="AH287"/>
      <c r="AI287"/>
      <c r="AJ287"/>
      <c r="AK287"/>
      <c r="AL287"/>
      <c r="AM287"/>
      <c r="AN287"/>
      <c r="AO287"/>
      <c r="AP287"/>
      <c r="AQ287"/>
      <c r="AR287"/>
    </row>
    <row r="288" spans="1:44" s="239" customFormat="1">
      <c r="A288" s="241"/>
      <c r="B288" s="241"/>
      <c r="C288" s="245" t="str">
        <f>IF(B288="","",IFERROR(VLOOKUP(B288,PERUMAHAN!$A:$B,2,FALSE),"ID tidak ditemukan"))</f>
        <v/>
      </c>
      <c r="D288" s="241"/>
      <c r="E288" s="241"/>
      <c r="F288" s="241"/>
      <c r="G288" s="243"/>
      <c r="H288" s="254"/>
      <c r="I288" s="241"/>
      <c r="J288" s="241"/>
      <c r="K288" s="241"/>
      <c r="L288" s="241"/>
      <c r="M288" s="243"/>
      <c r="N288" s="243"/>
      <c r="O288" s="242"/>
      <c r="P288" s="241"/>
      <c r="Q288" s="241"/>
      <c r="R288" s="241"/>
      <c r="S288" s="244"/>
      <c r="T288" s="244"/>
      <c r="U288"/>
      <c r="AA288"/>
      <c r="AB288"/>
      <c r="AC288"/>
      <c r="AD288"/>
      <c r="AE288"/>
      <c r="AF288"/>
      <c r="AG288"/>
      <c r="AH288"/>
      <c r="AI288"/>
      <c r="AJ288"/>
      <c r="AK288"/>
      <c r="AL288"/>
      <c r="AM288"/>
      <c r="AN288"/>
      <c r="AO288"/>
      <c r="AP288"/>
      <c r="AQ288"/>
      <c r="AR288"/>
    </row>
    <row r="289" spans="1:44" s="239" customFormat="1">
      <c r="A289" s="241"/>
      <c r="B289" s="241"/>
      <c r="C289" s="245" t="str">
        <f>IF(B289="","",IFERROR(VLOOKUP(B289,PERUMAHAN!$A:$B,2,FALSE),"ID tidak ditemukan"))</f>
        <v/>
      </c>
      <c r="D289" s="241"/>
      <c r="E289" s="241"/>
      <c r="F289" s="241"/>
      <c r="G289" s="243"/>
      <c r="H289" s="254"/>
      <c r="I289" s="241"/>
      <c r="J289" s="241"/>
      <c r="K289" s="241"/>
      <c r="L289" s="241"/>
      <c r="M289" s="243"/>
      <c r="N289" s="243"/>
      <c r="O289" s="242"/>
      <c r="P289" s="241"/>
      <c r="Q289" s="241"/>
      <c r="R289" s="241"/>
      <c r="S289" s="244"/>
      <c r="T289" s="244"/>
      <c r="U289"/>
      <c r="AA289"/>
      <c r="AB289"/>
      <c r="AC289"/>
      <c r="AD289"/>
      <c r="AE289"/>
      <c r="AF289"/>
      <c r="AG289"/>
      <c r="AH289"/>
      <c r="AI289"/>
      <c r="AJ289"/>
      <c r="AK289"/>
      <c r="AL289"/>
      <c r="AM289"/>
      <c r="AN289"/>
      <c r="AO289"/>
      <c r="AP289"/>
      <c r="AQ289"/>
      <c r="AR289"/>
    </row>
    <row r="290" spans="1:44" s="239" customFormat="1">
      <c r="A290" s="241"/>
      <c r="B290" s="241"/>
      <c r="C290" s="245" t="str">
        <f>IF(B290="","",IFERROR(VLOOKUP(B290,PERUMAHAN!$A:$B,2,FALSE),"ID tidak ditemukan"))</f>
        <v/>
      </c>
      <c r="D290" s="241"/>
      <c r="E290" s="241"/>
      <c r="F290" s="241"/>
      <c r="G290" s="243"/>
      <c r="H290" s="254"/>
      <c r="I290" s="241"/>
      <c r="J290" s="241"/>
      <c r="K290" s="241"/>
      <c r="L290" s="241"/>
      <c r="M290" s="243"/>
      <c r="N290" s="243"/>
      <c r="O290" s="242"/>
      <c r="P290" s="241"/>
      <c r="Q290" s="241"/>
      <c r="R290" s="241"/>
      <c r="S290" s="244"/>
      <c r="T290" s="244"/>
      <c r="U290"/>
      <c r="AA290"/>
      <c r="AB290"/>
      <c r="AC290"/>
      <c r="AD290"/>
      <c r="AE290"/>
      <c r="AF290"/>
      <c r="AG290"/>
      <c r="AH290"/>
      <c r="AI290"/>
      <c r="AJ290"/>
      <c r="AK290"/>
      <c r="AL290"/>
      <c r="AM290"/>
      <c r="AN290"/>
      <c r="AO290"/>
      <c r="AP290"/>
      <c r="AQ290"/>
      <c r="AR290"/>
    </row>
    <row r="291" spans="1:44" s="239" customFormat="1">
      <c r="A291" s="241"/>
      <c r="B291" s="241"/>
      <c r="C291" s="245" t="str">
        <f>IF(B291="","",IFERROR(VLOOKUP(B291,PERUMAHAN!$A:$B,2,FALSE),"ID tidak ditemukan"))</f>
        <v/>
      </c>
      <c r="D291" s="241"/>
      <c r="E291" s="241"/>
      <c r="F291" s="241"/>
      <c r="G291" s="243"/>
      <c r="H291" s="254"/>
      <c r="I291" s="241"/>
      <c r="J291" s="241"/>
      <c r="K291" s="241"/>
      <c r="L291" s="241"/>
      <c r="M291" s="243"/>
      <c r="N291" s="243"/>
      <c r="O291" s="242"/>
      <c r="P291" s="241"/>
      <c r="Q291" s="241"/>
      <c r="R291" s="241"/>
      <c r="S291" s="244"/>
      <c r="T291" s="244"/>
      <c r="U291"/>
      <c r="AA291"/>
      <c r="AB291"/>
      <c r="AC291"/>
      <c r="AD291"/>
      <c r="AE291"/>
      <c r="AF291"/>
      <c r="AG291"/>
      <c r="AH291"/>
      <c r="AI291"/>
      <c r="AJ291"/>
      <c r="AK291"/>
      <c r="AL291"/>
      <c r="AM291"/>
      <c r="AN291"/>
      <c r="AO291"/>
      <c r="AP291"/>
      <c r="AQ291"/>
      <c r="AR291"/>
    </row>
    <row r="292" spans="1:44" s="239" customFormat="1">
      <c r="A292" s="241"/>
      <c r="B292" s="241"/>
      <c r="C292" s="245" t="str">
        <f>IF(B292="","",IFERROR(VLOOKUP(B292,PERUMAHAN!$A:$B,2,FALSE),"ID tidak ditemukan"))</f>
        <v/>
      </c>
      <c r="D292" s="241"/>
      <c r="E292" s="241"/>
      <c r="F292" s="241"/>
      <c r="G292" s="243"/>
      <c r="H292" s="254"/>
      <c r="I292" s="241"/>
      <c r="J292" s="241"/>
      <c r="K292" s="241"/>
      <c r="L292" s="241"/>
      <c r="M292" s="243"/>
      <c r="N292" s="243"/>
      <c r="O292" s="242"/>
      <c r="P292" s="241"/>
      <c r="Q292" s="241"/>
      <c r="R292" s="241"/>
      <c r="S292" s="244"/>
      <c r="T292" s="244"/>
      <c r="U292"/>
      <c r="AA292"/>
      <c r="AB292"/>
      <c r="AC292"/>
      <c r="AD292"/>
      <c r="AE292"/>
      <c r="AF292"/>
      <c r="AG292"/>
      <c r="AH292"/>
      <c r="AI292"/>
      <c r="AJ292"/>
      <c r="AK292"/>
      <c r="AL292"/>
      <c r="AM292"/>
      <c r="AN292"/>
      <c r="AO292"/>
      <c r="AP292"/>
      <c r="AQ292"/>
      <c r="AR292"/>
    </row>
    <row r="293" spans="1:44" s="239" customFormat="1">
      <c r="A293" s="241"/>
      <c r="B293" s="241"/>
      <c r="C293" s="245" t="str">
        <f>IF(B293="","",IFERROR(VLOOKUP(B293,PERUMAHAN!$A:$B,2,FALSE),"ID tidak ditemukan"))</f>
        <v/>
      </c>
      <c r="D293" s="241"/>
      <c r="E293" s="241"/>
      <c r="F293" s="241"/>
      <c r="G293" s="243"/>
      <c r="H293" s="254"/>
      <c r="I293" s="241"/>
      <c r="J293" s="241"/>
      <c r="K293" s="241"/>
      <c r="L293" s="241"/>
      <c r="M293" s="243"/>
      <c r="N293" s="243"/>
      <c r="O293" s="242"/>
      <c r="P293" s="241"/>
      <c r="Q293" s="241"/>
      <c r="R293" s="241"/>
      <c r="S293" s="244"/>
      <c r="T293" s="244"/>
      <c r="U293"/>
      <c r="AA293"/>
      <c r="AB293"/>
      <c r="AC293"/>
      <c r="AD293"/>
      <c r="AE293"/>
      <c r="AF293"/>
      <c r="AG293"/>
      <c r="AH293"/>
      <c r="AI293"/>
      <c r="AJ293"/>
      <c r="AK293"/>
      <c r="AL293"/>
      <c r="AM293"/>
      <c r="AN293"/>
      <c r="AO293"/>
      <c r="AP293"/>
      <c r="AQ293"/>
      <c r="AR293"/>
    </row>
    <row r="294" spans="1:44" s="239" customFormat="1">
      <c r="A294" s="241"/>
      <c r="B294" s="241"/>
      <c r="C294" s="245" t="str">
        <f>IF(B294="","",IFERROR(VLOOKUP(B294,PERUMAHAN!$A:$B,2,FALSE),"ID tidak ditemukan"))</f>
        <v/>
      </c>
      <c r="D294" s="241"/>
      <c r="E294" s="241"/>
      <c r="F294" s="241"/>
      <c r="G294" s="243"/>
      <c r="H294" s="254"/>
      <c r="I294" s="241"/>
      <c r="J294" s="241"/>
      <c r="K294" s="241"/>
      <c r="L294" s="241"/>
      <c r="M294" s="243"/>
      <c r="N294" s="243"/>
      <c r="O294" s="242"/>
      <c r="P294" s="241"/>
      <c r="Q294" s="241"/>
      <c r="R294" s="241"/>
      <c r="S294" s="244"/>
      <c r="T294" s="244"/>
      <c r="U294"/>
      <c r="AA294"/>
      <c r="AB294"/>
      <c r="AC294"/>
      <c r="AD294"/>
      <c r="AE294"/>
      <c r="AF294"/>
      <c r="AG294"/>
      <c r="AH294"/>
      <c r="AI294"/>
      <c r="AJ294"/>
      <c r="AK294"/>
      <c r="AL294"/>
      <c r="AM294"/>
      <c r="AN294"/>
      <c r="AO294"/>
      <c r="AP294"/>
      <c r="AQ294"/>
      <c r="AR294"/>
    </row>
    <row r="295" spans="1:44" s="239" customFormat="1">
      <c r="A295" s="241"/>
      <c r="B295" s="241"/>
      <c r="C295" s="245" t="str">
        <f>IF(B295="","",IFERROR(VLOOKUP(B295,PERUMAHAN!$A:$B,2,FALSE),"ID tidak ditemukan"))</f>
        <v/>
      </c>
      <c r="D295" s="241"/>
      <c r="E295" s="241"/>
      <c r="F295" s="241"/>
      <c r="G295" s="243"/>
      <c r="H295" s="254"/>
      <c r="I295" s="241"/>
      <c r="J295" s="241"/>
      <c r="K295" s="241"/>
      <c r="L295" s="241"/>
      <c r="M295" s="243"/>
      <c r="N295" s="243"/>
      <c r="O295" s="242"/>
      <c r="P295" s="241"/>
      <c r="Q295" s="241"/>
      <c r="R295" s="241"/>
      <c r="S295" s="244"/>
      <c r="T295" s="244"/>
      <c r="U295"/>
      <c r="AA295"/>
      <c r="AB295"/>
      <c r="AC295"/>
      <c r="AD295"/>
      <c r="AE295"/>
      <c r="AF295"/>
      <c r="AG295"/>
      <c r="AH295"/>
      <c r="AI295"/>
      <c r="AJ295"/>
      <c r="AK295"/>
      <c r="AL295"/>
      <c r="AM295"/>
      <c r="AN295"/>
      <c r="AO295"/>
      <c r="AP295"/>
      <c r="AQ295"/>
      <c r="AR295"/>
    </row>
    <row r="296" spans="1:44" s="239" customFormat="1">
      <c r="A296" s="241"/>
      <c r="B296" s="241"/>
      <c r="C296" s="245" t="str">
        <f>IF(B296="","",IFERROR(VLOOKUP(B296,PERUMAHAN!$A:$B,2,FALSE),"ID tidak ditemukan"))</f>
        <v/>
      </c>
      <c r="D296" s="241"/>
      <c r="E296" s="241"/>
      <c r="F296" s="241"/>
      <c r="G296" s="243"/>
      <c r="H296" s="254"/>
      <c r="I296" s="241"/>
      <c r="J296" s="241"/>
      <c r="K296" s="241"/>
      <c r="L296" s="241"/>
      <c r="M296" s="243"/>
      <c r="N296" s="243"/>
      <c r="O296" s="242"/>
      <c r="P296" s="241"/>
      <c r="Q296" s="241"/>
      <c r="R296" s="241"/>
      <c r="S296" s="244"/>
      <c r="T296" s="244"/>
      <c r="U296"/>
      <c r="AA296"/>
      <c r="AB296"/>
      <c r="AC296"/>
      <c r="AD296"/>
      <c r="AE296"/>
      <c r="AF296"/>
      <c r="AG296"/>
      <c r="AH296"/>
      <c r="AI296"/>
      <c r="AJ296"/>
      <c r="AK296"/>
      <c r="AL296"/>
      <c r="AM296"/>
      <c r="AN296"/>
      <c r="AO296"/>
      <c r="AP296"/>
      <c r="AQ296"/>
      <c r="AR296"/>
    </row>
    <row r="297" spans="1:44" s="239" customFormat="1">
      <c r="A297" s="241"/>
      <c r="B297" s="241"/>
      <c r="C297" s="245" t="str">
        <f>IF(B297="","",IFERROR(VLOOKUP(B297,PERUMAHAN!$A:$B,2,FALSE),"ID tidak ditemukan"))</f>
        <v/>
      </c>
      <c r="D297" s="241"/>
      <c r="E297" s="241"/>
      <c r="F297" s="241"/>
      <c r="G297" s="243"/>
      <c r="H297" s="254"/>
      <c r="I297" s="241"/>
      <c r="J297" s="241"/>
      <c r="K297" s="241"/>
      <c r="L297" s="241"/>
      <c r="M297" s="243"/>
      <c r="N297" s="243"/>
      <c r="O297" s="242"/>
      <c r="P297" s="241"/>
      <c r="Q297" s="241"/>
      <c r="R297" s="241"/>
      <c r="S297" s="244"/>
      <c r="T297" s="244"/>
      <c r="U297"/>
      <c r="AA297"/>
      <c r="AB297"/>
      <c r="AC297"/>
      <c r="AD297"/>
      <c r="AE297"/>
      <c r="AF297"/>
      <c r="AG297"/>
      <c r="AH297"/>
      <c r="AI297"/>
      <c r="AJ297"/>
      <c r="AK297"/>
      <c r="AL297"/>
      <c r="AM297"/>
      <c r="AN297"/>
      <c r="AO297"/>
      <c r="AP297"/>
      <c r="AQ297"/>
      <c r="AR297"/>
    </row>
    <row r="298" spans="1:44" s="239" customFormat="1">
      <c r="A298" s="241"/>
      <c r="B298" s="241"/>
      <c r="C298" s="245" t="str">
        <f>IF(B298="","",IFERROR(VLOOKUP(B298,PERUMAHAN!$A:$B,2,FALSE),"ID tidak ditemukan"))</f>
        <v/>
      </c>
      <c r="D298" s="241"/>
      <c r="E298" s="241"/>
      <c r="F298" s="241"/>
      <c r="G298" s="243"/>
      <c r="H298" s="254"/>
      <c r="I298" s="241"/>
      <c r="J298" s="241"/>
      <c r="K298" s="241"/>
      <c r="L298" s="241"/>
      <c r="M298" s="243"/>
      <c r="N298" s="243"/>
      <c r="O298" s="242"/>
      <c r="P298" s="241"/>
      <c r="Q298" s="241"/>
      <c r="R298" s="241"/>
      <c r="S298" s="244"/>
      <c r="T298" s="244"/>
      <c r="U298"/>
      <c r="AA298"/>
      <c r="AB298"/>
      <c r="AC298"/>
      <c r="AD298"/>
      <c r="AE298"/>
      <c r="AF298"/>
      <c r="AG298"/>
      <c r="AH298"/>
      <c r="AI298"/>
      <c r="AJ298"/>
      <c r="AK298"/>
      <c r="AL298"/>
      <c r="AM298"/>
      <c r="AN298"/>
      <c r="AO298"/>
      <c r="AP298"/>
      <c r="AQ298"/>
      <c r="AR298"/>
    </row>
    <row r="299" spans="1:44" s="239" customFormat="1">
      <c r="A299" s="241"/>
      <c r="B299" s="241"/>
      <c r="C299" s="245" t="str">
        <f>IF(B299="","",IFERROR(VLOOKUP(B299,PERUMAHAN!$A:$B,2,FALSE),"ID tidak ditemukan"))</f>
        <v/>
      </c>
      <c r="D299" s="241"/>
      <c r="E299" s="241"/>
      <c r="F299" s="241"/>
      <c r="G299" s="243"/>
      <c r="H299" s="254"/>
      <c r="I299" s="241"/>
      <c r="J299" s="241"/>
      <c r="K299" s="241"/>
      <c r="L299" s="241"/>
      <c r="M299" s="243"/>
      <c r="N299" s="243"/>
      <c r="O299" s="242"/>
      <c r="P299" s="241"/>
      <c r="Q299" s="241"/>
      <c r="R299" s="241"/>
      <c r="S299" s="244"/>
      <c r="T299" s="244"/>
      <c r="U299"/>
      <c r="AA299"/>
      <c r="AB299"/>
      <c r="AC299"/>
      <c r="AD299"/>
      <c r="AE299"/>
      <c r="AF299"/>
      <c r="AG299"/>
      <c r="AH299"/>
      <c r="AI299"/>
      <c r="AJ299"/>
      <c r="AK299"/>
      <c r="AL299"/>
      <c r="AM299"/>
      <c r="AN299"/>
      <c r="AO299"/>
      <c r="AP299"/>
      <c r="AQ299"/>
      <c r="AR299"/>
    </row>
    <row r="300" spans="1:44" s="239" customFormat="1">
      <c r="A300" s="241"/>
      <c r="B300" s="241"/>
      <c r="C300" s="245" t="str">
        <f>IF(B300="","",IFERROR(VLOOKUP(B300,PERUMAHAN!$A:$B,2,FALSE),"ID tidak ditemukan"))</f>
        <v/>
      </c>
      <c r="D300" s="241"/>
      <c r="E300" s="241"/>
      <c r="F300" s="241"/>
      <c r="G300" s="243"/>
      <c r="H300" s="254"/>
      <c r="I300" s="241"/>
      <c r="J300" s="241"/>
      <c r="K300" s="241"/>
      <c r="L300" s="241"/>
      <c r="M300" s="243"/>
      <c r="N300" s="243"/>
      <c r="O300" s="242"/>
      <c r="P300" s="241"/>
      <c r="Q300" s="241"/>
      <c r="R300" s="241"/>
      <c r="S300" s="244"/>
      <c r="T300" s="244"/>
      <c r="U300"/>
      <c r="AA300"/>
      <c r="AB300"/>
      <c r="AC300"/>
      <c r="AD300"/>
      <c r="AE300"/>
      <c r="AF300"/>
      <c r="AG300"/>
      <c r="AH300"/>
      <c r="AI300"/>
      <c r="AJ300"/>
      <c r="AK300"/>
      <c r="AL300"/>
      <c r="AM300"/>
      <c r="AN300"/>
      <c r="AO300"/>
      <c r="AP300"/>
      <c r="AQ300"/>
      <c r="AR300"/>
    </row>
    <row r="301" spans="1:44" s="239" customFormat="1">
      <c r="A301" s="241"/>
      <c r="B301" s="241"/>
      <c r="C301" s="245" t="str">
        <f>IF(B301="","",IFERROR(VLOOKUP(B301,PERUMAHAN!$A:$B,2,FALSE),"ID tidak ditemukan"))</f>
        <v/>
      </c>
      <c r="D301" s="241"/>
      <c r="E301" s="241"/>
      <c r="F301" s="241"/>
      <c r="G301" s="243"/>
      <c r="H301" s="254"/>
      <c r="I301" s="241"/>
      <c r="J301" s="241"/>
      <c r="K301" s="241"/>
      <c r="L301" s="241"/>
      <c r="M301" s="243"/>
      <c r="N301" s="243"/>
      <c r="O301" s="242"/>
      <c r="P301" s="241"/>
      <c r="Q301" s="241"/>
      <c r="R301" s="241"/>
      <c r="S301" s="244"/>
      <c r="T301" s="244"/>
      <c r="U301"/>
      <c r="AA301"/>
      <c r="AB301"/>
      <c r="AC301"/>
      <c r="AD301"/>
      <c r="AE301"/>
      <c r="AF301"/>
      <c r="AG301"/>
      <c r="AH301"/>
      <c r="AI301"/>
      <c r="AJ301"/>
      <c r="AK301"/>
      <c r="AL301"/>
      <c r="AM301"/>
      <c r="AN301"/>
      <c r="AO301"/>
      <c r="AP301"/>
      <c r="AQ301"/>
      <c r="AR301"/>
    </row>
    <row r="302" spans="1:44" s="239" customFormat="1">
      <c r="A302" s="241"/>
      <c r="B302" s="241"/>
      <c r="C302" s="245" t="str">
        <f>IF(B302="","",IFERROR(VLOOKUP(B302,PERUMAHAN!$A:$B,2,FALSE),"ID tidak ditemukan"))</f>
        <v/>
      </c>
      <c r="D302" s="241"/>
      <c r="E302" s="241"/>
      <c r="F302" s="241"/>
      <c r="G302" s="243"/>
      <c r="H302" s="254"/>
      <c r="I302" s="241"/>
      <c r="J302" s="241"/>
      <c r="K302" s="241"/>
      <c r="L302" s="241"/>
      <c r="M302" s="243"/>
      <c r="N302" s="243"/>
      <c r="O302" s="242"/>
      <c r="P302" s="241"/>
      <c r="Q302" s="241"/>
      <c r="R302" s="241"/>
      <c r="S302" s="244"/>
      <c r="T302" s="244"/>
      <c r="U302"/>
      <c r="AA302"/>
      <c r="AB302"/>
      <c r="AC302"/>
      <c r="AD302"/>
      <c r="AE302"/>
      <c r="AF302"/>
      <c r="AG302"/>
      <c r="AH302"/>
      <c r="AI302"/>
      <c r="AJ302"/>
      <c r="AK302"/>
      <c r="AL302"/>
      <c r="AM302"/>
      <c r="AN302"/>
      <c r="AO302"/>
      <c r="AP302"/>
      <c r="AQ302"/>
      <c r="AR302"/>
    </row>
    <row r="303" spans="1:44" s="239" customFormat="1">
      <c r="A303" s="241"/>
      <c r="B303" s="241"/>
      <c r="C303" s="245" t="str">
        <f>IF(B303="","",IFERROR(VLOOKUP(B303,PERUMAHAN!$A:$B,2,FALSE),"ID tidak ditemukan"))</f>
        <v/>
      </c>
      <c r="D303" s="241"/>
      <c r="E303" s="241"/>
      <c r="F303" s="241"/>
      <c r="G303" s="243"/>
      <c r="H303" s="254"/>
      <c r="I303" s="241"/>
      <c r="J303" s="241"/>
      <c r="K303" s="241"/>
      <c r="L303" s="241"/>
      <c r="M303" s="243"/>
      <c r="N303" s="243"/>
      <c r="O303" s="242"/>
      <c r="P303" s="241"/>
      <c r="Q303" s="241"/>
      <c r="R303" s="241"/>
      <c r="S303" s="244"/>
      <c r="T303" s="244"/>
      <c r="U303"/>
      <c r="AA303"/>
      <c r="AB303"/>
      <c r="AC303"/>
      <c r="AD303"/>
      <c r="AE303"/>
      <c r="AF303"/>
      <c r="AG303"/>
      <c r="AH303"/>
      <c r="AI303"/>
      <c r="AJ303"/>
      <c r="AK303"/>
      <c r="AL303"/>
      <c r="AM303"/>
      <c r="AN303"/>
      <c r="AO303"/>
      <c r="AP303"/>
      <c r="AQ303"/>
      <c r="AR303"/>
    </row>
    <row r="304" spans="1:44" s="239" customFormat="1">
      <c r="A304" s="241"/>
      <c r="B304" s="241"/>
      <c r="C304" s="245" t="str">
        <f>IF(B304="","",IFERROR(VLOOKUP(B304,PERUMAHAN!$A:$B,2,FALSE),"ID tidak ditemukan"))</f>
        <v/>
      </c>
      <c r="D304" s="241"/>
      <c r="E304" s="241"/>
      <c r="F304" s="241"/>
      <c r="G304" s="243"/>
      <c r="H304" s="254"/>
      <c r="I304" s="241"/>
      <c r="J304" s="241"/>
      <c r="K304" s="241"/>
      <c r="L304" s="241"/>
      <c r="M304" s="243"/>
      <c r="N304" s="243"/>
      <c r="O304" s="242"/>
      <c r="P304" s="241"/>
      <c r="Q304" s="241"/>
      <c r="R304" s="241"/>
      <c r="S304" s="244"/>
      <c r="T304" s="244"/>
      <c r="U304"/>
      <c r="AA304"/>
      <c r="AB304"/>
      <c r="AC304"/>
      <c r="AD304"/>
      <c r="AE304"/>
      <c r="AF304"/>
      <c r="AG304"/>
      <c r="AH304"/>
      <c r="AI304"/>
      <c r="AJ304"/>
      <c r="AK304"/>
      <c r="AL304"/>
      <c r="AM304"/>
      <c r="AN304"/>
      <c r="AO304"/>
      <c r="AP304"/>
      <c r="AQ304"/>
      <c r="AR304"/>
    </row>
    <row r="305" spans="1:44" s="239" customFormat="1">
      <c r="A305" s="241"/>
      <c r="B305" s="241"/>
      <c r="C305" s="245" t="str">
        <f>IF(B305="","",IFERROR(VLOOKUP(B305,PERUMAHAN!$A:$B,2,FALSE),"ID tidak ditemukan"))</f>
        <v/>
      </c>
      <c r="D305" s="241"/>
      <c r="E305" s="241"/>
      <c r="F305" s="241"/>
      <c r="G305" s="243"/>
      <c r="H305" s="254"/>
      <c r="I305" s="241"/>
      <c r="J305" s="241"/>
      <c r="K305" s="241"/>
      <c r="L305" s="241"/>
      <c r="M305" s="243"/>
      <c r="N305" s="243"/>
      <c r="O305" s="242"/>
      <c r="P305" s="241"/>
      <c r="Q305" s="241"/>
      <c r="R305" s="241"/>
      <c r="S305" s="244"/>
      <c r="T305" s="244"/>
      <c r="U305"/>
      <c r="AA305"/>
      <c r="AB305"/>
      <c r="AC305"/>
      <c r="AD305"/>
      <c r="AE305"/>
      <c r="AF305"/>
      <c r="AG305"/>
      <c r="AH305"/>
      <c r="AI305"/>
      <c r="AJ305"/>
      <c r="AK305"/>
      <c r="AL305"/>
      <c r="AM305"/>
      <c r="AN305"/>
      <c r="AO305"/>
      <c r="AP305"/>
      <c r="AQ305"/>
      <c r="AR305"/>
    </row>
    <row r="306" spans="1:44" s="239" customFormat="1">
      <c r="A306" s="241"/>
      <c r="B306" s="241"/>
      <c r="C306" s="245" t="str">
        <f>IF(B306="","",IFERROR(VLOOKUP(B306,PERUMAHAN!$A:$B,2,FALSE),"ID tidak ditemukan"))</f>
        <v/>
      </c>
      <c r="D306" s="241"/>
      <c r="E306" s="241"/>
      <c r="F306" s="241"/>
      <c r="G306" s="243"/>
      <c r="H306" s="254"/>
      <c r="I306" s="241"/>
      <c r="J306" s="241"/>
      <c r="K306" s="241"/>
      <c r="L306" s="241"/>
      <c r="M306" s="243"/>
      <c r="N306" s="243"/>
      <c r="O306" s="242"/>
      <c r="P306" s="241"/>
      <c r="Q306" s="241"/>
      <c r="R306" s="241"/>
      <c r="S306" s="244"/>
      <c r="T306" s="244"/>
      <c r="U306"/>
      <c r="AA306"/>
      <c r="AB306"/>
      <c r="AC306"/>
      <c r="AD306"/>
      <c r="AE306"/>
      <c r="AF306"/>
      <c r="AG306"/>
      <c r="AH306"/>
      <c r="AI306"/>
      <c r="AJ306"/>
      <c r="AK306"/>
      <c r="AL306"/>
      <c r="AM306"/>
      <c r="AN306"/>
      <c r="AO306"/>
      <c r="AP306"/>
      <c r="AQ306"/>
      <c r="AR306"/>
    </row>
    <row r="307" spans="1:44" s="239" customFormat="1">
      <c r="A307" s="241"/>
      <c r="B307" s="241"/>
      <c r="C307" s="245" t="str">
        <f>IF(B307="","",IFERROR(VLOOKUP(B307,PERUMAHAN!$A:$B,2,FALSE),"ID tidak ditemukan"))</f>
        <v/>
      </c>
      <c r="D307" s="241"/>
      <c r="E307" s="241"/>
      <c r="F307" s="241"/>
      <c r="G307" s="243"/>
      <c r="H307" s="254"/>
      <c r="I307" s="241"/>
      <c r="J307" s="241"/>
      <c r="K307" s="241"/>
      <c r="L307" s="241"/>
      <c r="M307" s="243"/>
      <c r="N307" s="243"/>
      <c r="O307" s="242"/>
      <c r="P307" s="241"/>
      <c r="Q307" s="241"/>
      <c r="R307" s="241"/>
      <c r="S307" s="244"/>
      <c r="T307" s="244"/>
      <c r="U307"/>
      <c r="AA307"/>
      <c r="AB307"/>
      <c r="AC307"/>
      <c r="AD307"/>
      <c r="AE307"/>
      <c r="AF307"/>
      <c r="AG307"/>
      <c r="AH307"/>
      <c r="AI307"/>
      <c r="AJ307"/>
      <c r="AK307"/>
      <c r="AL307"/>
      <c r="AM307"/>
      <c r="AN307"/>
      <c r="AO307"/>
      <c r="AP307"/>
      <c r="AQ307"/>
      <c r="AR307"/>
    </row>
    <row r="308" spans="1:44" s="239" customFormat="1">
      <c r="A308" s="241"/>
      <c r="B308" s="241"/>
      <c r="C308" s="245" t="str">
        <f>IF(B308="","",IFERROR(VLOOKUP(B308,PERUMAHAN!$A:$B,2,FALSE),"ID tidak ditemukan"))</f>
        <v/>
      </c>
      <c r="D308" s="241"/>
      <c r="E308" s="241"/>
      <c r="F308" s="241"/>
      <c r="G308" s="243"/>
      <c r="H308" s="254"/>
      <c r="I308" s="241"/>
      <c r="J308" s="241"/>
      <c r="K308" s="241"/>
      <c r="L308" s="241"/>
      <c r="M308" s="243"/>
      <c r="N308" s="243"/>
      <c r="O308" s="242"/>
      <c r="P308" s="241"/>
      <c r="Q308" s="241"/>
      <c r="R308" s="241"/>
      <c r="S308" s="244"/>
      <c r="T308" s="244"/>
      <c r="U308"/>
      <c r="AA308"/>
      <c r="AB308"/>
      <c r="AC308"/>
      <c r="AD308"/>
      <c r="AE308"/>
      <c r="AF308"/>
      <c r="AG308"/>
      <c r="AH308"/>
      <c r="AI308"/>
      <c r="AJ308"/>
      <c r="AK308"/>
      <c r="AL308"/>
      <c r="AM308"/>
      <c r="AN308"/>
      <c r="AO308"/>
      <c r="AP308"/>
      <c r="AQ308"/>
      <c r="AR308"/>
    </row>
    <row r="309" spans="1:44" s="239" customFormat="1">
      <c r="A309" s="241"/>
      <c r="B309" s="241"/>
      <c r="C309" s="245" t="str">
        <f>IF(B309="","",IFERROR(VLOOKUP(B309,PERUMAHAN!$A:$B,2,FALSE),"ID tidak ditemukan"))</f>
        <v/>
      </c>
      <c r="D309" s="241"/>
      <c r="E309" s="241"/>
      <c r="F309" s="241"/>
      <c r="G309" s="243"/>
      <c r="H309" s="254"/>
      <c r="I309" s="241"/>
      <c r="J309" s="241"/>
      <c r="K309" s="241"/>
      <c r="L309" s="241"/>
      <c r="M309" s="243"/>
      <c r="N309" s="243"/>
      <c r="O309" s="242"/>
      <c r="P309" s="241"/>
      <c r="Q309" s="241"/>
      <c r="R309" s="241"/>
      <c r="S309" s="244"/>
      <c r="T309" s="244"/>
      <c r="U309"/>
      <c r="AA309"/>
      <c r="AB309"/>
      <c r="AC309"/>
      <c r="AD309"/>
      <c r="AE309"/>
      <c r="AF309"/>
      <c r="AG309"/>
      <c r="AH309"/>
      <c r="AI309"/>
      <c r="AJ309"/>
      <c r="AK309"/>
      <c r="AL309"/>
      <c r="AM309"/>
      <c r="AN309"/>
      <c r="AO309"/>
      <c r="AP309"/>
      <c r="AQ309"/>
      <c r="AR309"/>
    </row>
    <row r="310" spans="1:44" s="239" customFormat="1">
      <c r="A310" s="241"/>
      <c r="B310" s="241"/>
      <c r="C310" s="245" t="str">
        <f>IF(B310="","",IFERROR(VLOOKUP(B310,PERUMAHAN!$A:$B,2,FALSE),"ID tidak ditemukan"))</f>
        <v/>
      </c>
      <c r="D310" s="241"/>
      <c r="E310" s="241"/>
      <c r="F310" s="241"/>
      <c r="G310" s="243"/>
      <c r="H310" s="254"/>
      <c r="I310" s="241"/>
      <c r="J310" s="241"/>
      <c r="K310" s="241"/>
      <c r="L310" s="241"/>
      <c r="M310" s="243"/>
      <c r="N310" s="243"/>
      <c r="O310" s="242"/>
      <c r="P310" s="241"/>
      <c r="Q310" s="241"/>
      <c r="R310" s="241"/>
      <c r="S310" s="244"/>
      <c r="T310" s="244"/>
      <c r="U310"/>
      <c r="AA310"/>
      <c r="AB310"/>
      <c r="AC310"/>
      <c r="AD310"/>
      <c r="AE310"/>
      <c r="AF310"/>
      <c r="AG310"/>
      <c r="AH310"/>
      <c r="AI310"/>
      <c r="AJ310"/>
      <c r="AK310"/>
      <c r="AL310"/>
      <c r="AM310"/>
      <c r="AN310"/>
      <c r="AO310"/>
      <c r="AP310"/>
      <c r="AQ310"/>
      <c r="AR310"/>
    </row>
    <row r="311" spans="1:44" s="239" customFormat="1">
      <c r="A311" s="241"/>
      <c r="B311" s="241"/>
      <c r="C311" s="245" t="str">
        <f>IF(B311="","",IFERROR(VLOOKUP(B311,PERUMAHAN!$A:$B,2,FALSE),"ID tidak ditemukan"))</f>
        <v/>
      </c>
      <c r="D311" s="241"/>
      <c r="E311" s="241"/>
      <c r="F311" s="241"/>
      <c r="G311" s="243"/>
      <c r="H311" s="254"/>
      <c r="I311" s="241"/>
      <c r="J311" s="241"/>
      <c r="K311" s="241"/>
      <c r="L311" s="241"/>
      <c r="M311" s="243"/>
      <c r="N311" s="243"/>
      <c r="O311" s="242"/>
      <c r="P311" s="241"/>
      <c r="Q311" s="241"/>
      <c r="R311" s="241"/>
      <c r="S311" s="244"/>
      <c r="T311" s="244"/>
      <c r="U311"/>
      <c r="AA311"/>
      <c r="AB311"/>
      <c r="AC311"/>
      <c r="AD311"/>
      <c r="AE311"/>
      <c r="AF311"/>
      <c r="AG311"/>
      <c r="AH311"/>
      <c r="AI311"/>
      <c r="AJ311"/>
      <c r="AK311"/>
      <c r="AL311"/>
      <c r="AM311"/>
      <c r="AN311"/>
      <c r="AO311"/>
      <c r="AP311"/>
      <c r="AQ311"/>
      <c r="AR311"/>
    </row>
    <row r="312" spans="1:44" s="239" customFormat="1">
      <c r="A312" s="241"/>
      <c r="B312" s="241"/>
      <c r="C312" s="245" t="str">
        <f>IF(B312="","",IFERROR(VLOOKUP(B312,PERUMAHAN!$A:$B,2,FALSE),"ID tidak ditemukan"))</f>
        <v/>
      </c>
      <c r="D312" s="241"/>
      <c r="E312" s="241"/>
      <c r="F312" s="241"/>
      <c r="G312" s="243"/>
      <c r="H312" s="254"/>
      <c r="I312" s="241"/>
      <c r="J312" s="241"/>
      <c r="K312" s="241"/>
      <c r="L312" s="241"/>
      <c r="M312" s="243"/>
      <c r="N312" s="243"/>
      <c r="O312" s="242"/>
      <c r="P312" s="241"/>
      <c r="Q312" s="241"/>
      <c r="R312" s="241"/>
      <c r="S312" s="244"/>
      <c r="T312" s="244"/>
      <c r="U312"/>
      <c r="AA312"/>
      <c r="AB312"/>
      <c r="AC312"/>
      <c r="AD312"/>
      <c r="AE312"/>
      <c r="AF312"/>
      <c r="AG312"/>
      <c r="AH312"/>
      <c r="AI312"/>
      <c r="AJ312"/>
      <c r="AK312"/>
      <c r="AL312"/>
      <c r="AM312"/>
      <c r="AN312"/>
      <c r="AO312"/>
      <c r="AP312"/>
      <c r="AQ312"/>
      <c r="AR312"/>
    </row>
    <row r="313" spans="1:44" s="239" customFormat="1">
      <c r="A313" s="241"/>
      <c r="B313" s="241"/>
      <c r="C313" s="245" t="str">
        <f>IF(B313="","",IFERROR(VLOOKUP(B313,PERUMAHAN!$A:$B,2,FALSE),"ID tidak ditemukan"))</f>
        <v/>
      </c>
      <c r="D313" s="241"/>
      <c r="E313" s="241"/>
      <c r="F313" s="241"/>
      <c r="G313" s="243"/>
      <c r="H313" s="254"/>
      <c r="I313" s="241"/>
      <c r="J313" s="241"/>
      <c r="K313" s="241"/>
      <c r="L313" s="241"/>
      <c r="M313" s="243"/>
      <c r="N313" s="243"/>
      <c r="O313" s="242"/>
      <c r="P313" s="241"/>
      <c r="Q313" s="241"/>
      <c r="R313" s="241"/>
      <c r="S313" s="244"/>
      <c r="T313" s="244"/>
      <c r="U313"/>
      <c r="AA313"/>
      <c r="AB313"/>
      <c r="AC313"/>
      <c r="AD313"/>
      <c r="AE313"/>
      <c r="AF313"/>
      <c r="AG313"/>
      <c r="AH313"/>
      <c r="AI313"/>
      <c r="AJ313"/>
      <c r="AK313"/>
      <c r="AL313"/>
      <c r="AM313"/>
      <c r="AN313"/>
      <c r="AO313"/>
      <c r="AP313"/>
      <c r="AQ313"/>
      <c r="AR313"/>
    </row>
    <row r="314" spans="1:44" s="239" customFormat="1">
      <c r="A314" s="241"/>
      <c r="B314" s="241"/>
      <c r="C314" s="245" t="str">
        <f>IF(B314="","",IFERROR(VLOOKUP(B314,PERUMAHAN!$A:$B,2,FALSE),"ID tidak ditemukan"))</f>
        <v/>
      </c>
      <c r="D314" s="241"/>
      <c r="E314" s="241"/>
      <c r="F314" s="241"/>
      <c r="G314" s="243"/>
      <c r="H314" s="254"/>
      <c r="I314" s="241"/>
      <c r="J314" s="241"/>
      <c r="K314" s="241"/>
      <c r="L314" s="241"/>
      <c r="M314" s="243"/>
      <c r="N314" s="243"/>
      <c r="O314" s="242"/>
      <c r="P314" s="241"/>
      <c r="Q314" s="241"/>
      <c r="R314" s="241"/>
      <c r="S314" s="244"/>
      <c r="T314" s="244"/>
      <c r="U314"/>
      <c r="AA314"/>
      <c r="AB314"/>
      <c r="AC314"/>
      <c r="AD314"/>
      <c r="AE314"/>
      <c r="AF314"/>
      <c r="AG314"/>
      <c r="AH314"/>
      <c r="AI314"/>
      <c r="AJ314"/>
      <c r="AK314"/>
      <c r="AL314"/>
      <c r="AM314"/>
      <c r="AN314"/>
      <c r="AO314"/>
      <c r="AP314"/>
      <c r="AQ314"/>
      <c r="AR314"/>
    </row>
    <row r="315" spans="1:44" s="239" customFormat="1">
      <c r="A315" s="241"/>
      <c r="B315" s="241"/>
      <c r="C315" s="245" t="str">
        <f>IF(B315="","",IFERROR(VLOOKUP(B315,PERUMAHAN!$A:$B,2,FALSE),"ID tidak ditemukan"))</f>
        <v/>
      </c>
      <c r="D315" s="241"/>
      <c r="E315" s="241"/>
      <c r="F315" s="241"/>
      <c r="G315" s="243"/>
      <c r="H315" s="254"/>
      <c r="I315" s="241"/>
      <c r="J315" s="241"/>
      <c r="K315" s="241"/>
      <c r="L315" s="241"/>
      <c r="M315" s="243"/>
      <c r="N315" s="243"/>
      <c r="O315" s="242"/>
      <c r="P315" s="241"/>
      <c r="Q315" s="241"/>
      <c r="R315" s="241"/>
      <c r="S315" s="244"/>
      <c r="T315" s="244"/>
      <c r="U315"/>
      <c r="AA315"/>
      <c r="AB315"/>
      <c r="AC315"/>
      <c r="AD315"/>
      <c r="AE315"/>
      <c r="AF315"/>
      <c r="AG315"/>
      <c r="AH315"/>
      <c r="AI315"/>
      <c r="AJ315"/>
      <c r="AK315"/>
      <c r="AL315"/>
      <c r="AM315"/>
      <c r="AN315"/>
      <c r="AO315"/>
      <c r="AP315"/>
      <c r="AQ315"/>
      <c r="AR315"/>
    </row>
    <row r="316" spans="1:44" s="239" customFormat="1">
      <c r="A316" s="241"/>
      <c r="B316" s="241"/>
      <c r="C316" s="245" t="str">
        <f>IF(B316="","",IFERROR(VLOOKUP(B316,PERUMAHAN!$A:$B,2,FALSE),"ID tidak ditemukan"))</f>
        <v/>
      </c>
      <c r="D316" s="241"/>
      <c r="E316" s="241"/>
      <c r="F316" s="241"/>
      <c r="G316" s="243"/>
      <c r="H316" s="254"/>
      <c r="I316" s="241"/>
      <c r="J316" s="241"/>
      <c r="K316" s="241"/>
      <c r="L316" s="241"/>
      <c r="M316" s="243"/>
      <c r="N316" s="243"/>
      <c r="O316" s="242"/>
      <c r="P316" s="241"/>
      <c r="Q316" s="241"/>
      <c r="R316" s="241"/>
      <c r="S316" s="244"/>
      <c r="T316" s="244"/>
      <c r="U316"/>
      <c r="AA316"/>
      <c r="AB316"/>
      <c r="AC316"/>
      <c r="AD316"/>
      <c r="AE316"/>
      <c r="AF316"/>
      <c r="AG316"/>
      <c r="AH316"/>
      <c r="AI316"/>
      <c r="AJ316"/>
      <c r="AK316"/>
      <c r="AL316"/>
      <c r="AM316"/>
      <c r="AN316"/>
      <c r="AO316"/>
      <c r="AP316"/>
      <c r="AQ316"/>
      <c r="AR316"/>
    </row>
    <row r="317" spans="1:44" s="239" customFormat="1">
      <c r="A317" s="241"/>
      <c r="B317" s="241"/>
      <c r="C317" s="245" t="str">
        <f>IF(B317="","",IFERROR(VLOOKUP(B317,PERUMAHAN!$A:$B,2,FALSE),"ID tidak ditemukan"))</f>
        <v/>
      </c>
      <c r="D317" s="241"/>
      <c r="E317" s="241"/>
      <c r="F317" s="241"/>
      <c r="G317" s="243"/>
      <c r="H317" s="254"/>
      <c r="I317" s="241"/>
      <c r="J317" s="241"/>
      <c r="K317" s="241"/>
      <c r="L317" s="241"/>
      <c r="M317" s="243"/>
      <c r="N317" s="243"/>
      <c r="O317" s="242"/>
      <c r="P317" s="241"/>
      <c r="Q317" s="241"/>
      <c r="R317" s="241"/>
      <c r="S317" s="244"/>
      <c r="T317" s="244"/>
      <c r="U317"/>
      <c r="AA317"/>
      <c r="AB317"/>
      <c r="AC317"/>
      <c r="AD317"/>
      <c r="AE317"/>
      <c r="AF317"/>
      <c r="AG317"/>
      <c r="AH317"/>
      <c r="AI317"/>
      <c r="AJ317"/>
      <c r="AK317"/>
      <c r="AL317"/>
      <c r="AM317"/>
      <c r="AN317"/>
      <c r="AO317"/>
      <c r="AP317"/>
      <c r="AQ317"/>
      <c r="AR317"/>
    </row>
    <row r="318" spans="1:44" s="239" customFormat="1">
      <c r="A318" s="241"/>
      <c r="B318" s="241"/>
      <c r="C318" s="245" t="str">
        <f>IF(B318="","",IFERROR(VLOOKUP(B318,PERUMAHAN!$A:$B,2,FALSE),"ID tidak ditemukan"))</f>
        <v/>
      </c>
      <c r="D318" s="241"/>
      <c r="E318" s="241"/>
      <c r="F318" s="241"/>
      <c r="G318" s="243"/>
      <c r="H318" s="254"/>
      <c r="I318" s="241"/>
      <c r="J318" s="241"/>
      <c r="K318" s="241"/>
      <c r="L318" s="241"/>
      <c r="M318" s="243"/>
      <c r="N318" s="243"/>
      <c r="O318" s="242"/>
      <c r="P318" s="241"/>
      <c r="Q318" s="241"/>
      <c r="R318" s="241"/>
      <c r="S318" s="244"/>
      <c r="T318" s="244"/>
      <c r="U318"/>
      <c r="AA318"/>
      <c r="AB318"/>
      <c r="AC318"/>
      <c r="AD318"/>
      <c r="AE318"/>
      <c r="AF318"/>
      <c r="AG318"/>
      <c r="AH318"/>
      <c r="AI318"/>
      <c r="AJ318"/>
      <c r="AK318"/>
      <c r="AL318"/>
      <c r="AM318"/>
      <c r="AN318"/>
      <c r="AO318"/>
      <c r="AP318"/>
      <c r="AQ318"/>
      <c r="AR318"/>
    </row>
    <row r="319" spans="1:44" s="239" customFormat="1">
      <c r="A319" s="241"/>
      <c r="B319" s="241"/>
      <c r="C319" s="245" t="str">
        <f>IF(B319="","",IFERROR(VLOOKUP(B319,PERUMAHAN!$A:$B,2,FALSE),"ID tidak ditemukan"))</f>
        <v/>
      </c>
      <c r="D319" s="241"/>
      <c r="E319" s="241"/>
      <c r="F319" s="241"/>
      <c r="G319" s="243"/>
      <c r="H319" s="254"/>
      <c r="I319" s="241"/>
      <c r="J319" s="241"/>
      <c r="K319" s="241"/>
      <c r="L319" s="241"/>
      <c r="M319" s="243"/>
      <c r="N319" s="243"/>
      <c r="O319" s="242"/>
      <c r="P319" s="241"/>
      <c r="Q319" s="241"/>
      <c r="R319" s="241"/>
      <c r="S319" s="244"/>
      <c r="T319" s="244"/>
      <c r="U319"/>
      <c r="AA319"/>
      <c r="AB319"/>
      <c r="AC319"/>
      <c r="AD319"/>
      <c r="AE319"/>
      <c r="AF319"/>
      <c r="AG319"/>
      <c r="AH319"/>
      <c r="AI319"/>
      <c r="AJ319"/>
      <c r="AK319"/>
      <c r="AL319"/>
      <c r="AM319"/>
      <c r="AN319"/>
      <c r="AO319"/>
      <c r="AP319"/>
      <c r="AQ319"/>
      <c r="AR319"/>
    </row>
    <row r="320" spans="1:44" s="239" customFormat="1">
      <c r="A320" s="241"/>
      <c r="B320" s="241"/>
      <c r="C320" s="245" t="str">
        <f>IF(B320="","",IFERROR(VLOOKUP(B320,PERUMAHAN!$A:$B,2,FALSE),"ID tidak ditemukan"))</f>
        <v/>
      </c>
      <c r="D320" s="241"/>
      <c r="E320" s="241"/>
      <c r="F320" s="241"/>
      <c r="G320" s="243"/>
      <c r="H320" s="254"/>
      <c r="I320" s="241"/>
      <c r="J320" s="241"/>
      <c r="K320" s="241"/>
      <c r="L320" s="241"/>
      <c r="M320" s="243"/>
      <c r="N320" s="243"/>
      <c r="O320" s="242"/>
      <c r="P320" s="241"/>
      <c r="Q320" s="241"/>
      <c r="R320" s="241"/>
      <c r="S320" s="244"/>
      <c r="T320" s="244"/>
      <c r="U320"/>
      <c r="AA320"/>
      <c r="AB320"/>
      <c r="AC320"/>
      <c r="AD320"/>
      <c r="AE320"/>
      <c r="AF320"/>
      <c r="AG320"/>
      <c r="AH320"/>
      <c r="AI320"/>
      <c r="AJ320"/>
      <c r="AK320"/>
      <c r="AL320"/>
      <c r="AM320"/>
      <c r="AN320"/>
      <c r="AO320"/>
      <c r="AP320"/>
      <c r="AQ320"/>
      <c r="AR320"/>
    </row>
    <row r="321" spans="1:44" s="239" customFormat="1">
      <c r="A321" s="241"/>
      <c r="B321" s="241"/>
      <c r="C321" s="245" t="str">
        <f>IF(B321="","",IFERROR(VLOOKUP(B321,PERUMAHAN!$A:$B,2,FALSE),"ID tidak ditemukan"))</f>
        <v/>
      </c>
      <c r="D321" s="241"/>
      <c r="E321" s="241"/>
      <c r="F321" s="241"/>
      <c r="G321" s="243"/>
      <c r="H321" s="254"/>
      <c r="I321" s="241"/>
      <c r="J321" s="241"/>
      <c r="K321" s="241"/>
      <c r="L321" s="241"/>
      <c r="M321" s="243"/>
      <c r="N321" s="243"/>
      <c r="O321" s="242"/>
      <c r="P321" s="241"/>
      <c r="Q321" s="241"/>
      <c r="R321" s="241"/>
      <c r="S321" s="244"/>
      <c r="T321" s="244"/>
      <c r="U321"/>
      <c r="AA321"/>
      <c r="AB321"/>
      <c r="AC321"/>
      <c r="AD321"/>
      <c r="AE321"/>
      <c r="AF321"/>
      <c r="AG321"/>
      <c r="AH321"/>
      <c r="AI321"/>
      <c r="AJ321"/>
      <c r="AK321"/>
      <c r="AL321"/>
      <c r="AM321"/>
      <c r="AN321"/>
      <c r="AO321"/>
      <c r="AP321"/>
      <c r="AQ321"/>
      <c r="AR321"/>
    </row>
    <row r="322" spans="1:44" s="239" customFormat="1">
      <c r="A322" s="241"/>
      <c r="B322" s="241"/>
      <c r="C322" s="245" t="str">
        <f>IF(B322="","",IFERROR(VLOOKUP(B322,PERUMAHAN!$A:$B,2,FALSE),"ID tidak ditemukan"))</f>
        <v/>
      </c>
      <c r="D322" s="241"/>
      <c r="E322" s="241"/>
      <c r="F322" s="241"/>
      <c r="G322" s="243"/>
      <c r="H322" s="254"/>
      <c r="I322" s="241"/>
      <c r="J322" s="241"/>
      <c r="K322" s="241"/>
      <c r="L322" s="241"/>
      <c r="M322" s="243"/>
      <c r="N322" s="243"/>
      <c r="O322" s="242"/>
      <c r="P322" s="241"/>
      <c r="Q322" s="241"/>
      <c r="R322" s="241"/>
      <c r="S322" s="244"/>
      <c r="T322" s="244"/>
      <c r="U322"/>
      <c r="AA322"/>
      <c r="AB322"/>
      <c r="AC322"/>
      <c r="AD322"/>
      <c r="AE322"/>
      <c r="AF322"/>
      <c r="AG322"/>
      <c r="AH322"/>
      <c r="AI322"/>
      <c r="AJ322"/>
      <c r="AK322"/>
      <c r="AL322"/>
      <c r="AM322"/>
      <c r="AN322"/>
      <c r="AO322"/>
      <c r="AP322"/>
      <c r="AQ322"/>
      <c r="AR322"/>
    </row>
    <row r="323" spans="1:44" s="239" customFormat="1">
      <c r="A323" s="241"/>
      <c r="B323" s="241"/>
      <c r="C323" s="245" t="str">
        <f>IF(B323="","",IFERROR(VLOOKUP(B323,PERUMAHAN!$A:$B,2,FALSE),"ID tidak ditemukan"))</f>
        <v/>
      </c>
      <c r="D323" s="241"/>
      <c r="E323" s="241"/>
      <c r="F323" s="241"/>
      <c r="G323" s="243"/>
      <c r="H323" s="254"/>
      <c r="I323" s="241"/>
      <c r="J323" s="241"/>
      <c r="K323" s="241"/>
      <c r="L323" s="241"/>
      <c r="M323" s="243"/>
      <c r="N323" s="243"/>
      <c r="O323" s="242"/>
      <c r="P323" s="241"/>
      <c r="Q323" s="241"/>
      <c r="R323" s="241"/>
      <c r="S323" s="244"/>
      <c r="T323" s="244"/>
      <c r="U323"/>
      <c r="AA323"/>
      <c r="AB323"/>
      <c r="AC323"/>
      <c r="AD323"/>
      <c r="AE323"/>
      <c r="AF323"/>
      <c r="AG323"/>
      <c r="AH323"/>
      <c r="AI323"/>
      <c r="AJ323"/>
      <c r="AK323"/>
      <c r="AL323"/>
      <c r="AM323"/>
      <c r="AN323"/>
      <c r="AO323"/>
      <c r="AP323"/>
      <c r="AQ323"/>
      <c r="AR323"/>
    </row>
    <row r="324" spans="1:44" s="239" customFormat="1">
      <c r="A324" s="241"/>
      <c r="B324" s="241"/>
      <c r="C324" s="245" t="str">
        <f>IF(B324="","",IFERROR(VLOOKUP(B324,PERUMAHAN!$A:$B,2,FALSE),"ID tidak ditemukan"))</f>
        <v/>
      </c>
      <c r="D324" s="241"/>
      <c r="E324" s="241"/>
      <c r="F324" s="241"/>
      <c r="G324" s="243"/>
      <c r="H324" s="254"/>
      <c r="I324" s="241"/>
      <c r="J324" s="241"/>
      <c r="K324" s="241"/>
      <c r="L324" s="241"/>
      <c r="M324" s="243"/>
      <c r="N324" s="243"/>
      <c r="O324" s="242"/>
      <c r="P324" s="241"/>
      <c r="Q324" s="241"/>
      <c r="R324" s="241"/>
      <c r="S324" s="244"/>
      <c r="T324" s="244"/>
      <c r="U324"/>
      <c r="AA324"/>
      <c r="AB324"/>
      <c r="AC324"/>
      <c r="AD324"/>
      <c r="AE324"/>
      <c r="AF324"/>
      <c r="AG324"/>
      <c r="AH324"/>
      <c r="AI324"/>
      <c r="AJ324"/>
      <c r="AK324"/>
      <c r="AL324"/>
      <c r="AM324"/>
      <c r="AN324"/>
      <c r="AO324"/>
      <c r="AP324"/>
      <c r="AQ324"/>
      <c r="AR324"/>
    </row>
    <row r="325" spans="1:44" s="239" customFormat="1">
      <c r="A325" s="241"/>
      <c r="B325" s="241"/>
      <c r="C325" s="245" t="str">
        <f>IF(B325="","",IFERROR(VLOOKUP(B325,PERUMAHAN!$A:$B,2,FALSE),"ID tidak ditemukan"))</f>
        <v/>
      </c>
      <c r="D325" s="241"/>
      <c r="E325" s="241"/>
      <c r="F325" s="241"/>
      <c r="G325" s="243"/>
      <c r="H325" s="254"/>
      <c r="I325" s="241"/>
      <c r="J325" s="241"/>
      <c r="K325" s="241"/>
      <c r="L325" s="241"/>
      <c r="M325" s="243"/>
      <c r="N325" s="243"/>
      <c r="O325" s="242"/>
      <c r="P325" s="241"/>
      <c r="Q325" s="241"/>
      <c r="R325" s="241"/>
      <c r="S325" s="244"/>
      <c r="T325" s="244"/>
      <c r="U325"/>
      <c r="AA325"/>
      <c r="AB325"/>
      <c r="AC325"/>
      <c r="AD325"/>
      <c r="AE325"/>
      <c r="AF325"/>
      <c r="AG325"/>
      <c r="AH325"/>
      <c r="AI325"/>
      <c r="AJ325"/>
      <c r="AK325"/>
      <c r="AL325"/>
      <c r="AM325"/>
      <c r="AN325"/>
      <c r="AO325"/>
      <c r="AP325"/>
      <c r="AQ325"/>
      <c r="AR325"/>
    </row>
    <row r="326" spans="1:44" s="239" customFormat="1">
      <c r="A326" s="241"/>
      <c r="B326" s="241"/>
      <c r="C326" s="245" t="str">
        <f>IF(B326="","",IFERROR(VLOOKUP(B326,PERUMAHAN!$A:$B,2,FALSE),"ID tidak ditemukan"))</f>
        <v/>
      </c>
      <c r="D326" s="241"/>
      <c r="E326" s="241"/>
      <c r="F326" s="241"/>
      <c r="G326" s="243"/>
      <c r="H326" s="254"/>
      <c r="I326" s="241"/>
      <c r="J326" s="241"/>
      <c r="K326" s="241"/>
      <c r="L326" s="241"/>
      <c r="M326" s="243"/>
      <c r="N326" s="243"/>
      <c r="O326" s="242"/>
      <c r="P326" s="241"/>
      <c r="Q326" s="241"/>
      <c r="R326" s="241"/>
      <c r="S326" s="244"/>
      <c r="T326" s="244"/>
      <c r="U326"/>
      <c r="AA326"/>
      <c r="AB326"/>
      <c r="AC326"/>
      <c r="AD326"/>
      <c r="AE326"/>
      <c r="AF326"/>
      <c r="AG326"/>
      <c r="AH326"/>
      <c r="AI326"/>
      <c r="AJ326"/>
      <c r="AK326"/>
      <c r="AL326"/>
      <c r="AM326"/>
      <c r="AN326"/>
      <c r="AO326"/>
      <c r="AP326"/>
      <c r="AQ326"/>
      <c r="AR326"/>
    </row>
    <row r="327" spans="1:44" s="239" customFormat="1">
      <c r="A327" s="241"/>
      <c r="B327" s="241"/>
      <c r="C327" s="245" t="str">
        <f>IF(B327="","",IFERROR(VLOOKUP(B327,PERUMAHAN!$A:$B,2,FALSE),"ID tidak ditemukan"))</f>
        <v/>
      </c>
      <c r="D327" s="241"/>
      <c r="E327" s="241"/>
      <c r="F327" s="241"/>
      <c r="G327" s="243"/>
      <c r="H327" s="254"/>
      <c r="I327" s="241"/>
      <c r="J327" s="241"/>
      <c r="K327" s="241"/>
      <c r="L327" s="241"/>
      <c r="M327" s="243"/>
      <c r="N327" s="243"/>
      <c r="O327" s="242"/>
      <c r="P327" s="241"/>
      <c r="Q327" s="241"/>
      <c r="R327" s="241"/>
      <c r="S327" s="244"/>
      <c r="T327" s="244"/>
      <c r="U327"/>
      <c r="AA327"/>
      <c r="AB327"/>
      <c r="AC327"/>
      <c r="AD327"/>
      <c r="AE327"/>
      <c r="AF327"/>
      <c r="AG327"/>
      <c r="AH327"/>
      <c r="AI327"/>
      <c r="AJ327"/>
      <c r="AK327"/>
      <c r="AL327"/>
      <c r="AM327"/>
      <c r="AN327"/>
      <c r="AO327"/>
      <c r="AP327"/>
      <c r="AQ327"/>
      <c r="AR327"/>
    </row>
    <row r="328" spans="1:44" s="239" customFormat="1">
      <c r="A328" s="241"/>
      <c r="B328" s="241"/>
      <c r="C328" s="245" t="str">
        <f>IF(B328="","",IFERROR(VLOOKUP(B328,PERUMAHAN!$A:$B,2,FALSE),"ID tidak ditemukan"))</f>
        <v/>
      </c>
      <c r="D328" s="241"/>
      <c r="E328" s="241"/>
      <c r="F328" s="241"/>
      <c r="G328" s="243"/>
      <c r="H328" s="254"/>
      <c r="I328" s="241"/>
      <c r="J328" s="241"/>
      <c r="K328" s="241"/>
      <c r="L328" s="241"/>
      <c r="M328" s="243"/>
      <c r="N328" s="243"/>
      <c r="O328" s="242"/>
      <c r="P328" s="241"/>
      <c r="Q328" s="241"/>
      <c r="R328" s="241"/>
      <c r="S328" s="244"/>
      <c r="T328" s="244"/>
      <c r="U328"/>
      <c r="AA328"/>
      <c r="AB328"/>
      <c r="AC328"/>
      <c r="AD328"/>
      <c r="AE328"/>
      <c r="AF328"/>
      <c r="AG328"/>
      <c r="AH328"/>
      <c r="AI328"/>
      <c r="AJ328"/>
      <c r="AK328"/>
      <c r="AL328"/>
      <c r="AM328"/>
      <c r="AN328"/>
      <c r="AO328"/>
      <c r="AP328"/>
      <c r="AQ328"/>
      <c r="AR328"/>
    </row>
    <row r="329" spans="1:44" s="239" customFormat="1">
      <c r="A329" s="241"/>
      <c r="B329" s="241"/>
      <c r="C329" s="245" t="str">
        <f>IF(B329="","",IFERROR(VLOOKUP(B329,PERUMAHAN!$A:$B,2,FALSE),"ID tidak ditemukan"))</f>
        <v/>
      </c>
      <c r="D329" s="241"/>
      <c r="E329" s="241"/>
      <c r="F329" s="241"/>
      <c r="G329" s="243"/>
      <c r="H329" s="254"/>
      <c r="I329" s="241"/>
      <c r="J329" s="241"/>
      <c r="K329" s="241"/>
      <c r="L329" s="241"/>
      <c r="M329" s="243"/>
      <c r="N329" s="243"/>
      <c r="O329" s="242"/>
      <c r="P329" s="241"/>
      <c r="Q329" s="241"/>
      <c r="R329" s="241"/>
      <c r="S329" s="244"/>
      <c r="T329" s="244"/>
      <c r="U329"/>
      <c r="AA329"/>
      <c r="AB329"/>
      <c r="AC329"/>
      <c r="AD329"/>
      <c r="AE329"/>
      <c r="AF329"/>
      <c r="AG329"/>
      <c r="AH329"/>
      <c r="AI329"/>
      <c r="AJ329"/>
      <c r="AK329"/>
      <c r="AL329"/>
      <c r="AM329"/>
      <c r="AN329"/>
      <c r="AO329"/>
      <c r="AP329"/>
      <c r="AQ329"/>
      <c r="AR329"/>
    </row>
    <row r="330" spans="1:44" s="239" customFormat="1">
      <c r="A330" s="241"/>
      <c r="B330" s="241"/>
      <c r="C330" s="245" t="str">
        <f>IF(B330="","",IFERROR(VLOOKUP(B330,PERUMAHAN!$A:$B,2,FALSE),"ID tidak ditemukan"))</f>
        <v/>
      </c>
      <c r="D330" s="241"/>
      <c r="E330" s="241"/>
      <c r="F330" s="241"/>
      <c r="G330" s="243"/>
      <c r="H330" s="254"/>
      <c r="I330" s="241"/>
      <c r="J330" s="241"/>
      <c r="K330" s="241"/>
      <c r="L330" s="241"/>
      <c r="M330" s="243"/>
      <c r="N330" s="243"/>
      <c r="O330" s="242"/>
      <c r="P330" s="241"/>
      <c r="Q330" s="241"/>
      <c r="R330" s="241"/>
      <c r="S330" s="244"/>
      <c r="T330" s="244"/>
      <c r="U330"/>
      <c r="AA330"/>
      <c r="AB330"/>
      <c r="AC330"/>
      <c r="AD330"/>
      <c r="AE330"/>
      <c r="AF330"/>
      <c r="AG330"/>
      <c r="AH330"/>
      <c r="AI330"/>
      <c r="AJ330"/>
      <c r="AK330"/>
      <c r="AL330"/>
      <c r="AM330"/>
      <c r="AN330"/>
      <c r="AO330"/>
      <c r="AP330"/>
      <c r="AQ330"/>
      <c r="AR330"/>
    </row>
    <row r="331" spans="1:44" s="239" customFormat="1">
      <c r="A331" s="241"/>
      <c r="B331" s="241"/>
      <c r="C331" s="245" t="str">
        <f>IF(B331="","",IFERROR(VLOOKUP(B331,PERUMAHAN!$A:$B,2,FALSE),"ID tidak ditemukan"))</f>
        <v/>
      </c>
      <c r="D331" s="241"/>
      <c r="E331" s="241"/>
      <c r="F331" s="241"/>
      <c r="G331" s="243"/>
      <c r="H331" s="254"/>
      <c r="I331" s="241"/>
      <c r="J331" s="241"/>
      <c r="K331" s="241"/>
      <c r="L331" s="241"/>
      <c r="M331" s="243"/>
      <c r="N331" s="243"/>
      <c r="O331" s="242"/>
      <c r="P331" s="241"/>
      <c r="Q331" s="241"/>
      <c r="R331" s="241"/>
      <c r="S331" s="244"/>
      <c r="T331" s="244"/>
      <c r="U331"/>
      <c r="AA331"/>
      <c r="AB331"/>
      <c r="AC331"/>
      <c r="AD331"/>
      <c r="AE331"/>
      <c r="AF331"/>
      <c r="AG331"/>
      <c r="AH331"/>
      <c r="AI331"/>
      <c r="AJ331"/>
      <c r="AK331"/>
      <c r="AL331"/>
      <c r="AM331"/>
      <c r="AN331"/>
      <c r="AO331"/>
      <c r="AP331"/>
      <c r="AQ331"/>
      <c r="AR331"/>
    </row>
    <row r="332" spans="1:44" s="239" customFormat="1">
      <c r="A332" s="241"/>
      <c r="B332" s="241"/>
      <c r="C332" s="245" t="str">
        <f>IF(B332="","",IFERROR(VLOOKUP(B332,PERUMAHAN!$A:$B,2,FALSE),"ID tidak ditemukan"))</f>
        <v/>
      </c>
      <c r="D332" s="241"/>
      <c r="E332" s="241"/>
      <c r="F332" s="241"/>
      <c r="G332" s="243"/>
      <c r="H332" s="254"/>
      <c r="I332" s="241"/>
      <c r="J332" s="241"/>
      <c r="K332" s="241"/>
      <c r="L332" s="241"/>
      <c r="M332" s="243"/>
      <c r="N332" s="243"/>
      <c r="O332" s="242"/>
      <c r="P332" s="241"/>
      <c r="Q332" s="241"/>
      <c r="R332" s="241"/>
      <c r="S332" s="244"/>
      <c r="T332" s="244"/>
      <c r="U332"/>
      <c r="AA332"/>
      <c r="AB332"/>
      <c r="AC332"/>
      <c r="AD332"/>
      <c r="AE332"/>
      <c r="AF332"/>
      <c r="AG332"/>
      <c r="AH332"/>
      <c r="AI332"/>
      <c r="AJ332"/>
      <c r="AK332"/>
      <c r="AL332"/>
      <c r="AM332"/>
      <c r="AN332"/>
      <c r="AO332"/>
      <c r="AP332"/>
      <c r="AQ332"/>
      <c r="AR332"/>
    </row>
    <row r="333" spans="1:44" s="239" customFormat="1">
      <c r="A333" s="241"/>
      <c r="B333" s="241"/>
      <c r="C333" s="245" t="str">
        <f>IF(B333="","",IFERROR(VLOOKUP(B333,PERUMAHAN!$A:$B,2,FALSE),"ID tidak ditemukan"))</f>
        <v/>
      </c>
      <c r="D333" s="241"/>
      <c r="E333" s="241"/>
      <c r="F333" s="241"/>
      <c r="G333" s="243"/>
      <c r="H333" s="254"/>
      <c r="I333" s="241"/>
      <c r="J333" s="241"/>
      <c r="K333" s="241"/>
      <c r="L333" s="241"/>
      <c r="M333" s="243"/>
      <c r="N333" s="243"/>
      <c r="O333" s="242"/>
      <c r="P333" s="241"/>
      <c r="Q333" s="241"/>
      <c r="R333" s="241"/>
      <c r="S333" s="244"/>
      <c r="T333" s="244"/>
      <c r="U333"/>
      <c r="AA333"/>
      <c r="AB333"/>
      <c r="AC333"/>
      <c r="AD333"/>
      <c r="AE333"/>
      <c r="AF333"/>
      <c r="AG333"/>
      <c r="AH333"/>
      <c r="AI333"/>
      <c r="AJ333"/>
      <c r="AK333"/>
      <c r="AL333"/>
      <c r="AM333"/>
      <c r="AN333"/>
      <c r="AO333"/>
      <c r="AP333"/>
      <c r="AQ333"/>
      <c r="AR333"/>
    </row>
    <row r="334" spans="1:44" s="239" customFormat="1">
      <c r="A334" s="241"/>
      <c r="B334" s="241"/>
      <c r="C334" s="245" t="str">
        <f>IF(B334="","",IFERROR(VLOOKUP(B334,PERUMAHAN!$A:$B,2,FALSE),"ID tidak ditemukan"))</f>
        <v/>
      </c>
      <c r="D334" s="241"/>
      <c r="E334" s="241"/>
      <c r="F334" s="241"/>
      <c r="G334" s="243"/>
      <c r="H334" s="254"/>
      <c r="I334" s="241"/>
      <c r="J334" s="241"/>
      <c r="K334" s="241"/>
      <c r="L334" s="241"/>
      <c r="M334" s="243"/>
      <c r="N334" s="243"/>
      <c r="O334" s="242"/>
      <c r="P334" s="241"/>
      <c r="Q334" s="241"/>
      <c r="R334" s="241"/>
      <c r="S334" s="244"/>
      <c r="T334" s="244"/>
      <c r="U334"/>
      <c r="AA334"/>
      <c r="AB334"/>
      <c r="AC334"/>
      <c r="AD334"/>
      <c r="AE334"/>
      <c r="AF334"/>
      <c r="AG334"/>
      <c r="AH334"/>
      <c r="AI334"/>
      <c r="AJ334"/>
      <c r="AK334"/>
      <c r="AL334"/>
      <c r="AM334"/>
      <c r="AN334"/>
      <c r="AO334"/>
      <c r="AP334"/>
      <c r="AQ334"/>
      <c r="AR334"/>
    </row>
    <row r="335" spans="1:44" s="239" customFormat="1">
      <c r="A335" s="241"/>
      <c r="B335" s="241"/>
      <c r="C335" s="245" t="str">
        <f>IF(B335="","",IFERROR(VLOOKUP(B335,PERUMAHAN!$A:$B,2,FALSE),"ID tidak ditemukan"))</f>
        <v/>
      </c>
      <c r="D335" s="241"/>
      <c r="E335" s="241"/>
      <c r="F335" s="241"/>
      <c r="G335" s="243"/>
      <c r="H335" s="254"/>
      <c r="I335" s="241"/>
      <c r="J335" s="241"/>
      <c r="K335" s="241"/>
      <c r="L335" s="241"/>
      <c r="M335" s="243"/>
      <c r="N335" s="243"/>
      <c r="O335" s="242"/>
      <c r="P335" s="241"/>
      <c r="Q335" s="241"/>
      <c r="R335" s="241"/>
      <c r="S335" s="244"/>
      <c r="T335" s="244"/>
      <c r="U335"/>
      <c r="AA335"/>
      <c r="AB335"/>
      <c r="AC335"/>
      <c r="AD335"/>
      <c r="AE335"/>
      <c r="AF335"/>
      <c r="AG335"/>
      <c r="AH335"/>
      <c r="AI335"/>
      <c r="AJ335"/>
      <c r="AK335"/>
      <c r="AL335"/>
      <c r="AM335"/>
      <c r="AN335"/>
      <c r="AO335"/>
      <c r="AP335"/>
      <c r="AQ335"/>
      <c r="AR335"/>
    </row>
    <row r="336" spans="1:44" s="239" customFormat="1">
      <c r="A336" s="241"/>
      <c r="B336" s="241"/>
      <c r="C336" s="245" t="str">
        <f>IF(B336="","",IFERROR(VLOOKUP(B336,PERUMAHAN!$A:$B,2,FALSE),"ID tidak ditemukan"))</f>
        <v/>
      </c>
      <c r="D336" s="241"/>
      <c r="E336" s="241"/>
      <c r="F336" s="241"/>
      <c r="G336" s="243"/>
      <c r="H336" s="254"/>
      <c r="I336" s="241"/>
      <c r="J336" s="241"/>
      <c r="K336" s="241"/>
      <c r="L336" s="241"/>
      <c r="M336" s="243"/>
      <c r="N336" s="243"/>
      <c r="O336" s="242"/>
      <c r="P336" s="241"/>
      <c r="Q336" s="241"/>
      <c r="R336" s="241"/>
      <c r="S336" s="244"/>
      <c r="T336" s="244"/>
      <c r="U336"/>
      <c r="AA336"/>
      <c r="AB336"/>
      <c r="AC336"/>
      <c r="AD336"/>
      <c r="AE336"/>
      <c r="AF336"/>
      <c r="AG336"/>
      <c r="AH336"/>
      <c r="AI336"/>
      <c r="AJ336"/>
      <c r="AK336"/>
      <c r="AL336"/>
      <c r="AM336"/>
      <c r="AN336"/>
      <c r="AO336"/>
      <c r="AP336"/>
      <c r="AQ336"/>
      <c r="AR336"/>
    </row>
    <row r="337" spans="1:44" s="239" customFormat="1">
      <c r="A337" s="241"/>
      <c r="B337" s="241"/>
      <c r="C337" s="245" t="str">
        <f>IF(B337="","",IFERROR(VLOOKUP(B337,PERUMAHAN!$A:$B,2,FALSE),"ID tidak ditemukan"))</f>
        <v/>
      </c>
      <c r="D337" s="241"/>
      <c r="E337" s="241"/>
      <c r="F337" s="241"/>
      <c r="G337" s="243"/>
      <c r="H337" s="254"/>
      <c r="I337" s="241"/>
      <c r="J337" s="241"/>
      <c r="K337" s="241"/>
      <c r="L337" s="241"/>
      <c r="M337" s="243"/>
      <c r="N337" s="243"/>
      <c r="O337" s="242"/>
      <c r="P337" s="241"/>
      <c r="Q337" s="241"/>
      <c r="R337" s="241"/>
      <c r="S337" s="244"/>
      <c r="T337" s="244"/>
      <c r="U337"/>
      <c r="AA337"/>
      <c r="AB337"/>
      <c r="AC337"/>
      <c r="AD337"/>
      <c r="AE337"/>
      <c r="AF337"/>
      <c r="AG337"/>
      <c r="AH337"/>
      <c r="AI337"/>
      <c r="AJ337"/>
      <c r="AK337"/>
      <c r="AL337"/>
      <c r="AM337"/>
      <c r="AN337"/>
      <c r="AO337"/>
      <c r="AP337"/>
      <c r="AQ337"/>
      <c r="AR337"/>
    </row>
    <row r="338" spans="1:44" s="239" customFormat="1">
      <c r="A338" s="241"/>
      <c r="B338" s="241"/>
      <c r="C338" s="245" t="str">
        <f>IF(B338="","",IFERROR(VLOOKUP(B338,PERUMAHAN!$A:$B,2,FALSE),"ID tidak ditemukan"))</f>
        <v/>
      </c>
      <c r="D338" s="241"/>
      <c r="E338" s="241"/>
      <c r="F338" s="241"/>
      <c r="G338" s="243"/>
      <c r="H338" s="254"/>
      <c r="I338" s="241"/>
      <c r="J338" s="241"/>
      <c r="K338" s="241"/>
      <c r="L338" s="241"/>
      <c r="M338" s="243"/>
      <c r="N338" s="243"/>
      <c r="O338" s="242"/>
      <c r="P338" s="241"/>
      <c r="Q338" s="241"/>
      <c r="R338" s="241"/>
      <c r="S338" s="244"/>
      <c r="T338" s="244"/>
      <c r="U338"/>
      <c r="AA338"/>
      <c r="AB338"/>
      <c r="AC338"/>
      <c r="AD338"/>
      <c r="AE338"/>
      <c r="AF338"/>
      <c r="AG338"/>
      <c r="AH338"/>
      <c r="AI338"/>
      <c r="AJ338"/>
      <c r="AK338"/>
      <c r="AL338"/>
      <c r="AM338"/>
      <c r="AN338"/>
      <c r="AO338"/>
      <c r="AP338"/>
      <c r="AQ338"/>
      <c r="AR338"/>
    </row>
    <row r="339" spans="1:44" s="239" customFormat="1">
      <c r="A339" s="241"/>
      <c r="B339" s="241"/>
      <c r="C339" s="245" t="str">
        <f>IF(B339="","",IFERROR(VLOOKUP(B339,PERUMAHAN!$A:$B,2,FALSE),"ID tidak ditemukan"))</f>
        <v/>
      </c>
      <c r="D339" s="241"/>
      <c r="E339" s="241"/>
      <c r="F339" s="241"/>
      <c r="G339" s="243"/>
      <c r="H339" s="254"/>
      <c r="I339" s="241"/>
      <c r="J339" s="241"/>
      <c r="K339" s="241"/>
      <c r="L339" s="241"/>
      <c r="M339" s="243"/>
      <c r="N339" s="243"/>
      <c r="O339" s="242"/>
      <c r="P339" s="241"/>
      <c r="Q339" s="241"/>
      <c r="R339" s="241"/>
      <c r="S339" s="244"/>
      <c r="T339" s="244"/>
      <c r="U339"/>
      <c r="AA339"/>
      <c r="AB339"/>
      <c r="AC339"/>
      <c r="AD339"/>
      <c r="AE339"/>
      <c r="AF339"/>
      <c r="AG339"/>
      <c r="AH339"/>
      <c r="AI339"/>
      <c r="AJ339"/>
      <c r="AK339"/>
      <c r="AL339"/>
      <c r="AM339"/>
      <c r="AN339"/>
      <c r="AO339"/>
      <c r="AP339"/>
      <c r="AQ339"/>
      <c r="AR339"/>
    </row>
    <row r="340" spans="1:44" s="239" customFormat="1">
      <c r="A340" s="241"/>
      <c r="B340" s="241"/>
      <c r="C340" s="245" t="str">
        <f>IF(B340="","",IFERROR(VLOOKUP(B340,PERUMAHAN!$A:$B,2,FALSE),"ID tidak ditemukan"))</f>
        <v/>
      </c>
      <c r="D340" s="241"/>
      <c r="E340" s="241"/>
      <c r="F340" s="241"/>
      <c r="G340" s="243"/>
      <c r="H340" s="254"/>
      <c r="I340" s="241"/>
      <c r="J340" s="241"/>
      <c r="K340" s="241"/>
      <c r="L340" s="241"/>
      <c r="M340" s="243"/>
      <c r="N340" s="243"/>
      <c r="O340" s="242"/>
      <c r="P340" s="241"/>
      <c r="Q340" s="241"/>
      <c r="R340" s="241"/>
      <c r="S340" s="244"/>
      <c r="T340" s="244"/>
      <c r="U340"/>
      <c r="AA340"/>
      <c r="AB340"/>
      <c r="AC340"/>
      <c r="AD340"/>
      <c r="AE340"/>
      <c r="AF340"/>
      <c r="AG340"/>
      <c r="AH340"/>
      <c r="AI340"/>
      <c r="AJ340"/>
      <c r="AK340"/>
      <c r="AL340"/>
      <c r="AM340"/>
      <c r="AN340"/>
      <c r="AO340"/>
      <c r="AP340"/>
      <c r="AQ340"/>
      <c r="AR340"/>
    </row>
    <row r="341" spans="1:44" s="239" customFormat="1">
      <c r="A341" s="241"/>
      <c r="B341" s="241"/>
      <c r="C341" s="245" t="str">
        <f>IF(B341="","",IFERROR(VLOOKUP(B341,PERUMAHAN!$A:$B,2,FALSE),"ID tidak ditemukan"))</f>
        <v/>
      </c>
      <c r="D341" s="241"/>
      <c r="E341" s="241"/>
      <c r="F341" s="241"/>
      <c r="G341" s="243"/>
      <c r="H341" s="254"/>
      <c r="I341" s="241"/>
      <c r="J341" s="241"/>
      <c r="K341" s="241"/>
      <c r="L341" s="241"/>
      <c r="M341" s="243"/>
      <c r="N341" s="243"/>
      <c r="O341" s="242"/>
      <c r="P341" s="241"/>
      <c r="Q341" s="241"/>
      <c r="R341" s="241"/>
      <c r="S341" s="244"/>
      <c r="T341" s="244"/>
      <c r="U341"/>
      <c r="AA341"/>
      <c r="AB341"/>
      <c r="AC341"/>
      <c r="AD341"/>
      <c r="AE341"/>
      <c r="AF341"/>
      <c r="AG341"/>
      <c r="AH341"/>
      <c r="AI341"/>
      <c r="AJ341"/>
      <c r="AK341"/>
      <c r="AL341"/>
      <c r="AM341"/>
      <c r="AN341"/>
      <c r="AO341"/>
      <c r="AP341"/>
      <c r="AQ341"/>
      <c r="AR341"/>
    </row>
    <row r="342" spans="1:44" s="239" customFormat="1">
      <c r="A342" s="241"/>
      <c r="B342" s="241"/>
      <c r="C342" s="245" t="str">
        <f>IF(B342="","",IFERROR(VLOOKUP(B342,PERUMAHAN!$A:$B,2,FALSE),"ID tidak ditemukan"))</f>
        <v/>
      </c>
      <c r="D342" s="241"/>
      <c r="E342" s="241"/>
      <c r="F342" s="241"/>
      <c r="G342" s="243"/>
      <c r="H342" s="254"/>
      <c r="I342" s="241"/>
      <c r="J342" s="241"/>
      <c r="K342" s="241"/>
      <c r="L342" s="241"/>
      <c r="M342" s="243"/>
      <c r="N342" s="243"/>
      <c r="O342" s="242"/>
      <c r="P342" s="241"/>
      <c r="Q342" s="241"/>
      <c r="R342" s="241"/>
      <c r="S342" s="244"/>
      <c r="T342" s="244"/>
      <c r="U342"/>
      <c r="AA342"/>
      <c r="AB342"/>
      <c r="AC342"/>
      <c r="AD342"/>
      <c r="AE342"/>
      <c r="AF342"/>
      <c r="AG342"/>
      <c r="AH342"/>
      <c r="AI342"/>
      <c r="AJ342"/>
      <c r="AK342"/>
      <c r="AL342"/>
      <c r="AM342"/>
      <c r="AN342"/>
      <c r="AO342"/>
      <c r="AP342"/>
      <c r="AQ342"/>
      <c r="AR342"/>
    </row>
    <row r="343" spans="1:44" s="239" customFormat="1">
      <c r="A343" s="241"/>
      <c r="B343" s="241"/>
      <c r="C343" s="245" t="str">
        <f>IF(B343="","",IFERROR(VLOOKUP(B343,PERUMAHAN!$A:$B,2,FALSE),"ID tidak ditemukan"))</f>
        <v/>
      </c>
      <c r="D343" s="241"/>
      <c r="E343" s="241"/>
      <c r="F343" s="241"/>
      <c r="G343" s="243"/>
      <c r="H343" s="254"/>
      <c r="I343" s="241"/>
      <c r="J343" s="241"/>
      <c r="K343" s="241"/>
      <c r="L343" s="241"/>
      <c r="M343" s="243"/>
      <c r="N343" s="243"/>
      <c r="O343" s="242"/>
      <c r="P343" s="241"/>
      <c r="Q343" s="241"/>
      <c r="R343" s="241"/>
      <c r="S343" s="244"/>
      <c r="T343" s="244"/>
      <c r="U343"/>
      <c r="AA343"/>
      <c r="AB343"/>
      <c r="AC343"/>
      <c r="AD343"/>
      <c r="AE343"/>
      <c r="AF343"/>
      <c r="AG343"/>
      <c r="AH343"/>
      <c r="AI343"/>
      <c r="AJ343"/>
      <c r="AK343"/>
      <c r="AL343"/>
      <c r="AM343"/>
      <c r="AN343"/>
      <c r="AO343"/>
      <c r="AP343"/>
      <c r="AQ343"/>
      <c r="AR343"/>
    </row>
    <row r="344" spans="1:44" s="239" customFormat="1">
      <c r="A344" s="241"/>
      <c r="B344" s="241"/>
      <c r="C344" s="245" t="str">
        <f>IF(B344="","",IFERROR(VLOOKUP(B344,PERUMAHAN!$A:$B,2,FALSE),"ID tidak ditemukan"))</f>
        <v/>
      </c>
      <c r="D344" s="241"/>
      <c r="E344" s="241"/>
      <c r="F344" s="241"/>
      <c r="G344" s="243"/>
      <c r="H344" s="254"/>
      <c r="I344" s="241"/>
      <c r="J344" s="241"/>
      <c r="K344" s="241"/>
      <c r="L344" s="241"/>
      <c r="M344" s="243"/>
      <c r="N344" s="243"/>
      <c r="O344" s="242"/>
      <c r="P344" s="241"/>
      <c r="Q344" s="241"/>
      <c r="R344" s="241"/>
      <c r="S344" s="244"/>
      <c r="T344" s="244"/>
      <c r="U344"/>
      <c r="AA344"/>
      <c r="AB344"/>
      <c r="AC344"/>
      <c r="AD344"/>
      <c r="AE344"/>
      <c r="AF344"/>
      <c r="AG344"/>
      <c r="AH344"/>
      <c r="AI344"/>
      <c r="AJ344"/>
      <c r="AK344"/>
      <c r="AL344"/>
      <c r="AM344"/>
      <c r="AN344"/>
      <c r="AO344"/>
      <c r="AP344"/>
      <c r="AQ344"/>
      <c r="AR344"/>
    </row>
    <row r="345" spans="1:44" s="239" customFormat="1">
      <c r="A345" s="241"/>
      <c r="B345" s="241"/>
      <c r="C345" s="245" t="str">
        <f>IF(B345="","",IFERROR(VLOOKUP(B345,PERUMAHAN!$A:$B,2,FALSE),"ID tidak ditemukan"))</f>
        <v/>
      </c>
      <c r="D345" s="241"/>
      <c r="E345" s="241"/>
      <c r="F345" s="241"/>
      <c r="G345" s="243"/>
      <c r="H345" s="254"/>
      <c r="I345" s="241"/>
      <c r="J345" s="241"/>
      <c r="K345" s="241"/>
      <c r="L345" s="241"/>
      <c r="M345" s="243"/>
      <c r="N345" s="243"/>
      <c r="O345" s="242"/>
      <c r="P345" s="241"/>
      <c r="Q345" s="241"/>
      <c r="R345" s="241"/>
      <c r="S345" s="244"/>
      <c r="T345" s="244"/>
      <c r="U345"/>
      <c r="AA345"/>
      <c r="AB345"/>
      <c r="AC345"/>
      <c r="AD345"/>
      <c r="AE345"/>
      <c r="AF345"/>
      <c r="AG345"/>
      <c r="AH345"/>
      <c r="AI345"/>
      <c r="AJ345"/>
      <c r="AK345"/>
      <c r="AL345"/>
      <c r="AM345"/>
      <c r="AN345"/>
      <c r="AO345"/>
      <c r="AP345"/>
      <c r="AQ345"/>
      <c r="AR345"/>
    </row>
    <row r="346" spans="1:44" s="239" customFormat="1">
      <c r="A346" s="241"/>
      <c r="B346" s="241"/>
      <c r="C346" s="245" t="str">
        <f>IF(B346="","",IFERROR(VLOOKUP(B346,PERUMAHAN!$A:$B,2,FALSE),"ID tidak ditemukan"))</f>
        <v/>
      </c>
      <c r="D346" s="241"/>
      <c r="E346" s="241"/>
      <c r="F346" s="241"/>
      <c r="G346" s="243"/>
      <c r="H346" s="254"/>
      <c r="I346" s="241"/>
      <c r="J346" s="241"/>
      <c r="K346" s="241"/>
      <c r="L346" s="241"/>
      <c r="M346" s="243"/>
      <c r="N346" s="243"/>
      <c r="O346" s="242"/>
      <c r="P346" s="241"/>
      <c r="Q346" s="241"/>
      <c r="R346" s="241"/>
      <c r="S346" s="244"/>
      <c r="T346" s="244"/>
      <c r="U346"/>
      <c r="AA346"/>
      <c r="AB346"/>
      <c r="AC346"/>
      <c r="AD346"/>
      <c r="AE346"/>
      <c r="AF346"/>
      <c r="AG346"/>
      <c r="AH346"/>
      <c r="AI346"/>
      <c r="AJ346"/>
      <c r="AK346"/>
      <c r="AL346"/>
      <c r="AM346"/>
      <c r="AN346"/>
      <c r="AO346"/>
      <c r="AP346"/>
      <c r="AQ346"/>
      <c r="AR346"/>
    </row>
    <row r="347" spans="1:44" s="239" customFormat="1">
      <c r="A347" s="241"/>
      <c r="B347" s="241"/>
      <c r="C347" s="245" t="str">
        <f>IF(B347="","",IFERROR(VLOOKUP(B347,PERUMAHAN!$A:$B,2,FALSE),"ID tidak ditemukan"))</f>
        <v/>
      </c>
      <c r="D347" s="241"/>
      <c r="E347" s="241"/>
      <c r="F347" s="241"/>
      <c r="G347" s="243"/>
      <c r="H347" s="254"/>
      <c r="I347" s="241"/>
      <c r="J347" s="241"/>
      <c r="K347" s="241"/>
      <c r="L347" s="241"/>
      <c r="M347" s="243"/>
      <c r="N347" s="243"/>
      <c r="O347" s="242"/>
      <c r="P347" s="241"/>
      <c r="Q347" s="241"/>
      <c r="R347" s="241"/>
      <c r="S347" s="244"/>
      <c r="T347" s="244"/>
      <c r="U347"/>
      <c r="AA347"/>
      <c r="AB347"/>
      <c r="AC347"/>
      <c r="AD347"/>
      <c r="AE347"/>
      <c r="AF347"/>
      <c r="AG347"/>
      <c r="AH347"/>
      <c r="AI347"/>
      <c r="AJ347"/>
      <c r="AK347"/>
      <c r="AL347"/>
      <c r="AM347"/>
      <c r="AN347"/>
      <c r="AO347"/>
      <c r="AP347"/>
      <c r="AQ347"/>
      <c r="AR347"/>
    </row>
    <row r="348" spans="1:44" s="239" customFormat="1">
      <c r="A348" s="241"/>
      <c r="B348" s="241"/>
      <c r="C348" s="245" t="str">
        <f>IF(B348="","",IFERROR(VLOOKUP(B348,PERUMAHAN!$A:$B,2,FALSE),"ID tidak ditemukan"))</f>
        <v/>
      </c>
      <c r="D348" s="241"/>
      <c r="E348" s="241"/>
      <c r="F348" s="241"/>
      <c r="G348" s="243"/>
      <c r="H348" s="254"/>
      <c r="I348" s="241"/>
      <c r="J348" s="241"/>
      <c r="K348" s="241"/>
      <c r="L348" s="241"/>
      <c r="M348" s="243"/>
      <c r="N348" s="243"/>
      <c r="O348" s="242"/>
      <c r="P348" s="241"/>
      <c r="Q348" s="241"/>
      <c r="R348" s="241"/>
      <c r="S348" s="244"/>
      <c r="T348" s="244"/>
      <c r="U348"/>
      <c r="AA348"/>
      <c r="AB348"/>
      <c r="AC348"/>
      <c r="AD348"/>
      <c r="AE348"/>
      <c r="AF348"/>
      <c r="AG348"/>
      <c r="AH348"/>
      <c r="AI348"/>
      <c r="AJ348"/>
      <c r="AK348"/>
      <c r="AL348"/>
      <c r="AM348"/>
      <c r="AN348"/>
      <c r="AO348"/>
      <c r="AP348"/>
      <c r="AQ348"/>
      <c r="AR348"/>
    </row>
    <row r="349" spans="1:44" s="239" customFormat="1">
      <c r="A349" s="241"/>
      <c r="B349" s="241"/>
      <c r="C349" s="245" t="str">
        <f>IF(B349="","",IFERROR(VLOOKUP(B349,PERUMAHAN!$A:$B,2,FALSE),"ID tidak ditemukan"))</f>
        <v/>
      </c>
      <c r="D349" s="241"/>
      <c r="E349" s="241"/>
      <c r="F349" s="241"/>
      <c r="G349" s="243"/>
      <c r="H349" s="254"/>
      <c r="I349" s="241"/>
      <c r="J349" s="241"/>
      <c r="K349" s="241"/>
      <c r="L349" s="241"/>
      <c r="M349" s="243"/>
      <c r="N349" s="243"/>
      <c r="O349" s="242"/>
      <c r="P349" s="241"/>
      <c r="Q349" s="241"/>
      <c r="R349" s="241"/>
      <c r="S349" s="244"/>
      <c r="T349" s="244"/>
      <c r="U349"/>
      <c r="AA349"/>
      <c r="AB349"/>
      <c r="AC349"/>
      <c r="AD349"/>
      <c r="AE349"/>
      <c r="AF349"/>
      <c r="AG349"/>
      <c r="AH349"/>
      <c r="AI349"/>
      <c r="AJ349"/>
      <c r="AK349"/>
      <c r="AL349"/>
      <c r="AM349"/>
      <c r="AN349"/>
      <c r="AO349"/>
      <c r="AP349"/>
      <c r="AQ349"/>
      <c r="AR349"/>
    </row>
    <row r="350" spans="1:44" s="239" customFormat="1">
      <c r="A350" s="241"/>
      <c r="B350" s="241"/>
      <c r="C350" s="245" t="str">
        <f>IF(B350="","",IFERROR(VLOOKUP(B350,PERUMAHAN!$A:$B,2,FALSE),"ID tidak ditemukan"))</f>
        <v/>
      </c>
      <c r="D350" s="241"/>
      <c r="E350" s="241"/>
      <c r="F350" s="241"/>
      <c r="G350" s="243"/>
      <c r="H350" s="254"/>
      <c r="I350" s="241"/>
      <c r="J350" s="241"/>
      <c r="K350" s="241"/>
      <c r="L350" s="241"/>
      <c r="M350" s="243"/>
      <c r="N350" s="243"/>
      <c r="O350" s="242"/>
      <c r="P350" s="241"/>
      <c r="Q350" s="241"/>
      <c r="R350" s="241"/>
      <c r="S350" s="244"/>
      <c r="T350" s="244"/>
      <c r="U350"/>
      <c r="AA350"/>
      <c r="AB350"/>
      <c r="AC350"/>
      <c r="AD350"/>
      <c r="AE350"/>
      <c r="AF350"/>
      <c r="AG350"/>
      <c r="AH350"/>
      <c r="AI350"/>
      <c r="AJ350"/>
      <c r="AK350"/>
      <c r="AL350"/>
      <c r="AM350"/>
      <c r="AN350"/>
      <c r="AO350"/>
      <c r="AP350"/>
      <c r="AQ350"/>
      <c r="AR350"/>
    </row>
    <row r="351" spans="1:44" s="239" customFormat="1">
      <c r="A351" s="241"/>
      <c r="B351" s="241"/>
      <c r="C351" s="245" t="str">
        <f>IF(B351="","",IFERROR(VLOOKUP(B351,PERUMAHAN!$A:$B,2,FALSE),"ID tidak ditemukan"))</f>
        <v/>
      </c>
      <c r="D351" s="241"/>
      <c r="E351" s="241"/>
      <c r="F351" s="241"/>
      <c r="G351" s="243"/>
      <c r="H351" s="254"/>
      <c r="I351" s="241"/>
      <c r="J351" s="241"/>
      <c r="K351" s="241"/>
      <c r="L351" s="241"/>
      <c r="M351" s="243"/>
      <c r="N351" s="243"/>
      <c r="O351" s="242"/>
      <c r="P351" s="241"/>
      <c r="Q351" s="241"/>
      <c r="R351" s="241"/>
      <c r="S351" s="244"/>
      <c r="T351" s="244"/>
      <c r="U351"/>
      <c r="AA351"/>
      <c r="AB351"/>
      <c r="AC351"/>
      <c r="AD351"/>
      <c r="AE351"/>
      <c r="AF351"/>
      <c r="AG351"/>
      <c r="AH351"/>
      <c r="AI351"/>
      <c r="AJ351"/>
      <c r="AK351"/>
      <c r="AL351"/>
      <c r="AM351"/>
      <c r="AN351"/>
      <c r="AO351"/>
      <c r="AP351"/>
      <c r="AQ351"/>
      <c r="AR351"/>
    </row>
    <row r="352" spans="1:44" s="239" customFormat="1">
      <c r="A352" s="241"/>
      <c r="B352" s="241"/>
      <c r="C352" s="245" t="str">
        <f>IF(B352="","",IFERROR(VLOOKUP(B352,PERUMAHAN!$A:$B,2,FALSE),"ID tidak ditemukan"))</f>
        <v/>
      </c>
      <c r="D352" s="241"/>
      <c r="E352" s="241"/>
      <c r="F352" s="241"/>
      <c r="G352" s="243"/>
      <c r="H352" s="254"/>
      <c r="I352" s="241"/>
      <c r="J352" s="241"/>
      <c r="K352" s="241"/>
      <c r="L352" s="241"/>
      <c r="M352" s="243"/>
      <c r="N352" s="243"/>
      <c r="O352" s="242"/>
      <c r="P352" s="241"/>
      <c r="Q352" s="241"/>
      <c r="R352" s="241"/>
      <c r="S352" s="244"/>
      <c r="T352" s="244"/>
      <c r="U352"/>
      <c r="AA352"/>
      <c r="AB352"/>
      <c r="AC352"/>
      <c r="AD352"/>
      <c r="AE352"/>
      <c r="AF352"/>
      <c r="AG352"/>
      <c r="AH352"/>
      <c r="AI352"/>
      <c r="AJ352"/>
      <c r="AK352"/>
      <c r="AL352"/>
      <c r="AM352"/>
      <c r="AN352"/>
      <c r="AO352"/>
      <c r="AP352"/>
      <c r="AQ352"/>
      <c r="AR352"/>
    </row>
    <row r="353" spans="1:44" s="239" customFormat="1">
      <c r="A353" s="241"/>
      <c r="B353" s="241"/>
      <c r="C353" s="245" t="str">
        <f>IF(B353="","",IFERROR(VLOOKUP(B353,PERUMAHAN!$A:$B,2,FALSE),"ID tidak ditemukan"))</f>
        <v/>
      </c>
      <c r="D353" s="241"/>
      <c r="E353" s="241"/>
      <c r="F353" s="241"/>
      <c r="G353" s="243"/>
      <c r="H353" s="254"/>
      <c r="I353" s="241"/>
      <c r="J353" s="241"/>
      <c r="K353" s="241"/>
      <c r="L353" s="241"/>
      <c r="M353" s="243"/>
      <c r="N353" s="243"/>
      <c r="O353" s="242"/>
      <c r="P353" s="241"/>
      <c r="Q353" s="241"/>
      <c r="R353" s="241"/>
      <c r="S353" s="244"/>
      <c r="T353" s="244"/>
      <c r="U353"/>
      <c r="AA353"/>
      <c r="AB353"/>
      <c r="AC353"/>
      <c r="AD353"/>
      <c r="AE353"/>
      <c r="AF353"/>
      <c r="AG353"/>
      <c r="AH353"/>
      <c r="AI353"/>
      <c r="AJ353"/>
      <c r="AK353"/>
      <c r="AL353"/>
      <c r="AM353"/>
      <c r="AN353"/>
      <c r="AO353"/>
      <c r="AP353"/>
      <c r="AQ353"/>
      <c r="AR353"/>
    </row>
    <row r="354" spans="1:44" s="239" customFormat="1">
      <c r="A354" s="241"/>
      <c r="B354" s="241"/>
      <c r="C354" s="245" t="str">
        <f>IF(B354="","",IFERROR(VLOOKUP(B354,PERUMAHAN!$A:$B,2,FALSE),"ID tidak ditemukan"))</f>
        <v/>
      </c>
      <c r="D354" s="241"/>
      <c r="E354" s="241"/>
      <c r="F354" s="241"/>
      <c r="G354" s="243"/>
      <c r="H354" s="254"/>
      <c r="I354" s="241"/>
      <c r="J354" s="241"/>
      <c r="K354" s="241"/>
      <c r="L354" s="241"/>
      <c r="M354" s="243"/>
      <c r="N354" s="243"/>
      <c r="O354" s="242"/>
      <c r="P354" s="241"/>
      <c r="Q354" s="241"/>
      <c r="R354" s="241"/>
      <c r="S354" s="244"/>
      <c r="T354" s="244"/>
      <c r="U354"/>
      <c r="AA354"/>
      <c r="AB354"/>
      <c r="AC354"/>
      <c r="AD354"/>
      <c r="AE354"/>
      <c r="AF354"/>
      <c r="AG354"/>
      <c r="AH354"/>
      <c r="AI354"/>
      <c r="AJ354"/>
      <c r="AK354"/>
      <c r="AL354"/>
      <c r="AM354"/>
      <c r="AN354"/>
      <c r="AO354"/>
      <c r="AP354"/>
      <c r="AQ354"/>
      <c r="AR354"/>
    </row>
    <row r="355" spans="1:44" s="239" customFormat="1">
      <c r="A355" s="241"/>
      <c r="B355" s="241"/>
      <c r="C355" s="245" t="str">
        <f>IF(B355="","",IFERROR(VLOOKUP(B355,PERUMAHAN!$A:$B,2,FALSE),"ID tidak ditemukan"))</f>
        <v/>
      </c>
      <c r="D355" s="241"/>
      <c r="E355" s="241"/>
      <c r="F355" s="241"/>
      <c r="G355" s="243"/>
      <c r="H355" s="254"/>
      <c r="I355" s="241"/>
      <c r="J355" s="241"/>
      <c r="K355" s="241"/>
      <c r="L355" s="241"/>
      <c r="M355" s="243"/>
      <c r="N355" s="243"/>
      <c r="O355" s="242"/>
      <c r="P355" s="241"/>
      <c r="Q355" s="241"/>
      <c r="R355" s="241"/>
      <c r="S355" s="244"/>
      <c r="T355" s="244"/>
      <c r="U355"/>
      <c r="AA355"/>
      <c r="AB355"/>
      <c r="AC355"/>
      <c r="AD355"/>
      <c r="AE355"/>
      <c r="AF355"/>
      <c r="AG355"/>
      <c r="AH355"/>
      <c r="AI355"/>
      <c r="AJ355"/>
      <c r="AK355"/>
      <c r="AL355"/>
      <c r="AM355"/>
      <c r="AN355"/>
      <c r="AO355"/>
      <c r="AP355"/>
      <c r="AQ355"/>
      <c r="AR355"/>
    </row>
    <row r="356" spans="1:44" s="239" customFormat="1">
      <c r="A356" s="241"/>
      <c r="B356" s="241"/>
      <c r="C356" s="245" t="str">
        <f>IF(B356="","",IFERROR(VLOOKUP(B356,PERUMAHAN!$A:$B,2,FALSE),"ID tidak ditemukan"))</f>
        <v/>
      </c>
      <c r="D356" s="241"/>
      <c r="E356" s="241"/>
      <c r="F356" s="241"/>
      <c r="G356" s="243"/>
      <c r="H356" s="254"/>
      <c r="I356" s="241"/>
      <c r="J356" s="241"/>
      <c r="K356" s="241"/>
      <c r="L356" s="241"/>
      <c r="M356" s="243"/>
      <c r="N356" s="243"/>
      <c r="O356" s="242"/>
      <c r="P356" s="241"/>
      <c r="Q356" s="241"/>
      <c r="R356" s="241"/>
      <c r="S356" s="244"/>
      <c r="T356" s="244"/>
      <c r="U356"/>
      <c r="AA356"/>
      <c r="AB356"/>
      <c r="AC356"/>
      <c r="AD356"/>
      <c r="AE356"/>
      <c r="AF356"/>
      <c r="AG356"/>
      <c r="AH356"/>
      <c r="AI356"/>
      <c r="AJ356"/>
      <c r="AK356"/>
      <c r="AL356"/>
      <c r="AM356"/>
      <c r="AN356"/>
      <c r="AO356"/>
      <c r="AP356"/>
      <c r="AQ356"/>
      <c r="AR356"/>
    </row>
    <row r="357" spans="1:44" s="239" customFormat="1">
      <c r="A357" s="241"/>
      <c r="B357" s="241"/>
      <c r="C357" s="245" t="str">
        <f>IF(B357="","",IFERROR(VLOOKUP(B357,PERUMAHAN!$A:$B,2,FALSE),"ID tidak ditemukan"))</f>
        <v/>
      </c>
      <c r="D357" s="241"/>
      <c r="E357" s="241"/>
      <c r="F357" s="241"/>
      <c r="G357" s="243"/>
      <c r="H357" s="254"/>
      <c r="I357" s="241"/>
      <c r="J357" s="241"/>
      <c r="K357" s="241"/>
      <c r="L357" s="241"/>
      <c r="M357" s="243"/>
      <c r="N357" s="243"/>
      <c r="O357" s="242"/>
      <c r="P357" s="241"/>
      <c r="Q357" s="241"/>
      <c r="R357" s="241"/>
      <c r="S357" s="244"/>
      <c r="T357" s="244"/>
      <c r="U357"/>
      <c r="AA357"/>
      <c r="AB357"/>
      <c r="AC357"/>
      <c r="AD357"/>
      <c r="AE357"/>
      <c r="AF357"/>
      <c r="AG357"/>
      <c r="AH357"/>
      <c r="AI357"/>
      <c r="AJ357"/>
      <c r="AK357"/>
      <c r="AL357"/>
      <c r="AM357"/>
      <c r="AN357"/>
      <c r="AO357"/>
      <c r="AP357"/>
      <c r="AQ357"/>
      <c r="AR357"/>
    </row>
    <row r="358" spans="1:44" s="239" customFormat="1">
      <c r="A358" s="241"/>
      <c r="B358" s="241"/>
      <c r="C358" s="245" t="str">
        <f>IF(B358="","",IFERROR(VLOOKUP(B358,PERUMAHAN!$A:$B,2,FALSE),"ID tidak ditemukan"))</f>
        <v/>
      </c>
      <c r="D358" s="241"/>
      <c r="E358" s="241"/>
      <c r="F358" s="241"/>
      <c r="G358" s="243"/>
      <c r="H358" s="254"/>
      <c r="I358" s="241"/>
      <c r="J358" s="241"/>
      <c r="K358" s="241"/>
      <c r="L358" s="241"/>
      <c r="M358" s="243"/>
      <c r="N358" s="243"/>
      <c r="O358" s="242"/>
      <c r="P358" s="241"/>
      <c r="Q358" s="241"/>
      <c r="R358" s="241"/>
      <c r="S358" s="244"/>
      <c r="T358" s="244"/>
      <c r="U358"/>
      <c r="AA358"/>
      <c r="AB358"/>
      <c r="AC358"/>
      <c r="AD358"/>
      <c r="AE358"/>
      <c r="AF358"/>
      <c r="AG358"/>
      <c r="AH358"/>
      <c r="AI358"/>
      <c r="AJ358"/>
      <c r="AK358"/>
      <c r="AL358"/>
      <c r="AM358"/>
      <c r="AN358"/>
      <c r="AO358"/>
      <c r="AP358"/>
      <c r="AQ358"/>
      <c r="AR358"/>
    </row>
    <row r="359" spans="1:44" s="239" customFormat="1">
      <c r="A359" s="241"/>
      <c r="B359" s="241"/>
      <c r="C359" s="245" t="str">
        <f>IF(B359="","",IFERROR(VLOOKUP(B359,PERUMAHAN!$A:$B,2,FALSE),"ID tidak ditemukan"))</f>
        <v/>
      </c>
      <c r="D359" s="241"/>
      <c r="E359" s="241"/>
      <c r="F359" s="241"/>
      <c r="G359" s="243"/>
      <c r="H359" s="254"/>
      <c r="I359" s="241"/>
      <c r="J359" s="241"/>
      <c r="K359" s="241"/>
      <c r="L359" s="241"/>
      <c r="M359" s="243"/>
      <c r="N359" s="243"/>
      <c r="O359" s="242"/>
      <c r="P359" s="241"/>
      <c r="Q359" s="241"/>
      <c r="R359" s="241"/>
      <c r="S359" s="244"/>
      <c r="T359" s="244"/>
      <c r="U359"/>
      <c r="AA359"/>
      <c r="AB359"/>
      <c r="AC359"/>
      <c r="AD359"/>
      <c r="AE359"/>
      <c r="AF359"/>
      <c r="AG359"/>
      <c r="AH359"/>
      <c r="AI359"/>
      <c r="AJ359"/>
      <c r="AK359"/>
      <c r="AL359"/>
      <c r="AM359"/>
      <c r="AN359"/>
      <c r="AO359"/>
      <c r="AP359"/>
      <c r="AQ359"/>
      <c r="AR359"/>
    </row>
    <row r="360" spans="1:44" s="239" customFormat="1">
      <c r="A360" s="241"/>
      <c r="B360" s="241"/>
      <c r="C360" s="245" t="str">
        <f>IF(B360="","",IFERROR(VLOOKUP(B360,PERUMAHAN!$A:$B,2,FALSE),"ID tidak ditemukan"))</f>
        <v/>
      </c>
      <c r="D360" s="241"/>
      <c r="E360" s="241"/>
      <c r="F360" s="241"/>
      <c r="G360" s="243"/>
      <c r="H360" s="254"/>
      <c r="I360" s="241"/>
      <c r="J360" s="241"/>
      <c r="K360" s="241"/>
      <c r="L360" s="241"/>
      <c r="M360" s="243"/>
      <c r="N360" s="243"/>
      <c r="O360" s="242"/>
      <c r="P360" s="241"/>
      <c r="Q360" s="241"/>
      <c r="R360" s="241"/>
      <c r="S360" s="244"/>
      <c r="T360" s="244"/>
      <c r="U360"/>
      <c r="AA360"/>
      <c r="AB360"/>
      <c r="AC360"/>
      <c r="AD360"/>
      <c r="AE360"/>
      <c r="AF360"/>
      <c r="AG360"/>
      <c r="AH360"/>
      <c r="AI360"/>
      <c r="AJ360"/>
      <c r="AK360"/>
      <c r="AL360"/>
      <c r="AM360"/>
      <c r="AN360"/>
      <c r="AO360"/>
      <c r="AP360"/>
      <c r="AQ360"/>
      <c r="AR360"/>
    </row>
    <row r="361" spans="1:44" s="239" customFormat="1">
      <c r="A361" s="241"/>
      <c r="B361" s="241"/>
      <c r="C361" s="245" t="str">
        <f>IF(B361="","",IFERROR(VLOOKUP(B361,PERUMAHAN!$A:$B,2,FALSE),"ID tidak ditemukan"))</f>
        <v/>
      </c>
      <c r="D361" s="241"/>
      <c r="E361" s="241"/>
      <c r="F361" s="241"/>
      <c r="G361" s="243"/>
      <c r="H361" s="254"/>
      <c r="I361" s="241"/>
      <c r="J361" s="241"/>
      <c r="K361" s="241"/>
      <c r="L361" s="241"/>
      <c r="M361" s="243"/>
      <c r="N361" s="243"/>
      <c r="O361" s="242"/>
      <c r="P361" s="241"/>
      <c r="Q361" s="241"/>
      <c r="R361" s="241"/>
      <c r="S361" s="244"/>
      <c r="T361" s="244"/>
      <c r="U361"/>
      <c r="AA361"/>
      <c r="AB361"/>
      <c r="AC361"/>
      <c r="AD361"/>
      <c r="AE361"/>
      <c r="AF361"/>
      <c r="AG361"/>
      <c r="AH361"/>
      <c r="AI361"/>
      <c r="AJ361"/>
      <c r="AK361"/>
      <c r="AL361"/>
      <c r="AM361"/>
      <c r="AN361"/>
      <c r="AO361"/>
      <c r="AP361"/>
      <c r="AQ361"/>
      <c r="AR361"/>
    </row>
    <row r="362" spans="1:44" s="239" customFormat="1">
      <c r="A362" s="241"/>
      <c r="B362" s="241"/>
      <c r="C362" s="245" t="str">
        <f>IF(B362="","",IFERROR(VLOOKUP(B362,PERUMAHAN!$A:$B,2,FALSE),"ID tidak ditemukan"))</f>
        <v/>
      </c>
      <c r="D362" s="241"/>
      <c r="E362" s="241"/>
      <c r="F362" s="241"/>
      <c r="G362" s="243"/>
      <c r="H362" s="254"/>
      <c r="I362" s="241"/>
      <c r="J362" s="241"/>
      <c r="K362" s="241"/>
      <c r="L362" s="241"/>
      <c r="M362" s="243"/>
      <c r="N362" s="243"/>
      <c r="O362" s="242"/>
      <c r="P362" s="241"/>
      <c r="Q362" s="241"/>
      <c r="R362" s="241"/>
      <c r="S362" s="244"/>
      <c r="T362" s="244"/>
      <c r="U362"/>
      <c r="AA362"/>
      <c r="AB362"/>
      <c r="AC362"/>
      <c r="AD362"/>
      <c r="AE362"/>
      <c r="AF362"/>
      <c r="AG362"/>
      <c r="AH362"/>
      <c r="AI362"/>
      <c r="AJ362"/>
      <c r="AK362"/>
      <c r="AL362"/>
      <c r="AM362"/>
      <c r="AN362"/>
      <c r="AO362"/>
      <c r="AP362"/>
      <c r="AQ362"/>
      <c r="AR362"/>
    </row>
    <row r="363" spans="1:44" s="239" customFormat="1">
      <c r="A363" s="241"/>
      <c r="B363" s="241"/>
      <c r="C363" s="245" t="str">
        <f>IF(B363="","",IFERROR(VLOOKUP(B363,PERUMAHAN!$A:$B,2,FALSE),"ID tidak ditemukan"))</f>
        <v/>
      </c>
      <c r="D363" s="241"/>
      <c r="E363" s="241"/>
      <c r="F363" s="241"/>
      <c r="G363" s="243"/>
      <c r="H363" s="254"/>
      <c r="I363" s="241"/>
      <c r="J363" s="241"/>
      <c r="K363" s="241"/>
      <c r="L363" s="241"/>
      <c r="M363" s="243"/>
      <c r="N363" s="243"/>
      <c r="O363" s="242"/>
      <c r="P363" s="241"/>
      <c r="Q363" s="241"/>
      <c r="R363" s="241"/>
      <c r="S363" s="244"/>
      <c r="T363" s="244"/>
      <c r="U363"/>
      <c r="AA363"/>
      <c r="AB363"/>
      <c r="AC363"/>
      <c r="AD363"/>
      <c r="AE363"/>
      <c r="AF363"/>
      <c r="AG363"/>
      <c r="AH363"/>
      <c r="AI363"/>
      <c r="AJ363"/>
      <c r="AK363"/>
      <c r="AL363"/>
      <c r="AM363"/>
      <c r="AN363"/>
      <c r="AO363"/>
      <c r="AP363"/>
      <c r="AQ363"/>
      <c r="AR363"/>
    </row>
    <row r="364" spans="1:44" s="239" customFormat="1">
      <c r="A364" s="241"/>
      <c r="B364" s="241"/>
      <c r="C364" s="245" t="str">
        <f>IF(B364="","",IFERROR(VLOOKUP(B364,PERUMAHAN!$A:$B,2,FALSE),"ID tidak ditemukan"))</f>
        <v/>
      </c>
      <c r="D364" s="241"/>
      <c r="E364" s="241"/>
      <c r="F364" s="241"/>
      <c r="G364" s="243"/>
      <c r="H364" s="254"/>
      <c r="I364" s="241"/>
      <c r="J364" s="241"/>
      <c r="K364" s="241"/>
      <c r="L364" s="241"/>
      <c r="M364" s="243"/>
      <c r="N364" s="243"/>
      <c r="O364" s="242"/>
      <c r="P364" s="241"/>
      <c r="Q364" s="241"/>
      <c r="R364" s="241"/>
      <c r="S364" s="244"/>
      <c r="T364" s="244"/>
      <c r="U364"/>
      <c r="AA364"/>
      <c r="AB364"/>
      <c r="AC364"/>
      <c r="AD364"/>
      <c r="AE364"/>
      <c r="AF364"/>
      <c r="AG364"/>
      <c r="AH364"/>
      <c r="AI364"/>
      <c r="AJ364"/>
      <c r="AK364"/>
      <c r="AL364"/>
      <c r="AM364"/>
      <c r="AN364"/>
      <c r="AO364"/>
      <c r="AP364"/>
      <c r="AQ364"/>
      <c r="AR364"/>
    </row>
    <row r="365" spans="1:44" s="239" customFormat="1">
      <c r="A365" s="241"/>
      <c r="B365" s="241"/>
      <c r="C365" s="245" t="str">
        <f>IF(B365="","",IFERROR(VLOOKUP(B365,PERUMAHAN!$A:$B,2,FALSE),"ID tidak ditemukan"))</f>
        <v/>
      </c>
      <c r="D365" s="241"/>
      <c r="E365" s="241"/>
      <c r="F365" s="241"/>
      <c r="G365" s="243"/>
      <c r="H365" s="254"/>
      <c r="I365" s="241"/>
      <c r="J365" s="241"/>
      <c r="K365" s="241"/>
      <c r="L365" s="241"/>
      <c r="M365" s="243"/>
      <c r="N365" s="243"/>
      <c r="O365" s="242"/>
      <c r="P365" s="241"/>
      <c r="Q365" s="241"/>
      <c r="R365" s="241"/>
      <c r="S365" s="244"/>
      <c r="T365" s="244"/>
      <c r="U365"/>
      <c r="AA365"/>
      <c r="AB365"/>
      <c r="AC365"/>
      <c r="AD365"/>
      <c r="AE365"/>
      <c r="AF365"/>
      <c r="AG365"/>
      <c r="AH365"/>
      <c r="AI365"/>
      <c r="AJ365"/>
      <c r="AK365"/>
      <c r="AL365"/>
      <c r="AM365"/>
      <c r="AN365"/>
      <c r="AO365"/>
      <c r="AP365"/>
      <c r="AQ365"/>
      <c r="AR365"/>
    </row>
    <row r="366" spans="1:44" s="239" customFormat="1">
      <c r="A366" s="241"/>
      <c r="B366" s="241"/>
      <c r="C366" s="245" t="str">
        <f>IF(B366="","",IFERROR(VLOOKUP(B366,PERUMAHAN!$A:$B,2,FALSE),"ID tidak ditemukan"))</f>
        <v/>
      </c>
      <c r="D366" s="241"/>
      <c r="E366" s="241"/>
      <c r="F366" s="241"/>
      <c r="G366" s="243"/>
      <c r="H366" s="254"/>
      <c r="I366" s="241"/>
      <c r="J366" s="241"/>
      <c r="K366" s="241"/>
      <c r="L366" s="241"/>
      <c r="M366" s="243"/>
      <c r="N366" s="243"/>
      <c r="O366" s="242"/>
      <c r="P366" s="241"/>
      <c r="Q366" s="241"/>
      <c r="R366" s="241"/>
      <c r="S366" s="244"/>
      <c r="T366" s="244"/>
      <c r="U366"/>
      <c r="AA366"/>
      <c r="AB366"/>
      <c r="AC366"/>
      <c r="AD366"/>
      <c r="AE366"/>
      <c r="AF366"/>
      <c r="AG366"/>
      <c r="AH366"/>
      <c r="AI366"/>
      <c r="AJ366"/>
      <c r="AK366"/>
      <c r="AL366"/>
      <c r="AM366"/>
      <c r="AN366"/>
      <c r="AO366"/>
      <c r="AP366"/>
      <c r="AQ366"/>
      <c r="AR366"/>
    </row>
    <row r="367" spans="1:44" s="239" customFormat="1">
      <c r="A367" s="241"/>
      <c r="B367" s="241"/>
      <c r="C367" s="245" t="str">
        <f>IF(B367="","",IFERROR(VLOOKUP(B367,PERUMAHAN!$A:$B,2,FALSE),"ID tidak ditemukan"))</f>
        <v/>
      </c>
      <c r="D367" s="241"/>
      <c r="E367" s="241"/>
      <c r="F367" s="241"/>
      <c r="G367" s="243"/>
      <c r="H367" s="254"/>
      <c r="I367" s="241"/>
      <c r="J367" s="241"/>
      <c r="K367" s="241"/>
      <c r="L367" s="241"/>
      <c r="M367" s="243"/>
      <c r="N367" s="243"/>
      <c r="O367" s="242"/>
      <c r="P367" s="241"/>
      <c r="Q367" s="241"/>
      <c r="R367" s="241"/>
      <c r="S367" s="244"/>
      <c r="T367" s="244"/>
      <c r="U367"/>
      <c r="AA367"/>
      <c r="AB367"/>
      <c r="AC367"/>
      <c r="AD367"/>
      <c r="AE367"/>
      <c r="AF367"/>
      <c r="AG367"/>
      <c r="AH367"/>
      <c r="AI367"/>
      <c r="AJ367"/>
      <c r="AK367"/>
      <c r="AL367"/>
      <c r="AM367"/>
      <c r="AN367"/>
      <c r="AO367"/>
      <c r="AP367"/>
      <c r="AQ367"/>
      <c r="AR367"/>
    </row>
    <row r="368" spans="1:44" s="239" customFormat="1">
      <c r="A368" s="241"/>
      <c r="B368" s="241"/>
      <c r="C368" s="245" t="str">
        <f>IF(B368="","",IFERROR(VLOOKUP(B368,PERUMAHAN!$A:$B,2,FALSE),"ID tidak ditemukan"))</f>
        <v/>
      </c>
      <c r="D368" s="241"/>
      <c r="E368" s="241"/>
      <c r="F368" s="241"/>
      <c r="G368" s="243"/>
      <c r="H368" s="254"/>
      <c r="I368" s="241"/>
      <c r="J368" s="241"/>
      <c r="K368" s="241"/>
      <c r="L368" s="241"/>
      <c r="M368" s="243"/>
      <c r="N368" s="243"/>
      <c r="O368" s="242"/>
      <c r="P368" s="241"/>
      <c r="Q368" s="241"/>
      <c r="R368" s="241"/>
      <c r="S368" s="244"/>
      <c r="T368" s="244"/>
      <c r="U368"/>
      <c r="AA368"/>
      <c r="AB368"/>
      <c r="AC368"/>
      <c r="AD368"/>
      <c r="AE368"/>
      <c r="AF368"/>
      <c r="AG368"/>
      <c r="AH368"/>
      <c r="AI368"/>
      <c r="AJ368"/>
      <c r="AK368"/>
      <c r="AL368"/>
      <c r="AM368"/>
      <c r="AN368"/>
      <c r="AO368"/>
      <c r="AP368"/>
      <c r="AQ368"/>
      <c r="AR368"/>
    </row>
    <row r="369" spans="1:44" s="239" customFormat="1">
      <c r="A369" s="241"/>
      <c r="B369" s="241"/>
      <c r="C369" s="245" t="str">
        <f>IF(B369="","",IFERROR(VLOOKUP(B369,PERUMAHAN!$A:$B,2,FALSE),"ID tidak ditemukan"))</f>
        <v/>
      </c>
      <c r="D369" s="241"/>
      <c r="E369" s="241"/>
      <c r="F369" s="241"/>
      <c r="G369" s="243"/>
      <c r="H369" s="254"/>
      <c r="I369" s="241"/>
      <c r="J369" s="241"/>
      <c r="K369" s="241"/>
      <c r="L369" s="241"/>
      <c r="M369" s="243"/>
      <c r="N369" s="243"/>
      <c r="O369" s="242"/>
      <c r="P369" s="241"/>
      <c r="Q369" s="241"/>
      <c r="R369" s="241"/>
      <c r="S369" s="244"/>
      <c r="T369" s="244"/>
      <c r="U369"/>
      <c r="AA369"/>
      <c r="AB369"/>
      <c r="AC369"/>
      <c r="AD369"/>
      <c r="AE369"/>
      <c r="AF369"/>
      <c r="AG369"/>
      <c r="AH369"/>
      <c r="AI369"/>
      <c r="AJ369"/>
      <c r="AK369"/>
      <c r="AL369"/>
      <c r="AM369"/>
      <c r="AN369"/>
      <c r="AO369"/>
      <c r="AP369"/>
      <c r="AQ369"/>
      <c r="AR369"/>
    </row>
    <row r="370" spans="1:44" s="239" customFormat="1">
      <c r="A370" s="241"/>
      <c r="B370" s="241"/>
      <c r="C370" s="245" t="str">
        <f>IF(B370="","",IFERROR(VLOOKUP(B370,PERUMAHAN!$A:$B,2,FALSE),"ID tidak ditemukan"))</f>
        <v/>
      </c>
      <c r="D370" s="241"/>
      <c r="E370" s="241"/>
      <c r="F370" s="241"/>
      <c r="G370" s="243"/>
      <c r="H370" s="254"/>
      <c r="I370" s="241"/>
      <c r="J370" s="241"/>
      <c r="K370" s="241"/>
      <c r="L370" s="241"/>
      <c r="M370" s="243"/>
      <c r="N370" s="243"/>
      <c r="O370" s="242"/>
      <c r="P370" s="241"/>
      <c r="Q370" s="241"/>
      <c r="R370" s="241"/>
      <c r="S370" s="244"/>
      <c r="T370" s="244"/>
      <c r="U370"/>
      <c r="AA370"/>
      <c r="AB370"/>
      <c r="AC370"/>
      <c r="AD370"/>
      <c r="AE370"/>
      <c r="AF370"/>
      <c r="AG370"/>
      <c r="AH370"/>
      <c r="AI370"/>
      <c r="AJ370"/>
      <c r="AK370"/>
      <c r="AL370"/>
      <c r="AM370"/>
      <c r="AN370"/>
      <c r="AO370"/>
      <c r="AP370"/>
      <c r="AQ370"/>
      <c r="AR370"/>
    </row>
    <row r="371" spans="1:44" s="239" customFormat="1">
      <c r="A371" s="241"/>
      <c r="B371" s="241"/>
      <c r="C371" s="245" t="str">
        <f>IF(B371="","",IFERROR(VLOOKUP(B371,PERUMAHAN!$A:$B,2,FALSE),"ID tidak ditemukan"))</f>
        <v/>
      </c>
      <c r="D371" s="241"/>
      <c r="E371" s="241"/>
      <c r="F371" s="241"/>
      <c r="G371" s="243"/>
      <c r="H371" s="254"/>
      <c r="I371" s="241"/>
      <c r="J371" s="241"/>
      <c r="K371" s="241"/>
      <c r="L371" s="241"/>
      <c r="M371" s="243"/>
      <c r="N371" s="243"/>
      <c r="O371" s="242"/>
      <c r="P371" s="241"/>
      <c r="Q371" s="241"/>
      <c r="R371" s="241"/>
      <c r="S371" s="244"/>
      <c r="T371" s="244"/>
      <c r="U371"/>
      <c r="AA371"/>
      <c r="AB371"/>
      <c r="AC371"/>
      <c r="AD371"/>
      <c r="AE371"/>
      <c r="AF371"/>
      <c r="AG371"/>
      <c r="AH371"/>
      <c r="AI371"/>
      <c r="AJ371"/>
      <c r="AK371"/>
      <c r="AL371"/>
      <c r="AM371"/>
      <c r="AN371"/>
      <c r="AO371"/>
      <c r="AP371"/>
      <c r="AQ371"/>
      <c r="AR371"/>
    </row>
    <row r="372" spans="1:44" s="239" customFormat="1">
      <c r="A372" s="241"/>
      <c r="B372" s="241"/>
      <c r="C372" s="245" t="str">
        <f>IF(B372="","",IFERROR(VLOOKUP(B372,PERUMAHAN!$A:$B,2,FALSE),"ID tidak ditemukan"))</f>
        <v/>
      </c>
      <c r="D372" s="241"/>
      <c r="E372" s="241"/>
      <c r="F372" s="241"/>
      <c r="G372" s="243"/>
      <c r="H372" s="254"/>
      <c r="I372" s="241"/>
      <c r="J372" s="241"/>
      <c r="K372" s="241"/>
      <c r="L372" s="241"/>
      <c r="M372" s="243"/>
      <c r="N372" s="243"/>
      <c r="O372" s="242"/>
      <c r="P372" s="241"/>
      <c r="Q372" s="241"/>
      <c r="R372" s="241"/>
      <c r="S372" s="244"/>
      <c r="T372" s="244"/>
      <c r="U372"/>
      <c r="AA372"/>
      <c r="AB372"/>
      <c r="AC372"/>
      <c r="AD372"/>
      <c r="AE372"/>
      <c r="AF372"/>
      <c r="AG372"/>
      <c r="AH372"/>
      <c r="AI372"/>
      <c r="AJ372"/>
      <c r="AK372"/>
      <c r="AL372"/>
      <c r="AM372"/>
      <c r="AN372"/>
      <c r="AO372"/>
      <c r="AP372"/>
      <c r="AQ372"/>
      <c r="AR372"/>
    </row>
    <row r="373" spans="1:44" s="239" customFormat="1">
      <c r="A373" s="241"/>
      <c r="B373" s="241"/>
      <c r="C373" s="245" t="str">
        <f>IF(B373="","",IFERROR(VLOOKUP(B373,PERUMAHAN!$A:$B,2,FALSE),"ID tidak ditemukan"))</f>
        <v/>
      </c>
      <c r="D373" s="241"/>
      <c r="E373" s="241"/>
      <c r="F373" s="241"/>
      <c r="G373" s="243"/>
      <c r="H373" s="254"/>
      <c r="I373" s="241"/>
      <c r="J373" s="241"/>
      <c r="K373" s="241"/>
      <c r="L373" s="241"/>
      <c r="M373" s="243"/>
      <c r="N373" s="243"/>
      <c r="O373" s="242"/>
      <c r="P373" s="241"/>
      <c r="Q373" s="241"/>
      <c r="R373" s="241"/>
      <c r="S373" s="244"/>
      <c r="T373" s="244"/>
      <c r="U373"/>
      <c r="AA373"/>
      <c r="AB373"/>
      <c r="AC373"/>
      <c r="AD373"/>
      <c r="AE373"/>
      <c r="AF373"/>
      <c r="AG373"/>
      <c r="AH373"/>
      <c r="AI373"/>
      <c r="AJ373"/>
      <c r="AK373"/>
      <c r="AL373"/>
      <c r="AM373"/>
      <c r="AN373"/>
      <c r="AO373"/>
      <c r="AP373"/>
      <c r="AQ373"/>
      <c r="AR373"/>
    </row>
    <row r="374" spans="1:44" s="239" customFormat="1">
      <c r="A374" s="241"/>
      <c r="B374" s="241"/>
      <c r="C374" s="245" t="str">
        <f>IF(B374="","",IFERROR(VLOOKUP(B374,PERUMAHAN!$A:$B,2,FALSE),"ID tidak ditemukan"))</f>
        <v/>
      </c>
      <c r="D374" s="241"/>
      <c r="E374" s="241"/>
      <c r="F374" s="241"/>
      <c r="G374" s="243"/>
      <c r="H374" s="254"/>
      <c r="I374" s="241"/>
      <c r="J374" s="241"/>
      <c r="K374" s="241"/>
      <c r="L374" s="241"/>
      <c r="M374" s="243"/>
      <c r="N374" s="243"/>
      <c r="O374" s="242"/>
      <c r="P374" s="241"/>
      <c r="Q374" s="241"/>
      <c r="R374" s="241"/>
      <c r="S374" s="244"/>
      <c r="T374" s="244"/>
      <c r="U374"/>
      <c r="AA374"/>
      <c r="AB374"/>
      <c r="AC374"/>
      <c r="AD374"/>
      <c r="AE374"/>
      <c r="AF374"/>
      <c r="AG374"/>
      <c r="AH374"/>
      <c r="AI374"/>
      <c r="AJ374"/>
      <c r="AK374"/>
      <c r="AL374"/>
      <c r="AM374"/>
      <c r="AN374"/>
      <c r="AO374"/>
      <c r="AP374"/>
      <c r="AQ374"/>
      <c r="AR374"/>
    </row>
    <row r="375" spans="1:44" s="239" customFormat="1">
      <c r="A375" s="241"/>
      <c r="B375" s="241"/>
      <c r="C375" s="245" t="str">
        <f>IF(B375="","",IFERROR(VLOOKUP(B375,PERUMAHAN!$A:$B,2,FALSE),"ID tidak ditemukan"))</f>
        <v/>
      </c>
      <c r="D375" s="241"/>
      <c r="E375" s="241"/>
      <c r="F375" s="241"/>
      <c r="G375" s="243"/>
      <c r="H375" s="254"/>
      <c r="I375" s="241"/>
      <c r="J375" s="241"/>
      <c r="K375" s="241"/>
      <c r="L375" s="241"/>
      <c r="M375" s="243"/>
      <c r="N375" s="243"/>
      <c r="O375" s="242"/>
      <c r="P375" s="241"/>
      <c r="Q375" s="241"/>
      <c r="R375" s="241"/>
      <c r="S375" s="244"/>
      <c r="T375" s="244"/>
      <c r="U375"/>
      <c r="AA375"/>
      <c r="AB375"/>
      <c r="AC375"/>
      <c r="AD375"/>
      <c r="AE375"/>
      <c r="AF375"/>
      <c r="AG375"/>
      <c r="AH375"/>
      <c r="AI375"/>
      <c r="AJ375"/>
      <c r="AK375"/>
      <c r="AL375"/>
      <c r="AM375"/>
      <c r="AN375"/>
      <c r="AO375"/>
      <c r="AP375"/>
      <c r="AQ375"/>
      <c r="AR375"/>
    </row>
    <row r="376" spans="1:44" s="239" customFormat="1">
      <c r="A376" s="241"/>
      <c r="B376" s="241"/>
      <c r="C376" s="245" t="str">
        <f>IF(B376="","",IFERROR(VLOOKUP(B376,PERUMAHAN!$A:$B,2,FALSE),"ID tidak ditemukan"))</f>
        <v/>
      </c>
      <c r="D376" s="241"/>
      <c r="E376" s="241"/>
      <c r="F376" s="241"/>
      <c r="G376" s="243"/>
      <c r="H376" s="254"/>
      <c r="I376" s="241"/>
      <c r="J376" s="241"/>
      <c r="K376" s="241"/>
      <c r="L376" s="241"/>
      <c r="M376" s="243"/>
      <c r="N376" s="243"/>
      <c r="O376" s="242"/>
      <c r="P376" s="241"/>
      <c r="Q376" s="241"/>
      <c r="R376" s="241"/>
      <c r="S376" s="244"/>
      <c r="T376" s="244"/>
      <c r="U376"/>
      <c r="AA376"/>
      <c r="AB376"/>
      <c r="AC376"/>
      <c r="AD376"/>
      <c r="AE376"/>
      <c r="AF376"/>
      <c r="AG376"/>
      <c r="AH376"/>
      <c r="AI376"/>
      <c r="AJ376"/>
      <c r="AK376"/>
      <c r="AL376"/>
      <c r="AM376"/>
      <c r="AN376"/>
      <c r="AO376"/>
      <c r="AP376"/>
      <c r="AQ376"/>
      <c r="AR376"/>
    </row>
    <row r="377" spans="1:44" s="239" customFormat="1">
      <c r="A377" s="241"/>
      <c r="B377" s="241"/>
      <c r="C377" s="245" t="str">
        <f>IF(B377="","",IFERROR(VLOOKUP(B377,PERUMAHAN!$A:$B,2,FALSE),"ID tidak ditemukan"))</f>
        <v/>
      </c>
      <c r="D377" s="241"/>
      <c r="E377" s="241"/>
      <c r="F377" s="241"/>
      <c r="G377" s="243"/>
      <c r="H377" s="254"/>
      <c r="I377" s="241"/>
      <c r="J377" s="241"/>
      <c r="K377" s="241"/>
      <c r="L377" s="241"/>
      <c r="M377" s="243"/>
      <c r="N377" s="243"/>
      <c r="O377" s="242"/>
      <c r="P377" s="241"/>
      <c r="Q377" s="241"/>
      <c r="R377" s="241"/>
      <c r="S377" s="244"/>
      <c r="T377" s="244"/>
      <c r="U377"/>
      <c r="AA377"/>
      <c r="AB377"/>
      <c r="AC377"/>
      <c r="AD377"/>
      <c r="AE377"/>
      <c r="AF377"/>
      <c r="AG377"/>
      <c r="AH377"/>
      <c r="AI377"/>
      <c r="AJ377"/>
      <c r="AK377"/>
      <c r="AL377"/>
      <c r="AM377"/>
      <c r="AN377"/>
      <c r="AO377"/>
      <c r="AP377"/>
      <c r="AQ377"/>
      <c r="AR377"/>
    </row>
    <row r="378" spans="1:44" s="239" customFormat="1">
      <c r="A378" s="241"/>
      <c r="B378" s="241"/>
      <c r="C378" s="245" t="str">
        <f>IF(B378="","",IFERROR(VLOOKUP(B378,PERUMAHAN!$A:$B,2,FALSE),"ID tidak ditemukan"))</f>
        <v/>
      </c>
      <c r="D378" s="241"/>
      <c r="E378" s="241"/>
      <c r="F378" s="241"/>
      <c r="G378" s="243"/>
      <c r="H378" s="254"/>
      <c r="I378" s="241"/>
      <c r="J378" s="241"/>
      <c r="K378" s="241"/>
      <c r="L378" s="241"/>
      <c r="M378" s="243"/>
      <c r="N378" s="243"/>
      <c r="O378" s="242"/>
      <c r="P378" s="241"/>
      <c r="Q378" s="241"/>
      <c r="R378" s="241"/>
      <c r="S378" s="244"/>
      <c r="T378" s="244"/>
      <c r="U378"/>
      <c r="AA378"/>
      <c r="AB378"/>
      <c r="AC378"/>
      <c r="AD378"/>
      <c r="AE378"/>
      <c r="AF378"/>
      <c r="AG378"/>
      <c r="AH378"/>
      <c r="AI378"/>
      <c r="AJ378"/>
      <c r="AK378"/>
      <c r="AL378"/>
      <c r="AM378"/>
      <c r="AN378"/>
      <c r="AO378"/>
      <c r="AP378"/>
      <c r="AQ378"/>
      <c r="AR378"/>
    </row>
    <row r="379" spans="1:44" s="239" customFormat="1">
      <c r="A379" s="241"/>
      <c r="B379" s="241"/>
      <c r="C379" s="245" t="str">
        <f>IF(B379="","",IFERROR(VLOOKUP(B379,PERUMAHAN!$A:$B,2,FALSE),"ID tidak ditemukan"))</f>
        <v/>
      </c>
      <c r="D379" s="241"/>
      <c r="E379" s="241"/>
      <c r="F379" s="241"/>
      <c r="G379" s="243"/>
      <c r="H379" s="254"/>
      <c r="I379" s="241"/>
      <c r="J379" s="241"/>
      <c r="K379" s="241"/>
      <c r="L379" s="241"/>
      <c r="M379" s="243"/>
      <c r="N379" s="243"/>
      <c r="O379" s="242"/>
      <c r="P379" s="241"/>
      <c r="Q379" s="241"/>
      <c r="R379" s="241"/>
      <c r="S379" s="244"/>
      <c r="T379" s="244"/>
      <c r="U379"/>
      <c r="AA379"/>
      <c r="AB379"/>
      <c r="AC379"/>
      <c r="AD379"/>
      <c r="AE379"/>
      <c r="AF379"/>
      <c r="AG379"/>
      <c r="AH379"/>
      <c r="AI379"/>
      <c r="AJ379"/>
      <c r="AK379"/>
      <c r="AL379"/>
      <c r="AM379"/>
      <c r="AN379"/>
      <c r="AO379"/>
      <c r="AP379"/>
      <c r="AQ379"/>
      <c r="AR379"/>
    </row>
    <row r="380" spans="1:44" s="239" customFormat="1">
      <c r="A380" s="241"/>
      <c r="B380" s="241"/>
      <c r="C380" s="245" t="str">
        <f>IF(B380="","",IFERROR(VLOOKUP(B380,PERUMAHAN!$A:$B,2,FALSE),"ID tidak ditemukan"))</f>
        <v/>
      </c>
      <c r="D380" s="241"/>
      <c r="E380" s="241"/>
      <c r="F380" s="241"/>
      <c r="G380" s="243"/>
      <c r="H380" s="254"/>
      <c r="I380" s="241"/>
      <c r="J380" s="241"/>
      <c r="K380" s="241"/>
      <c r="L380" s="241"/>
      <c r="M380" s="243"/>
      <c r="N380" s="243"/>
      <c r="O380" s="242"/>
      <c r="P380" s="241"/>
      <c r="Q380" s="241"/>
      <c r="R380" s="241"/>
      <c r="S380" s="244"/>
      <c r="T380" s="244"/>
      <c r="U380"/>
      <c r="AA380"/>
      <c r="AB380"/>
      <c r="AC380"/>
      <c r="AD380"/>
      <c r="AE380"/>
      <c r="AF380"/>
      <c r="AG380"/>
      <c r="AH380"/>
      <c r="AI380"/>
      <c r="AJ380"/>
      <c r="AK380"/>
      <c r="AL380"/>
      <c r="AM380"/>
      <c r="AN380"/>
      <c r="AO380"/>
      <c r="AP380"/>
      <c r="AQ380"/>
      <c r="AR380"/>
    </row>
    <row r="381" spans="1:44" s="239" customFormat="1">
      <c r="A381" s="241"/>
      <c r="B381" s="241"/>
      <c r="C381" s="245" t="str">
        <f>IF(B381="","",IFERROR(VLOOKUP(B381,PERUMAHAN!$A:$B,2,FALSE),"ID tidak ditemukan"))</f>
        <v/>
      </c>
      <c r="D381" s="241"/>
      <c r="E381" s="241"/>
      <c r="F381" s="241"/>
      <c r="G381" s="243"/>
      <c r="H381" s="254"/>
      <c r="I381" s="241"/>
      <c r="J381" s="241"/>
      <c r="K381" s="241"/>
      <c r="L381" s="241"/>
      <c r="M381" s="243"/>
      <c r="N381" s="243"/>
      <c r="O381" s="242"/>
      <c r="P381" s="241"/>
      <c r="Q381" s="241"/>
      <c r="R381" s="241"/>
      <c r="S381" s="244"/>
      <c r="T381" s="244"/>
      <c r="U381"/>
      <c r="AA381"/>
      <c r="AB381"/>
      <c r="AC381"/>
      <c r="AD381"/>
      <c r="AE381"/>
      <c r="AF381"/>
      <c r="AG381"/>
      <c r="AH381"/>
      <c r="AI381"/>
      <c r="AJ381"/>
      <c r="AK381"/>
      <c r="AL381"/>
      <c r="AM381"/>
      <c r="AN381"/>
      <c r="AO381"/>
      <c r="AP381"/>
      <c r="AQ381"/>
      <c r="AR381"/>
    </row>
    <row r="382" spans="1:44" s="239" customFormat="1">
      <c r="A382" s="241"/>
      <c r="B382" s="241"/>
      <c r="C382" s="245" t="str">
        <f>IF(B382="","",IFERROR(VLOOKUP(B382,PERUMAHAN!$A:$B,2,FALSE),"ID tidak ditemukan"))</f>
        <v/>
      </c>
      <c r="D382" s="241"/>
      <c r="E382" s="241"/>
      <c r="F382" s="241"/>
      <c r="G382" s="243"/>
      <c r="H382" s="254"/>
      <c r="I382" s="241"/>
      <c r="J382" s="241"/>
      <c r="K382" s="241"/>
      <c r="L382" s="241"/>
      <c r="M382" s="243"/>
      <c r="N382" s="243"/>
      <c r="O382" s="242"/>
      <c r="P382" s="241"/>
      <c r="Q382" s="241"/>
      <c r="R382" s="241"/>
      <c r="S382" s="244"/>
      <c r="T382" s="244"/>
      <c r="U382"/>
      <c r="AA382"/>
      <c r="AB382"/>
      <c r="AC382"/>
      <c r="AD382"/>
      <c r="AE382"/>
      <c r="AF382"/>
      <c r="AG382"/>
      <c r="AH382"/>
      <c r="AI382"/>
      <c r="AJ382"/>
      <c r="AK382"/>
      <c r="AL382"/>
      <c r="AM382"/>
      <c r="AN382"/>
      <c r="AO382"/>
      <c r="AP382"/>
      <c r="AQ382"/>
      <c r="AR382"/>
    </row>
    <row r="383" spans="1:44" s="239" customFormat="1">
      <c r="A383" s="241"/>
      <c r="B383" s="241"/>
      <c r="C383" s="245" t="str">
        <f>IF(B383="","",IFERROR(VLOOKUP(B383,PERUMAHAN!$A:$B,2,FALSE),"ID tidak ditemukan"))</f>
        <v/>
      </c>
      <c r="D383" s="241"/>
      <c r="E383" s="241"/>
      <c r="F383" s="241"/>
      <c r="G383" s="243"/>
      <c r="H383" s="254"/>
      <c r="I383" s="241"/>
      <c r="J383" s="241"/>
      <c r="K383" s="241"/>
      <c r="L383" s="241"/>
      <c r="M383" s="243"/>
      <c r="N383" s="243"/>
      <c r="O383" s="242"/>
      <c r="P383" s="241"/>
      <c r="Q383" s="241"/>
      <c r="R383" s="241"/>
      <c r="S383" s="244"/>
      <c r="T383" s="244"/>
      <c r="U383"/>
      <c r="AA383"/>
      <c r="AB383"/>
      <c r="AC383"/>
      <c r="AD383"/>
      <c r="AE383"/>
      <c r="AF383"/>
      <c r="AG383"/>
      <c r="AH383"/>
      <c r="AI383"/>
      <c r="AJ383"/>
      <c r="AK383"/>
      <c r="AL383"/>
      <c r="AM383"/>
      <c r="AN383"/>
      <c r="AO383"/>
      <c r="AP383"/>
      <c r="AQ383"/>
      <c r="AR383"/>
    </row>
    <row r="384" spans="1:44" s="239" customFormat="1">
      <c r="A384" s="241"/>
      <c r="B384" s="241"/>
      <c r="C384" s="245" t="str">
        <f>IF(B384="","",IFERROR(VLOOKUP(B384,PERUMAHAN!$A:$B,2,FALSE),"ID tidak ditemukan"))</f>
        <v/>
      </c>
      <c r="D384" s="241"/>
      <c r="E384" s="241"/>
      <c r="F384" s="241"/>
      <c r="G384" s="243"/>
      <c r="H384" s="254"/>
      <c r="I384" s="241"/>
      <c r="J384" s="241"/>
      <c r="K384" s="241"/>
      <c r="L384" s="241"/>
      <c r="M384" s="243"/>
      <c r="N384" s="243"/>
      <c r="O384" s="242"/>
      <c r="P384" s="241"/>
      <c r="Q384" s="241"/>
      <c r="R384" s="241"/>
      <c r="S384" s="244"/>
      <c r="T384" s="244"/>
      <c r="U384"/>
      <c r="AA384"/>
      <c r="AB384"/>
      <c r="AC384"/>
      <c r="AD384"/>
      <c r="AE384"/>
      <c r="AF384"/>
      <c r="AG384"/>
      <c r="AH384"/>
      <c r="AI384"/>
      <c r="AJ384"/>
      <c r="AK384"/>
      <c r="AL384"/>
      <c r="AM384"/>
      <c r="AN384"/>
      <c r="AO384"/>
      <c r="AP384"/>
      <c r="AQ384"/>
      <c r="AR384"/>
    </row>
    <row r="385" spans="1:44" s="239" customFormat="1">
      <c r="A385" s="241"/>
      <c r="B385" s="241"/>
      <c r="C385" s="245" t="str">
        <f>IF(B385="","",IFERROR(VLOOKUP(B385,PERUMAHAN!$A:$B,2,FALSE),"ID tidak ditemukan"))</f>
        <v/>
      </c>
      <c r="D385" s="241"/>
      <c r="E385" s="241"/>
      <c r="F385" s="241"/>
      <c r="G385" s="243"/>
      <c r="H385" s="254"/>
      <c r="I385" s="241"/>
      <c r="J385" s="241"/>
      <c r="K385" s="241"/>
      <c r="L385" s="241"/>
      <c r="M385" s="243"/>
      <c r="N385" s="243"/>
      <c r="O385" s="242"/>
      <c r="P385" s="241"/>
      <c r="Q385" s="241"/>
      <c r="R385" s="241"/>
      <c r="S385" s="244"/>
      <c r="T385" s="244"/>
      <c r="U385"/>
      <c r="AA385"/>
      <c r="AB385"/>
      <c r="AC385"/>
      <c r="AD385"/>
      <c r="AE385"/>
      <c r="AF385"/>
      <c r="AG385"/>
      <c r="AH385"/>
      <c r="AI385"/>
      <c r="AJ385"/>
      <c r="AK385"/>
      <c r="AL385"/>
      <c r="AM385"/>
      <c r="AN385"/>
      <c r="AO385"/>
      <c r="AP385"/>
      <c r="AQ385"/>
      <c r="AR385"/>
    </row>
    <row r="386" spans="1:44" s="239" customFormat="1">
      <c r="A386" s="241"/>
      <c r="B386" s="241"/>
      <c r="C386" s="245" t="str">
        <f>IF(B386="","",IFERROR(VLOOKUP(B386,PERUMAHAN!$A:$B,2,FALSE),"ID tidak ditemukan"))</f>
        <v/>
      </c>
      <c r="D386" s="241"/>
      <c r="E386" s="241"/>
      <c r="F386" s="241"/>
      <c r="G386" s="243"/>
      <c r="H386" s="254"/>
      <c r="I386" s="241"/>
      <c r="J386" s="241"/>
      <c r="K386" s="241"/>
      <c r="L386" s="241"/>
      <c r="M386" s="243"/>
      <c r="N386" s="243"/>
      <c r="O386" s="242"/>
      <c r="P386" s="241"/>
      <c r="Q386" s="241"/>
      <c r="R386" s="241"/>
      <c r="S386" s="244"/>
      <c r="T386" s="244"/>
      <c r="U386"/>
      <c r="AA386"/>
      <c r="AB386"/>
      <c r="AC386"/>
      <c r="AD386"/>
      <c r="AE386"/>
      <c r="AF386"/>
      <c r="AG386"/>
      <c r="AH386"/>
      <c r="AI386"/>
      <c r="AJ386"/>
      <c r="AK386"/>
      <c r="AL386"/>
      <c r="AM386"/>
      <c r="AN386"/>
      <c r="AO386"/>
      <c r="AP386"/>
      <c r="AQ386"/>
      <c r="AR386"/>
    </row>
    <row r="387" spans="1:44" s="239" customFormat="1">
      <c r="A387" s="241"/>
      <c r="B387" s="241"/>
      <c r="C387" s="245" t="str">
        <f>IF(B387="","",IFERROR(VLOOKUP(B387,PERUMAHAN!$A:$B,2,FALSE),"ID tidak ditemukan"))</f>
        <v/>
      </c>
      <c r="D387" s="241"/>
      <c r="E387" s="241"/>
      <c r="F387" s="241"/>
      <c r="G387" s="243"/>
      <c r="H387" s="254"/>
      <c r="I387" s="241"/>
      <c r="J387" s="241"/>
      <c r="K387" s="241"/>
      <c r="L387" s="241"/>
      <c r="M387" s="243"/>
      <c r="N387" s="243"/>
      <c r="O387" s="242"/>
      <c r="P387" s="241"/>
      <c r="Q387" s="241"/>
      <c r="R387" s="241"/>
      <c r="S387" s="244"/>
      <c r="T387" s="244"/>
      <c r="U387"/>
      <c r="AA387"/>
      <c r="AB387"/>
      <c r="AC387"/>
      <c r="AD387"/>
      <c r="AE387"/>
      <c r="AF387"/>
      <c r="AG387"/>
      <c r="AH387"/>
      <c r="AI387"/>
      <c r="AJ387"/>
      <c r="AK387"/>
      <c r="AL387"/>
      <c r="AM387"/>
      <c r="AN387"/>
      <c r="AO387"/>
      <c r="AP387"/>
      <c r="AQ387"/>
      <c r="AR387"/>
    </row>
    <row r="388" spans="1:44" s="239" customFormat="1">
      <c r="A388" s="241"/>
      <c r="B388" s="241"/>
      <c r="C388" s="245" t="str">
        <f>IF(B388="","",IFERROR(VLOOKUP(B388,PERUMAHAN!$A:$B,2,FALSE),"ID tidak ditemukan"))</f>
        <v/>
      </c>
      <c r="D388" s="241"/>
      <c r="E388" s="241"/>
      <c r="F388" s="241"/>
      <c r="G388" s="243"/>
      <c r="H388" s="254"/>
      <c r="I388" s="241"/>
      <c r="J388" s="241"/>
      <c r="K388" s="241"/>
      <c r="L388" s="241"/>
      <c r="M388" s="243"/>
      <c r="N388" s="243"/>
      <c r="O388" s="242"/>
      <c r="P388" s="241"/>
      <c r="Q388" s="241"/>
      <c r="R388" s="241"/>
      <c r="S388" s="244"/>
      <c r="T388" s="244"/>
      <c r="U388"/>
      <c r="AA388"/>
      <c r="AB388"/>
      <c r="AC388"/>
      <c r="AD388"/>
      <c r="AE388"/>
      <c r="AF388"/>
      <c r="AG388"/>
      <c r="AH388"/>
      <c r="AI388"/>
      <c r="AJ388"/>
      <c r="AK388"/>
      <c r="AL388"/>
      <c r="AM388"/>
      <c r="AN388"/>
      <c r="AO388"/>
      <c r="AP388"/>
      <c r="AQ388"/>
      <c r="AR388"/>
    </row>
    <row r="389" spans="1:44" s="239" customFormat="1">
      <c r="A389" s="241"/>
      <c r="B389" s="241"/>
      <c r="C389" s="245" t="str">
        <f>IF(B389="","",IFERROR(VLOOKUP(B389,PERUMAHAN!$A:$B,2,FALSE),"ID tidak ditemukan"))</f>
        <v/>
      </c>
      <c r="D389" s="241"/>
      <c r="E389" s="241"/>
      <c r="F389" s="241"/>
      <c r="G389" s="243"/>
      <c r="H389" s="254"/>
      <c r="I389" s="241"/>
      <c r="J389" s="241"/>
      <c r="K389" s="241"/>
      <c r="L389" s="241"/>
      <c r="M389" s="243"/>
      <c r="N389" s="243"/>
      <c r="O389" s="242"/>
      <c r="P389" s="241"/>
      <c r="Q389" s="241"/>
      <c r="R389" s="241"/>
      <c r="S389" s="244"/>
      <c r="T389" s="244"/>
      <c r="U389"/>
      <c r="AA389"/>
      <c r="AB389"/>
      <c r="AC389"/>
      <c r="AD389"/>
      <c r="AE389"/>
      <c r="AF389"/>
      <c r="AG389"/>
      <c r="AH389"/>
      <c r="AI389"/>
      <c r="AJ389"/>
      <c r="AK389"/>
      <c r="AL389"/>
      <c r="AM389"/>
      <c r="AN389"/>
      <c r="AO389"/>
      <c r="AP389"/>
      <c r="AQ389"/>
      <c r="AR389"/>
    </row>
    <row r="390" spans="1:44" s="239" customFormat="1">
      <c r="A390" s="241"/>
      <c r="B390" s="241"/>
      <c r="C390" s="245" t="str">
        <f>IF(B390="","",IFERROR(VLOOKUP(B390,PERUMAHAN!$A:$B,2,FALSE),"ID tidak ditemukan"))</f>
        <v/>
      </c>
      <c r="D390" s="241"/>
      <c r="E390" s="241"/>
      <c r="F390" s="241"/>
      <c r="G390" s="243"/>
      <c r="H390" s="254"/>
      <c r="I390" s="241"/>
      <c r="J390" s="241"/>
      <c r="K390" s="241"/>
      <c r="L390" s="241"/>
      <c r="M390" s="243"/>
      <c r="N390" s="243"/>
      <c r="O390" s="242"/>
      <c r="P390" s="241"/>
      <c r="Q390" s="241"/>
      <c r="R390" s="241"/>
      <c r="S390" s="244"/>
      <c r="T390" s="244"/>
      <c r="U390"/>
      <c r="AA390"/>
      <c r="AB390"/>
      <c r="AC390"/>
      <c r="AD390"/>
      <c r="AE390"/>
      <c r="AF390"/>
      <c r="AG390"/>
      <c r="AH390"/>
      <c r="AI390"/>
      <c r="AJ390"/>
      <c r="AK390"/>
      <c r="AL390"/>
      <c r="AM390"/>
      <c r="AN390"/>
      <c r="AO390"/>
      <c r="AP390"/>
      <c r="AQ390"/>
      <c r="AR390"/>
    </row>
    <row r="391" spans="1:44" s="239" customFormat="1">
      <c r="A391" s="241"/>
      <c r="B391" s="241"/>
      <c r="C391" s="245" t="str">
        <f>IF(B391="","",IFERROR(VLOOKUP(B391,PERUMAHAN!$A:$B,2,FALSE),"ID tidak ditemukan"))</f>
        <v/>
      </c>
      <c r="D391" s="241"/>
      <c r="E391" s="241"/>
      <c r="F391" s="241"/>
      <c r="G391" s="243"/>
      <c r="H391" s="254"/>
      <c r="I391" s="241"/>
      <c r="J391" s="241"/>
      <c r="K391" s="241"/>
      <c r="L391" s="241"/>
      <c r="M391" s="243"/>
      <c r="N391" s="243"/>
      <c r="O391" s="242"/>
      <c r="P391" s="241"/>
      <c r="Q391" s="241"/>
      <c r="R391" s="241"/>
      <c r="S391" s="244"/>
      <c r="T391" s="244"/>
      <c r="U391"/>
      <c r="AA391"/>
      <c r="AB391"/>
      <c r="AC391"/>
      <c r="AD391"/>
      <c r="AE391"/>
      <c r="AF391"/>
      <c r="AG391"/>
      <c r="AH391"/>
      <c r="AI391"/>
      <c r="AJ391"/>
      <c r="AK391"/>
      <c r="AL391"/>
      <c r="AM391"/>
      <c r="AN391"/>
      <c r="AO391"/>
      <c r="AP391"/>
      <c r="AQ391"/>
      <c r="AR391"/>
    </row>
    <row r="392" spans="1:44" s="239" customFormat="1">
      <c r="A392" s="241"/>
      <c r="B392" s="241"/>
      <c r="C392" s="245" t="str">
        <f>IF(B392="","",IFERROR(VLOOKUP(B392,PERUMAHAN!$A:$B,2,FALSE),"ID tidak ditemukan"))</f>
        <v/>
      </c>
      <c r="D392" s="241"/>
      <c r="E392" s="241"/>
      <c r="F392" s="241"/>
      <c r="G392" s="243"/>
      <c r="H392" s="254"/>
      <c r="I392" s="241"/>
      <c r="J392" s="241"/>
      <c r="K392" s="241"/>
      <c r="L392" s="241"/>
      <c r="M392" s="243"/>
      <c r="N392" s="243"/>
      <c r="O392" s="242"/>
      <c r="P392" s="241"/>
      <c r="Q392" s="241"/>
      <c r="R392" s="241"/>
      <c r="S392" s="244"/>
      <c r="T392" s="244"/>
      <c r="U392"/>
      <c r="AA392"/>
      <c r="AB392"/>
      <c r="AC392"/>
      <c r="AD392"/>
      <c r="AE392"/>
      <c r="AF392"/>
      <c r="AG392"/>
      <c r="AH392"/>
      <c r="AI392"/>
      <c r="AJ392"/>
      <c r="AK392"/>
      <c r="AL392"/>
      <c r="AM392"/>
      <c r="AN392"/>
      <c r="AO392"/>
      <c r="AP392"/>
      <c r="AQ392"/>
      <c r="AR392"/>
    </row>
    <row r="393" spans="1:44" s="239" customFormat="1">
      <c r="A393" s="241"/>
      <c r="B393" s="241"/>
      <c r="C393" s="245" t="str">
        <f>IF(B393="","",IFERROR(VLOOKUP(B393,PERUMAHAN!$A:$B,2,FALSE),"ID tidak ditemukan"))</f>
        <v/>
      </c>
      <c r="D393" s="241"/>
      <c r="E393" s="241"/>
      <c r="F393" s="241"/>
      <c r="G393" s="243"/>
      <c r="H393" s="254"/>
      <c r="I393" s="241"/>
      <c r="J393" s="241"/>
      <c r="K393" s="241"/>
      <c r="L393" s="241"/>
      <c r="M393" s="243"/>
      <c r="N393" s="243"/>
      <c r="O393" s="242"/>
      <c r="P393" s="241"/>
      <c r="Q393" s="241"/>
      <c r="R393" s="241"/>
      <c r="S393" s="244"/>
      <c r="T393" s="244"/>
      <c r="U393"/>
      <c r="AA393"/>
      <c r="AB393"/>
      <c r="AC393"/>
      <c r="AD393"/>
      <c r="AE393"/>
      <c r="AF393"/>
      <c r="AG393"/>
      <c r="AH393"/>
      <c r="AI393"/>
      <c r="AJ393"/>
      <c r="AK393"/>
      <c r="AL393"/>
      <c r="AM393"/>
      <c r="AN393"/>
      <c r="AO393"/>
      <c r="AP393"/>
      <c r="AQ393"/>
      <c r="AR393"/>
    </row>
    <row r="394" spans="1:44" s="239" customFormat="1">
      <c r="A394" s="241"/>
      <c r="B394" s="241"/>
      <c r="C394" s="245" t="str">
        <f>IF(B394="","",IFERROR(VLOOKUP(B394,PERUMAHAN!$A:$B,2,FALSE),"ID tidak ditemukan"))</f>
        <v/>
      </c>
      <c r="D394" s="241"/>
      <c r="E394" s="241"/>
      <c r="F394" s="241"/>
      <c r="G394" s="243"/>
      <c r="H394" s="254"/>
      <c r="I394" s="241"/>
      <c r="J394" s="241"/>
      <c r="K394" s="241"/>
      <c r="L394" s="241"/>
      <c r="M394" s="243"/>
      <c r="N394" s="243"/>
      <c r="O394" s="242"/>
      <c r="P394" s="241"/>
      <c r="Q394" s="241"/>
      <c r="R394" s="241"/>
      <c r="S394" s="244"/>
      <c r="T394" s="244"/>
      <c r="U394"/>
      <c r="AA394"/>
      <c r="AB394"/>
      <c r="AC394"/>
      <c r="AD394"/>
      <c r="AE394"/>
      <c r="AF394"/>
      <c r="AG394"/>
      <c r="AH394"/>
      <c r="AI394"/>
      <c r="AJ394"/>
      <c r="AK394"/>
      <c r="AL394"/>
      <c r="AM394"/>
      <c r="AN394"/>
      <c r="AO394"/>
      <c r="AP394"/>
      <c r="AQ394"/>
      <c r="AR394"/>
    </row>
    <row r="395" spans="1:44" s="239" customFormat="1">
      <c r="A395" s="241"/>
      <c r="B395" s="241"/>
      <c r="C395" s="245" t="str">
        <f>IF(B395="","",IFERROR(VLOOKUP(B395,PERUMAHAN!$A:$B,2,FALSE),"ID tidak ditemukan"))</f>
        <v/>
      </c>
      <c r="D395" s="241"/>
      <c r="E395" s="241"/>
      <c r="F395" s="241"/>
      <c r="G395" s="243"/>
      <c r="H395" s="254"/>
      <c r="I395" s="241"/>
      <c r="J395" s="241"/>
      <c r="K395" s="241"/>
      <c r="L395" s="241"/>
      <c r="M395" s="243"/>
      <c r="N395" s="243"/>
      <c r="O395" s="242"/>
      <c r="P395" s="241"/>
      <c r="Q395" s="241"/>
      <c r="R395" s="241"/>
      <c r="S395" s="244"/>
      <c r="T395" s="244"/>
      <c r="U395"/>
      <c r="AA395"/>
      <c r="AB395"/>
      <c r="AC395"/>
      <c r="AD395"/>
      <c r="AE395"/>
      <c r="AF395"/>
      <c r="AG395"/>
      <c r="AH395"/>
      <c r="AI395"/>
      <c r="AJ395"/>
      <c r="AK395"/>
      <c r="AL395"/>
      <c r="AM395"/>
      <c r="AN395"/>
      <c r="AO395"/>
      <c r="AP395"/>
      <c r="AQ395"/>
      <c r="AR395"/>
    </row>
    <row r="396" spans="1:44" s="239" customFormat="1">
      <c r="A396" s="241"/>
      <c r="B396" s="241"/>
      <c r="C396" s="245" t="str">
        <f>IF(B396="","",IFERROR(VLOOKUP(B396,PERUMAHAN!$A:$B,2,FALSE),"ID tidak ditemukan"))</f>
        <v/>
      </c>
      <c r="D396" s="241"/>
      <c r="E396" s="241"/>
      <c r="F396" s="241"/>
      <c r="G396" s="243"/>
      <c r="H396" s="254"/>
      <c r="I396" s="241"/>
      <c r="J396" s="241"/>
      <c r="K396" s="241"/>
      <c r="L396" s="241"/>
      <c r="M396" s="243"/>
      <c r="N396" s="243"/>
      <c r="O396" s="242"/>
      <c r="P396" s="241"/>
      <c r="Q396" s="241"/>
      <c r="R396" s="241"/>
      <c r="S396" s="244"/>
      <c r="T396" s="244"/>
      <c r="U396"/>
      <c r="AA396"/>
      <c r="AB396"/>
      <c r="AC396"/>
      <c r="AD396"/>
      <c r="AE396"/>
      <c r="AF396"/>
      <c r="AG396"/>
      <c r="AH396"/>
      <c r="AI396"/>
      <c r="AJ396"/>
      <c r="AK396"/>
      <c r="AL396"/>
      <c r="AM396"/>
      <c r="AN396"/>
      <c r="AO396"/>
      <c r="AP396"/>
      <c r="AQ396"/>
      <c r="AR396"/>
    </row>
    <row r="397" spans="1:44" s="239" customFormat="1">
      <c r="A397" s="241"/>
      <c r="B397" s="241"/>
      <c r="C397" s="245" t="str">
        <f>IF(B397="","",IFERROR(VLOOKUP(B397,PERUMAHAN!$A:$B,2,FALSE),"ID tidak ditemukan"))</f>
        <v/>
      </c>
      <c r="D397" s="241"/>
      <c r="E397" s="241"/>
      <c r="F397" s="241"/>
      <c r="G397" s="243"/>
      <c r="H397" s="254"/>
      <c r="I397" s="241"/>
      <c r="J397" s="241"/>
      <c r="K397" s="241"/>
      <c r="L397" s="241"/>
      <c r="M397" s="243"/>
      <c r="N397" s="243"/>
      <c r="O397" s="242"/>
      <c r="P397" s="241"/>
      <c r="Q397" s="241"/>
      <c r="R397" s="241"/>
      <c r="S397" s="244"/>
      <c r="T397" s="244"/>
      <c r="U397"/>
      <c r="AA397"/>
      <c r="AB397"/>
      <c r="AC397"/>
      <c r="AD397"/>
      <c r="AE397"/>
      <c r="AF397"/>
      <c r="AG397"/>
      <c r="AH397"/>
      <c r="AI397"/>
      <c r="AJ397"/>
      <c r="AK397"/>
      <c r="AL397"/>
      <c r="AM397"/>
      <c r="AN397"/>
      <c r="AO397"/>
      <c r="AP397"/>
      <c r="AQ397"/>
      <c r="AR397"/>
    </row>
    <row r="398" spans="1:44" s="239" customFormat="1">
      <c r="A398" s="241"/>
      <c r="B398" s="241"/>
      <c r="C398" s="245" t="str">
        <f>IF(B398="","",IFERROR(VLOOKUP(B398,PERUMAHAN!$A:$B,2,FALSE),"ID tidak ditemukan"))</f>
        <v/>
      </c>
      <c r="D398" s="241"/>
      <c r="E398" s="241"/>
      <c r="F398" s="241"/>
      <c r="G398" s="243"/>
      <c r="H398" s="254"/>
      <c r="I398" s="241"/>
      <c r="J398" s="241"/>
      <c r="K398" s="241"/>
      <c r="L398" s="241"/>
      <c r="M398" s="243"/>
      <c r="N398" s="243"/>
      <c r="O398" s="242"/>
      <c r="P398" s="241"/>
      <c r="Q398" s="241"/>
      <c r="R398" s="241"/>
      <c r="S398" s="244"/>
      <c r="T398" s="244"/>
      <c r="U398"/>
      <c r="AA398"/>
      <c r="AB398"/>
      <c r="AC398"/>
      <c r="AD398"/>
      <c r="AE398"/>
      <c r="AF398"/>
      <c r="AG398"/>
      <c r="AH398"/>
      <c r="AI398"/>
      <c r="AJ398"/>
      <c r="AK398"/>
      <c r="AL398"/>
      <c r="AM398"/>
      <c r="AN398"/>
      <c r="AO398"/>
      <c r="AP398"/>
      <c r="AQ398"/>
      <c r="AR398"/>
    </row>
    <row r="399" spans="1:44" s="239" customFormat="1">
      <c r="A399" s="241"/>
      <c r="B399" s="241"/>
      <c r="C399" s="245" t="str">
        <f>IF(B399="","",IFERROR(VLOOKUP(B399,PERUMAHAN!$A:$B,2,FALSE),"ID tidak ditemukan"))</f>
        <v/>
      </c>
      <c r="D399" s="241"/>
      <c r="E399" s="241"/>
      <c r="F399" s="241"/>
      <c r="G399" s="243"/>
      <c r="H399" s="254"/>
      <c r="I399" s="241"/>
      <c r="J399" s="241"/>
      <c r="K399" s="241"/>
      <c r="L399" s="241"/>
      <c r="M399" s="243"/>
      <c r="N399" s="243"/>
      <c r="O399" s="242"/>
      <c r="P399" s="241"/>
      <c r="Q399" s="241"/>
      <c r="R399" s="241"/>
      <c r="S399" s="244"/>
      <c r="T399" s="244"/>
      <c r="U399"/>
      <c r="AA399"/>
      <c r="AB399"/>
      <c r="AC399"/>
      <c r="AD399"/>
      <c r="AE399"/>
      <c r="AF399"/>
      <c r="AG399"/>
      <c r="AH399"/>
      <c r="AI399"/>
      <c r="AJ399"/>
      <c r="AK399"/>
      <c r="AL399"/>
      <c r="AM399"/>
      <c r="AN399"/>
      <c r="AO399"/>
      <c r="AP399"/>
      <c r="AQ399"/>
      <c r="AR399"/>
    </row>
    <row r="400" spans="1:44" s="239" customFormat="1">
      <c r="A400" s="241"/>
      <c r="B400" s="241"/>
      <c r="C400" s="245" t="str">
        <f>IF(B400="","",IFERROR(VLOOKUP(B400,PERUMAHAN!$A:$B,2,FALSE),"ID tidak ditemukan"))</f>
        <v/>
      </c>
      <c r="D400" s="241"/>
      <c r="E400" s="241"/>
      <c r="F400" s="241"/>
      <c r="G400" s="243"/>
      <c r="H400" s="254"/>
      <c r="I400" s="241"/>
      <c r="J400" s="241"/>
      <c r="K400" s="241"/>
      <c r="L400" s="241"/>
      <c r="M400" s="243"/>
      <c r="N400" s="243"/>
      <c r="O400" s="242"/>
      <c r="P400" s="241"/>
      <c r="Q400" s="241"/>
      <c r="R400" s="241"/>
      <c r="S400" s="244"/>
      <c r="T400" s="244"/>
      <c r="U400"/>
      <c r="AA400"/>
      <c r="AB400"/>
      <c r="AC400"/>
      <c r="AD400"/>
      <c r="AE400"/>
      <c r="AF400"/>
      <c r="AG400"/>
      <c r="AH400"/>
      <c r="AI400"/>
      <c r="AJ400"/>
      <c r="AK400"/>
      <c r="AL400"/>
      <c r="AM400"/>
      <c r="AN400"/>
      <c r="AO400"/>
      <c r="AP400"/>
      <c r="AQ400"/>
      <c r="AR400"/>
    </row>
    <row r="401" spans="1:44" s="239" customFormat="1">
      <c r="A401" s="241"/>
      <c r="B401" s="241"/>
      <c r="C401" s="245" t="str">
        <f>IF(B401="","",IFERROR(VLOOKUP(B401,PERUMAHAN!$A:$B,2,FALSE),"ID tidak ditemukan"))</f>
        <v/>
      </c>
      <c r="D401" s="241"/>
      <c r="E401" s="241"/>
      <c r="F401" s="241"/>
      <c r="G401" s="243"/>
      <c r="H401" s="254"/>
      <c r="I401" s="241"/>
      <c r="J401" s="241"/>
      <c r="K401" s="241"/>
      <c r="L401" s="241"/>
      <c r="M401" s="243"/>
      <c r="N401" s="243"/>
      <c r="O401" s="242"/>
      <c r="P401" s="241"/>
      <c r="Q401" s="241"/>
      <c r="R401" s="241"/>
      <c r="S401" s="244"/>
      <c r="T401" s="244"/>
      <c r="U401"/>
      <c r="AA401"/>
      <c r="AB401"/>
      <c r="AC401"/>
      <c r="AD401"/>
      <c r="AE401"/>
      <c r="AF401"/>
      <c r="AG401"/>
      <c r="AH401"/>
      <c r="AI401"/>
      <c r="AJ401"/>
      <c r="AK401"/>
      <c r="AL401"/>
      <c r="AM401"/>
      <c r="AN401"/>
      <c r="AO401"/>
      <c r="AP401"/>
      <c r="AQ401"/>
      <c r="AR401"/>
    </row>
    <row r="402" spans="1:44" s="239" customFormat="1">
      <c r="A402" s="241"/>
      <c r="B402" s="241"/>
      <c r="C402" s="245" t="str">
        <f>IF(B402="","",IFERROR(VLOOKUP(B402,PERUMAHAN!$A:$B,2,FALSE),"ID tidak ditemukan"))</f>
        <v/>
      </c>
      <c r="D402" s="241"/>
      <c r="E402" s="241"/>
      <c r="F402" s="241"/>
      <c r="G402" s="243"/>
      <c r="H402" s="254"/>
      <c r="I402" s="241"/>
      <c r="J402" s="241"/>
      <c r="K402" s="241"/>
      <c r="L402" s="241"/>
      <c r="M402" s="243"/>
      <c r="N402" s="243"/>
      <c r="O402" s="242"/>
      <c r="P402" s="241"/>
      <c r="Q402" s="241"/>
      <c r="R402" s="241"/>
      <c r="S402" s="244"/>
      <c r="T402" s="244"/>
      <c r="U402"/>
      <c r="AA402"/>
      <c r="AB402"/>
      <c r="AC402"/>
      <c r="AD402"/>
      <c r="AE402"/>
      <c r="AF402"/>
      <c r="AG402"/>
      <c r="AH402"/>
      <c r="AI402"/>
      <c r="AJ402"/>
      <c r="AK402"/>
      <c r="AL402"/>
      <c r="AM402"/>
      <c r="AN402"/>
      <c r="AO402"/>
      <c r="AP402"/>
      <c r="AQ402"/>
      <c r="AR402"/>
    </row>
    <row r="403" spans="1:44" s="239" customFormat="1">
      <c r="A403" s="241"/>
      <c r="B403" s="241"/>
      <c r="C403" s="245" t="str">
        <f>IF(B403="","",IFERROR(VLOOKUP(B403,PERUMAHAN!$A:$B,2,FALSE),"ID tidak ditemukan"))</f>
        <v/>
      </c>
      <c r="D403" s="241"/>
      <c r="E403" s="241"/>
      <c r="F403" s="241"/>
      <c r="G403" s="243"/>
      <c r="H403" s="254"/>
      <c r="I403" s="241"/>
      <c r="J403" s="241"/>
      <c r="K403" s="241"/>
      <c r="L403" s="241"/>
      <c r="M403" s="243"/>
      <c r="N403" s="243"/>
      <c r="O403" s="242"/>
      <c r="P403" s="241"/>
      <c r="Q403" s="241"/>
      <c r="R403" s="241"/>
      <c r="S403" s="244"/>
      <c r="T403" s="244"/>
      <c r="U403"/>
      <c r="AA403"/>
      <c r="AB403"/>
      <c r="AC403"/>
      <c r="AD403"/>
      <c r="AE403"/>
      <c r="AF403"/>
      <c r="AG403"/>
      <c r="AH403"/>
      <c r="AI403"/>
      <c r="AJ403"/>
      <c r="AK403"/>
      <c r="AL403"/>
      <c r="AM403"/>
      <c r="AN403"/>
      <c r="AO403"/>
      <c r="AP403"/>
      <c r="AQ403"/>
      <c r="AR403"/>
    </row>
    <row r="404" spans="1:44" s="239" customFormat="1">
      <c r="A404" s="241"/>
      <c r="B404" s="241"/>
      <c r="C404" s="245" t="str">
        <f>IF(B404="","",IFERROR(VLOOKUP(B404,PERUMAHAN!$A:$B,2,FALSE),"ID tidak ditemukan"))</f>
        <v/>
      </c>
      <c r="D404" s="241"/>
      <c r="E404" s="241"/>
      <c r="F404" s="241"/>
      <c r="G404" s="243"/>
      <c r="H404" s="254"/>
      <c r="I404" s="241"/>
      <c r="J404" s="241"/>
      <c r="K404" s="241"/>
      <c r="L404" s="241"/>
      <c r="M404" s="243"/>
      <c r="N404" s="243"/>
      <c r="O404" s="242"/>
      <c r="P404" s="241"/>
      <c r="Q404" s="241"/>
      <c r="R404" s="241"/>
      <c r="S404" s="244"/>
      <c r="T404" s="244"/>
      <c r="U404"/>
      <c r="AA404"/>
      <c r="AB404"/>
      <c r="AC404"/>
      <c r="AD404"/>
      <c r="AE404"/>
      <c r="AF404"/>
      <c r="AG404"/>
      <c r="AH404"/>
      <c r="AI404"/>
      <c r="AJ404"/>
      <c r="AK404"/>
      <c r="AL404"/>
      <c r="AM404"/>
      <c r="AN404"/>
      <c r="AO404"/>
      <c r="AP404"/>
      <c r="AQ404"/>
      <c r="AR404"/>
    </row>
    <row r="405" spans="1:44" s="239" customFormat="1">
      <c r="A405" s="241"/>
      <c r="B405" s="241"/>
      <c r="C405" s="245" t="str">
        <f>IF(B405="","",IFERROR(VLOOKUP(B405,PERUMAHAN!$A:$B,2,FALSE),"ID tidak ditemukan"))</f>
        <v/>
      </c>
      <c r="D405" s="241"/>
      <c r="E405" s="241"/>
      <c r="F405" s="241"/>
      <c r="G405" s="243"/>
      <c r="H405" s="254"/>
      <c r="I405" s="241"/>
      <c r="J405" s="241"/>
      <c r="K405" s="241"/>
      <c r="L405" s="241"/>
      <c r="M405" s="243"/>
      <c r="N405" s="243"/>
      <c r="O405" s="242"/>
      <c r="P405" s="241"/>
      <c r="Q405" s="241"/>
      <c r="R405" s="241"/>
      <c r="S405" s="244"/>
      <c r="T405" s="244"/>
      <c r="U405"/>
      <c r="AA405"/>
      <c r="AB405"/>
      <c r="AC405"/>
      <c r="AD405"/>
      <c r="AE405"/>
      <c r="AF405"/>
      <c r="AG405"/>
      <c r="AH405"/>
      <c r="AI405"/>
      <c r="AJ405"/>
      <c r="AK405"/>
      <c r="AL405"/>
      <c r="AM405"/>
      <c r="AN405"/>
      <c r="AO405"/>
      <c r="AP405"/>
      <c r="AQ405"/>
      <c r="AR405"/>
    </row>
    <row r="406" spans="1:44" s="239" customFormat="1">
      <c r="A406" s="241"/>
      <c r="B406" s="241"/>
      <c r="C406" s="245" t="str">
        <f>IF(B406="","",IFERROR(VLOOKUP(B406,PERUMAHAN!$A:$B,2,FALSE),"ID tidak ditemukan"))</f>
        <v/>
      </c>
      <c r="D406" s="241"/>
      <c r="E406" s="241"/>
      <c r="F406" s="241"/>
      <c r="G406" s="243"/>
      <c r="H406" s="254"/>
      <c r="I406" s="241"/>
      <c r="J406" s="241"/>
      <c r="K406" s="241"/>
      <c r="L406" s="241"/>
      <c r="M406" s="243"/>
      <c r="N406" s="243"/>
      <c r="O406" s="242"/>
      <c r="P406" s="241"/>
      <c r="Q406" s="241"/>
      <c r="R406" s="241"/>
      <c r="S406" s="244"/>
      <c r="T406" s="244"/>
      <c r="U406"/>
      <c r="AA406"/>
      <c r="AB406"/>
      <c r="AC406"/>
      <c r="AD406"/>
      <c r="AE406"/>
      <c r="AF406"/>
      <c r="AG406"/>
      <c r="AH406"/>
      <c r="AI406"/>
      <c r="AJ406"/>
      <c r="AK406"/>
      <c r="AL406"/>
      <c r="AM406"/>
      <c r="AN406"/>
      <c r="AO406"/>
      <c r="AP406"/>
      <c r="AQ406"/>
      <c r="AR406"/>
    </row>
    <row r="407" spans="1:44" s="239" customFormat="1">
      <c r="A407" s="241"/>
      <c r="B407" s="241"/>
      <c r="C407" s="245" t="str">
        <f>IF(B407="","",IFERROR(VLOOKUP(B407,PERUMAHAN!$A:$B,2,FALSE),"ID tidak ditemukan"))</f>
        <v/>
      </c>
      <c r="D407" s="241"/>
      <c r="E407" s="241"/>
      <c r="F407" s="241"/>
      <c r="G407" s="243"/>
      <c r="H407" s="254"/>
      <c r="I407" s="241"/>
      <c r="J407" s="241"/>
      <c r="K407" s="241"/>
      <c r="L407" s="241"/>
      <c r="M407" s="243"/>
      <c r="N407" s="243"/>
      <c r="O407" s="242"/>
      <c r="P407" s="241"/>
      <c r="Q407" s="241"/>
      <c r="R407" s="241"/>
      <c r="S407" s="244"/>
      <c r="T407" s="244"/>
      <c r="U407"/>
      <c r="AA407"/>
      <c r="AB407"/>
      <c r="AC407"/>
      <c r="AD407"/>
      <c r="AE407"/>
      <c r="AF407"/>
      <c r="AG407"/>
      <c r="AH407"/>
      <c r="AI407"/>
      <c r="AJ407"/>
      <c r="AK407"/>
      <c r="AL407"/>
      <c r="AM407"/>
      <c r="AN407"/>
      <c r="AO407"/>
      <c r="AP407"/>
      <c r="AQ407"/>
      <c r="AR407"/>
    </row>
    <row r="408" spans="1:44" s="239" customFormat="1">
      <c r="A408" s="241"/>
      <c r="B408" s="241"/>
      <c r="C408" s="245" t="str">
        <f>IF(B408="","",IFERROR(VLOOKUP(B408,PERUMAHAN!$A:$B,2,FALSE),"ID tidak ditemukan"))</f>
        <v/>
      </c>
      <c r="D408" s="241"/>
      <c r="E408" s="241"/>
      <c r="F408" s="241"/>
      <c r="G408" s="243"/>
      <c r="H408" s="254"/>
      <c r="I408" s="241"/>
      <c r="J408" s="241"/>
      <c r="K408" s="241"/>
      <c r="L408" s="241"/>
      <c r="M408" s="243"/>
      <c r="N408" s="243"/>
      <c r="O408" s="242"/>
      <c r="P408" s="241"/>
      <c r="Q408" s="241"/>
      <c r="R408" s="241"/>
      <c r="S408" s="244"/>
      <c r="T408" s="244"/>
      <c r="U408"/>
      <c r="AA408"/>
      <c r="AB408"/>
      <c r="AC408"/>
      <c r="AD408"/>
      <c r="AE408"/>
      <c r="AF408"/>
      <c r="AG408"/>
      <c r="AH408"/>
      <c r="AI408"/>
      <c r="AJ408"/>
      <c r="AK408"/>
      <c r="AL408"/>
      <c r="AM408"/>
      <c r="AN408"/>
      <c r="AO408"/>
      <c r="AP408"/>
      <c r="AQ408"/>
      <c r="AR408"/>
    </row>
    <row r="409" spans="1:44" s="239" customFormat="1">
      <c r="A409" s="241"/>
      <c r="B409" s="241"/>
      <c r="C409" s="245" t="str">
        <f>IF(B409="","",IFERROR(VLOOKUP(B409,PERUMAHAN!$A:$B,2,FALSE),"ID tidak ditemukan"))</f>
        <v/>
      </c>
      <c r="D409" s="241"/>
      <c r="E409" s="241"/>
      <c r="F409" s="241"/>
      <c r="G409" s="243"/>
      <c r="H409" s="254"/>
      <c r="I409" s="241"/>
      <c r="J409" s="241"/>
      <c r="K409" s="241"/>
      <c r="L409" s="241"/>
      <c r="M409" s="243"/>
      <c r="N409" s="243"/>
      <c r="O409" s="242"/>
      <c r="P409" s="241"/>
      <c r="Q409" s="241"/>
      <c r="R409" s="241"/>
      <c r="S409" s="244"/>
      <c r="T409" s="244"/>
      <c r="U409"/>
      <c r="AA409"/>
      <c r="AB409"/>
      <c r="AC409"/>
      <c r="AD409"/>
      <c r="AE409"/>
      <c r="AF409"/>
      <c r="AG409"/>
      <c r="AH409"/>
      <c r="AI409"/>
      <c r="AJ409"/>
      <c r="AK409"/>
      <c r="AL409"/>
      <c r="AM409"/>
      <c r="AN409"/>
      <c r="AO409"/>
      <c r="AP409"/>
      <c r="AQ409"/>
      <c r="AR409"/>
    </row>
    <row r="410" spans="1:44" s="239" customFormat="1">
      <c r="A410" s="241"/>
      <c r="B410" s="241"/>
      <c r="C410" s="245" t="str">
        <f>IF(B410="","",IFERROR(VLOOKUP(B410,PERUMAHAN!$A:$B,2,FALSE),"ID tidak ditemukan"))</f>
        <v/>
      </c>
      <c r="D410" s="241"/>
      <c r="E410" s="241"/>
      <c r="F410" s="241"/>
      <c r="G410" s="243"/>
      <c r="H410" s="254"/>
      <c r="I410" s="241"/>
      <c r="J410" s="241"/>
      <c r="K410" s="241"/>
      <c r="L410" s="241"/>
      <c r="M410" s="243"/>
      <c r="N410" s="243"/>
      <c r="O410" s="242"/>
      <c r="P410" s="241"/>
      <c r="Q410" s="241"/>
      <c r="R410" s="241"/>
      <c r="S410" s="244"/>
      <c r="T410" s="244"/>
      <c r="U410"/>
      <c r="AA410"/>
      <c r="AB410"/>
      <c r="AC410"/>
      <c r="AD410"/>
      <c r="AE410"/>
      <c r="AF410"/>
      <c r="AG410"/>
      <c r="AH410"/>
      <c r="AI410"/>
      <c r="AJ410"/>
      <c r="AK410"/>
      <c r="AL410"/>
      <c r="AM410"/>
      <c r="AN410"/>
      <c r="AO410"/>
      <c r="AP410"/>
      <c r="AQ410"/>
      <c r="AR410"/>
    </row>
    <row r="411" spans="1:44" s="239" customFormat="1">
      <c r="A411" s="241"/>
      <c r="B411" s="241"/>
      <c r="C411" s="245" t="str">
        <f>IF(B411="","",IFERROR(VLOOKUP(B411,PERUMAHAN!$A:$B,2,FALSE),"ID tidak ditemukan"))</f>
        <v/>
      </c>
      <c r="D411" s="241"/>
      <c r="E411" s="241"/>
      <c r="F411" s="241"/>
      <c r="G411" s="243"/>
      <c r="H411" s="254"/>
      <c r="I411" s="241"/>
      <c r="J411" s="241"/>
      <c r="K411" s="241"/>
      <c r="L411" s="241"/>
      <c r="M411" s="243"/>
      <c r="N411" s="243"/>
      <c r="O411" s="242"/>
      <c r="P411" s="241"/>
      <c r="Q411" s="241"/>
      <c r="R411" s="241"/>
      <c r="S411" s="244"/>
      <c r="T411" s="244"/>
      <c r="U411"/>
      <c r="AA411"/>
      <c r="AB411"/>
      <c r="AC411"/>
      <c r="AD411"/>
      <c r="AE411"/>
      <c r="AF411"/>
      <c r="AG411"/>
      <c r="AH411"/>
      <c r="AI411"/>
      <c r="AJ411"/>
      <c r="AK411"/>
      <c r="AL411"/>
      <c r="AM411"/>
      <c r="AN411"/>
      <c r="AO411"/>
      <c r="AP411"/>
      <c r="AQ411"/>
      <c r="AR411"/>
    </row>
    <row r="412" spans="1:44" s="239" customFormat="1">
      <c r="A412" s="241"/>
      <c r="B412" s="241"/>
      <c r="C412" s="245" t="str">
        <f>IF(B412="","",IFERROR(VLOOKUP(B412,PERUMAHAN!$A:$B,2,FALSE),"ID tidak ditemukan"))</f>
        <v/>
      </c>
      <c r="D412" s="241"/>
      <c r="E412" s="241"/>
      <c r="F412" s="241"/>
      <c r="G412" s="243"/>
      <c r="H412" s="254"/>
      <c r="I412" s="241"/>
      <c r="J412" s="241"/>
      <c r="K412" s="241"/>
      <c r="L412" s="241"/>
      <c r="M412" s="243"/>
      <c r="N412" s="243"/>
      <c r="O412" s="242"/>
      <c r="P412" s="241"/>
      <c r="Q412" s="241"/>
      <c r="R412" s="241"/>
      <c r="S412" s="244"/>
      <c r="T412" s="244"/>
      <c r="U412"/>
      <c r="AA412"/>
      <c r="AB412"/>
      <c r="AC412"/>
      <c r="AD412"/>
      <c r="AE412"/>
      <c r="AF412"/>
      <c r="AG412"/>
      <c r="AH412"/>
      <c r="AI412"/>
      <c r="AJ412"/>
      <c r="AK412"/>
      <c r="AL412"/>
      <c r="AM412"/>
      <c r="AN412"/>
      <c r="AO412"/>
      <c r="AP412"/>
      <c r="AQ412"/>
      <c r="AR412"/>
    </row>
    <row r="413" spans="1:44" s="239" customFormat="1">
      <c r="A413" s="241"/>
      <c r="B413" s="241"/>
      <c r="C413" s="245" t="str">
        <f>IF(B413="","",IFERROR(VLOOKUP(B413,PERUMAHAN!$A:$B,2,FALSE),"ID tidak ditemukan"))</f>
        <v/>
      </c>
      <c r="D413" s="241"/>
      <c r="E413" s="241"/>
      <c r="F413" s="241"/>
      <c r="G413" s="243"/>
      <c r="H413" s="254"/>
      <c r="I413" s="241"/>
      <c r="J413" s="241"/>
      <c r="K413" s="241"/>
      <c r="L413" s="241"/>
      <c r="M413" s="243"/>
      <c r="N413" s="243"/>
      <c r="O413" s="242"/>
      <c r="P413" s="241"/>
      <c r="Q413" s="241"/>
      <c r="R413" s="241"/>
      <c r="S413" s="244"/>
      <c r="T413" s="244"/>
      <c r="U413"/>
      <c r="AA413"/>
      <c r="AB413"/>
      <c r="AC413"/>
      <c r="AD413"/>
      <c r="AE413"/>
      <c r="AF413"/>
      <c r="AG413"/>
      <c r="AH413"/>
      <c r="AI413"/>
      <c r="AJ413"/>
      <c r="AK413"/>
      <c r="AL413"/>
      <c r="AM413"/>
      <c r="AN413"/>
      <c r="AO413"/>
      <c r="AP413"/>
      <c r="AQ413"/>
      <c r="AR413"/>
    </row>
    <row r="414" spans="1:44" s="239" customFormat="1">
      <c r="A414" s="241"/>
      <c r="B414" s="241"/>
      <c r="C414" s="245" t="str">
        <f>IF(B414="","",IFERROR(VLOOKUP(B414,PERUMAHAN!$A:$B,2,FALSE),"ID tidak ditemukan"))</f>
        <v/>
      </c>
      <c r="D414" s="241"/>
      <c r="E414" s="241"/>
      <c r="F414" s="241"/>
      <c r="G414" s="243"/>
      <c r="H414" s="254"/>
      <c r="I414" s="241"/>
      <c r="J414" s="241"/>
      <c r="K414" s="241"/>
      <c r="L414" s="241"/>
      <c r="M414" s="243"/>
      <c r="N414" s="243"/>
      <c r="O414" s="242"/>
      <c r="P414" s="241"/>
      <c r="Q414" s="241"/>
      <c r="R414" s="241"/>
      <c r="S414" s="244"/>
      <c r="T414" s="244"/>
      <c r="U414"/>
      <c r="AA414"/>
      <c r="AB414"/>
      <c r="AC414"/>
      <c r="AD414"/>
      <c r="AE414"/>
      <c r="AF414"/>
      <c r="AG414"/>
      <c r="AH414"/>
      <c r="AI414"/>
      <c r="AJ414"/>
      <c r="AK414"/>
      <c r="AL414"/>
      <c r="AM414"/>
      <c r="AN414"/>
      <c r="AO414"/>
      <c r="AP414"/>
      <c r="AQ414"/>
      <c r="AR414"/>
    </row>
    <row r="415" spans="1:44" s="239" customFormat="1">
      <c r="A415" s="241"/>
      <c r="B415" s="241"/>
      <c r="C415" s="245" t="str">
        <f>IF(B415="","",IFERROR(VLOOKUP(B415,PERUMAHAN!$A:$B,2,FALSE),"ID tidak ditemukan"))</f>
        <v/>
      </c>
      <c r="D415" s="241"/>
      <c r="E415" s="241"/>
      <c r="F415" s="241"/>
      <c r="G415" s="243"/>
      <c r="H415" s="254"/>
      <c r="I415" s="241"/>
      <c r="J415" s="241"/>
      <c r="K415" s="241"/>
      <c r="L415" s="241"/>
      <c r="M415" s="243"/>
      <c r="N415" s="243"/>
      <c r="O415" s="242"/>
      <c r="P415" s="241"/>
      <c r="Q415" s="241"/>
      <c r="R415" s="241"/>
      <c r="S415" s="244"/>
      <c r="T415" s="244"/>
      <c r="U415"/>
      <c r="AA415"/>
      <c r="AB415"/>
      <c r="AC415"/>
      <c r="AD415"/>
      <c r="AE415"/>
      <c r="AF415"/>
      <c r="AG415"/>
      <c r="AH415"/>
      <c r="AI415"/>
      <c r="AJ415"/>
      <c r="AK415"/>
      <c r="AL415"/>
      <c r="AM415"/>
      <c r="AN415"/>
      <c r="AO415"/>
      <c r="AP415"/>
      <c r="AQ415"/>
      <c r="AR415"/>
    </row>
    <row r="416" spans="1:44" s="239" customFormat="1">
      <c r="A416" s="241"/>
      <c r="B416" s="241"/>
      <c r="C416" s="245" t="str">
        <f>IF(B416="","",IFERROR(VLOOKUP(B416,PERUMAHAN!$A:$B,2,FALSE),"ID tidak ditemukan"))</f>
        <v/>
      </c>
      <c r="D416" s="241"/>
      <c r="E416" s="241"/>
      <c r="F416" s="241"/>
      <c r="G416" s="243"/>
      <c r="H416" s="254"/>
      <c r="I416" s="241"/>
      <c r="J416" s="241"/>
      <c r="K416" s="241"/>
      <c r="L416" s="241"/>
      <c r="M416" s="243"/>
      <c r="N416" s="243"/>
      <c r="O416" s="242"/>
      <c r="P416" s="241"/>
      <c r="Q416" s="241"/>
      <c r="R416" s="241"/>
      <c r="S416" s="244"/>
      <c r="T416" s="244"/>
      <c r="U416"/>
      <c r="AA416"/>
      <c r="AB416"/>
      <c r="AC416"/>
      <c r="AD416"/>
      <c r="AE416"/>
      <c r="AF416"/>
      <c r="AG416"/>
      <c r="AH416"/>
      <c r="AI416"/>
      <c r="AJ416"/>
      <c r="AK416"/>
      <c r="AL416"/>
      <c r="AM416"/>
      <c r="AN416"/>
      <c r="AO416"/>
      <c r="AP416"/>
      <c r="AQ416"/>
      <c r="AR416"/>
    </row>
    <row r="417" spans="1:44" s="239" customFormat="1">
      <c r="A417" s="241"/>
      <c r="B417" s="241"/>
      <c r="C417" s="245" t="str">
        <f>IF(B417="","",IFERROR(VLOOKUP(B417,PERUMAHAN!$A:$B,2,FALSE),"ID tidak ditemukan"))</f>
        <v/>
      </c>
      <c r="D417" s="241"/>
      <c r="E417" s="241"/>
      <c r="F417" s="241"/>
      <c r="G417" s="243"/>
      <c r="H417" s="254"/>
      <c r="I417" s="241"/>
      <c r="J417" s="241"/>
      <c r="K417" s="241"/>
      <c r="L417" s="241"/>
      <c r="M417" s="243"/>
      <c r="N417" s="243"/>
      <c r="O417" s="242"/>
      <c r="P417" s="241"/>
      <c r="Q417" s="241"/>
      <c r="R417" s="241"/>
      <c r="S417" s="244"/>
      <c r="T417" s="244"/>
      <c r="U417"/>
      <c r="AA417"/>
      <c r="AB417"/>
      <c r="AC417"/>
      <c r="AD417"/>
      <c r="AE417"/>
      <c r="AF417"/>
      <c r="AG417"/>
      <c r="AH417"/>
      <c r="AI417"/>
      <c r="AJ417"/>
      <c r="AK417"/>
      <c r="AL417"/>
      <c r="AM417"/>
      <c r="AN417"/>
      <c r="AO417"/>
      <c r="AP417"/>
      <c r="AQ417"/>
      <c r="AR417"/>
    </row>
    <row r="418" spans="1:44" s="239" customFormat="1">
      <c r="A418" s="241"/>
      <c r="B418" s="241"/>
      <c r="C418" s="245" t="str">
        <f>IF(B418="","",IFERROR(VLOOKUP(B418,PERUMAHAN!$A:$B,2,FALSE),"ID tidak ditemukan"))</f>
        <v/>
      </c>
      <c r="D418" s="241"/>
      <c r="E418" s="241"/>
      <c r="F418" s="241"/>
      <c r="G418" s="243"/>
      <c r="H418" s="254"/>
      <c r="I418" s="241"/>
      <c r="J418" s="241"/>
      <c r="K418" s="241"/>
      <c r="L418" s="241"/>
      <c r="M418" s="243"/>
      <c r="N418" s="243"/>
      <c r="O418" s="242"/>
      <c r="P418" s="241"/>
      <c r="Q418" s="241"/>
      <c r="R418" s="241"/>
      <c r="S418" s="244"/>
      <c r="T418" s="244"/>
      <c r="U418"/>
      <c r="AA418"/>
      <c r="AB418"/>
      <c r="AC418"/>
      <c r="AD418"/>
      <c r="AE418"/>
      <c r="AF418"/>
      <c r="AG418"/>
      <c r="AH418"/>
      <c r="AI418"/>
      <c r="AJ418"/>
      <c r="AK418"/>
      <c r="AL418"/>
      <c r="AM418"/>
      <c r="AN418"/>
      <c r="AO418"/>
      <c r="AP418"/>
      <c r="AQ418"/>
      <c r="AR418"/>
    </row>
    <row r="419" spans="1:44" s="239" customFormat="1">
      <c r="A419" s="241"/>
      <c r="B419" s="241"/>
      <c r="C419" s="245" t="str">
        <f>IF(B419="","",IFERROR(VLOOKUP(B419,PERUMAHAN!$A:$B,2,FALSE),"ID tidak ditemukan"))</f>
        <v/>
      </c>
      <c r="D419" s="241"/>
      <c r="E419" s="241"/>
      <c r="F419" s="241"/>
      <c r="G419" s="243"/>
      <c r="H419" s="254"/>
      <c r="I419" s="241"/>
      <c r="J419" s="241"/>
      <c r="K419" s="241"/>
      <c r="L419" s="241"/>
      <c r="M419" s="243"/>
      <c r="N419" s="243"/>
      <c r="O419" s="242"/>
      <c r="P419" s="241"/>
      <c r="Q419" s="241"/>
      <c r="R419" s="241"/>
      <c r="S419" s="244"/>
      <c r="T419" s="244"/>
      <c r="U419"/>
      <c r="AA419"/>
      <c r="AB419"/>
      <c r="AC419"/>
      <c r="AD419"/>
      <c r="AE419"/>
      <c r="AF419"/>
      <c r="AG419"/>
      <c r="AH419"/>
      <c r="AI419"/>
      <c r="AJ419"/>
      <c r="AK419"/>
      <c r="AL419"/>
      <c r="AM419"/>
      <c r="AN419"/>
      <c r="AO419"/>
      <c r="AP419"/>
      <c r="AQ419"/>
      <c r="AR419"/>
    </row>
    <row r="420" spans="1:44" s="239" customFormat="1">
      <c r="A420" s="241"/>
      <c r="B420" s="241"/>
      <c r="C420" s="245" t="str">
        <f>IF(B420="","",IFERROR(VLOOKUP(B420,PERUMAHAN!$A:$B,2,FALSE),"ID tidak ditemukan"))</f>
        <v/>
      </c>
      <c r="D420" s="241"/>
      <c r="E420" s="241"/>
      <c r="F420" s="241"/>
      <c r="G420" s="243"/>
      <c r="H420" s="254"/>
      <c r="I420" s="241"/>
      <c r="J420" s="241"/>
      <c r="K420" s="241"/>
      <c r="L420" s="241"/>
      <c r="M420" s="243"/>
      <c r="N420" s="243"/>
      <c r="O420" s="242"/>
      <c r="P420" s="241"/>
      <c r="Q420" s="241"/>
      <c r="R420" s="241"/>
      <c r="S420" s="244"/>
      <c r="T420" s="244"/>
      <c r="U420"/>
      <c r="AA420"/>
      <c r="AB420"/>
      <c r="AC420"/>
      <c r="AD420"/>
      <c r="AE420"/>
      <c r="AF420"/>
      <c r="AG420"/>
      <c r="AH420"/>
      <c r="AI420"/>
      <c r="AJ420"/>
      <c r="AK420"/>
      <c r="AL420"/>
      <c r="AM420"/>
      <c r="AN420"/>
      <c r="AO420"/>
      <c r="AP420"/>
      <c r="AQ420"/>
      <c r="AR420"/>
    </row>
    <row r="421" spans="1:44" s="239" customFormat="1">
      <c r="A421" s="241"/>
      <c r="B421" s="241"/>
      <c r="C421" s="245" t="str">
        <f>IF(B421="","",IFERROR(VLOOKUP(B421,PERUMAHAN!$A:$B,2,FALSE),"ID tidak ditemukan"))</f>
        <v/>
      </c>
      <c r="D421" s="241"/>
      <c r="E421" s="241"/>
      <c r="F421" s="241"/>
      <c r="G421" s="243"/>
      <c r="H421" s="254"/>
      <c r="I421" s="241"/>
      <c r="J421" s="241"/>
      <c r="K421" s="241"/>
      <c r="L421" s="241"/>
      <c r="M421" s="243"/>
      <c r="N421" s="243"/>
      <c r="O421" s="242"/>
      <c r="P421" s="241"/>
      <c r="Q421" s="241"/>
      <c r="R421" s="241"/>
      <c r="S421" s="244"/>
      <c r="T421" s="244"/>
      <c r="U421"/>
      <c r="AA421"/>
      <c r="AB421"/>
      <c r="AC421"/>
      <c r="AD421"/>
      <c r="AE421"/>
      <c r="AF421"/>
      <c r="AG421"/>
      <c r="AH421"/>
      <c r="AI421"/>
      <c r="AJ421"/>
      <c r="AK421"/>
      <c r="AL421"/>
      <c r="AM421"/>
      <c r="AN421"/>
      <c r="AO421"/>
      <c r="AP421"/>
      <c r="AQ421"/>
      <c r="AR421"/>
    </row>
    <row r="422" spans="1:44" s="239" customFormat="1">
      <c r="A422" s="241"/>
      <c r="B422" s="241"/>
      <c r="C422" s="245" t="str">
        <f>IF(B422="","",IFERROR(VLOOKUP(B422,PERUMAHAN!$A:$B,2,FALSE),"ID tidak ditemukan"))</f>
        <v/>
      </c>
      <c r="D422" s="241"/>
      <c r="E422" s="241"/>
      <c r="F422" s="241"/>
      <c r="G422" s="243"/>
      <c r="H422" s="254"/>
      <c r="I422" s="241"/>
      <c r="J422" s="241"/>
      <c r="K422" s="241"/>
      <c r="L422" s="241"/>
      <c r="M422" s="243"/>
      <c r="N422" s="243"/>
      <c r="O422" s="242"/>
      <c r="P422" s="241"/>
      <c r="Q422" s="241"/>
      <c r="R422" s="241"/>
      <c r="S422" s="244"/>
      <c r="T422" s="244"/>
      <c r="U422"/>
      <c r="AA422"/>
      <c r="AB422"/>
      <c r="AC422"/>
      <c r="AD422"/>
      <c r="AE422"/>
      <c r="AF422"/>
      <c r="AG422"/>
      <c r="AH422"/>
      <c r="AI422"/>
      <c r="AJ422"/>
      <c r="AK422"/>
      <c r="AL422"/>
      <c r="AM422"/>
      <c r="AN422"/>
      <c r="AO422"/>
      <c r="AP422"/>
      <c r="AQ422"/>
      <c r="AR422"/>
    </row>
    <row r="423" spans="1:44" s="239" customFormat="1">
      <c r="A423" s="241"/>
      <c r="B423" s="241"/>
      <c r="C423" s="245" t="str">
        <f>IF(B423="","",IFERROR(VLOOKUP(B423,PERUMAHAN!$A:$B,2,FALSE),"ID tidak ditemukan"))</f>
        <v/>
      </c>
      <c r="D423" s="241"/>
      <c r="E423" s="241"/>
      <c r="F423" s="241"/>
      <c r="G423" s="243"/>
      <c r="H423" s="254"/>
      <c r="I423" s="241"/>
      <c r="J423" s="241"/>
      <c r="K423" s="241"/>
      <c r="L423" s="241"/>
      <c r="M423" s="243"/>
      <c r="N423" s="243"/>
      <c r="O423" s="242"/>
      <c r="P423" s="241"/>
      <c r="Q423" s="241"/>
      <c r="R423" s="241"/>
      <c r="S423" s="244"/>
      <c r="T423" s="244"/>
      <c r="U423"/>
      <c r="AA423"/>
      <c r="AB423"/>
      <c r="AC423"/>
      <c r="AD423"/>
      <c r="AE423"/>
      <c r="AF423"/>
      <c r="AG423"/>
      <c r="AH423"/>
      <c r="AI423"/>
      <c r="AJ423"/>
      <c r="AK423"/>
      <c r="AL423"/>
      <c r="AM423"/>
      <c r="AN423"/>
      <c r="AO423"/>
      <c r="AP423"/>
      <c r="AQ423"/>
      <c r="AR423"/>
    </row>
    <row r="424" spans="1:44" s="239" customFormat="1">
      <c r="A424" s="241"/>
      <c r="B424" s="241"/>
      <c r="C424" s="245" t="str">
        <f>IF(B424="","",IFERROR(VLOOKUP(B424,PERUMAHAN!$A:$B,2,FALSE),"ID tidak ditemukan"))</f>
        <v/>
      </c>
      <c r="D424" s="241"/>
      <c r="E424" s="241"/>
      <c r="F424" s="241"/>
      <c r="G424" s="243"/>
      <c r="H424" s="254"/>
      <c r="I424" s="241"/>
      <c r="J424" s="241"/>
      <c r="K424" s="241"/>
      <c r="L424" s="241"/>
      <c r="M424" s="243"/>
      <c r="N424" s="243"/>
      <c r="O424" s="242"/>
      <c r="P424" s="241"/>
      <c r="Q424" s="241"/>
      <c r="R424" s="241"/>
      <c r="S424" s="244"/>
      <c r="T424" s="244"/>
      <c r="U424"/>
      <c r="AA424"/>
      <c r="AB424"/>
      <c r="AC424"/>
      <c r="AD424"/>
      <c r="AE424"/>
      <c r="AF424"/>
      <c r="AG424"/>
      <c r="AH424"/>
      <c r="AI424"/>
      <c r="AJ424"/>
      <c r="AK424"/>
      <c r="AL424"/>
      <c r="AM424"/>
      <c r="AN424"/>
      <c r="AO424"/>
      <c r="AP424"/>
      <c r="AQ424"/>
      <c r="AR424"/>
    </row>
    <row r="425" spans="1:44" s="239" customFormat="1">
      <c r="A425" s="241"/>
      <c r="B425" s="241"/>
      <c r="C425" s="245" t="str">
        <f>IF(B425="","",IFERROR(VLOOKUP(B425,PERUMAHAN!$A:$B,2,FALSE),"ID tidak ditemukan"))</f>
        <v/>
      </c>
      <c r="D425" s="241"/>
      <c r="E425" s="241"/>
      <c r="F425" s="241"/>
      <c r="G425" s="243"/>
      <c r="H425" s="254"/>
      <c r="I425" s="241"/>
      <c r="J425" s="241"/>
      <c r="K425" s="241"/>
      <c r="L425" s="241"/>
      <c r="M425" s="243"/>
      <c r="N425" s="243"/>
      <c r="O425" s="242"/>
      <c r="P425" s="241"/>
      <c r="Q425" s="241"/>
      <c r="R425" s="241"/>
      <c r="S425" s="244"/>
      <c r="T425" s="244"/>
      <c r="U425"/>
      <c r="AA425"/>
      <c r="AB425"/>
      <c r="AC425"/>
      <c r="AD425"/>
      <c r="AE425"/>
      <c r="AF425"/>
      <c r="AG425"/>
      <c r="AH425"/>
      <c r="AI425"/>
      <c r="AJ425"/>
      <c r="AK425"/>
      <c r="AL425"/>
      <c r="AM425"/>
      <c r="AN425"/>
      <c r="AO425"/>
      <c r="AP425"/>
      <c r="AQ425"/>
      <c r="AR425"/>
    </row>
    <row r="426" spans="1:44" s="239" customFormat="1">
      <c r="A426" s="241"/>
      <c r="B426" s="241"/>
      <c r="C426" s="245" t="str">
        <f>IF(B426="","",IFERROR(VLOOKUP(B426,PERUMAHAN!$A:$B,2,FALSE),"ID tidak ditemukan"))</f>
        <v/>
      </c>
      <c r="D426" s="241"/>
      <c r="E426" s="241"/>
      <c r="F426" s="241"/>
      <c r="G426" s="243"/>
      <c r="H426" s="254"/>
      <c r="I426" s="241"/>
      <c r="J426" s="241"/>
      <c r="K426" s="241"/>
      <c r="L426" s="241"/>
      <c r="M426" s="243"/>
      <c r="N426" s="243"/>
      <c r="O426" s="242"/>
      <c r="P426" s="241"/>
      <c r="Q426" s="241"/>
      <c r="R426" s="241"/>
      <c r="S426" s="244"/>
      <c r="T426" s="244"/>
      <c r="U426"/>
      <c r="AA426"/>
      <c r="AB426"/>
      <c r="AC426"/>
      <c r="AD426"/>
      <c r="AE426"/>
      <c r="AF426"/>
      <c r="AG426"/>
      <c r="AH426"/>
      <c r="AI426"/>
      <c r="AJ426"/>
      <c r="AK426"/>
      <c r="AL426"/>
      <c r="AM426"/>
      <c r="AN426"/>
      <c r="AO426"/>
      <c r="AP426"/>
      <c r="AQ426"/>
      <c r="AR426"/>
    </row>
    <row r="427" spans="1:44" s="239" customFormat="1">
      <c r="A427" s="241"/>
      <c r="B427" s="241"/>
      <c r="C427" s="245" t="str">
        <f>IF(B427="","",IFERROR(VLOOKUP(B427,PERUMAHAN!$A:$B,2,FALSE),"ID tidak ditemukan"))</f>
        <v/>
      </c>
      <c r="D427" s="241"/>
      <c r="E427" s="241"/>
      <c r="F427" s="241"/>
      <c r="G427" s="243"/>
      <c r="H427" s="254"/>
      <c r="I427" s="241"/>
      <c r="J427" s="241"/>
      <c r="K427" s="241"/>
      <c r="L427" s="241"/>
      <c r="M427" s="243"/>
      <c r="N427" s="243"/>
      <c r="O427" s="242"/>
      <c r="P427" s="241"/>
      <c r="Q427" s="241"/>
      <c r="R427" s="241"/>
      <c r="S427" s="244"/>
      <c r="T427" s="244"/>
      <c r="U427"/>
      <c r="AA427"/>
      <c r="AB427"/>
      <c r="AC427"/>
      <c r="AD427"/>
      <c r="AE427"/>
      <c r="AF427"/>
      <c r="AG427"/>
      <c r="AH427"/>
      <c r="AI427"/>
      <c r="AJ427"/>
      <c r="AK427"/>
      <c r="AL427"/>
      <c r="AM427"/>
      <c r="AN427"/>
      <c r="AO427"/>
      <c r="AP427"/>
      <c r="AQ427"/>
      <c r="AR427"/>
    </row>
    <row r="428" spans="1:44" s="239" customFormat="1">
      <c r="A428" s="241"/>
      <c r="B428" s="241"/>
      <c r="C428" s="245" t="str">
        <f>IF(B428="","",IFERROR(VLOOKUP(B428,PERUMAHAN!$A:$B,2,FALSE),"ID tidak ditemukan"))</f>
        <v/>
      </c>
      <c r="D428" s="241"/>
      <c r="E428" s="241"/>
      <c r="F428" s="241"/>
      <c r="G428" s="243"/>
      <c r="H428" s="254"/>
      <c r="I428" s="241"/>
      <c r="J428" s="241"/>
      <c r="K428" s="241"/>
      <c r="L428" s="241"/>
      <c r="M428" s="243"/>
      <c r="N428" s="243"/>
      <c r="O428" s="242"/>
      <c r="P428" s="241"/>
      <c r="Q428" s="241"/>
      <c r="R428" s="241"/>
      <c r="S428" s="244"/>
      <c r="T428" s="244"/>
      <c r="U428"/>
      <c r="AA428"/>
      <c r="AB428"/>
      <c r="AC428"/>
      <c r="AD428"/>
      <c r="AE428"/>
      <c r="AF428"/>
      <c r="AG428"/>
      <c r="AH428"/>
      <c r="AI428"/>
      <c r="AJ428"/>
      <c r="AK428"/>
      <c r="AL428"/>
      <c r="AM428"/>
      <c r="AN428"/>
      <c r="AO428"/>
      <c r="AP428"/>
      <c r="AQ428"/>
      <c r="AR428"/>
    </row>
    <row r="429" spans="1:44" s="239" customFormat="1">
      <c r="A429" s="241"/>
      <c r="B429" s="241"/>
      <c r="C429" s="245" t="str">
        <f>IF(B429="","",IFERROR(VLOOKUP(B429,PERUMAHAN!$A:$B,2,FALSE),"ID tidak ditemukan"))</f>
        <v/>
      </c>
      <c r="D429" s="241"/>
      <c r="E429" s="241"/>
      <c r="F429" s="241"/>
      <c r="G429" s="243"/>
      <c r="H429" s="254"/>
      <c r="I429" s="241"/>
      <c r="J429" s="241"/>
      <c r="K429" s="241"/>
      <c r="L429" s="241"/>
      <c r="M429" s="243"/>
      <c r="N429" s="243"/>
      <c r="O429" s="242"/>
      <c r="P429" s="241"/>
      <c r="Q429" s="241"/>
      <c r="R429" s="241"/>
      <c r="S429" s="244"/>
      <c r="T429" s="244"/>
      <c r="U429"/>
      <c r="AA429"/>
      <c r="AB429"/>
      <c r="AC429"/>
      <c r="AD429"/>
      <c r="AE429"/>
      <c r="AF429"/>
      <c r="AG429"/>
      <c r="AH429"/>
      <c r="AI429"/>
      <c r="AJ429"/>
      <c r="AK429"/>
      <c r="AL429"/>
      <c r="AM429"/>
      <c r="AN429"/>
      <c r="AO429"/>
      <c r="AP429"/>
      <c r="AQ429"/>
      <c r="AR429"/>
    </row>
    <row r="430" spans="1:44" s="239" customFormat="1">
      <c r="A430" s="241"/>
      <c r="B430" s="241"/>
      <c r="C430" s="245" t="str">
        <f>IF(B430="","",IFERROR(VLOOKUP(B430,PERUMAHAN!$A:$B,2,FALSE),"ID tidak ditemukan"))</f>
        <v/>
      </c>
      <c r="D430" s="241"/>
      <c r="E430" s="241"/>
      <c r="F430" s="241"/>
      <c r="G430" s="243"/>
      <c r="H430" s="254"/>
      <c r="I430" s="241"/>
      <c r="J430" s="241"/>
      <c r="K430" s="241"/>
      <c r="L430" s="241"/>
      <c r="M430" s="243"/>
      <c r="N430" s="243"/>
      <c r="O430" s="242"/>
      <c r="P430" s="241"/>
      <c r="Q430" s="241"/>
      <c r="R430" s="241"/>
      <c r="S430" s="244"/>
      <c r="T430" s="244"/>
      <c r="U430"/>
      <c r="AA430"/>
      <c r="AB430"/>
      <c r="AC430"/>
      <c r="AD430"/>
      <c r="AE430"/>
      <c r="AF430"/>
      <c r="AG430"/>
      <c r="AH430"/>
      <c r="AI430"/>
      <c r="AJ430"/>
      <c r="AK430"/>
      <c r="AL430"/>
      <c r="AM430"/>
      <c r="AN430"/>
      <c r="AO430"/>
      <c r="AP430"/>
      <c r="AQ430"/>
      <c r="AR430"/>
    </row>
    <row r="431" spans="1:44" s="239" customFormat="1">
      <c r="A431" s="241"/>
      <c r="B431" s="241"/>
      <c r="C431" s="245" t="str">
        <f>IF(B431="","",IFERROR(VLOOKUP(B431,PERUMAHAN!$A:$B,2,FALSE),"ID tidak ditemukan"))</f>
        <v/>
      </c>
      <c r="D431" s="241"/>
      <c r="E431" s="241"/>
      <c r="F431" s="241"/>
      <c r="G431" s="243"/>
      <c r="H431" s="254"/>
      <c r="I431" s="241"/>
      <c r="J431" s="241"/>
      <c r="K431" s="241"/>
      <c r="L431" s="241"/>
      <c r="M431" s="243"/>
      <c r="N431" s="243"/>
      <c r="O431" s="242"/>
      <c r="P431" s="241"/>
      <c r="Q431" s="241"/>
      <c r="R431" s="241"/>
      <c r="S431" s="244"/>
      <c r="T431" s="244"/>
      <c r="U431"/>
      <c r="AA431"/>
      <c r="AB431"/>
      <c r="AC431"/>
      <c r="AD431"/>
      <c r="AE431"/>
      <c r="AF431"/>
      <c r="AG431"/>
      <c r="AH431"/>
      <c r="AI431"/>
      <c r="AJ431"/>
      <c r="AK431"/>
      <c r="AL431"/>
      <c r="AM431"/>
      <c r="AN431"/>
      <c r="AO431"/>
      <c r="AP431"/>
      <c r="AQ431"/>
      <c r="AR431"/>
    </row>
    <row r="432" spans="1:44" s="239" customFormat="1">
      <c r="A432" s="241"/>
      <c r="B432" s="241"/>
      <c r="C432" s="245" t="str">
        <f>IF(B432="","",IFERROR(VLOOKUP(B432,PERUMAHAN!$A:$B,2,FALSE),"ID tidak ditemukan"))</f>
        <v/>
      </c>
      <c r="D432" s="241"/>
      <c r="E432" s="241"/>
      <c r="F432" s="241"/>
      <c r="G432" s="243"/>
      <c r="H432" s="254"/>
      <c r="I432" s="241"/>
      <c r="J432" s="241"/>
      <c r="K432" s="241"/>
      <c r="L432" s="241"/>
      <c r="M432" s="243"/>
      <c r="N432" s="243"/>
      <c r="O432" s="242"/>
      <c r="P432" s="241"/>
      <c r="Q432" s="241"/>
      <c r="R432" s="241"/>
      <c r="S432" s="244"/>
      <c r="T432" s="244"/>
      <c r="U432"/>
      <c r="AA432"/>
      <c r="AB432"/>
      <c r="AC432"/>
      <c r="AD432"/>
      <c r="AE432"/>
      <c r="AF432"/>
      <c r="AG432"/>
      <c r="AH432"/>
      <c r="AI432"/>
      <c r="AJ432"/>
      <c r="AK432"/>
      <c r="AL432"/>
      <c r="AM432"/>
      <c r="AN432"/>
      <c r="AO432"/>
      <c r="AP432"/>
      <c r="AQ432"/>
      <c r="AR432"/>
    </row>
    <row r="433" spans="1:44" s="239" customFormat="1">
      <c r="A433" s="241"/>
      <c r="B433" s="241"/>
      <c r="C433" s="245" t="str">
        <f>IF(B433="","",IFERROR(VLOOKUP(B433,PERUMAHAN!$A:$B,2,FALSE),"ID tidak ditemukan"))</f>
        <v/>
      </c>
      <c r="D433" s="241"/>
      <c r="E433" s="241"/>
      <c r="F433" s="241"/>
      <c r="G433" s="243"/>
      <c r="H433" s="254"/>
      <c r="I433" s="241"/>
      <c r="J433" s="241"/>
      <c r="K433" s="241"/>
      <c r="L433" s="241"/>
      <c r="M433" s="243"/>
      <c r="N433" s="243"/>
      <c r="O433" s="242"/>
      <c r="P433" s="241"/>
      <c r="Q433" s="241"/>
      <c r="R433" s="241"/>
      <c r="S433" s="244"/>
      <c r="T433" s="244"/>
      <c r="U433"/>
      <c r="AA433"/>
      <c r="AB433"/>
      <c r="AC433"/>
      <c r="AD433"/>
      <c r="AE433"/>
      <c r="AF433"/>
      <c r="AG433"/>
      <c r="AH433"/>
      <c r="AI433"/>
      <c r="AJ433"/>
      <c r="AK433"/>
      <c r="AL433"/>
      <c r="AM433"/>
      <c r="AN433"/>
      <c r="AO433"/>
      <c r="AP433"/>
      <c r="AQ433"/>
      <c r="AR433"/>
    </row>
    <row r="434" spans="1:44" s="239" customFormat="1">
      <c r="A434" s="241"/>
      <c r="B434" s="241"/>
      <c r="C434" s="245" t="str">
        <f>IF(B434="","",IFERROR(VLOOKUP(B434,PERUMAHAN!$A:$B,2,FALSE),"ID tidak ditemukan"))</f>
        <v/>
      </c>
      <c r="D434" s="241"/>
      <c r="E434" s="241"/>
      <c r="F434" s="241"/>
      <c r="G434" s="243"/>
      <c r="H434" s="254"/>
      <c r="I434" s="241"/>
      <c r="J434" s="241"/>
      <c r="K434" s="241"/>
      <c r="L434" s="241"/>
      <c r="M434" s="243"/>
      <c r="N434" s="243"/>
      <c r="O434" s="242"/>
      <c r="P434" s="241"/>
      <c r="Q434" s="241"/>
      <c r="R434" s="241"/>
      <c r="S434" s="244"/>
      <c r="T434" s="244"/>
      <c r="U434"/>
      <c r="AA434"/>
      <c r="AB434"/>
      <c r="AC434"/>
      <c r="AD434"/>
      <c r="AE434"/>
      <c r="AF434"/>
      <c r="AG434"/>
      <c r="AH434"/>
      <c r="AI434"/>
      <c r="AJ434"/>
      <c r="AK434"/>
      <c r="AL434"/>
      <c r="AM434"/>
      <c r="AN434"/>
      <c r="AO434"/>
      <c r="AP434"/>
      <c r="AQ434"/>
      <c r="AR434"/>
    </row>
    <row r="435" spans="1:44" s="239" customFormat="1">
      <c r="A435" s="241"/>
      <c r="B435" s="241"/>
      <c r="C435" s="245" t="str">
        <f>IF(B435="","",IFERROR(VLOOKUP(B435,PERUMAHAN!$A:$B,2,FALSE),"ID tidak ditemukan"))</f>
        <v/>
      </c>
      <c r="D435" s="241"/>
      <c r="E435" s="241"/>
      <c r="F435" s="241"/>
      <c r="G435" s="243"/>
      <c r="H435" s="254"/>
      <c r="I435" s="241"/>
      <c r="J435" s="241"/>
      <c r="K435" s="241"/>
      <c r="L435" s="241"/>
      <c r="M435" s="243"/>
      <c r="N435" s="243"/>
      <c r="O435" s="242"/>
      <c r="P435" s="241"/>
      <c r="Q435" s="241"/>
      <c r="R435" s="241"/>
      <c r="S435" s="244"/>
      <c r="T435" s="244"/>
      <c r="U435"/>
      <c r="AA435"/>
      <c r="AB435"/>
      <c r="AC435"/>
      <c r="AD435"/>
      <c r="AE435"/>
      <c r="AF435"/>
      <c r="AG435"/>
      <c r="AH435"/>
      <c r="AI435"/>
      <c r="AJ435"/>
      <c r="AK435"/>
      <c r="AL435"/>
      <c r="AM435"/>
      <c r="AN435"/>
      <c r="AO435"/>
      <c r="AP435"/>
      <c r="AQ435"/>
      <c r="AR435"/>
    </row>
    <row r="436" spans="1:44" s="239" customFormat="1">
      <c r="A436" s="241"/>
      <c r="B436" s="241"/>
      <c r="C436" s="245" t="str">
        <f>IF(B436="","",IFERROR(VLOOKUP(B436,PERUMAHAN!$A:$B,2,FALSE),"ID tidak ditemukan"))</f>
        <v/>
      </c>
      <c r="D436" s="241"/>
      <c r="E436" s="241"/>
      <c r="F436" s="241"/>
      <c r="G436" s="243"/>
      <c r="H436" s="254"/>
      <c r="I436" s="241"/>
      <c r="J436" s="241"/>
      <c r="K436" s="241"/>
      <c r="L436" s="241"/>
      <c r="M436" s="243"/>
      <c r="N436" s="243"/>
      <c r="O436" s="242"/>
      <c r="P436" s="241"/>
      <c r="Q436" s="241"/>
      <c r="R436" s="241"/>
      <c r="S436" s="244"/>
      <c r="T436" s="244"/>
      <c r="U436"/>
      <c r="AA436"/>
      <c r="AB436"/>
      <c r="AC436"/>
      <c r="AD436"/>
      <c r="AE436"/>
      <c r="AF436"/>
      <c r="AG436"/>
      <c r="AH436"/>
      <c r="AI436"/>
      <c r="AJ436"/>
      <c r="AK436"/>
      <c r="AL436"/>
      <c r="AM436"/>
      <c r="AN436"/>
      <c r="AO436"/>
      <c r="AP436"/>
      <c r="AQ436"/>
      <c r="AR436"/>
    </row>
    <row r="437" spans="1:44" s="239" customFormat="1">
      <c r="A437" s="241"/>
      <c r="B437" s="241"/>
      <c r="C437" s="245" t="str">
        <f>IF(B437="","",IFERROR(VLOOKUP(B437,PERUMAHAN!$A:$B,2,FALSE),"ID tidak ditemukan"))</f>
        <v/>
      </c>
      <c r="D437" s="241"/>
      <c r="E437" s="241"/>
      <c r="F437" s="241"/>
      <c r="G437" s="243"/>
      <c r="H437" s="254"/>
      <c r="I437" s="241"/>
      <c r="J437" s="241"/>
      <c r="K437" s="241"/>
      <c r="L437" s="241"/>
      <c r="M437" s="243"/>
      <c r="N437" s="243"/>
      <c r="O437" s="242"/>
      <c r="P437" s="241"/>
      <c r="Q437" s="241"/>
      <c r="R437" s="241"/>
      <c r="S437" s="244"/>
      <c r="T437" s="244"/>
      <c r="U437"/>
      <c r="AA437"/>
      <c r="AB437"/>
      <c r="AC437"/>
      <c r="AD437"/>
      <c r="AE437"/>
      <c r="AF437"/>
      <c r="AG437"/>
      <c r="AH437"/>
      <c r="AI437"/>
      <c r="AJ437"/>
      <c r="AK437"/>
      <c r="AL437"/>
      <c r="AM437"/>
      <c r="AN437"/>
      <c r="AO437"/>
      <c r="AP437"/>
      <c r="AQ437"/>
      <c r="AR437"/>
    </row>
    <row r="438" spans="1:44" s="239" customFormat="1">
      <c r="A438" s="241"/>
      <c r="B438" s="241"/>
      <c r="C438" s="245" t="str">
        <f>IF(B438="","",IFERROR(VLOOKUP(B438,PERUMAHAN!$A:$B,2,FALSE),"ID tidak ditemukan"))</f>
        <v/>
      </c>
      <c r="D438" s="241"/>
      <c r="E438" s="241"/>
      <c r="F438" s="241"/>
      <c r="G438" s="243"/>
      <c r="H438" s="254"/>
      <c r="I438" s="241"/>
      <c r="J438" s="241"/>
      <c r="K438" s="241"/>
      <c r="L438" s="241"/>
      <c r="M438" s="243"/>
      <c r="N438" s="243"/>
      <c r="O438" s="242"/>
      <c r="P438" s="241"/>
      <c r="Q438" s="241"/>
      <c r="R438" s="241"/>
      <c r="S438" s="244"/>
      <c r="T438" s="244"/>
      <c r="U438"/>
      <c r="AA438"/>
      <c r="AB438"/>
      <c r="AC438"/>
      <c r="AD438"/>
      <c r="AE438"/>
      <c r="AF438"/>
      <c r="AG438"/>
      <c r="AH438"/>
      <c r="AI438"/>
      <c r="AJ438"/>
      <c r="AK438"/>
      <c r="AL438"/>
      <c r="AM438"/>
      <c r="AN438"/>
      <c r="AO438"/>
      <c r="AP438"/>
      <c r="AQ438"/>
      <c r="AR438"/>
    </row>
    <row r="439" spans="1:44" s="239" customFormat="1">
      <c r="A439" s="241"/>
      <c r="B439" s="241"/>
      <c r="C439" s="245" t="str">
        <f>IF(B439="","",IFERROR(VLOOKUP(B439,PERUMAHAN!$A:$B,2,FALSE),"ID tidak ditemukan"))</f>
        <v/>
      </c>
      <c r="D439" s="241"/>
      <c r="E439" s="241"/>
      <c r="F439" s="241"/>
      <c r="G439" s="243"/>
      <c r="H439" s="254"/>
      <c r="I439" s="241"/>
      <c r="J439" s="241"/>
      <c r="K439" s="241"/>
      <c r="L439" s="241"/>
      <c r="M439" s="243"/>
      <c r="N439" s="243"/>
      <c r="O439" s="242"/>
      <c r="P439" s="241"/>
      <c r="Q439" s="241"/>
      <c r="R439" s="241"/>
      <c r="S439" s="244"/>
      <c r="T439" s="244"/>
      <c r="U439"/>
      <c r="AA439"/>
      <c r="AB439"/>
      <c r="AC439"/>
      <c r="AD439"/>
      <c r="AE439"/>
      <c r="AF439"/>
      <c r="AG439"/>
      <c r="AH439"/>
      <c r="AI439"/>
      <c r="AJ439"/>
      <c r="AK439"/>
      <c r="AL439"/>
      <c r="AM439"/>
      <c r="AN439"/>
      <c r="AO439"/>
      <c r="AP439"/>
      <c r="AQ439"/>
      <c r="AR439"/>
    </row>
    <row r="440" spans="1:44" s="239" customFormat="1">
      <c r="A440" s="241"/>
      <c r="B440" s="241"/>
      <c r="C440" s="245" t="str">
        <f>IF(B440="","",IFERROR(VLOOKUP(B440,PERUMAHAN!$A:$B,2,FALSE),"ID tidak ditemukan"))</f>
        <v/>
      </c>
      <c r="D440" s="241"/>
      <c r="E440" s="241"/>
      <c r="F440" s="241"/>
      <c r="G440" s="243"/>
      <c r="H440" s="254"/>
      <c r="I440" s="241"/>
      <c r="J440" s="241"/>
      <c r="K440" s="241"/>
      <c r="L440" s="241"/>
      <c r="M440" s="243"/>
      <c r="N440" s="243"/>
      <c r="O440" s="242"/>
      <c r="P440" s="241"/>
      <c r="Q440" s="241"/>
      <c r="R440" s="241"/>
      <c r="S440" s="244"/>
      <c r="T440" s="244"/>
      <c r="U440"/>
      <c r="AA440"/>
      <c r="AB440"/>
      <c r="AC440"/>
      <c r="AD440"/>
      <c r="AE440"/>
      <c r="AF440"/>
      <c r="AG440"/>
      <c r="AH440"/>
      <c r="AI440"/>
      <c r="AJ440"/>
      <c r="AK440"/>
      <c r="AL440"/>
      <c r="AM440"/>
      <c r="AN440"/>
      <c r="AO440"/>
      <c r="AP440"/>
      <c r="AQ440"/>
      <c r="AR440"/>
    </row>
    <row r="441" spans="1:44" s="239" customFormat="1">
      <c r="A441" s="241"/>
      <c r="B441" s="241"/>
      <c r="C441" s="245" t="str">
        <f>IF(B441="","",IFERROR(VLOOKUP(B441,PERUMAHAN!$A:$B,2,FALSE),"ID tidak ditemukan"))</f>
        <v/>
      </c>
      <c r="D441" s="241"/>
      <c r="E441" s="241"/>
      <c r="F441" s="241"/>
      <c r="G441" s="243"/>
      <c r="H441" s="254"/>
      <c r="I441" s="241"/>
      <c r="J441" s="241"/>
      <c r="K441" s="241"/>
      <c r="L441" s="241"/>
      <c r="M441" s="243"/>
      <c r="N441" s="243"/>
      <c r="O441" s="242"/>
      <c r="P441" s="241"/>
      <c r="Q441" s="241"/>
      <c r="R441" s="241"/>
      <c r="S441" s="244"/>
      <c r="T441" s="244"/>
      <c r="U441"/>
      <c r="AA441"/>
      <c r="AB441"/>
      <c r="AC441"/>
      <c r="AD441"/>
      <c r="AE441"/>
      <c r="AF441"/>
      <c r="AG441"/>
      <c r="AH441"/>
      <c r="AI441"/>
      <c r="AJ441"/>
      <c r="AK441"/>
      <c r="AL441"/>
      <c r="AM441"/>
      <c r="AN441"/>
      <c r="AO441"/>
      <c r="AP441"/>
      <c r="AQ441"/>
      <c r="AR441"/>
    </row>
    <row r="442" spans="1:44" s="239" customFormat="1">
      <c r="A442" s="241"/>
      <c r="B442" s="241"/>
      <c r="C442" s="245" t="str">
        <f>IF(B442="","",IFERROR(VLOOKUP(B442,PERUMAHAN!$A:$B,2,FALSE),"ID tidak ditemukan"))</f>
        <v/>
      </c>
      <c r="D442" s="241"/>
      <c r="E442" s="241"/>
      <c r="F442" s="241"/>
      <c r="G442" s="243"/>
      <c r="H442" s="254"/>
      <c r="I442" s="241"/>
      <c r="J442" s="241"/>
      <c r="K442" s="241"/>
      <c r="L442" s="241"/>
      <c r="M442" s="243"/>
      <c r="N442" s="243"/>
      <c r="O442" s="242"/>
      <c r="P442" s="241"/>
      <c r="Q442" s="241"/>
      <c r="R442" s="241"/>
      <c r="S442" s="244"/>
      <c r="T442" s="244"/>
      <c r="U442"/>
      <c r="AA442"/>
      <c r="AB442"/>
      <c r="AC442"/>
      <c r="AD442"/>
      <c r="AE442"/>
      <c r="AF442"/>
      <c r="AG442"/>
      <c r="AH442"/>
      <c r="AI442"/>
      <c r="AJ442"/>
      <c r="AK442"/>
      <c r="AL442"/>
      <c r="AM442"/>
      <c r="AN442"/>
      <c r="AO442"/>
      <c r="AP442"/>
      <c r="AQ442"/>
      <c r="AR442"/>
    </row>
    <row r="443" spans="1:44" s="239" customFormat="1">
      <c r="A443" s="241"/>
      <c r="B443" s="241"/>
      <c r="C443" s="245" t="str">
        <f>IF(B443="","",IFERROR(VLOOKUP(B443,PERUMAHAN!$A:$B,2,FALSE),"ID tidak ditemukan"))</f>
        <v/>
      </c>
      <c r="D443" s="241"/>
      <c r="E443" s="241"/>
      <c r="F443" s="241"/>
      <c r="G443" s="243"/>
      <c r="H443" s="254"/>
      <c r="I443" s="241"/>
      <c r="J443" s="241"/>
      <c r="K443" s="241"/>
      <c r="L443" s="241"/>
      <c r="M443" s="243"/>
      <c r="N443" s="243"/>
      <c r="O443" s="242"/>
      <c r="P443" s="241"/>
      <c r="Q443" s="241"/>
      <c r="R443" s="241"/>
      <c r="S443" s="244"/>
      <c r="T443" s="244"/>
      <c r="U443"/>
      <c r="AA443"/>
      <c r="AB443"/>
      <c r="AC443"/>
      <c r="AD443"/>
      <c r="AE443"/>
      <c r="AF443"/>
      <c r="AG443"/>
      <c r="AH443"/>
      <c r="AI443"/>
      <c r="AJ443"/>
      <c r="AK443"/>
      <c r="AL443"/>
      <c r="AM443"/>
      <c r="AN443"/>
      <c r="AO443"/>
      <c r="AP443"/>
      <c r="AQ443"/>
      <c r="AR443"/>
    </row>
    <row r="444" spans="1:44" s="239" customFormat="1">
      <c r="A444" s="241"/>
      <c r="B444" s="241"/>
      <c r="C444" s="245" t="str">
        <f>IF(B444="","",IFERROR(VLOOKUP(B444,PERUMAHAN!$A:$B,2,FALSE),"ID tidak ditemukan"))</f>
        <v/>
      </c>
      <c r="D444" s="241"/>
      <c r="E444" s="241"/>
      <c r="F444" s="241"/>
      <c r="G444" s="243"/>
      <c r="H444" s="254"/>
      <c r="I444" s="241"/>
      <c r="J444" s="241"/>
      <c r="K444" s="241"/>
      <c r="L444" s="241"/>
      <c r="M444" s="243"/>
      <c r="N444" s="243"/>
      <c r="O444" s="242"/>
      <c r="P444" s="241"/>
      <c r="Q444" s="241"/>
      <c r="R444" s="241"/>
      <c r="S444" s="244"/>
      <c r="T444" s="244"/>
      <c r="U444"/>
      <c r="AA444"/>
      <c r="AB444"/>
      <c r="AC444"/>
      <c r="AD444"/>
      <c r="AE444"/>
      <c r="AF444"/>
      <c r="AG444"/>
      <c r="AH444"/>
      <c r="AI444"/>
      <c r="AJ444"/>
      <c r="AK444"/>
      <c r="AL444"/>
      <c r="AM444"/>
      <c r="AN444"/>
      <c r="AO444"/>
      <c r="AP444"/>
      <c r="AQ444"/>
      <c r="AR444"/>
    </row>
    <row r="445" spans="1:44" s="239" customFormat="1">
      <c r="A445" s="241"/>
      <c r="B445" s="241"/>
      <c r="C445" s="245" t="str">
        <f>IF(B445="","",IFERROR(VLOOKUP(B445,PERUMAHAN!$A:$B,2,FALSE),"ID tidak ditemukan"))</f>
        <v/>
      </c>
      <c r="D445" s="241"/>
      <c r="E445" s="241"/>
      <c r="F445" s="241"/>
      <c r="G445" s="243"/>
      <c r="H445" s="254"/>
      <c r="I445" s="241"/>
      <c r="J445" s="241"/>
      <c r="K445" s="241"/>
      <c r="L445" s="241"/>
      <c r="M445" s="243"/>
      <c r="N445" s="243"/>
      <c r="O445" s="242"/>
      <c r="P445" s="241"/>
      <c r="Q445" s="241"/>
      <c r="R445" s="241"/>
      <c r="S445" s="244"/>
      <c r="T445" s="244"/>
      <c r="U445"/>
      <c r="AA445"/>
      <c r="AB445"/>
      <c r="AC445"/>
      <c r="AD445"/>
      <c r="AE445"/>
      <c r="AF445"/>
      <c r="AG445"/>
      <c r="AH445"/>
      <c r="AI445"/>
      <c r="AJ445"/>
      <c r="AK445"/>
      <c r="AL445"/>
      <c r="AM445"/>
      <c r="AN445"/>
      <c r="AO445"/>
      <c r="AP445"/>
      <c r="AQ445"/>
      <c r="AR445"/>
    </row>
    <row r="446" spans="1:44" s="239" customFormat="1">
      <c r="A446" s="241"/>
      <c r="B446" s="241"/>
      <c r="C446" s="245" t="str">
        <f>IF(B446="","",IFERROR(VLOOKUP(B446,PERUMAHAN!$A:$B,2,FALSE),"ID tidak ditemukan"))</f>
        <v/>
      </c>
      <c r="D446" s="241"/>
      <c r="E446" s="241"/>
      <c r="F446" s="241"/>
      <c r="G446" s="243"/>
      <c r="H446" s="254"/>
      <c r="I446" s="241"/>
      <c r="J446" s="241"/>
      <c r="K446" s="241"/>
      <c r="L446" s="241"/>
      <c r="M446" s="243"/>
      <c r="N446" s="243"/>
      <c r="O446" s="242"/>
      <c r="P446" s="241"/>
      <c r="Q446" s="241"/>
      <c r="R446" s="241"/>
      <c r="S446" s="244"/>
      <c r="T446" s="244"/>
      <c r="U446"/>
      <c r="AA446"/>
      <c r="AB446"/>
      <c r="AC446"/>
      <c r="AD446"/>
      <c r="AE446"/>
      <c r="AF446"/>
      <c r="AG446"/>
      <c r="AH446"/>
      <c r="AI446"/>
      <c r="AJ446"/>
      <c r="AK446"/>
      <c r="AL446"/>
      <c r="AM446"/>
      <c r="AN446"/>
      <c r="AO446"/>
      <c r="AP446"/>
      <c r="AQ446"/>
      <c r="AR446"/>
    </row>
    <row r="447" spans="1:44" s="239" customFormat="1">
      <c r="A447" s="241"/>
      <c r="B447" s="241"/>
      <c r="C447" s="245" t="str">
        <f>IF(B447="","",IFERROR(VLOOKUP(B447,PERUMAHAN!$A:$B,2,FALSE),"ID tidak ditemukan"))</f>
        <v/>
      </c>
      <c r="D447" s="241"/>
      <c r="E447" s="241"/>
      <c r="F447" s="241"/>
      <c r="G447" s="243"/>
      <c r="H447" s="254"/>
      <c r="I447" s="241"/>
      <c r="J447" s="241"/>
      <c r="K447" s="241"/>
      <c r="L447" s="241"/>
      <c r="M447" s="243"/>
      <c r="N447" s="243"/>
      <c r="O447" s="242"/>
      <c r="P447" s="241"/>
      <c r="Q447" s="241"/>
      <c r="R447" s="241"/>
      <c r="S447" s="244"/>
      <c r="T447" s="244"/>
      <c r="U447"/>
      <c r="AA447"/>
      <c r="AB447"/>
      <c r="AC447"/>
      <c r="AD447"/>
      <c r="AE447"/>
      <c r="AF447"/>
      <c r="AG447"/>
      <c r="AH447"/>
      <c r="AI447"/>
      <c r="AJ447"/>
      <c r="AK447"/>
      <c r="AL447"/>
      <c r="AM447"/>
      <c r="AN447"/>
      <c r="AO447"/>
      <c r="AP447"/>
      <c r="AQ447"/>
      <c r="AR447"/>
    </row>
    <row r="448" spans="1:44" s="239" customFormat="1">
      <c r="A448" s="241"/>
      <c r="B448" s="241"/>
      <c r="C448" s="245" t="str">
        <f>IF(B448="","",IFERROR(VLOOKUP(B448,PERUMAHAN!$A:$B,2,FALSE),"ID tidak ditemukan"))</f>
        <v/>
      </c>
      <c r="D448" s="241"/>
      <c r="E448" s="241"/>
      <c r="F448" s="241"/>
      <c r="G448" s="243"/>
      <c r="H448" s="254"/>
      <c r="I448" s="241"/>
      <c r="J448" s="241"/>
      <c r="K448" s="241"/>
      <c r="L448" s="241"/>
      <c r="M448" s="243"/>
      <c r="N448" s="243"/>
      <c r="O448" s="242"/>
      <c r="P448" s="241"/>
      <c r="Q448" s="241"/>
      <c r="R448" s="241"/>
      <c r="S448" s="244"/>
      <c r="T448" s="244"/>
      <c r="U448"/>
      <c r="AA448"/>
      <c r="AB448"/>
      <c r="AC448"/>
      <c r="AD448"/>
      <c r="AE448"/>
      <c r="AF448"/>
      <c r="AG448"/>
      <c r="AH448"/>
      <c r="AI448"/>
      <c r="AJ448"/>
      <c r="AK448"/>
      <c r="AL448"/>
      <c r="AM448"/>
      <c r="AN448"/>
      <c r="AO448"/>
      <c r="AP448"/>
      <c r="AQ448"/>
      <c r="AR448"/>
    </row>
    <row r="449" spans="1:44" s="239" customFormat="1">
      <c r="A449" s="241"/>
      <c r="B449" s="241"/>
      <c r="C449" s="245" t="str">
        <f>IF(B449="","",IFERROR(VLOOKUP(B449,PERUMAHAN!$A:$B,2,FALSE),"ID tidak ditemukan"))</f>
        <v/>
      </c>
      <c r="D449" s="241"/>
      <c r="E449" s="241"/>
      <c r="F449" s="241"/>
      <c r="G449" s="243"/>
      <c r="H449" s="254"/>
      <c r="I449" s="241"/>
      <c r="J449" s="241"/>
      <c r="K449" s="241"/>
      <c r="L449" s="241"/>
      <c r="M449" s="243"/>
      <c r="N449" s="243"/>
      <c r="O449" s="242"/>
      <c r="P449" s="241"/>
      <c r="Q449" s="241"/>
      <c r="R449" s="241"/>
      <c r="S449" s="244"/>
      <c r="T449" s="244"/>
      <c r="U449"/>
      <c r="AA449"/>
      <c r="AB449"/>
      <c r="AC449"/>
      <c r="AD449"/>
      <c r="AE449"/>
      <c r="AF449"/>
      <c r="AG449"/>
      <c r="AH449"/>
      <c r="AI449"/>
      <c r="AJ449"/>
      <c r="AK449"/>
      <c r="AL449"/>
      <c r="AM449"/>
      <c r="AN449"/>
      <c r="AO449"/>
      <c r="AP449"/>
      <c r="AQ449"/>
      <c r="AR449"/>
    </row>
    <row r="450" spans="1:44" s="239" customFormat="1">
      <c r="A450" s="241"/>
      <c r="B450" s="241"/>
      <c r="C450" s="245" t="str">
        <f>IF(B450="","",IFERROR(VLOOKUP(B450,PERUMAHAN!$A:$B,2,FALSE),"ID tidak ditemukan"))</f>
        <v/>
      </c>
      <c r="D450" s="241"/>
      <c r="E450" s="241"/>
      <c r="F450" s="241"/>
      <c r="G450" s="243"/>
      <c r="H450" s="254"/>
      <c r="I450" s="241"/>
      <c r="J450" s="241"/>
      <c r="K450" s="241"/>
      <c r="L450" s="241"/>
      <c r="M450" s="243"/>
      <c r="N450" s="243"/>
      <c r="O450" s="242"/>
      <c r="P450" s="241"/>
      <c r="Q450" s="241"/>
      <c r="R450" s="241"/>
      <c r="S450" s="244"/>
      <c r="T450" s="244"/>
      <c r="U450"/>
      <c r="AA450"/>
      <c r="AB450"/>
      <c r="AC450"/>
      <c r="AD450"/>
      <c r="AE450"/>
      <c r="AF450"/>
      <c r="AG450"/>
      <c r="AH450"/>
      <c r="AI450"/>
      <c r="AJ450"/>
      <c r="AK450"/>
      <c r="AL450"/>
      <c r="AM450"/>
      <c r="AN450"/>
      <c r="AO450"/>
      <c r="AP450"/>
      <c r="AQ450"/>
      <c r="AR450"/>
    </row>
    <row r="451" spans="1:44" s="239" customFormat="1">
      <c r="A451" s="241"/>
      <c r="B451" s="241"/>
      <c r="C451" s="245" t="str">
        <f>IF(B451="","",IFERROR(VLOOKUP(B451,PERUMAHAN!$A:$B,2,FALSE),"ID tidak ditemukan"))</f>
        <v/>
      </c>
      <c r="D451" s="241"/>
      <c r="E451" s="241"/>
      <c r="F451" s="241"/>
      <c r="G451" s="243"/>
      <c r="H451" s="254"/>
      <c r="I451" s="241"/>
      <c r="J451" s="241"/>
      <c r="K451" s="241"/>
      <c r="L451" s="241"/>
      <c r="M451" s="243"/>
      <c r="N451" s="243"/>
      <c r="O451" s="242"/>
      <c r="P451" s="241"/>
      <c r="Q451" s="241"/>
      <c r="R451" s="241"/>
      <c r="S451" s="244"/>
      <c r="T451" s="244"/>
      <c r="U451"/>
      <c r="AA451"/>
      <c r="AB451"/>
      <c r="AC451"/>
      <c r="AD451"/>
      <c r="AE451"/>
      <c r="AF451"/>
      <c r="AG451"/>
      <c r="AH451"/>
      <c r="AI451"/>
      <c r="AJ451"/>
      <c r="AK451"/>
      <c r="AL451"/>
      <c r="AM451"/>
      <c r="AN451"/>
      <c r="AO451"/>
      <c r="AP451"/>
      <c r="AQ451"/>
      <c r="AR451"/>
    </row>
    <row r="452" spans="1:44" s="239" customFormat="1">
      <c r="A452" s="241"/>
      <c r="B452" s="241"/>
      <c r="C452" s="245" t="str">
        <f>IF(B452="","",IFERROR(VLOOKUP(B452,PERUMAHAN!$A:$B,2,FALSE),"ID tidak ditemukan"))</f>
        <v/>
      </c>
      <c r="D452" s="241"/>
      <c r="E452" s="241"/>
      <c r="F452" s="241"/>
      <c r="G452" s="243"/>
      <c r="H452" s="254"/>
      <c r="I452" s="241"/>
      <c r="J452" s="241"/>
      <c r="K452" s="241"/>
      <c r="L452" s="241"/>
      <c r="M452" s="243"/>
      <c r="N452" s="243"/>
      <c r="O452" s="242"/>
      <c r="P452" s="241"/>
      <c r="Q452" s="241"/>
      <c r="R452" s="241"/>
      <c r="S452" s="244"/>
      <c r="T452" s="244"/>
      <c r="U452"/>
      <c r="AA452"/>
      <c r="AB452"/>
      <c r="AC452"/>
      <c r="AD452"/>
      <c r="AE452"/>
      <c r="AF452"/>
      <c r="AG452"/>
      <c r="AH452"/>
      <c r="AI452"/>
      <c r="AJ452"/>
      <c r="AK452"/>
      <c r="AL452"/>
      <c r="AM452"/>
      <c r="AN452"/>
      <c r="AO452"/>
      <c r="AP452"/>
      <c r="AQ452"/>
      <c r="AR452"/>
    </row>
    <row r="453" spans="1:44" s="239" customFormat="1">
      <c r="A453" s="241"/>
      <c r="B453" s="241"/>
      <c r="C453" s="245" t="str">
        <f>IF(B453="","",IFERROR(VLOOKUP(B453,PERUMAHAN!$A:$B,2,FALSE),"ID tidak ditemukan"))</f>
        <v/>
      </c>
      <c r="D453" s="241"/>
      <c r="E453" s="241"/>
      <c r="F453" s="241"/>
      <c r="G453" s="243"/>
      <c r="H453" s="254"/>
      <c r="I453" s="241"/>
      <c r="J453" s="241"/>
      <c r="K453" s="241"/>
      <c r="L453" s="241"/>
      <c r="M453" s="243"/>
      <c r="N453" s="243"/>
      <c r="O453" s="242"/>
      <c r="P453" s="241"/>
      <c r="Q453" s="241"/>
      <c r="R453" s="241"/>
      <c r="S453" s="244"/>
      <c r="T453" s="244"/>
      <c r="U453"/>
      <c r="AA453"/>
      <c r="AB453"/>
      <c r="AC453"/>
      <c r="AD453"/>
      <c r="AE453"/>
      <c r="AF453"/>
      <c r="AG453"/>
      <c r="AH453"/>
      <c r="AI453"/>
      <c r="AJ453"/>
      <c r="AK453"/>
      <c r="AL453"/>
      <c r="AM453"/>
      <c r="AN453"/>
      <c r="AO453"/>
      <c r="AP453"/>
      <c r="AQ453"/>
      <c r="AR453"/>
    </row>
    <row r="454" spans="1:44" s="239" customFormat="1">
      <c r="A454" s="241"/>
      <c r="B454" s="241"/>
      <c r="C454" s="245" t="str">
        <f>IF(B454="","",IFERROR(VLOOKUP(B454,PERUMAHAN!$A:$B,2,FALSE),"ID tidak ditemukan"))</f>
        <v/>
      </c>
      <c r="D454" s="241"/>
      <c r="E454" s="241"/>
      <c r="F454" s="241"/>
      <c r="G454" s="243"/>
      <c r="H454" s="254"/>
      <c r="I454" s="241"/>
      <c r="J454" s="241"/>
      <c r="K454" s="241"/>
      <c r="L454" s="241"/>
      <c r="M454" s="243"/>
      <c r="N454" s="243"/>
      <c r="O454" s="242"/>
      <c r="P454" s="241"/>
      <c r="Q454" s="241"/>
      <c r="R454" s="241"/>
      <c r="S454" s="244"/>
      <c r="T454" s="244"/>
      <c r="U454"/>
      <c r="AA454"/>
      <c r="AB454"/>
      <c r="AC454"/>
      <c r="AD454"/>
      <c r="AE454"/>
      <c r="AF454"/>
      <c r="AG454"/>
      <c r="AH454"/>
      <c r="AI454"/>
      <c r="AJ454"/>
      <c r="AK454"/>
      <c r="AL454"/>
      <c r="AM454"/>
      <c r="AN454"/>
      <c r="AO454"/>
      <c r="AP454"/>
      <c r="AQ454"/>
      <c r="AR454"/>
    </row>
    <row r="455" spans="1:44" s="239" customFormat="1">
      <c r="A455" s="241"/>
      <c r="B455" s="241"/>
      <c r="C455" s="245" t="str">
        <f>IF(B455="","",IFERROR(VLOOKUP(B455,PERUMAHAN!$A:$B,2,FALSE),"ID tidak ditemukan"))</f>
        <v/>
      </c>
      <c r="D455" s="241"/>
      <c r="E455" s="241"/>
      <c r="F455" s="241"/>
      <c r="G455" s="243"/>
      <c r="H455" s="254"/>
      <c r="I455" s="241"/>
      <c r="J455" s="241"/>
      <c r="K455" s="241"/>
      <c r="L455" s="241"/>
      <c r="M455" s="243"/>
      <c r="N455" s="243"/>
      <c r="O455" s="242"/>
      <c r="P455" s="241"/>
      <c r="Q455" s="241"/>
      <c r="R455" s="241"/>
      <c r="S455" s="244"/>
      <c r="T455" s="244"/>
      <c r="U455"/>
      <c r="AA455"/>
      <c r="AB455"/>
      <c r="AC455"/>
      <c r="AD455"/>
      <c r="AE455"/>
      <c r="AF455"/>
      <c r="AG455"/>
      <c r="AH455"/>
      <c r="AI455"/>
      <c r="AJ455"/>
      <c r="AK455"/>
      <c r="AL455"/>
      <c r="AM455"/>
      <c r="AN455"/>
      <c r="AO455"/>
      <c r="AP455"/>
      <c r="AQ455"/>
      <c r="AR455"/>
    </row>
    <row r="456" spans="1:44" s="239" customFormat="1">
      <c r="A456" s="241"/>
      <c r="B456" s="241"/>
      <c r="C456" s="245" t="str">
        <f>IF(B456="","",IFERROR(VLOOKUP(B456,PERUMAHAN!$A:$B,2,FALSE),"ID tidak ditemukan"))</f>
        <v/>
      </c>
      <c r="D456" s="241"/>
      <c r="E456" s="241"/>
      <c r="F456" s="241"/>
      <c r="G456" s="243"/>
      <c r="H456" s="254"/>
      <c r="I456" s="241"/>
      <c r="J456" s="241"/>
      <c r="K456" s="241"/>
      <c r="L456" s="241"/>
      <c r="M456" s="243"/>
      <c r="N456" s="243"/>
      <c r="O456" s="242"/>
      <c r="P456" s="241"/>
      <c r="Q456" s="241"/>
      <c r="R456" s="241"/>
      <c r="S456" s="244"/>
      <c r="T456" s="244"/>
      <c r="U456"/>
      <c r="AA456"/>
      <c r="AB456"/>
      <c r="AC456"/>
      <c r="AD456"/>
      <c r="AE456"/>
      <c r="AF456"/>
      <c r="AG456"/>
      <c r="AH456"/>
      <c r="AI456"/>
      <c r="AJ456"/>
      <c r="AK456"/>
      <c r="AL456"/>
      <c r="AM456"/>
      <c r="AN456"/>
      <c r="AO456"/>
      <c r="AP456"/>
      <c r="AQ456"/>
      <c r="AR456"/>
    </row>
    <row r="457" spans="1:44" s="239" customFormat="1">
      <c r="A457" s="241"/>
      <c r="B457" s="241"/>
      <c r="C457" s="245" t="str">
        <f>IF(B457="","",IFERROR(VLOOKUP(B457,PERUMAHAN!$A:$B,2,FALSE),"ID tidak ditemukan"))</f>
        <v/>
      </c>
      <c r="D457" s="241"/>
      <c r="E457" s="241"/>
      <c r="F457" s="241"/>
      <c r="G457" s="243"/>
      <c r="H457" s="254"/>
      <c r="I457" s="241"/>
      <c r="J457" s="241"/>
      <c r="K457" s="241"/>
      <c r="L457" s="241"/>
      <c r="M457" s="243"/>
      <c r="N457" s="243"/>
      <c r="O457" s="242"/>
      <c r="P457" s="241"/>
      <c r="Q457" s="241"/>
      <c r="R457" s="241"/>
      <c r="S457" s="244"/>
      <c r="T457" s="244"/>
      <c r="U457"/>
      <c r="AA457"/>
      <c r="AB457"/>
      <c r="AC457"/>
      <c r="AD457"/>
      <c r="AE457"/>
      <c r="AF457"/>
      <c r="AG457"/>
      <c r="AH457"/>
      <c r="AI457"/>
      <c r="AJ457"/>
      <c r="AK457"/>
      <c r="AL457"/>
      <c r="AM457"/>
      <c r="AN457"/>
      <c r="AO457"/>
      <c r="AP457"/>
      <c r="AQ457"/>
      <c r="AR457"/>
    </row>
    <row r="458" spans="1:44" s="239" customFormat="1">
      <c r="A458" s="241"/>
      <c r="B458" s="241"/>
      <c r="C458" s="245" t="str">
        <f>IF(B458="","",IFERROR(VLOOKUP(B458,PERUMAHAN!$A:$B,2,FALSE),"ID tidak ditemukan"))</f>
        <v/>
      </c>
      <c r="D458" s="241"/>
      <c r="E458" s="241"/>
      <c r="F458" s="241"/>
      <c r="G458" s="243"/>
      <c r="H458" s="254"/>
      <c r="I458" s="241"/>
      <c r="J458" s="241"/>
      <c r="K458" s="241"/>
      <c r="L458" s="241"/>
      <c r="M458" s="243"/>
      <c r="N458" s="243"/>
      <c r="O458" s="242"/>
      <c r="P458" s="241"/>
      <c r="Q458" s="241"/>
      <c r="R458" s="241"/>
      <c r="S458" s="244"/>
      <c r="T458" s="244"/>
      <c r="U458"/>
      <c r="AA458"/>
      <c r="AB458"/>
      <c r="AC458"/>
      <c r="AD458"/>
      <c r="AE458"/>
      <c r="AF458"/>
      <c r="AG458"/>
      <c r="AH458"/>
      <c r="AI458"/>
      <c r="AJ458"/>
      <c r="AK458"/>
      <c r="AL458"/>
      <c r="AM458"/>
      <c r="AN458"/>
      <c r="AO458"/>
      <c r="AP458"/>
      <c r="AQ458"/>
      <c r="AR458"/>
    </row>
    <row r="459" spans="1:44" s="239" customFormat="1">
      <c r="A459" s="241"/>
      <c r="B459" s="241"/>
      <c r="C459" s="245" t="str">
        <f>IF(B459="","",IFERROR(VLOOKUP(B459,PERUMAHAN!$A:$B,2,FALSE),"ID tidak ditemukan"))</f>
        <v/>
      </c>
      <c r="D459" s="241"/>
      <c r="E459" s="241"/>
      <c r="F459" s="241"/>
      <c r="G459" s="243"/>
      <c r="H459" s="254"/>
      <c r="I459" s="241"/>
      <c r="J459" s="241"/>
      <c r="K459" s="241"/>
      <c r="L459" s="241"/>
      <c r="M459" s="243"/>
      <c r="N459" s="243"/>
      <c r="O459" s="242"/>
      <c r="P459" s="241"/>
      <c r="Q459" s="241"/>
      <c r="R459" s="241"/>
      <c r="S459" s="244"/>
      <c r="T459" s="244"/>
      <c r="U459"/>
      <c r="AA459"/>
      <c r="AB459"/>
      <c r="AC459"/>
      <c r="AD459"/>
      <c r="AE459"/>
      <c r="AF459"/>
      <c r="AG459"/>
      <c r="AH459"/>
      <c r="AI459"/>
      <c r="AJ459"/>
      <c r="AK459"/>
      <c r="AL459"/>
      <c r="AM459"/>
      <c r="AN459"/>
      <c r="AO459"/>
      <c r="AP459"/>
      <c r="AQ459"/>
      <c r="AR459"/>
    </row>
    <row r="460" spans="1:44" s="239" customFormat="1">
      <c r="A460" s="241"/>
      <c r="B460" s="241"/>
      <c r="C460" s="245" t="str">
        <f>IF(B460="","",IFERROR(VLOOKUP(B460,PERUMAHAN!$A:$B,2,FALSE),"ID tidak ditemukan"))</f>
        <v/>
      </c>
      <c r="D460" s="241"/>
      <c r="E460" s="241"/>
      <c r="F460" s="241"/>
      <c r="G460" s="243"/>
      <c r="H460" s="254"/>
      <c r="I460" s="241"/>
      <c r="J460" s="241"/>
      <c r="K460" s="241"/>
      <c r="L460" s="241"/>
      <c r="M460" s="243"/>
      <c r="N460" s="243"/>
      <c r="O460" s="242"/>
      <c r="P460" s="241"/>
      <c r="Q460" s="241"/>
      <c r="R460" s="241"/>
      <c r="S460" s="244"/>
      <c r="T460" s="244"/>
      <c r="U460"/>
      <c r="AA460"/>
      <c r="AB460"/>
      <c r="AC460"/>
      <c r="AD460"/>
      <c r="AE460"/>
      <c r="AF460"/>
      <c r="AG460"/>
      <c r="AH460"/>
      <c r="AI460"/>
      <c r="AJ460"/>
      <c r="AK460"/>
      <c r="AL460"/>
      <c r="AM460"/>
      <c r="AN460"/>
      <c r="AO460"/>
      <c r="AP460"/>
      <c r="AQ460"/>
      <c r="AR460"/>
    </row>
    <row r="461" spans="1:44" s="239" customFormat="1">
      <c r="A461" s="241"/>
      <c r="B461" s="241"/>
      <c r="C461" s="245" t="str">
        <f>IF(B461="","",IFERROR(VLOOKUP(B461,PERUMAHAN!$A:$B,2,FALSE),"ID tidak ditemukan"))</f>
        <v/>
      </c>
      <c r="D461" s="241"/>
      <c r="E461" s="241"/>
      <c r="F461" s="241"/>
      <c r="G461" s="243"/>
      <c r="H461" s="254"/>
      <c r="I461" s="241"/>
      <c r="J461" s="241"/>
      <c r="K461" s="241"/>
      <c r="L461" s="241"/>
      <c r="M461" s="243"/>
      <c r="N461" s="243"/>
      <c r="O461" s="242"/>
      <c r="P461" s="241"/>
      <c r="Q461" s="241"/>
      <c r="R461" s="241"/>
      <c r="S461" s="244"/>
      <c r="T461" s="244"/>
      <c r="U461"/>
      <c r="AA461"/>
      <c r="AB461"/>
      <c r="AC461"/>
      <c r="AD461"/>
      <c r="AE461"/>
      <c r="AF461"/>
      <c r="AG461"/>
      <c r="AH461"/>
      <c r="AI461"/>
      <c r="AJ461"/>
      <c r="AK461"/>
      <c r="AL461"/>
      <c r="AM461"/>
      <c r="AN461"/>
      <c r="AO461"/>
      <c r="AP461"/>
      <c r="AQ461"/>
      <c r="AR461"/>
    </row>
    <row r="462" spans="1:44" s="239" customFormat="1">
      <c r="A462" s="241"/>
      <c r="B462" s="241"/>
      <c r="C462" s="245" t="str">
        <f>IF(B462="","",IFERROR(VLOOKUP(B462,PERUMAHAN!$A:$B,2,FALSE),"ID tidak ditemukan"))</f>
        <v/>
      </c>
      <c r="D462" s="241"/>
      <c r="E462" s="241"/>
      <c r="F462" s="241"/>
      <c r="G462" s="243"/>
      <c r="H462" s="254"/>
      <c r="I462" s="241"/>
      <c r="J462" s="241"/>
      <c r="K462" s="241"/>
      <c r="L462" s="241"/>
      <c r="M462" s="243"/>
      <c r="N462" s="243"/>
      <c r="O462" s="242"/>
      <c r="P462" s="241"/>
      <c r="Q462" s="241"/>
      <c r="R462" s="241"/>
      <c r="S462" s="244"/>
      <c r="T462" s="244"/>
      <c r="U462"/>
      <c r="AA462"/>
      <c r="AB462"/>
      <c r="AC462"/>
      <c r="AD462"/>
      <c r="AE462"/>
      <c r="AF462"/>
      <c r="AG462"/>
      <c r="AH462"/>
      <c r="AI462"/>
      <c r="AJ462"/>
      <c r="AK462"/>
      <c r="AL462"/>
      <c r="AM462"/>
      <c r="AN462"/>
      <c r="AO462"/>
      <c r="AP462"/>
      <c r="AQ462"/>
      <c r="AR462"/>
    </row>
    <row r="463" spans="1:44" s="239" customFormat="1">
      <c r="A463" s="241"/>
      <c r="B463" s="241"/>
      <c r="C463" s="245" t="str">
        <f>IF(B463="","",IFERROR(VLOOKUP(B463,PERUMAHAN!$A:$B,2,FALSE),"ID tidak ditemukan"))</f>
        <v/>
      </c>
      <c r="D463" s="241"/>
      <c r="E463" s="241"/>
      <c r="F463" s="241"/>
      <c r="G463" s="243"/>
      <c r="H463" s="254"/>
      <c r="I463" s="241"/>
      <c r="J463" s="241"/>
      <c r="K463" s="241"/>
      <c r="L463" s="241"/>
      <c r="M463" s="243"/>
      <c r="N463" s="243"/>
      <c r="O463" s="242"/>
      <c r="P463" s="241"/>
      <c r="Q463" s="241"/>
      <c r="R463" s="241"/>
      <c r="S463" s="244"/>
      <c r="T463" s="244"/>
      <c r="U463"/>
      <c r="AA463"/>
      <c r="AB463"/>
      <c r="AC463"/>
      <c r="AD463"/>
      <c r="AE463"/>
      <c r="AF463"/>
      <c r="AG463"/>
      <c r="AH463"/>
      <c r="AI463"/>
      <c r="AJ463"/>
      <c r="AK463"/>
      <c r="AL463"/>
      <c r="AM463"/>
      <c r="AN463"/>
      <c r="AO463"/>
      <c r="AP463"/>
      <c r="AQ463"/>
      <c r="AR463"/>
    </row>
    <row r="464" spans="1:44" s="239" customFormat="1">
      <c r="A464" s="241"/>
      <c r="B464" s="241"/>
      <c r="C464" s="245" t="str">
        <f>IF(B464="","",IFERROR(VLOOKUP(B464,PERUMAHAN!$A:$B,2,FALSE),"ID tidak ditemukan"))</f>
        <v/>
      </c>
      <c r="D464" s="241"/>
      <c r="E464" s="241"/>
      <c r="F464" s="241"/>
      <c r="G464" s="243"/>
      <c r="H464" s="254"/>
      <c r="I464" s="241"/>
      <c r="J464" s="241"/>
      <c r="K464" s="241"/>
      <c r="L464" s="241"/>
      <c r="M464" s="243"/>
      <c r="N464" s="243"/>
      <c r="O464" s="242"/>
      <c r="P464" s="241"/>
      <c r="Q464" s="241"/>
      <c r="R464" s="241"/>
      <c r="S464" s="244"/>
      <c r="T464" s="244"/>
      <c r="U464"/>
      <c r="AA464"/>
      <c r="AB464"/>
      <c r="AC464"/>
      <c r="AD464"/>
      <c r="AE464"/>
      <c r="AF464"/>
      <c r="AG464"/>
      <c r="AH464"/>
      <c r="AI464"/>
      <c r="AJ464"/>
      <c r="AK464"/>
      <c r="AL464"/>
      <c r="AM464"/>
      <c r="AN464"/>
      <c r="AO464"/>
      <c r="AP464"/>
      <c r="AQ464"/>
      <c r="AR464"/>
    </row>
    <row r="465" spans="1:44" s="239" customFormat="1">
      <c r="A465" s="241"/>
      <c r="B465" s="241"/>
      <c r="C465" s="245" t="str">
        <f>IF(B465="","",IFERROR(VLOOKUP(B465,PERUMAHAN!$A:$B,2,FALSE),"ID tidak ditemukan"))</f>
        <v/>
      </c>
      <c r="D465" s="241"/>
      <c r="E465" s="241"/>
      <c r="F465" s="241"/>
      <c r="G465" s="243"/>
      <c r="H465" s="254"/>
      <c r="I465" s="241"/>
      <c r="J465" s="241"/>
      <c r="K465" s="241"/>
      <c r="L465" s="241"/>
      <c r="M465" s="243"/>
      <c r="N465" s="243"/>
      <c r="O465" s="242"/>
      <c r="P465" s="241"/>
      <c r="Q465" s="241"/>
      <c r="R465" s="241"/>
      <c r="S465" s="244"/>
      <c r="T465" s="244"/>
      <c r="U465"/>
      <c r="AA465"/>
      <c r="AB465"/>
      <c r="AC465"/>
      <c r="AD465"/>
      <c r="AE465"/>
      <c r="AF465"/>
      <c r="AG465"/>
      <c r="AH465"/>
      <c r="AI465"/>
      <c r="AJ465"/>
      <c r="AK465"/>
      <c r="AL465"/>
      <c r="AM465"/>
      <c r="AN465"/>
      <c r="AO465"/>
      <c r="AP465"/>
      <c r="AQ465"/>
      <c r="AR465"/>
    </row>
    <row r="466" spans="1:44" s="239" customFormat="1">
      <c r="A466" s="241"/>
      <c r="B466" s="241"/>
      <c r="C466" s="245" t="str">
        <f>IF(B466="","",IFERROR(VLOOKUP(B466,PERUMAHAN!$A:$B,2,FALSE),"ID tidak ditemukan"))</f>
        <v/>
      </c>
      <c r="D466" s="241"/>
      <c r="E466" s="241"/>
      <c r="F466" s="241"/>
      <c r="G466" s="243"/>
      <c r="H466" s="254"/>
      <c r="I466" s="241"/>
      <c r="J466" s="241"/>
      <c r="K466" s="241"/>
      <c r="L466" s="241"/>
      <c r="M466" s="243"/>
      <c r="N466" s="243"/>
      <c r="O466" s="242"/>
      <c r="P466" s="241"/>
      <c r="Q466" s="241"/>
      <c r="R466" s="241"/>
      <c r="S466" s="244"/>
      <c r="T466" s="244"/>
      <c r="U466"/>
      <c r="AA466"/>
      <c r="AB466"/>
      <c r="AC466"/>
      <c r="AD466"/>
      <c r="AE466"/>
      <c r="AF466"/>
      <c r="AG466"/>
      <c r="AH466"/>
      <c r="AI466"/>
      <c r="AJ466"/>
      <c r="AK466"/>
      <c r="AL466"/>
      <c r="AM466"/>
      <c r="AN466"/>
      <c r="AO466"/>
      <c r="AP466"/>
      <c r="AQ466"/>
      <c r="AR466"/>
    </row>
    <row r="467" spans="1:44" s="239" customFormat="1">
      <c r="A467" s="241"/>
      <c r="B467" s="241"/>
      <c r="C467" s="245" t="str">
        <f>IF(B467="","",IFERROR(VLOOKUP(B467,PERUMAHAN!$A:$B,2,FALSE),"ID tidak ditemukan"))</f>
        <v/>
      </c>
      <c r="D467" s="241"/>
      <c r="E467" s="241"/>
      <c r="F467" s="241"/>
      <c r="G467" s="243"/>
      <c r="H467" s="254"/>
      <c r="I467" s="241"/>
      <c r="J467" s="241"/>
      <c r="K467" s="241"/>
      <c r="L467" s="241"/>
      <c r="M467" s="243"/>
      <c r="N467" s="243"/>
      <c r="O467" s="242"/>
      <c r="P467" s="241"/>
      <c r="Q467" s="241"/>
      <c r="R467" s="241"/>
      <c r="S467" s="244"/>
      <c r="T467" s="244"/>
      <c r="U467"/>
      <c r="AA467"/>
      <c r="AB467"/>
      <c r="AC467"/>
      <c r="AD467"/>
      <c r="AE467"/>
      <c r="AF467"/>
      <c r="AG467"/>
      <c r="AH467"/>
      <c r="AI467"/>
      <c r="AJ467"/>
      <c r="AK467"/>
      <c r="AL467"/>
      <c r="AM467"/>
      <c r="AN467"/>
      <c r="AO467"/>
      <c r="AP467"/>
      <c r="AQ467"/>
      <c r="AR467"/>
    </row>
    <row r="468" spans="1:44" s="239" customFormat="1">
      <c r="A468" s="241"/>
      <c r="B468" s="241"/>
      <c r="C468" s="245" t="str">
        <f>IF(B468="","",IFERROR(VLOOKUP(B468,PERUMAHAN!$A:$B,2,FALSE),"ID tidak ditemukan"))</f>
        <v/>
      </c>
      <c r="D468" s="241"/>
      <c r="E468" s="241"/>
      <c r="F468" s="241"/>
      <c r="G468" s="243"/>
      <c r="H468" s="254"/>
      <c r="I468" s="241"/>
      <c r="J468" s="241"/>
      <c r="K468" s="241"/>
      <c r="L468" s="241"/>
      <c r="M468" s="243"/>
      <c r="N468" s="243"/>
      <c r="O468" s="242"/>
      <c r="P468" s="241"/>
      <c r="Q468" s="241"/>
      <c r="R468" s="241"/>
      <c r="S468" s="244"/>
      <c r="T468" s="244"/>
      <c r="U468"/>
      <c r="AA468"/>
      <c r="AB468"/>
      <c r="AC468"/>
      <c r="AD468"/>
      <c r="AE468"/>
      <c r="AF468"/>
      <c r="AG468"/>
      <c r="AH468"/>
      <c r="AI468"/>
      <c r="AJ468"/>
      <c r="AK468"/>
      <c r="AL468"/>
      <c r="AM468"/>
      <c r="AN468"/>
      <c r="AO468"/>
      <c r="AP468"/>
      <c r="AQ468"/>
      <c r="AR468"/>
    </row>
    <row r="469" spans="1:44" s="239" customFormat="1">
      <c r="A469" s="241"/>
      <c r="B469" s="241"/>
      <c r="C469" s="245" t="str">
        <f>IF(B469="","",IFERROR(VLOOKUP(B469,PERUMAHAN!$A:$B,2,FALSE),"ID tidak ditemukan"))</f>
        <v/>
      </c>
      <c r="D469" s="241"/>
      <c r="E469" s="241"/>
      <c r="F469" s="241"/>
      <c r="G469" s="243"/>
      <c r="H469" s="254"/>
      <c r="I469" s="241"/>
      <c r="J469" s="241"/>
      <c r="K469" s="241"/>
      <c r="L469" s="241"/>
      <c r="M469" s="243"/>
      <c r="N469" s="243"/>
      <c r="O469" s="242"/>
      <c r="P469" s="241"/>
      <c r="Q469" s="241"/>
      <c r="R469" s="241"/>
      <c r="S469" s="244"/>
      <c r="T469" s="244"/>
      <c r="U469"/>
      <c r="AA469"/>
      <c r="AB469"/>
      <c r="AC469"/>
      <c r="AD469"/>
      <c r="AE469"/>
      <c r="AF469"/>
      <c r="AG469"/>
      <c r="AH469"/>
      <c r="AI469"/>
      <c r="AJ469"/>
      <c r="AK469"/>
      <c r="AL469"/>
      <c r="AM469"/>
      <c r="AN469"/>
      <c r="AO469"/>
      <c r="AP469"/>
      <c r="AQ469"/>
      <c r="AR469"/>
    </row>
    <row r="470" spans="1:44" s="239" customFormat="1">
      <c r="A470" s="241"/>
      <c r="B470" s="241"/>
      <c r="C470" s="245" t="str">
        <f>IF(B470="","",IFERROR(VLOOKUP(B470,PERUMAHAN!$A:$B,2,FALSE),"ID tidak ditemukan"))</f>
        <v/>
      </c>
      <c r="D470" s="241"/>
      <c r="E470" s="241"/>
      <c r="F470" s="241"/>
      <c r="G470" s="243"/>
      <c r="H470" s="254"/>
      <c r="I470" s="241"/>
      <c r="J470" s="241"/>
      <c r="K470" s="241"/>
      <c r="L470" s="241"/>
      <c r="M470" s="243"/>
      <c r="N470" s="243"/>
      <c r="O470" s="242"/>
      <c r="P470" s="241"/>
      <c r="Q470" s="241"/>
      <c r="R470" s="241"/>
      <c r="S470" s="244"/>
      <c r="T470" s="244"/>
      <c r="U470"/>
      <c r="AA470"/>
      <c r="AB470"/>
      <c r="AC470"/>
      <c r="AD470"/>
      <c r="AE470"/>
      <c r="AF470"/>
      <c r="AG470"/>
      <c r="AH470"/>
      <c r="AI470"/>
      <c r="AJ470"/>
      <c r="AK470"/>
      <c r="AL470"/>
      <c r="AM470"/>
      <c r="AN470"/>
      <c r="AO470"/>
      <c r="AP470"/>
      <c r="AQ470"/>
      <c r="AR470"/>
    </row>
    <row r="471" spans="1:44" s="239" customFormat="1">
      <c r="A471" s="241"/>
      <c r="B471" s="241"/>
      <c r="C471" s="245" t="str">
        <f>IF(B471="","",IFERROR(VLOOKUP(B471,PERUMAHAN!$A:$B,2,FALSE),"ID tidak ditemukan"))</f>
        <v/>
      </c>
      <c r="D471" s="241"/>
      <c r="E471" s="241"/>
      <c r="F471" s="241"/>
      <c r="G471" s="243"/>
      <c r="H471" s="254"/>
      <c r="I471" s="241"/>
      <c r="J471" s="241"/>
      <c r="K471" s="241"/>
      <c r="L471" s="241"/>
      <c r="M471" s="243"/>
      <c r="N471" s="243"/>
      <c r="O471" s="242"/>
      <c r="P471" s="241"/>
      <c r="Q471" s="241"/>
      <c r="R471" s="241"/>
      <c r="S471" s="244"/>
      <c r="T471" s="244"/>
      <c r="U471"/>
      <c r="AA471"/>
      <c r="AB471"/>
      <c r="AC471"/>
      <c r="AD471"/>
      <c r="AE471"/>
      <c r="AF471"/>
      <c r="AG471"/>
      <c r="AH471"/>
      <c r="AI471"/>
      <c r="AJ471"/>
      <c r="AK471"/>
      <c r="AL471"/>
      <c r="AM471"/>
      <c r="AN471"/>
      <c r="AO471"/>
      <c r="AP471"/>
      <c r="AQ471"/>
      <c r="AR471"/>
    </row>
    <row r="472" spans="1:44" s="239" customFormat="1">
      <c r="A472" s="241"/>
      <c r="B472" s="241"/>
      <c r="C472" s="245" t="str">
        <f>IF(B472="","",IFERROR(VLOOKUP(B472,PERUMAHAN!$A:$B,2,FALSE),"ID tidak ditemukan"))</f>
        <v/>
      </c>
      <c r="D472" s="241"/>
      <c r="E472" s="241"/>
      <c r="F472" s="241"/>
      <c r="G472" s="243"/>
      <c r="H472" s="254"/>
      <c r="I472" s="241"/>
      <c r="J472" s="241"/>
      <c r="K472" s="241"/>
      <c r="L472" s="241"/>
      <c r="M472" s="243"/>
      <c r="N472" s="243"/>
      <c r="O472" s="242"/>
      <c r="P472" s="241"/>
      <c r="Q472" s="241"/>
      <c r="R472" s="241"/>
      <c r="S472" s="244"/>
      <c r="T472" s="244"/>
      <c r="U472"/>
      <c r="AA472"/>
      <c r="AB472"/>
      <c r="AC472"/>
      <c r="AD472"/>
      <c r="AE472"/>
      <c r="AF472"/>
      <c r="AG472"/>
      <c r="AH472"/>
      <c r="AI472"/>
      <c r="AJ472"/>
      <c r="AK472"/>
      <c r="AL472"/>
      <c r="AM472"/>
      <c r="AN472"/>
      <c r="AO472"/>
      <c r="AP472"/>
      <c r="AQ472"/>
      <c r="AR472"/>
    </row>
    <row r="473" spans="1:44" s="239" customFormat="1">
      <c r="A473" s="241"/>
      <c r="B473" s="241"/>
      <c r="C473" s="245" t="str">
        <f>IF(B473="","",IFERROR(VLOOKUP(B473,PERUMAHAN!$A:$B,2,FALSE),"ID tidak ditemukan"))</f>
        <v/>
      </c>
      <c r="D473" s="241"/>
      <c r="E473" s="241"/>
      <c r="F473" s="241"/>
      <c r="G473" s="243"/>
      <c r="H473" s="254"/>
      <c r="I473" s="241"/>
      <c r="J473" s="241"/>
      <c r="K473" s="241"/>
      <c r="L473" s="241"/>
      <c r="M473" s="243"/>
      <c r="N473" s="243"/>
      <c r="O473" s="242"/>
      <c r="P473" s="241"/>
      <c r="Q473" s="241"/>
      <c r="R473" s="241"/>
      <c r="S473" s="244"/>
      <c r="T473" s="244"/>
      <c r="U473"/>
      <c r="AA473"/>
      <c r="AB473"/>
      <c r="AC473"/>
      <c r="AD473"/>
      <c r="AE473"/>
      <c r="AF473"/>
      <c r="AG473"/>
      <c r="AH473"/>
      <c r="AI473"/>
      <c r="AJ473"/>
      <c r="AK473"/>
      <c r="AL473"/>
      <c r="AM473"/>
      <c r="AN473"/>
      <c r="AO473"/>
      <c r="AP473"/>
      <c r="AQ473"/>
      <c r="AR473"/>
    </row>
    <row r="474" spans="1:44" s="239" customFormat="1">
      <c r="A474" s="241"/>
      <c r="B474" s="241"/>
      <c r="C474" s="245" t="str">
        <f>IF(B474="","",IFERROR(VLOOKUP(B474,PERUMAHAN!$A:$B,2,FALSE),"ID tidak ditemukan"))</f>
        <v/>
      </c>
      <c r="D474" s="241"/>
      <c r="E474" s="241"/>
      <c r="F474" s="241"/>
      <c r="G474" s="243"/>
      <c r="H474" s="254"/>
      <c r="I474" s="241"/>
      <c r="J474" s="241"/>
      <c r="K474" s="241"/>
      <c r="L474" s="241"/>
      <c r="M474" s="243"/>
      <c r="N474" s="243"/>
      <c r="O474" s="242"/>
      <c r="P474" s="241"/>
      <c r="Q474" s="241"/>
      <c r="R474" s="241"/>
      <c r="S474" s="244"/>
      <c r="T474" s="244"/>
      <c r="U474"/>
      <c r="AA474"/>
      <c r="AB474"/>
      <c r="AC474"/>
      <c r="AD474"/>
      <c r="AE474"/>
      <c r="AF474"/>
      <c r="AG474"/>
      <c r="AH474"/>
      <c r="AI474"/>
      <c r="AJ474"/>
      <c r="AK474"/>
      <c r="AL474"/>
      <c r="AM474"/>
      <c r="AN474"/>
      <c r="AO474"/>
      <c r="AP474"/>
      <c r="AQ474"/>
      <c r="AR474"/>
    </row>
    <row r="475" spans="1:44" s="239" customFormat="1">
      <c r="A475" s="241"/>
      <c r="B475" s="241"/>
      <c r="C475" s="245" t="str">
        <f>IF(B475="","",IFERROR(VLOOKUP(B475,PERUMAHAN!$A:$B,2,FALSE),"ID tidak ditemukan"))</f>
        <v/>
      </c>
      <c r="D475" s="241"/>
      <c r="E475" s="241"/>
      <c r="F475" s="241"/>
      <c r="G475" s="243"/>
      <c r="H475" s="254"/>
      <c r="I475" s="241"/>
      <c r="J475" s="241"/>
      <c r="K475" s="241"/>
      <c r="L475" s="241"/>
      <c r="M475" s="243"/>
      <c r="N475" s="243"/>
      <c r="O475" s="242"/>
      <c r="P475" s="241"/>
      <c r="Q475" s="241"/>
      <c r="R475" s="241"/>
      <c r="S475" s="244"/>
      <c r="T475" s="244"/>
      <c r="U475"/>
      <c r="AA475"/>
      <c r="AB475"/>
      <c r="AC475"/>
      <c r="AD475"/>
      <c r="AE475"/>
      <c r="AF475"/>
      <c r="AG475"/>
      <c r="AH475"/>
      <c r="AI475"/>
      <c r="AJ475"/>
      <c r="AK475"/>
      <c r="AL475"/>
      <c r="AM475"/>
      <c r="AN475"/>
      <c r="AO475"/>
      <c r="AP475"/>
      <c r="AQ475"/>
      <c r="AR475"/>
    </row>
    <row r="476" spans="1:44" s="239" customFormat="1">
      <c r="A476" s="241"/>
      <c r="B476" s="241"/>
      <c r="C476" s="245" t="str">
        <f>IF(B476="","",IFERROR(VLOOKUP(B476,PERUMAHAN!$A:$B,2,FALSE),"ID tidak ditemukan"))</f>
        <v/>
      </c>
      <c r="D476" s="241"/>
      <c r="E476" s="241"/>
      <c r="F476" s="241"/>
      <c r="G476" s="243"/>
      <c r="H476" s="254"/>
      <c r="I476" s="241"/>
      <c r="J476" s="241"/>
      <c r="K476" s="241"/>
      <c r="L476" s="241"/>
      <c r="M476" s="243"/>
      <c r="N476" s="243"/>
      <c r="O476" s="242"/>
      <c r="P476" s="241"/>
      <c r="Q476" s="241"/>
      <c r="R476" s="241"/>
      <c r="S476" s="244"/>
      <c r="T476" s="244"/>
      <c r="U476"/>
      <c r="AA476"/>
      <c r="AB476"/>
      <c r="AC476"/>
      <c r="AD476"/>
      <c r="AE476"/>
      <c r="AF476"/>
      <c r="AG476"/>
      <c r="AH476"/>
      <c r="AI476"/>
      <c r="AJ476"/>
      <c r="AK476"/>
      <c r="AL476"/>
      <c r="AM476"/>
      <c r="AN476"/>
      <c r="AO476"/>
      <c r="AP476"/>
      <c r="AQ476"/>
      <c r="AR476"/>
    </row>
    <row r="477" spans="1:44" s="239" customFormat="1">
      <c r="A477" s="241"/>
      <c r="B477" s="241"/>
      <c r="C477" s="245" t="str">
        <f>IF(B477="","",IFERROR(VLOOKUP(B477,PERUMAHAN!$A:$B,2,FALSE),"ID tidak ditemukan"))</f>
        <v/>
      </c>
      <c r="D477" s="241"/>
      <c r="E477" s="241"/>
      <c r="F477" s="241"/>
      <c r="G477" s="243"/>
      <c r="H477" s="254"/>
      <c r="I477" s="241"/>
      <c r="J477" s="241"/>
      <c r="K477" s="241"/>
      <c r="L477" s="241"/>
      <c r="M477" s="243"/>
      <c r="N477" s="243"/>
      <c r="O477" s="242"/>
      <c r="P477" s="241"/>
      <c r="Q477" s="241"/>
      <c r="R477" s="241"/>
      <c r="S477" s="244"/>
      <c r="T477" s="244"/>
      <c r="U477"/>
      <c r="AA477"/>
      <c r="AB477"/>
      <c r="AC477"/>
      <c r="AD477"/>
      <c r="AE477"/>
      <c r="AF477"/>
      <c r="AG477"/>
      <c r="AH477"/>
      <c r="AI477"/>
      <c r="AJ477"/>
      <c r="AK477"/>
      <c r="AL477"/>
      <c r="AM477"/>
      <c r="AN477"/>
      <c r="AO477"/>
      <c r="AP477"/>
      <c r="AQ477"/>
      <c r="AR477"/>
    </row>
    <row r="478" spans="1:44" s="239" customFormat="1">
      <c r="A478" s="241"/>
      <c r="B478" s="241"/>
      <c r="C478" s="245" t="str">
        <f>IF(B478="","",IFERROR(VLOOKUP(B478,PERUMAHAN!$A:$B,2,FALSE),"ID tidak ditemukan"))</f>
        <v/>
      </c>
      <c r="D478" s="241"/>
      <c r="E478" s="241"/>
      <c r="F478" s="241"/>
      <c r="G478" s="243"/>
      <c r="H478" s="254"/>
      <c r="I478" s="241"/>
      <c r="J478" s="241"/>
      <c r="K478" s="241"/>
      <c r="L478" s="241"/>
      <c r="M478" s="243"/>
      <c r="N478" s="243"/>
      <c r="O478" s="242"/>
      <c r="P478" s="241"/>
      <c r="Q478" s="241"/>
      <c r="R478" s="241"/>
      <c r="S478" s="244"/>
      <c r="T478" s="244"/>
      <c r="U478"/>
      <c r="AA478"/>
      <c r="AB478"/>
      <c r="AC478"/>
      <c r="AD478"/>
      <c r="AE478"/>
      <c r="AF478"/>
      <c r="AG478"/>
      <c r="AH478"/>
      <c r="AI478"/>
      <c r="AJ478"/>
      <c r="AK478"/>
      <c r="AL478"/>
      <c r="AM478"/>
      <c r="AN478"/>
      <c r="AO478"/>
      <c r="AP478"/>
      <c r="AQ478"/>
      <c r="AR478"/>
    </row>
    <row r="479" spans="1:44" s="239" customFormat="1">
      <c r="A479" s="241"/>
      <c r="B479" s="241"/>
      <c r="C479" s="245" t="str">
        <f>IF(B479="","",IFERROR(VLOOKUP(B479,PERUMAHAN!$A:$B,2,FALSE),"ID tidak ditemukan"))</f>
        <v/>
      </c>
      <c r="D479" s="241"/>
      <c r="E479" s="241"/>
      <c r="F479" s="241"/>
      <c r="G479" s="243"/>
      <c r="H479" s="254"/>
      <c r="I479" s="241"/>
      <c r="J479" s="241"/>
      <c r="K479" s="241"/>
      <c r="L479" s="241"/>
      <c r="M479" s="243"/>
      <c r="N479" s="243"/>
      <c r="O479" s="242"/>
      <c r="P479" s="241"/>
      <c r="Q479" s="241"/>
      <c r="R479" s="241"/>
      <c r="S479" s="244"/>
      <c r="T479" s="244"/>
      <c r="U479"/>
      <c r="AA479"/>
      <c r="AB479"/>
      <c r="AC479"/>
      <c r="AD479"/>
      <c r="AE479"/>
      <c r="AF479"/>
      <c r="AG479"/>
      <c r="AH479"/>
      <c r="AI479"/>
      <c r="AJ479"/>
      <c r="AK479"/>
      <c r="AL479"/>
      <c r="AM479"/>
      <c r="AN479"/>
      <c r="AO479"/>
      <c r="AP479"/>
      <c r="AQ479"/>
      <c r="AR479"/>
    </row>
    <row r="480" spans="1:44" s="239" customFormat="1">
      <c r="A480" s="241"/>
      <c r="B480" s="241"/>
      <c r="C480" s="245" t="str">
        <f>IF(B480="","",IFERROR(VLOOKUP(B480,PERUMAHAN!$A:$B,2,FALSE),"ID tidak ditemukan"))</f>
        <v/>
      </c>
      <c r="D480" s="241"/>
      <c r="E480" s="241"/>
      <c r="F480" s="241"/>
      <c r="G480" s="243"/>
      <c r="H480" s="254"/>
      <c r="I480" s="241"/>
      <c r="J480" s="241"/>
      <c r="K480" s="241"/>
      <c r="L480" s="241"/>
      <c r="M480" s="243"/>
      <c r="N480" s="243"/>
      <c r="O480" s="242"/>
      <c r="P480" s="241"/>
      <c r="Q480" s="241"/>
      <c r="R480" s="241"/>
      <c r="S480" s="244"/>
      <c r="T480" s="244"/>
      <c r="U480"/>
      <c r="AA480"/>
      <c r="AB480"/>
      <c r="AC480"/>
      <c r="AD480"/>
      <c r="AE480"/>
      <c r="AF480"/>
      <c r="AG480"/>
      <c r="AH480"/>
      <c r="AI480"/>
      <c r="AJ480"/>
      <c r="AK480"/>
      <c r="AL480"/>
      <c r="AM480"/>
      <c r="AN480"/>
      <c r="AO480"/>
      <c r="AP480"/>
      <c r="AQ480"/>
      <c r="AR480"/>
    </row>
    <row r="481" spans="1:44" s="239" customFormat="1">
      <c r="A481" s="241"/>
      <c r="B481" s="241"/>
      <c r="C481" s="245" t="str">
        <f>IF(B481="","",IFERROR(VLOOKUP(B481,PERUMAHAN!$A:$B,2,FALSE),"ID tidak ditemukan"))</f>
        <v/>
      </c>
      <c r="D481" s="241"/>
      <c r="E481" s="241"/>
      <c r="F481" s="241"/>
      <c r="G481" s="243"/>
      <c r="H481" s="254"/>
      <c r="I481" s="241"/>
      <c r="J481" s="241"/>
      <c r="K481" s="241"/>
      <c r="L481" s="241"/>
      <c r="M481" s="243"/>
      <c r="N481" s="243"/>
      <c r="O481" s="242"/>
      <c r="P481" s="241"/>
      <c r="Q481" s="241"/>
      <c r="R481" s="241"/>
      <c r="S481" s="244"/>
      <c r="T481" s="244"/>
      <c r="U481"/>
      <c r="AA481"/>
      <c r="AB481"/>
      <c r="AC481"/>
      <c r="AD481"/>
      <c r="AE481"/>
      <c r="AF481"/>
      <c r="AG481"/>
      <c r="AH481"/>
      <c r="AI481"/>
      <c r="AJ481"/>
      <c r="AK481"/>
      <c r="AL481"/>
      <c r="AM481"/>
      <c r="AN481"/>
      <c r="AO481"/>
      <c r="AP481"/>
      <c r="AQ481"/>
      <c r="AR481"/>
    </row>
    <row r="482" spans="1:44" s="239" customFormat="1">
      <c r="A482" s="241"/>
      <c r="B482" s="241"/>
      <c r="C482" s="245" t="str">
        <f>IF(B482="","",IFERROR(VLOOKUP(B482,PERUMAHAN!$A:$B,2,FALSE),"ID tidak ditemukan"))</f>
        <v/>
      </c>
      <c r="D482" s="241"/>
      <c r="E482" s="241"/>
      <c r="F482" s="241"/>
      <c r="G482" s="243"/>
      <c r="H482" s="254"/>
      <c r="I482" s="241"/>
      <c r="J482" s="241"/>
      <c r="K482" s="241"/>
      <c r="L482" s="241"/>
      <c r="M482" s="243"/>
      <c r="N482" s="243"/>
      <c r="O482" s="242"/>
      <c r="P482" s="241"/>
      <c r="Q482" s="241"/>
      <c r="R482" s="241"/>
      <c r="S482" s="244"/>
      <c r="T482" s="244"/>
      <c r="U482"/>
      <c r="AA482"/>
      <c r="AB482"/>
      <c r="AC482"/>
      <c r="AD482"/>
      <c r="AE482"/>
      <c r="AF482"/>
      <c r="AG482"/>
      <c r="AH482"/>
      <c r="AI482"/>
      <c r="AJ482"/>
      <c r="AK482"/>
      <c r="AL482"/>
      <c r="AM482"/>
      <c r="AN482"/>
      <c r="AO482"/>
      <c r="AP482"/>
      <c r="AQ482"/>
      <c r="AR482"/>
    </row>
    <row r="483" spans="1:44" s="239" customFormat="1">
      <c r="A483" s="241"/>
      <c r="B483" s="241"/>
      <c r="C483" s="245" t="str">
        <f>IF(B483="","",IFERROR(VLOOKUP(B483,PERUMAHAN!$A:$B,2,FALSE),"ID tidak ditemukan"))</f>
        <v/>
      </c>
      <c r="D483" s="241"/>
      <c r="E483" s="241"/>
      <c r="F483" s="241"/>
      <c r="G483" s="243"/>
      <c r="H483" s="254"/>
      <c r="I483" s="241"/>
      <c r="J483" s="241"/>
      <c r="K483" s="241"/>
      <c r="L483" s="241"/>
      <c r="M483" s="243"/>
      <c r="N483" s="243"/>
      <c r="O483" s="242"/>
      <c r="P483" s="241"/>
      <c r="Q483" s="241"/>
      <c r="R483" s="241"/>
      <c r="S483" s="244"/>
      <c r="T483" s="244"/>
      <c r="U483"/>
      <c r="AA483"/>
      <c r="AB483"/>
      <c r="AC483"/>
      <c r="AD483"/>
      <c r="AE483"/>
      <c r="AF483"/>
      <c r="AG483"/>
      <c r="AH483"/>
      <c r="AI483"/>
      <c r="AJ483"/>
      <c r="AK483"/>
      <c r="AL483"/>
      <c r="AM483"/>
      <c r="AN483"/>
      <c r="AO483"/>
      <c r="AP483"/>
      <c r="AQ483"/>
      <c r="AR483"/>
    </row>
    <row r="484" spans="1:44" s="239" customFormat="1">
      <c r="A484" s="241"/>
      <c r="B484" s="241"/>
      <c r="C484" s="245" t="str">
        <f>IF(B484="","",IFERROR(VLOOKUP(B484,PERUMAHAN!$A:$B,2,FALSE),"ID tidak ditemukan"))</f>
        <v/>
      </c>
      <c r="D484" s="241"/>
      <c r="E484" s="241"/>
      <c r="F484" s="241"/>
      <c r="G484" s="243"/>
      <c r="H484" s="254"/>
      <c r="I484" s="241"/>
      <c r="J484" s="241"/>
      <c r="K484" s="241"/>
      <c r="L484" s="241"/>
      <c r="M484" s="243"/>
      <c r="N484" s="243"/>
      <c r="O484" s="242"/>
      <c r="P484" s="241"/>
      <c r="Q484" s="241"/>
      <c r="R484" s="241"/>
      <c r="S484" s="244"/>
      <c r="T484" s="244"/>
      <c r="U484"/>
      <c r="AA484"/>
      <c r="AB484"/>
      <c r="AC484"/>
      <c r="AD484"/>
      <c r="AE484"/>
      <c r="AF484"/>
      <c r="AG484"/>
      <c r="AH484"/>
      <c r="AI484"/>
      <c r="AJ484"/>
      <c r="AK484"/>
      <c r="AL484"/>
      <c r="AM484"/>
      <c r="AN484"/>
      <c r="AO484"/>
      <c r="AP484"/>
      <c r="AQ484"/>
      <c r="AR484"/>
    </row>
    <row r="485" spans="1:44" s="239" customFormat="1">
      <c r="A485" s="241"/>
      <c r="B485" s="241"/>
      <c r="C485" s="245" t="str">
        <f>IF(B485="","",IFERROR(VLOOKUP(B485,PERUMAHAN!$A:$B,2,FALSE),"ID tidak ditemukan"))</f>
        <v/>
      </c>
      <c r="D485" s="241"/>
      <c r="E485" s="241"/>
      <c r="F485" s="241"/>
      <c r="G485" s="243"/>
      <c r="H485" s="254"/>
      <c r="I485" s="241"/>
      <c r="J485" s="241"/>
      <c r="K485" s="241"/>
      <c r="L485" s="241"/>
      <c r="M485" s="243"/>
      <c r="N485" s="243"/>
      <c r="O485" s="242"/>
      <c r="P485" s="241"/>
      <c r="Q485" s="241"/>
      <c r="R485" s="241"/>
      <c r="S485" s="244"/>
      <c r="T485" s="244"/>
      <c r="U485"/>
      <c r="AA485"/>
      <c r="AB485"/>
      <c r="AC485"/>
      <c r="AD485"/>
      <c r="AE485"/>
      <c r="AF485"/>
      <c r="AG485"/>
      <c r="AH485"/>
      <c r="AI485"/>
      <c r="AJ485"/>
      <c r="AK485"/>
      <c r="AL485"/>
      <c r="AM485"/>
      <c r="AN485"/>
      <c r="AO485"/>
      <c r="AP485"/>
      <c r="AQ485"/>
      <c r="AR485"/>
    </row>
    <row r="486" spans="1:44" s="239" customFormat="1">
      <c r="A486" s="241"/>
      <c r="B486" s="241"/>
      <c r="C486" s="245" t="str">
        <f>IF(B486="","",IFERROR(VLOOKUP(B486,PERUMAHAN!$A:$B,2,FALSE),"ID tidak ditemukan"))</f>
        <v/>
      </c>
      <c r="D486" s="241"/>
      <c r="E486" s="241"/>
      <c r="F486" s="241"/>
      <c r="G486" s="243"/>
      <c r="H486" s="254"/>
      <c r="I486" s="241"/>
      <c r="J486" s="241"/>
      <c r="K486" s="241"/>
      <c r="L486" s="241"/>
      <c r="M486" s="243"/>
      <c r="N486" s="243"/>
      <c r="O486" s="242"/>
      <c r="P486" s="241"/>
      <c r="Q486" s="241"/>
      <c r="R486" s="241"/>
      <c r="S486" s="244"/>
      <c r="T486" s="244"/>
      <c r="U486"/>
      <c r="AA486"/>
      <c r="AB486"/>
      <c r="AC486"/>
      <c r="AD486"/>
      <c r="AE486"/>
      <c r="AF486"/>
      <c r="AG486"/>
      <c r="AH486"/>
      <c r="AI486"/>
      <c r="AJ486"/>
      <c r="AK486"/>
      <c r="AL486"/>
      <c r="AM486"/>
      <c r="AN486"/>
      <c r="AO486"/>
      <c r="AP486"/>
      <c r="AQ486"/>
      <c r="AR486"/>
    </row>
    <row r="487" spans="1:44" s="239" customFormat="1">
      <c r="A487" s="241"/>
      <c r="B487" s="241"/>
      <c r="C487" s="245" t="str">
        <f>IF(B487="","",IFERROR(VLOOKUP(B487,PERUMAHAN!$A:$B,2,FALSE),"ID tidak ditemukan"))</f>
        <v/>
      </c>
      <c r="D487" s="241"/>
      <c r="E487" s="241"/>
      <c r="F487" s="241"/>
      <c r="G487" s="243"/>
      <c r="H487" s="254"/>
      <c r="I487" s="241"/>
      <c r="J487" s="241"/>
      <c r="K487" s="241"/>
      <c r="L487" s="241"/>
      <c r="M487" s="243"/>
      <c r="N487" s="243"/>
      <c r="O487" s="242"/>
      <c r="P487" s="241"/>
      <c r="Q487" s="241"/>
      <c r="R487" s="241"/>
      <c r="S487" s="244"/>
      <c r="T487" s="244"/>
      <c r="U487"/>
      <c r="AA487"/>
      <c r="AB487"/>
      <c r="AC487"/>
      <c r="AD487"/>
      <c r="AE487"/>
      <c r="AF487"/>
      <c r="AG487"/>
      <c r="AH487"/>
      <c r="AI487"/>
      <c r="AJ487"/>
      <c r="AK487"/>
      <c r="AL487"/>
      <c r="AM487"/>
      <c r="AN487"/>
      <c r="AO487"/>
      <c r="AP487"/>
      <c r="AQ487"/>
      <c r="AR487"/>
    </row>
    <row r="488" spans="1:44" s="239" customFormat="1">
      <c r="A488" s="241"/>
      <c r="B488" s="241"/>
      <c r="C488" s="245" t="str">
        <f>IF(B488="","",IFERROR(VLOOKUP(B488,PERUMAHAN!$A:$B,2,FALSE),"ID tidak ditemukan"))</f>
        <v/>
      </c>
      <c r="D488" s="241"/>
      <c r="E488" s="241"/>
      <c r="F488" s="241"/>
      <c r="G488" s="243"/>
      <c r="H488" s="254"/>
      <c r="I488" s="241"/>
      <c r="J488" s="241"/>
      <c r="K488" s="241"/>
      <c r="L488" s="241"/>
      <c r="M488" s="243"/>
      <c r="N488" s="243"/>
      <c r="O488" s="242"/>
      <c r="P488" s="241"/>
      <c r="Q488" s="241"/>
      <c r="R488" s="241"/>
      <c r="S488" s="244"/>
      <c r="T488" s="244"/>
      <c r="U488"/>
      <c r="AA488"/>
      <c r="AB488"/>
      <c r="AC488"/>
      <c r="AD488"/>
      <c r="AE488"/>
      <c r="AF488"/>
      <c r="AG488"/>
      <c r="AH488"/>
      <c r="AI488"/>
      <c r="AJ488"/>
      <c r="AK488"/>
      <c r="AL488"/>
      <c r="AM488"/>
      <c r="AN488"/>
      <c r="AO488"/>
      <c r="AP488"/>
      <c r="AQ488"/>
      <c r="AR488"/>
    </row>
    <row r="489" spans="1:44" s="239" customFormat="1">
      <c r="A489" s="241"/>
      <c r="B489" s="241"/>
      <c r="C489" s="245" t="str">
        <f>IF(B489="","",IFERROR(VLOOKUP(B489,PERUMAHAN!$A:$B,2,FALSE),"ID tidak ditemukan"))</f>
        <v/>
      </c>
      <c r="D489" s="241"/>
      <c r="E489" s="241"/>
      <c r="F489" s="241"/>
      <c r="G489" s="243"/>
      <c r="H489" s="254"/>
      <c r="I489" s="241"/>
      <c r="J489" s="241"/>
      <c r="K489" s="241"/>
      <c r="L489" s="241"/>
      <c r="M489" s="243"/>
      <c r="N489" s="243"/>
      <c r="O489" s="242"/>
      <c r="P489" s="241"/>
      <c r="Q489" s="241"/>
      <c r="R489" s="241"/>
      <c r="S489" s="244"/>
      <c r="T489" s="244"/>
      <c r="U489"/>
      <c r="AA489"/>
      <c r="AB489"/>
      <c r="AC489"/>
      <c r="AD489"/>
      <c r="AE489"/>
      <c r="AF489"/>
      <c r="AG489"/>
      <c r="AH489"/>
      <c r="AI489"/>
      <c r="AJ489"/>
      <c r="AK489"/>
      <c r="AL489"/>
      <c r="AM489"/>
      <c r="AN489"/>
      <c r="AO489"/>
      <c r="AP489"/>
      <c r="AQ489"/>
      <c r="AR489"/>
    </row>
    <row r="490" spans="1:44" s="239" customFormat="1">
      <c r="A490" s="241"/>
      <c r="B490" s="241"/>
      <c r="C490" s="245" t="str">
        <f>IF(B490="","",IFERROR(VLOOKUP(B490,PERUMAHAN!$A:$B,2,FALSE),"ID tidak ditemukan"))</f>
        <v/>
      </c>
      <c r="D490" s="241"/>
      <c r="E490" s="241"/>
      <c r="F490" s="241"/>
      <c r="G490" s="243"/>
      <c r="H490" s="254"/>
      <c r="I490" s="241"/>
      <c r="J490" s="241"/>
      <c r="K490" s="241"/>
      <c r="L490" s="241"/>
      <c r="M490" s="243"/>
      <c r="N490" s="243"/>
      <c r="O490" s="242"/>
      <c r="P490" s="241"/>
      <c r="Q490" s="241"/>
      <c r="R490" s="241"/>
      <c r="S490" s="244"/>
      <c r="T490" s="244"/>
      <c r="U490"/>
      <c r="AA490"/>
      <c r="AB490"/>
      <c r="AC490"/>
      <c r="AD490"/>
      <c r="AE490"/>
      <c r="AF490"/>
      <c r="AG490"/>
      <c r="AH490"/>
      <c r="AI490"/>
      <c r="AJ490"/>
      <c r="AK490"/>
      <c r="AL490"/>
      <c r="AM490"/>
      <c r="AN490"/>
      <c r="AO490"/>
      <c r="AP490"/>
      <c r="AQ490"/>
      <c r="AR490"/>
    </row>
    <row r="491" spans="1:44" s="239" customFormat="1">
      <c r="A491" s="241"/>
      <c r="B491" s="241"/>
      <c r="C491" s="245" t="str">
        <f>IF(B491="","",IFERROR(VLOOKUP(B491,PERUMAHAN!$A:$B,2,FALSE),"ID tidak ditemukan"))</f>
        <v/>
      </c>
      <c r="D491" s="241"/>
      <c r="E491" s="241"/>
      <c r="F491" s="241"/>
      <c r="G491" s="243"/>
      <c r="H491" s="254"/>
      <c r="I491" s="241"/>
      <c r="J491" s="241"/>
      <c r="K491" s="241"/>
      <c r="L491" s="241"/>
      <c r="M491" s="243"/>
      <c r="N491" s="243"/>
      <c r="O491" s="242"/>
      <c r="P491" s="241"/>
      <c r="Q491" s="241"/>
      <c r="R491" s="241"/>
      <c r="S491" s="244"/>
      <c r="T491" s="244"/>
      <c r="U491"/>
      <c r="AA491"/>
      <c r="AB491"/>
      <c r="AC491"/>
      <c r="AD491"/>
      <c r="AE491"/>
      <c r="AF491"/>
      <c r="AG491"/>
      <c r="AH491"/>
      <c r="AI491"/>
      <c r="AJ491"/>
      <c r="AK491"/>
      <c r="AL491"/>
      <c r="AM491"/>
      <c r="AN491"/>
      <c r="AO491"/>
      <c r="AP491"/>
      <c r="AQ491"/>
      <c r="AR491"/>
    </row>
    <row r="492" spans="1:44" s="239" customFormat="1">
      <c r="A492" s="241"/>
      <c r="B492" s="241"/>
      <c r="C492" s="245" t="str">
        <f>IF(B492="","",IFERROR(VLOOKUP(B492,PERUMAHAN!$A:$B,2,FALSE),"ID tidak ditemukan"))</f>
        <v/>
      </c>
      <c r="D492" s="241"/>
      <c r="E492" s="241"/>
      <c r="F492" s="241"/>
      <c r="G492" s="243"/>
      <c r="H492" s="254"/>
      <c r="I492" s="241"/>
      <c r="J492" s="241"/>
      <c r="K492" s="241"/>
      <c r="L492" s="241"/>
      <c r="M492" s="243"/>
      <c r="N492" s="243"/>
      <c r="O492" s="242"/>
      <c r="P492" s="241"/>
      <c r="Q492" s="241"/>
      <c r="R492" s="241"/>
      <c r="S492" s="244"/>
      <c r="T492" s="244"/>
      <c r="U492"/>
      <c r="AA492"/>
      <c r="AB492"/>
      <c r="AC492"/>
      <c r="AD492"/>
      <c r="AE492"/>
      <c r="AF492"/>
      <c r="AG492"/>
      <c r="AH492"/>
      <c r="AI492"/>
      <c r="AJ492"/>
      <c r="AK492"/>
      <c r="AL492"/>
      <c r="AM492"/>
      <c r="AN492"/>
      <c r="AO492"/>
      <c r="AP492"/>
      <c r="AQ492"/>
      <c r="AR492"/>
    </row>
    <row r="493" spans="1:44" s="239" customFormat="1">
      <c r="A493" s="241"/>
      <c r="B493" s="241"/>
      <c r="C493" s="245" t="str">
        <f>IF(B493="","",IFERROR(VLOOKUP(B493,PERUMAHAN!$A:$B,2,FALSE),"ID tidak ditemukan"))</f>
        <v/>
      </c>
      <c r="D493" s="241"/>
      <c r="E493" s="241"/>
      <c r="F493" s="241"/>
      <c r="G493" s="243"/>
      <c r="H493" s="254"/>
      <c r="I493" s="241"/>
      <c r="J493" s="241"/>
      <c r="K493" s="241"/>
      <c r="L493" s="241"/>
      <c r="M493" s="243"/>
      <c r="N493" s="243"/>
      <c r="O493" s="242"/>
      <c r="P493" s="241"/>
      <c r="Q493" s="241"/>
      <c r="R493" s="241"/>
      <c r="S493" s="244"/>
      <c r="T493" s="244"/>
      <c r="U493"/>
      <c r="AA493"/>
      <c r="AB493"/>
      <c r="AC493"/>
      <c r="AD493"/>
      <c r="AE493"/>
      <c r="AF493"/>
      <c r="AG493"/>
      <c r="AH493"/>
      <c r="AI493"/>
      <c r="AJ493"/>
      <c r="AK493"/>
      <c r="AL493"/>
      <c r="AM493"/>
      <c r="AN493"/>
      <c r="AO493"/>
      <c r="AP493"/>
      <c r="AQ493"/>
      <c r="AR493"/>
    </row>
    <row r="494" spans="1:44" s="239" customFormat="1">
      <c r="A494" s="241"/>
      <c r="B494" s="241"/>
      <c r="C494" s="245" t="str">
        <f>IF(B494="","",IFERROR(VLOOKUP(B494,PERUMAHAN!$A:$B,2,FALSE),"ID tidak ditemukan"))</f>
        <v/>
      </c>
      <c r="D494" s="241"/>
      <c r="E494" s="241"/>
      <c r="F494" s="241"/>
      <c r="G494" s="243"/>
      <c r="H494" s="254"/>
      <c r="I494" s="241"/>
      <c r="J494" s="241"/>
      <c r="K494" s="241"/>
      <c r="L494" s="241"/>
      <c r="M494" s="243"/>
      <c r="N494" s="243"/>
      <c r="O494" s="242"/>
      <c r="P494" s="241"/>
      <c r="Q494" s="241"/>
      <c r="R494" s="241"/>
      <c r="S494" s="244"/>
      <c r="T494" s="244"/>
      <c r="U494"/>
      <c r="AA494"/>
      <c r="AB494"/>
      <c r="AC494"/>
      <c r="AD494"/>
      <c r="AE494"/>
      <c r="AF494"/>
      <c r="AG494"/>
      <c r="AH494"/>
      <c r="AI494"/>
      <c r="AJ494"/>
      <c r="AK494"/>
      <c r="AL494"/>
      <c r="AM494"/>
      <c r="AN494"/>
      <c r="AO494"/>
      <c r="AP494"/>
      <c r="AQ494"/>
      <c r="AR494"/>
    </row>
    <row r="495" spans="1:44" s="239" customFormat="1">
      <c r="A495" s="241"/>
      <c r="B495" s="241"/>
      <c r="C495" s="245" t="str">
        <f>IF(B495="","",IFERROR(VLOOKUP(B495,PERUMAHAN!$A:$B,2,FALSE),"ID tidak ditemukan"))</f>
        <v/>
      </c>
      <c r="D495" s="241"/>
      <c r="E495" s="241"/>
      <c r="F495" s="241"/>
      <c r="G495" s="243"/>
      <c r="H495" s="254"/>
      <c r="I495" s="241"/>
      <c r="J495" s="241"/>
      <c r="K495" s="241"/>
      <c r="L495" s="241"/>
      <c r="M495" s="243"/>
      <c r="N495" s="243"/>
      <c r="O495" s="242"/>
      <c r="P495" s="241"/>
      <c r="Q495" s="241"/>
      <c r="R495" s="241"/>
      <c r="S495" s="244"/>
      <c r="T495" s="244"/>
      <c r="U495"/>
      <c r="AA495"/>
      <c r="AB495"/>
      <c r="AC495"/>
      <c r="AD495"/>
      <c r="AE495"/>
      <c r="AF495"/>
      <c r="AG495"/>
      <c r="AH495"/>
      <c r="AI495"/>
      <c r="AJ495"/>
      <c r="AK495"/>
      <c r="AL495"/>
      <c r="AM495"/>
      <c r="AN495"/>
      <c r="AO495"/>
      <c r="AP495"/>
      <c r="AQ495"/>
      <c r="AR495"/>
    </row>
    <row r="496" spans="1:44" s="239" customFormat="1">
      <c r="A496" s="241"/>
      <c r="B496" s="241"/>
      <c r="C496" s="245" t="str">
        <f>IF(B496="","",IFERROR(VLOOKUP(B496,PERUMAHAN!$A:$B,2,FALSE),"ID tidak ditemukan"))</f>
        <v/>
      </c>
      <c r="D496" s="241"/>
      <c r="E496" s="241"/>
      <c r="F496" s="241"/>
      <c r="G496" s="243"/>
      <c r="H496" s="254"/>
      <c r="I496" s="241"/>
      <c r="J496" s="241"/>
      <c r="K496" s="241"/>
      <c r="L496" s="241"/>
      <c r="M496" s="243"/>
      <c r="N496" s="243"/>
      <c r="O496" s="242"/>
      <c r="P496" s="241"/>
      <c r="Q496" s="241"/>
      <c r="R496" s="241"/>
      <c r="S496" s="244"/>
      <c r="T496" s="244"/>
      <c r="U496"/>
      <c r="AA496"/>
      <c r="AB496"/>
      <c r="AC496"/>
      <c r="AD496"/>
      <c r="AE496"/>
      <c r="AF496"/>
      <c r="AG496"/>
      <c r="AH496"/>
      <c r="AI496"/>
      <c r="AJ496"/>
      <c r="AK496"/>
      <c r="AL496"/>
      <c r="AM496"/>
      <c r="AN496"/>
      <c r="AO496"/>
      <c r="AP496"/>
      <c r="AQ496"/>
      <c r="AR496"/>
    </row>
    <row r="497" spans="1:44" s="239" customFormat="1">
      <c r="A497" s="241"/>
      <c r="B497" s="241"/>
      <c r="C497" s="245" t="str">
        <f>IF(B497="","",IFERROR(VLOOKUP(B497,PERUMAHAN!$A:$B,2,FALSE),"ID tidak ditemukan"))</f>
        <v/>
      </c>
      <c r="D497" s="241"/>
      <c r="E497" s="241"/>
      <c r="F497" s="241"/>
      <c r="G497" s="243"/>
      <c r="H497" s="254"/>
      <c r="I497" s="241"/>
      <c r="J497" s="241"/>
      <c r="K497" s="241"/>
      <c r="L497" s="241"/>
      <c r="M497" s="243"/>
      <c r="N497" s="243"/>
      <c r="O497" s="242"/>
      <c r="P497" s="241"/>
      <c r="Q497" s="241"/>
      <c r="R497" s="241"/>
      <c r="S497" s="244"/>
      <c r="T497" s="244"/>
      <c r="U497"/>
      <c r="AA497"/>
      <c r="AB497"/>
      <c r="AC497"/>
      <c r="AD497"/>
      <c r="AE497"/>
      <c r="AF497"/>
      <c r="AG497"/>
      <c r="AH497"/>
      <c r="AI497"/>
      <c r="AJ497"/>
      <c r="AK497"/>
      <c r="AL497"/>
      <c r="AM497"/>
      <c r="AN497"/>
      <c r="AO497"/>
      <c r="AP497"/>
      <c r="AQ497"/>
      <c r="AR497"/>
    </row>
    <row r="498" spans="1:44" s="239" customFormat="1">
      <c r="A498" s="241"/>
      <c r="B498" s="241"/>
      <c r="C498" s="245" t="str">
        <f>IF(B498="","",IFERROR(VLOOKUP(B498,PERUMAHAN!$A:$B,2,FALSE),"ID tidak ditemukan"))</f>
        <v/>
      </c>
      <c r="D498" s="241"/>
      <c r="E498" s="241"/>
      <c r="F498" s="241"/>
      <c r="G498" s="243"/>
      <c r="H498" s="254"/>
      <c r="I498" s="241"/>
      <c r="J498" s="241"/>
      <c r="K498" s="241"/>
      <c r="L498" s="241"/>
      <c r="M498" s="243"/>
      <c r="N498" s="243"/>
      <c r="O498" s="242"/>
      <c r="P498" s="241"/>
      <c r="Q498" s="241"/>
      <c r="R498" s="241"/>
      <c r="S498" s="244"/>
      <c r="T498" s="244"/>
      <c r="U498"/>
      <c r="AA498"/>
      <c r="AB498"/>
      <c r="AC498"/>
      <c r="AD498"/>
      <c r="AE498"/>
      <c r="AF498"/>
      <c r="AG498"/>
      <c r="AH498"/>
      <c r="AI498"/>
      <c r="AJ498"/>
      <c r="AK498"/>
      <c r="AL498"/>
      <c r="AM498"/>
      <c r="AN498"/>
      <c r="AO498"/>
      <c r="AP498"/>
      <c r="AQ498"/>
      <c r="AR498"/>
    </row>
    <row r="499" spans="1:44" s="239" customFormat="1">
      <c r="A499" s="241"/>
      <c r="B499" s="241"/>
      <c r="C499" s="245" t="str">
        <f>IF(B499="","",IFERROR(VLOOKUP(B499,PERUMAHAN!$A:$B,2,FALSE),"ID tidak ditemukan"))</f>
        <v/>
      </c>
      <c r="D499" s="241"/>
      <c r="E499" s="241"/>
      <c r="F499" s="241"/>
      <c r="G499" s="243"/>
      <c r="H499" s="254"/>
      <c r="I499" s="241"/>
      <c r="J499" s="241"/>
      <c r="K499" s="241"/>
      <c r="L499" s="241"/>
      <c r="M499" s="243"/>
      <c r="N499" s="243"/>
      <c r="O499" s="242"/>
      <c r="P499" s="241"/>
      <c r="Q499" s="241"/>
      <c r="R499" s="241"/>
      <c r="S499" s="244"/>
      <c r="T499" s="244"/>
      <c r="U499"/>
      <c r="AA499"/>
      <c r="AB499"/>
      <c r="AC499"/>
      <c r="AD499"/>
      <c r="AE499"/>
      <c r="AF499"/>
      <c r="AG499"/>
      <c r="AH499"/>
      <c r="AI499"/>
      <c r="AJ499"/>
      <c r="AK499"/>
      <c r="AL499"/>
      <c r="AM499"/>
      <c r="AN499"/>
      <c r="AO499"/>
      <c r="AP499"/>
      <c r="AQ499"/>
      <c r="AR499"/>
    </row>
    <row r="500" spans="1:44" s="239" customFormat="1">
      <c r="A500" s="241"/>
      <c r="B500" s="241"/>
      <c r="C500" s="245" t="str">
        <f>IF(B500="","",IFERROR(VLOOKUP(B500,PERUMAHAN!$A:$B,2,FALSE),"ID tidak ditemukan"))</f>
        <v/>
      </c>
      <c r="D500" s="241"/>
      <c r="E500" s="241"/>
      <c r="F500" s="241"/>
      <c r="G500" s="243"/>
      <c r="H500" s="254"/>
      <c r="I500" s="241"/>
      <c r="J500" s="241"/>
      <c r="K500" s="241"/>
      <c r="L500" s="241"/>
      <c r="M500" s="243"/>
      <c r="N500" s="243"/>
      <c r="O500" s="242"/>
      <c r="P500" s="241"/>
      <c r="Q500" s="241"/>
      <c r="R500" s="241"/>
      <c r="S500" s="244"/>
      <c r="T500" s="244"/>
      <c r="U500"/>
      <c r="AA500"/>
      <c r="AB500"/>
      <c r="AC500"/>
      <c r="AD500"/>
      <c r="AE500"/>
      <c r="AF500"/>
      <c r="AG500"/>
      <c r="AH500"/>
      <c r="AI500"/>
      <c r="AJ500"/>
      <c r="AK500"/>
      <c r="AL500"/>
      <c r="AM500"/>
      <c r="AN500"/>
      <c r="AO500"/>
      <c r="AP500"/>
      <c r="AQ500"/>
      <c r="AR500"/>
    </row>
    <row r="501" spans="1:44" s="239" customFormat="1">
      <c r="A501" s="241"/>
      <c r="B501" s="241"/>
      <c r="C501" s="242"/>
      <c r="D501" s="241"/>
      <c r="E501" s="241"/>
      <c r="F501" s="241"/>
      <c r="G501" s="243"/>
      <c r="H501" s="254"/>
      <c r="I501" s="241"/>
      <c r="J501" s="241"/>
      <c r="K501" s="241"/>
      <c r="L501" s="241"/>
      <c r="M501" s="243"/>
      <c r="N501" s="243"/>
      <c r="O501" s="242"/>
      <c r="P501" s="241"/>
      <c r="Q501" s="241"/>
      <c r="R501" s="241"/>
      <c r="S501" s="244"/>
      <c r="T501" s="244"/>
    </row>
    <row r="502" spans="1:44" s="239" customFormat="1">
      <c r="A502" s="241"/>
      <c r="B502" s="241"/>
      <c r="C502" s="242"/>
      <c r="D502" s="241"/>
      <c r="E502" s="241"/>
      <c r="F502" s="241"/>
      <c r="G502" s="243"/>
      <c r="H502" s="254"/>
      <c r="I502" s="241"/>
      <c r="J502" s="241"/>
      <c r="K502" s="241"/>
      <c r="L502" s="241"/>
      <c r="M502" s="243"/>
      <c r="N502" s="243"/>
      <c r="O502" s="242"/>
      <c r="P502" s="241"/>
      <c r="Q502" s="241"/>
      <c r="R502" s="241"/>
      <c r="S502" s="244"/>
      <c r="T502" s="244"/>
    </row>
    <row r="503" spans="1:44" s="239" customFormat="1">
      <c r="A503" s="241"/>
      <c r="B503" s="241"/>
      <c r="C503" s="242"/>
      <c r="D503" s="241"/>
      <c r="E503" s="241"/>
      <c r="F503" s="241"/>
      <c r="G503" s="243"/>
      <c r="H503" s="254"/>
      <c r="I503" s="241"/>
      <c r="J503" s="241"/>
      <c r="K503" s="241"/>
      <c r="L503" s="241"/>
      <c r="M503" s="243"/>
      <c r="N503" s="243"/>
      <c r="O503" s="242"/>
      <c r="P503" s="241"/>
      <c r="Q503" s="241"/>
      <c r="R503" s="241"/>
      <c r="S503" s="244"/>
      <c r="T503" s="244"/>
    </row>
    <row r="504" spans="1:44" s="239" customFormat="1">
      <c r="A504" s="241"/>
      <c r="B504" s="241"/>
      <c r="C504" s="242"/>
      <c r="D504" s="241"/>
      <c r="E504" s="241"/>
      <c r="F504" s="241"/>
      <c r="G504" s="243"/>
      <c r="H504" s="254"/>
      <c r="I504" s="241"/>
      <c r="J504" s="241"/>
      <c r="K504" s="241"/>
      <c r="L504" s="241"/>
      <c r="M504" s="243"/>
      <c r="N504" s="243"/>
      <c r="O504" s="242"/>
      <c r="P504" s="241"/>
      <c r="Q504" s="241"/>
      <c r="R504" s="241"/>
      <c r="S504" s="244"/>
      <c r="T504" s="244"/>
    </row>
    <row r="505" spans="1:44" s="239" customFormat="1">
      <c r="A505" s="241"/>
      <c r="B505" s="241"/>
      <c r="C505" s="242"/>
      <c r="D505" s="241"/>
      <c r="E505" s="241"/>
      <c r="F505" s="241"/>
      <c r="G505" s="243"/>
      <c r="H505" s="254"/>
      <c r="I505" s="241"/>
      <c r="J505" s="241"/>
      <c r="K505" s="241"/>
      <c r="L505" s="241"/>
      <c r="M505" s="243"/>
      <c r="N505" s="243"/>
      <c r="O505" s="242"/>
      <c r="P505" s="241"/>
      <c r="Q505" s="241"/>
      <c r="R505" s="241"/>
      <c r="S505" s="244"/>
      <c r="T505" s="244"/>
    </row>
    <row r="506" spans="1:44" s="239" customFormat="1">
      <c r="A506" s="241"/>
      <c r="B506" s="241"/>
      <c r="C506" s="242"/>
      <c r="D506" s="241"/>
      <c r="E506" s="241"/>
      <c r="F506" s="241"/>
      <c r="G506" s="243"/>
      <c r="H506" s="254"/>
      <c r="I506" s="241"/>
      <c r="J506" s="241"/>
      <c r="K506" s="241"/>
      <c r="L506" s="241"/>
      <c r="M506" s="243"/>
      <c r="N506" s="243"/>
      <c r="O506" s="242"/>
      <c r="P506" s="241"/>
      <c r="Q506" s="241"/>
      <c r="R506" s="241"/>
      <c r="S506" s="244"/>
      <c r="T506" s="244"/>
    </row>
    <row r="507" spans="1:44" s="239" customFormat="1">
      <c r="A507" s="241"/>
      <c r="B507" s="241"/>
      <c r="C507" s="242"/>
      <c r="D507" s="241"/>
      <c r="E507" s="241"/>
      <c r="F507" s="241"/>
      <c r="G507" s="243"/>
      <c r="H507" s="254"/>
      <c r="I507" s="241"/>
      <c r="J507" s="241"/>
      <c r="K507" s="241"/>
      <c r="L507" s="241"/>
      <c r="M507" s="243"/>
      <c r="N507" s="243"/>
      <c r="O507" s="242"/>
      <c r="P507" s="241"/>
      <c r="Q507" s="241"/>
      <c r="R507" s="241"/>
      <c r="S507" s="244"/>
      <c r="T507" s="244"/>
    </row>
    <row r="508" spans="1:44" s="239" customFormat="1">
      <c r="A508" s="241"/>
      <c r="B508" s="241"/>
      <c r="C508" s="242"/>
      <c r="D508" s="241"/>
      <c r="E508" s="241"/>
      <c r="F508" s="241"/>
      <c r="G508" s="243"/>
      <c r="H508" s="254"/>
      <c r="I508" s="241"/>
      <c r="J508" s="241"/>
      <c r="K508" s="241"/>
      <c r="L508" s="241"/>
      <c r="M508" s="243"/>
      <c r="N508" s="243"/>
      <c r="O508" s="242"/>
      <c r="P508" s="241"/>
      <c r="Q508" s="241"/>
      <c r="R508" s="241"/>
      <c r="S508" s="244"/>
      <c r="T508" s="244"/>
    </row>
    <row r="509" spans="1:44" s="239" customFormat="1">
      <c r="A509" s="241"/>
      <c r="B509" s="241"/>
      <c r="C509" s="242"/>
      <c r="D509" s="241"/>
      <c r="E509" s="241"/>
      <c r="F509" s="241"/>
      <c r="G509" s="243"/>
      <c r="H509" s="254"/>
      <c r="I509" s="241"/>
      <c r="J509" s="241"/>
      <c r="K509" s="241"/>
      <c r="L509" s="241"/>
      <c r="M509" s="243"/>
      <c r="N509" s="243"/>
      <c r="O509" s="242"/>
      <c r="P509" s="241"/>
      <c r="Q509" s="241"/>
      <c r="R509" s="241"/>
      <c r="S509" s="244"/>
      <c r="T509" s="244"/>
    </row>
    <row r="510" spans="1:44" s="239" customFormat="1">
      <c r="A510" s="241"/>
      <c r="B510" s="241"/>
      <c r="C510" s="242"/>
      <c r="D510" s="241"/>
      <c r="E510" s="241"/>
      <c r="F510" s="241"/>
      <c r="G510" s="243"/>
      <c r="H510" s="254"/>
      <c r="I510" s="241"/>
      <c r="J510" s="241"/>
      <c r="K510" s="241"/>
      <c r="L510" s="241"/>
      <c r="M510" s="243"/>
      <c r="N510" s="243"/>
      <c r="O510" s="242"/>
      <c r="P510" s="241"/>
      <c r="Q510" s="241"/>
      <c r="R510" s="241"/>
      <c r="S510" s="244"/>
      <c r="T510" s="244"/>
    </row>
    <row r="511" spans="1:44" s="239" customFormat="1">
      <c r="A511" s="241"/>
      <c r="B511" s="241"/>
      <c r="C511" s="242"/>
      <c r="D511" s="241"/>
      <c r="E511" s="241"/>
      <c r="F511" s="241"/>
      <c r="G511" s="243"/>
      <c r="H511" s="254"/>
      <c r="I511" s="241"/>
      <c r="J511" s="241"/>
      <c r="K511" s="241"/>
      <c r="L511" s="241"/>
      <c r="M511" s="243"/>
      <c r="N511" s="243"/>
      <c r="O511" s="242"/>
      <c r="P511" s="241"/>
      <c r="Q511" s="241"/>
      <c r="R511" s="241"/>
      <c r="S511" s="244"/>
      <c r="T511" s="244"/>
    </row>
    <row r="512" spans="1:44" s="239" customFormat="1">
      <c r="A512" s="241"/>
      <c r="B512" s="241"/>
      <c r="C512" s="242"/>
      <c r="D512" s="241"/>
      <c r="E512" s="241"/>
      <c r="F512" s="241"/>
      <c r="G512" s="243"/>
      <c r="H512" s="254"/>
      <c r="I512" s="241"/>
      <c r="J512" s="241"/>
      <c r="K512" s="241"/>
      <c r="L512" s="241"/>
      <c r="M512" s="243"/>
      <c r="N512" s="243"/>
      <c r="O512" s="242"/>
      <c r="P512" s="241"/>
      <c r="Q512" s="241"/>
      <c r="R512" s="241"/>
      <c r="S512" s="244"/>
      <c r="T512" s="244"/>
    </row>
    <row r="513" spans="1:20" s="239" customFormat="1">
      <c r="A513" s="241"/>
      <c r="B513" s="241"/>
      <c r="C513" s="242"/>
      <c r="D513" s="241"/>
      <c r="E513" s="241"/>
      <c r="F513" s="241"/>
      <c r="G513" s="243"/>
      <c r="H513" s="254"/>
      <c r="I513" s="241"/>
      <c r="J513" s="241"/>
      <c r="K513" s="241"/>
      <c r="L513" s="241"/>
      <c r="M513" s="243"/>
      <c r="N513" s="243"/>
      <c r="O513" s="242"/>
      <c r="P513" s="241"/>
      <c r="Q513" s="241"/>
      <c r="R513" s="241"/>
      <c r="S513" s="244"/>
      <c r="T513" s="244"/>
    </row>
    <row r="514" spans="1:20" s="239" customFormat="1">
      <c r="A514" s="241"/>
      <c r="B514" s="241"/>
      <c r="C514" s="242"/>
      <c r="D514" s="241"/>
      <c r="E514" s="241"/>
      <c r="F514" s="241"/>
      <c r="G514" s="243"/>
      <c r="H514" s="254"/>
      <c r="I514" s="241"/>
      <c r="J514" s="241"/>
      <c r="K514" s="241"/>
      <c r="L514" s="241"/>
      <c r="M514" s="243"/>
      <c r="N514" s="243"/>
      <c r="O514" s="242"/>
      <c r="P514" s="241"/>
      <c r="Q514" s="241"/>
      <c r="R514" s="241"/>
      <c r="S514" s="244"/>
      <c r="T514" s="244"/>
    </row>
    <row r="515" spans="1:20" s="239" customFormat="1">
      <c r="A515" s="241"/>
      <c r="B515" s="241"/>
      <c r="C515" s="242"/>
      <c r="D515" s="241"/>
      <c r="E515" s="241"/>
      <c r="F515" s="241"/>
      <c r="G515" s="243"/>
      <c r="H515" s="254"/>
      <c r="I515" s="241"/>
      <c r="J515" s="241"/>
      <c r="K515" s="241"/>
      <c r="L515" s="241"/>
      <c r="M515" s="243"/>
      <c r="N515" s="243"/>
      <c r="O515" s="242"/>
      <c r="P515" s="241"/>
      <c r="Q515" s="241"/>
      <c r="R515" s="241"/>
      <c r="S515" s="244"/>
      <c r="T515" s="244"/>
    </row>
    <row r="516" spans="1:20" s="239" customFormat="1">
      <c r="A516" s="241"/>
      <c r="B516" s="241"/>
      <c r="C516" s="242"/>
      <c r="D516" s="241"/>
      <c r="E516" s="241"/>
      <c r="F516" s="241"/>
      <c r="G516" s="243"/>
      <c r="H516" s="254"/>
      <c r="I516" s="241"/>
      <c r="J516" s="241"/>
      <c r="K516" s="241"/>
      <c r="L516" s="241"/>
      <c r="M516" s="243"/>
      <c r="N516" s="243"/>
      <c r="O516" s="242"/>
      <c r="P516" s="241"/>
      <c r="Q516" s="241"/>
      <c r="R516" s="241"/>
      <c r="S516" s="244"/>
      <c r="T516" s="244"/>
    </row>
    <row r="517" spans="1:20" s="239" customFormat="1">
      <c r="A517" s="241"/>
      <c r="B517" s="241"/>
      <c r="C517" s="242"/>
      <c r="D517" s="241"/>
      <c r="E517" s="241"/>
      <c r="F517" s="241"/>
      <c r="G517" s="243"/>
      <c r="H517" s="254"/>
      <c r="I517" s="241"/>
      <c r="J517" s="241"/>
      <c r="K517" s="241"/>
      <c r="L517" s="241"/>
      <c r="M517" s="243"/>
      <c r="N517" s="243"/>
      <c r="O517" s="242"/>
      <c r="P517" s="241"/>
      <c r="Q517" s="241"/>
      <c r="R517" s="241"/>
      <c r="S517" s="244"/>
      <c r="T517" s="244"/>
    </row>
    <row r="518" spans="1:20" s="239" customFormat="1">
      <c r="A518" s="241"/>
      <c r="B518" s="241"/>
      <c r="C518" s="242"/>
      <c r="D518" s="241"/>
      <c r="E518" s="241"/>
      <c r="F518" s="241"/>
      <c r="G518" s="243"/>
      <c r="H518" s="254"/>
      <c r="I518" s="241"/>
      <c r="J518" s="241"/>
      <c r="K518" s="241"/>
      <c r="L518" s="241"/>
      <c r="M518" s="243"/>
      <c r="N518" s="243"/>
      <c r="O518" s="242"/>
      <c r="P518" s="241"/>
      <c r="Q518" s="241"/>
      <c r="R518" s="241"/>
      <c r="S518" s="244"/>
      <c r="T518" s="244"/>
    </row>
    <row r="519" spans="1:20" s="239" customFormat="1">
      <c r="A519" s="241"/>
      <c r="B519" s="241"/>
      <c r="C519" s="242"/>
      <c r="D519" s="241"/>
      <c r="E519" s="241"/>
      <c r="F519" s="241"/>
      <c r="G519" s="243"/>
      <c r="H519" s="254"/>
      <c r="I519" s="241"/>
      <c r="J519" s="241"/>
      <c r="K519" s="241"/>
      <c r="L519" s="241"/>
      <c r="M519" s="243"/>
      <c r="N519" s="243"/>
      <c r="O519" s="242"/>
      <c r="P519" s="241"/>
      <c r="Q519" s="241"/>
      <c r="R519" s="241"/>
      <c r="S519" s="244"/>
      <c r="T519" s="244"/>
    </row>
    <row r="520" spans="1:20" s="239" customFormat="1">
      <c r="A520" s="241"/>
      <c r="B520" s="241"/>
      <c r="C520" s="242"/>
      <c r="D520" s="241"/>
      <c r="E520" s="241"/>
      <c r="F520" s="241"/>
      <c r="G520" s="243"/>
      <c r="H520" s="254"/>
      <c r="I520" s="241"/>
      <c r="J520" s="241"/>
      <c r="K520" s="241"/>
      <c r="L520" s="241"/>
      <c r="M520" s="243"/>
      <c r="N520" s="243"/>
      <c r="O520" s="242"/>
      <c r="P520" s="241"/>
      <c r="Q520" s="241"/>
      <c r="R520" s="241"/>
      <c r="S520" s="244"/>
      <c r="T520" s="244"/>
    </row>
    <row r="521" spans="1:20" s="239" customFormat="1">
      <c r="A521" s="241"/>
      <c r="B521" s="241"/>
      <c r="C521" s="242"/>
      <c r="D521" s="241"/>
      <c r="E521" s="241"/>
      <c r="F521" s="241"/>
      <c r="G521" s="243"/>
      <c r="H521" s="254"/>
      <c r="I521" s="241"/>
      <c r="J521" s="241"/>
      <c r="K521" s="241"/>
      <c r="L521" s="241"/>
      <c r="M521" s="243"/>
      <c r="N521" s="243"/>
      <c r="O521" s="242"/>
      <c r="P521" s="241"/>
      <c r="Q521" s="241"/>
      <c r="R521" s="241"/>
      <c r="S521" s="244"/>
      <c r="T521" s="244"/>
    </row>
    <row r="522" spans="1:20" s="239" customFormat="1">
      <c r="A522" s="241"/>
      <c r="B522" s="241"/>
      <c r="C522" s="242"/>
      <c r="D522" s="241"/>
      <c r="E522" s="241"/>
      <c r="F522" s="241"/>
      <c r="G522" s="243"/>
      <c r="H522" s="254"/>
      <c r="I522" s="241"/>
      <c r="J522" s="241"/>
      <c r="K522" s="241"/>
      <c r="L522" s="241"/>
      <c r="M522" s="243"/>
      <c r="N522" s="243"/>
      <c r="O522" s="242"/>
      <c r="P522" s="241"/>
      <c r="Q522" s="241"/>
      <c r="R522" s="241"/>
      <c r="S522" s="244"/>
      <c r="T522" s="244"/>
    </row>
    <row r="523" spans="1:20" s="239" customFormat="1">
      <c r="A523" s="241"/>
      <c r="B523" s="241"/>
      <c r="C523" s="242"/>
      <c r="D523" s="241"/>
      <c r="E523" s="241"/>
      <c r="F523" s="241"/>
      <c r="G523" s="243"/>
      <c r="H523" s="254"/>
      <c r="I523" s="241"/>
      <c r="J523" s="241"/>
      <c r="K523" s="241"/>
      <c r="L523" s="241"/>
      <c r="M523" s="243"/>
      <c r="N523" s="243"/>
      <c r="O523" s="242"/>
      <c r="P523" s="241"/>
      <c r="Q523" s="241"/>
      <c r="R523" s="241"/>
      <c r="S523" s="244"/>
      <c r="T523" s="244"/>
    </row>
    <row r="524" spans="1:20" s="239" customFormat="1">
      <c r="A524" s="241"/>
      <c r="B524" s="241"/>
      <c r="C524" s="242"/>
      <c r="D524" s="241"/>
      <c r="E524" s="241"/>
      <c r="F524" s="241"/>
      <c r="G524" s="243"/>
      <c r="H524" s="254"/>
      <c r="I524" s="241"/>
      <c r="J524" s="241"/>
      <c r="K524" s="241"/>
      <c r="L524" s="241"/>
      <c r="M524" s="243"/>
      <c r="N524" s="243"/>
      <c r="O524" s="242"/>
      <c r="P524" s="241"/>
      <c r="Q524" s="241"/>
      <c r="R524" s="241"/>
      <c r="S524" s="244"/>
      <c r="T524" s="244"/>
    </row>
    <row r="525" spans="1:20" s="239" customFormat="1">
      <c r="A525" s="241"/>
      <c r="B525" s="241"/>
      <c r="C525" s="242"/>
      <c r="D525" s="241"/>
      <c r="E525" s="241"/>
      <c r="F525" s="241"/>
      <c r="G525" s="243"/>
      <c r="H525" s="254"/>
      <c r="I525" s="241"/>
      <c r="J525" s="241"/>
      <c r="K525" s="241"/>
      <c r="L525" s="241"/>
      <c r="M525" s="243"/>
      <c r="N525" s="243"/>
      <c r="O525" s="242"/>
      <c r="P525" s="241"/>
      <c r="Q525" s="241"/>
      <c r="R525" s="241"/>
      <c r="S525" s="244"/>
      <c r="T525" s="244"/>
    </row>
    <row r="526" spans="1:20" s="239" customFormat="1">
      <c r="A526" s="241"/>
      <c r="B526" s="241"/>
      <c r="C526" s="242"/>
      <c r="D526" s="241"/>
      <c r="E526" s="241"/>
      <c r="F526" s="241"/>
      <c r="G526" s="243"/>
      <c r="H526" s="254"/>
      <c r="I526" s="241"/>
      <c r="J526" s="241"/>
      <c r="K526" s="241"/>
      <c r="L526" s="241"/>
      <c r="M526" s="243"/>
      <c r="N526" s="243"/>
      <c r="O526" s="242"/>
      <c r="P526" s="241"/>
      <c r="Q526" s="241"/>
      <c r="R526" s="241"/>
      <c r="S526" s="244"/>
      <c r="T526" s="244"/>
    </row>
    <row r="527" spans="1:20" s="239" customFormat="1">
      <c r="A527" s="241"/>
      <c r="B527" s="241"/>
      <c r="C527" s="242"/>
      <c r="D527" s="241"/>
      <c r="E527" s="241"/>
      <c r="F527" s="241"/>
      <c r="G527" s="243"/>
      <c r="H527" s="254"/>
      <c r="I527" s="241"/>
      <c r="J527" s="241"/>
      <c r="K527" s="241"/>
      <c r="L527" s="241"/>
      <c r="M527" s="243"/>
      <c r="N527" s="243"/>
      <c r="O527" s="242"/>
      <c r="P527" s="241"/>
      <c r="Q527" s="241"/>
      <c r="R527" s="241"/>
      <c r="S527" s="244"/>
      <c r="T527" s="244"/>
    </row>
    <row r="528" spans="1:20" s="239" customFormat="1">
      <c r="A528" s="241"/>
      <c r="B528" s="241"/>
      <c r="C528" s="242"/>
      <c r="D528" s="241"/>
      <c r="E528" s="241"/>
      <c r="F528" s="241"/>
      <c r="G528" s="243"/>
      <c r="H528" s="254"/>
      <c r="I528" s="241"/>
      <c r="J528" s="241"/>
      <c r="K528" s="241"/>
      <c r="L528" s="241"/>
      <c r="M528" s="243"/>
      <c r="N528" s="243"/>
      <c r="O528" s="242"/>
      <c r="P528" s="241"/>
      <c r="Q528" s="241"/>
      <c r="R528" s="241"/>
      <c r="S528" s="244"/>
      <c r="T528" s="244"/>
    </row>
    <row r="529" spans="1:20" s="239" customFormat="1">
      <c r="A529" s="241"/>
      <c r="B529" s="241"/>
      <c r="C529" s="242"/>
      <c r="D529" s="241"/>
      <c r="E529" s="241"/>
      <c r="F529" s="241"/>
      <c r="G529" s="243"/>
      <c r="H529" s="254"/>
      <c r="I529" s="241"/>
      <c r="J529" s="241"/>
      <c r="K529" s="241"/>
      <c r="L529" s="241"/>
      <c r="M529" s="243"/>
      <c r="N529" s="243"/>
      <c r="O529" s="242"/>
      <c r="P529" s="241"/>
      <c r="Q529" s="241"/>
      <c r="R529" s="241"/>
      <c r="S529" s="244"/>
      <c r="T529" s="244"/>
    </row>
    <row r="530" spans="1:20" s="239" customFormat="1">
      <c r="A530" s="241"/>
      <c r="B530" s="241"/>
      <c r="C530" s="242"/>
      <c r="D530" s="241"/>
      <c r="E530" s="241"/>
      <c r="F530" s="241"/>
      <c r="G530" s="243"/>
      <c r="H530" s="254"/>
      <c r="I530" s="241"/>
      <c r="J530" s="241"/>
      <c r="K530" s="241"/>
      <c r="L530" s="241"/>
      <c r="M530" s="243"/>
      <c r="N530" s="243"/>
      <c r="O530" s="242"/>
      <c r="P530" s="241"/>
      <c r="Q530" s="241"/>
      <c r="R530" s="241"/>
      <c r="S530" s="244"/>
      <c r="T530" s="244"/>
    </row>
    <row r="531" spans="1:20" s="239" customFormat="1">
      <c r="A531" s="241"/>
      <c r="B531" s="241"/>
      <c r="C531" s="242"/>
      <c r="D531" s="241"/>
      <c r="E531" s="241"/>
      <c r="F531" s="241"/>
      <c r="G531" s="243"/>
      <c r="H531" s="254"/>
      <c r="I531" s="241"/>
      <c r="J531" s="241"/>
      <c r="K531" s="241"/>
      <c r="L531" s="241"/>
      <c r="M531" s="243"/>
      <c r="N531" s="243"/>
      <c r="O531" s="242"/>
      <c r="P531" s="241"/>
      <c r="Q531" s="241"/>
      <c r="R531" s="241"/>
      <c r="S531" s="244"/>
      <c r="T531" s="244"/>
    </row>
    <row r="532" spans="1:20" s="239" customFormat="1">
      <c r="A532" s="241"/>
      <c r="B532" s="241"/>
      <c r="C532" s="242"/>
      <c r="D532" s="241"/>
      <c r="E532" s="241"/>
      <c r="F532" s="241"/>
      <c r="G532" s="243"/>
      <c r="H532" s="254"/>
      <c r="I532" s="241"/>
      <c r="J532" s="241"/>
      <c r="K532" s="241"/>
      <c r="L532" s="241"/>
      <c r="M532" s="243"/>
      <c r="N532" s="243"/>
      <c r="O532" s="242"/>
      <c r="P532" s="241"/>
      <c r="Q532" s="241"/>
      <c r="R532" s="241"/>
      <c r="S532" s="244"/>
      <c r="T532" s="244"/>
    </row>
    <row r="533" spans="1:20" s="239" customFormat="1">
      <c r="A533" s="241"/>
      <c r="B533" s="241"/>
      <c r="C533" s="242"/>
      <c r="D533" s="241"/>
      <c r="E533" s="241"/>
      <c r="F533" s="241"/>
      <c r="G533" s="243"/>
      <c r="H533" s="254"/>
      <c r="I533" s="241"/>
      <c r="J533" s="241"/>
      <c r="K533" s="241"/>
      <c r="L533" s="241"/>
      <c r="M533" s="243"/>
      <c r="N533" s="243"/>
      <c r="O533" s="242"/>
      <c r="P533" s="241"/>
      <c r="Q533" s="241"/>
      <c r="R533" s="241"/>
      <c r="S533" s="244"/>
      <c r="T533" s="244"/>
    </row>
    <row r="534" spans="1:20" s="239" customFormat="1">
      <c r="A534" s="241"/>
      <c r="B534" s="241"/>
      <c r="C534" s="242"/>
      <c r="D534" s="241"/>
      <c r="E534" s="241"/>
      <c r="F534" s="241"/>
      <c r="G534" s="243"/>
      <c r="H534" s="254"/>
      <c r="I534" s="241"/>
      <c r="J534" s="241"/>
      <c r="K534" s="241"/>
      <c r="L534" s="241"/>
      <c r="M534" s="243"/>
      <c r="N534" s="243"/>
      <c r="O534" s="242"/>
      <c r="P534" s="241"/>
      <c r="Q534" s="241"/>
      <c r="R534" s="241"/>
      <c r="S534" s="244"/>
      <c r="T534" s="244"/>
    </row>
    <row r="535" spans="1:20" s="239" customFormat="1">
      <c r="A535" s="241"/>
      <c r="B535" s="241"/>
      <c r="C535" s="242"/>
      <c r="D535" s="241"/>
      <c r="E535" s="241"/>
      <c r="F535" s="241"/>
      <c r="G535" s="243"/>
      <c r="H535" s="254"/>
      <c r="I535" s="241"/>
      <c r="J535" s="241"/>
      <c r="K535" s="241"/>
      <c r="L535" s="241"/>
      <c r="M535" s="243"/>
      <c r="N535" s="243"/>
      <c r="O535" s="242"/>
      <c r="P535" s="241"/>
      <c r="Q535" s="241"/>
      <c r="R535" s="241"/>
      <c r="S535" s="244"/>
      <c r="T535" s="244"/>
    </row>
    <row r="536" spans="1:20" s="239" customFormat="1">
      <c r="A536" s="241"/>
      <c r="B536" s="241"/>
      <c r="C536" s="242"/>
      <c r="D536" s="241"/>
      <c r="E536" s="241"/>
      <c r="F536" s="241"/>
      <c r="G536" s="243"/>
      <c r="H536" s="254"/>
      <c r="I536" s="241"/>
      <c r="J536" s="241"/>
      <c r="K536" s="241"/>
      <c r="L536" s="241"/>
      <c r="M536" s="243"/>
      <c r="N536" s="243"/>
      <c r="O536" s="242"/>
      <c r="P536" s="241"/>
      <c r="Q536" s="241"/>
      <c r="R536" s="241"/>
      <c r="S536" s="244"/>
      <c r="T536" s="244"/>
    </row>
    <row r="537" spans="1:20" s="239" customFormat="1">
      <c r="A537" s="241"/>
      <c r="B537" s="241"/>
      <c r="C537" s="242"/>
      <c r="D537" s="241"/>
      <c r="E537" s="241"/>
      <c r="F537" s="241"/>
      <c r="G537" s="243"/>
      <c r="H537" s="254"/>
      <c r="I537" s="241"/>
      <c r="J537" s="241"/>
      <c r="K537" s="241"/>
      <c r="L537" s="241"/>
      <c r="M537" s="243"/>
      <c r="N537" s="243"/>
      <c r="O537" s="242"/>
      <c r="P537" s="241"/>
      <c r="Q537" s="241"/>
      <c r="R537" s="241"/>
      <c r="S537" s="244"/>
      <c r="T537" s="244"/>
    </row>
    <row r="538" spans="1:20" s="239" customFormat="1">
      <c r="A538" s="241"/>
      <c r="B538" s="241"/>
      <c r="C538" s="242"/>
      <c r="D538" s="241"/>
      <c r="E538" s="241"/>
      <c r="F538" s="241"/>
      <c r="G538" s="243"/>
      <c r="H538" s="254"/>
      <c r="I538" s="241"/>
      <c r="J538" s="241"/>
      <c r="K538" s="241"/>
      <c r="L538" s="241"/>
      <c r="M538" s="243"/>
      <c r="N538" s="243"/>
      <c r="O538" s="242"/>
      <c r="P538" s="241"/>
      <c r="Q538" s="241"/>
      <c r="R538" s="241"/>
      <c r="S538" s="244"/>
      <c r="T538" s="244"/>
    </row>
    <row r="539" spans="1:20" s="239" customFormat="1">
      <c r="A539" s="241"/>
      <c r="B539" s="241"/>
      <c r="C539" s="242"/>
      <c r="D539" s="241"/>
      <c r="E539" s="241"/>
      <c r="F539" s="241"/>
      <c r="G539" s="243"/>
      <c r="H539" s="254"/>
      <c r="I539" s="241"/>
      <c r="J539" s="241"/>
      <c r="K539" s="241"/>
      <c r="L539" s="241"/>
      <c r="M539" s="243"/>
      <c r="N539" s="243"/>
      <c r="O539" s="242"/>
      <c r="P539" s="241"/>
      <c r="Q539" s="241"/>
      <c r="R539" s="241"/>
      <c r="S539" s="244"/>
      <c r="T539" s="244"/>
    </row>
    <row r="540" spans="1:20" s="239" customFormat="1">
      <c r="A540" s="241"/>
      <c r="B540" s="241"/>
      <c r="C540" s="242"/>
      <c r="D540" s="241"/>
      <c r="E540" s="241"/>
      <c r="F540" s="241"/>
      <c r="G540" s="243"/>
      <c r="H540" s="254"/>
      <c r="I540" s="241"/>
      <c r="J540" s="241"/>
      <c r="K540" s="241"/>
      <c r="L540" s="241"/>
      <c r="M540" s="243"/>
      <c r="N540" s="243"/>
      <c r="O540" s="242"/>
      <c r="P540" s="241"/>
      <c r="Q540" s="241"/>
      <c r="R540" s="241"/>
      <c r="S540" s="244"/>
      <c r="T540" s="244"/>
    </row>
    <row r="541" spans="1:20" s="239" customFormat="1">
      <c r="A541" s="241"/>
      <c r="B541" s="241"/>
      <c r="C541" s="242"/>
      <c r="D541" s="241"/>
      <c r="E541" s="241"/>
      <c r="F541" s="241"/>
      <c r="G541" s="243"/>
      <c r="H541" s="254"/>
      <c r="I541" s="241"/>
      <c r="J541" s="241"/>
      <c r="K541" s="241"/>
      <c r="L541" s="241"/>
      <c r="M541" s="243"/>
      <c r="N541" s="243"/>
      <c r="O541" s="242"/>
      <c r="P541" s="241"/>
      <c r="Q541" s="241"/>
      <c r="R541" s="241"/>
      <c r="S541" s="244"/>
      <c r="T541" s="244"/>
    </row>
    <row r="542" spans="1:20" s="239" customFormat="1">
      <c r="A542" s="241"/>
      <c r="B542" s="241"/>
      <c r="C542" s="242"/>
      <c r="D542" s="241"/>
      <c r="E542" s="241"/>
      <c r="F542" s="241"/>
      <c r="G542" s="243"/>
      <c r="H542" s="254"/>
      <c r="I542" s="241"/>
      <c r="J542" s="241"/>
      <c r="K542" s="241"/>
      <c r="L542" s="241"/>
      <c r="M542" s="243"/>
      <c r="N542" s="243"/>
      <c r="O542" s="242"/>
      <c r="P542" s="241"/>
      <c r="Q542" s="241"/>
      <c r="R542" s="241"/>
      <c r="S542" s="244"/>
      <c r="T542" s="244"/>
    </row>
    <row r="543" spans="1:20" s="239" customFormat="1">
      <c r="A543" s="241"/>
      <c r="B543" s="241"/>
      <c r="C543" s="242"/>
      <c r="D543" s="241"/>
      <c r="E543" s="241"/>
      <c r="F543" s="241"/>
      <c r="G543" s="243"/>
      <c r="H543" s="254"/>
      <c r="I543" s="241"/>
      <c r="J543" s="241"/>
      <c r="K543" s="241"/>
      <c r="L543" s="241"/>
      <c r="M543" s="243"/>
      <c r="N543" s="243"/>
      <c r="O543" s="242"/>
      <c r="P543" s="241"/>
      <c r="Q543" s="241"/>
      <c r="R543" s="241"/>
      <c r="S543" s="244"/>
      <c r="T543" s="244"/>
    </row>
    <row r="544" spans="1:20" s="239" customFormat="1">
      <c r="A544" s="241"/>
      <c r="B544" s="241"/>
      <c r="C544" s="242"/>
      <c r="D544" s="241"/>
      <c r="E544" s="241"/>
      <c r="F544" s="241"/>
      <c r="G544" s="243"/>
      <c r="H544" s="254"/>
      <c r="I544" s="241"/>
      <c r="J544" s="241"/>
      <c r="K544" s="241"/>
      <c r="L544" s="241"/>
      <c r="M544" s="243"/>
      <c r="N544" s="243"/>
      <c r="O544" s="242"/>
      <c r="P544" s="241"/>
      <c r="Q544" s="241"/>
      <c r="R544" s="241"/>
      <c r="S544" s="244"/>
      <c r="T544" s="244"/>
    </row>
    <row r="545" spans="1:20" s="239" customFormat="1">
      <c r="A545" s="241"/>
      <c r="B545" s="241"/>
      <c r="C545" s="242"/>
      <c r="D545" s="241"/>
      <c r="E545" s="241"/>
      <c r="F545" s="241"/>
      <c r="G545" s="243"/>
      <c r="H545" s="254"/>
      <c r="I545" s="241"/>
      <c r="J545" s="241"/>
      <c r="K545" s="241"/>
      <c r="L545" s="241"/>
      <c r="M545" s="243"/>
      <c r="N545" s="243"/>
      <c r="O545" s="242"/>
      <c r="P545" s="241"/>
      <c r="Q545" s="241"/>
      <c r="R545" s="241"/>
      <c r="S545" s="244"/>
      <c r="T545" s="244"/>
    </row>
    <row r="546" spans="1:20" s="239" customFormat="1">
      <c r="A546" s="241"/>
      <c r="B546" s="241"/>
      <c r="C546" s="242"/>
      <c r="D546" s="241"/>
      <c r="E546" s="241"/>
      <c r="F546" s="241"/>
      <c r="G546" s="243"/>
      <c r="H546" s="254"/>
      <c r="I546" s="241"/>
      <c r="J546" s="241"/>
      <c r="K546" s="241"/>
      <c r="L546" s="241"/>
      <c r="M546" s="243"/>
      <c r="N546" s="243"/>
      <c r="O546" s="242"/>
      <c r="P546" s="241"/>
      <c r="Q546" s="241"/>
      <c r="R546" s="241"/>
      <c r="S546" s="244"/>
      <c r="T546" s="244"/>
    </row>
    <row r="547" spans="1:20" s="239" customFormat="1">
      <c r="A547" s="241"/>
      <c r="B547" s="241"/>
      <c r="C547" s="242"/>
      <c r="D547" s="241"/>
      <c r="E547" s="241"/>
      <c r="F547" s="241"/>
      <c r="G547" s="243"/>
      <c r="H547" s="254"/>
      <c r="I547" s="241"/>
      <c r="J547" s="241"/>
      <c r="K547" s="241"/>
      <c r="L547" s="241"/>
      <c r="M547" s="243"/>
      <c r="N547" s="243"/>
      <c r="O547" s="242"/>
      <c r="P547" s="241"/>
      <c r="Q547" s="241"/>
      <c r="R547" s="241"/>
      <c r="S547" s="244"/>
      <c r="T547" s="244"/>
    </row>
    <row r="548" spans="1:20" s="239" customFormat="1">
      <c r="A548" s="241"/>
      <c r="B548" s="241"/>
      <c r="C548" s="242"/>
      <c r="D548" s="241"/>
      <c r="E548" s="241"/>
      <c r="F548" s="241"/>
      <c r="G548" s="243"/>
      <c r="H548" s="254"/>
      <c r="I548" s="241"/>
      <c r="J548" s="241"/>
      <c r="K548" s="241"/>
      <c r="L548" s="241"/>
      <c r="M548" s="243"/>
      <c r="N548" s="243"/>
      <c r="O548" s="242"/>
      <c r="P548" s="241"/>
      <c r="Q548" s="241"/>
      <c r="R548" s="241"/>
      <c r="S548" s="244"/>
      <c r="T548" s="244"/>
    </row>
    <row r="549" spans="1:20" s="239" customFormat="1">
      <c r="A549" s="241"/>
      <c r="B549" s="241"/>
      <c r="C549" s="242"/>
      <c r="D549" s="241"/>
      <c r="E549" s="241"/>
      <c r="F549" s="241"/>
      <c r="G549" s="243"/>
      <c r="H549" s="254"/>
      <c r="I549" s="241"/>
      <c r="J549" s="241"/>
      <c r="K549" s="241"/>
      <c r="L549" s="241"/>
      <c r="M549" s="243"/>
      <c r="N549" s="243"/>
      <c r="O549" s="242"/>
      <c r="P549" s="241"/>
      <c r="Q549" s="241"/>
      <c r="R549" s="241"/>
      <c r="S549" s="244"/>
      <c r="T549" s="244"/>
    </row>
    <row r="550" spans="1:20" s="239" customFormat="1">
      <c r="A550" s="241"/>
      <c r="B550" s="241"/>
      <c r="C550" s="242"/>
      <c r="D550" s="241"/>
      <c r="E550" s="241"/>
      <c r="F550" s="241"/>
      <c r="G550" s="243"/>
      <c r="H550" s="254"/>
      <c r="I550" s="241"/>
      <c r="J550" s="241"/>
      <c r="K550" s="241"/>
      <c r="L550" s="241"/>
      <c r="M550" s="243"/>
      <c r="N550" s="243"/>
      <c r="O550" s="242"/>
      <c r="P550" s="241"/>
      <c r="Q550" s="241"/>
      <c r="R550" s="241"/>
      <c r="S550" s="244"/>
      <c r="T550" s="244"/>
    </row>
    <row r="551" spans="1:20" s="239" customFormat="1">
      <c r="A551" s="241"/>
      <c r="B551" s="241"/>
      <c r="C551" s="242"/>
      <c r="D551" s="241"/>
      <c r="E551" s="241"/>
      <c r="F551" s="241"/>
      <c r="G551" s="243"/>
      <c r="H551" s="254"/>
      <c r="I551" s="241"/>
      <c r="J551" s="241"/>
      <c r="K551" s="241"/>
      <c r="L551" s="241"/>
      <c r="M551" s="243"/>
      <c r="N551" s="243"/>
      <c r="O551" s="242"/>
      <c r="P551" s="241"/>
      <c r="Q551" s="241"/>
      <c r="R551" s="241"/>
      <c r="S551" s="244"/>
      <c r="T551" s="244"/>
    </row>
    <row r="552" spans="1:20" s="239" customFormat="1">
      <c r="A552" s="241"/>
      <c r="B552" s="241"/>
      <c r="C552" s="242"/>
      <c r="D552" s="241"/>
      <c r="E552" s="241"/>
      <c r="F552" s="241"/>
      <c r="G552" s="243"/>
      <c r="H552" s="254"/>
      <c r="I552" s="241"/>
      <c r="J552" s="241"/>
      <c r="K552" s="241"/>
      <c r="L552" s="241"/>
      <c r="M552" s="243"/>
      <c r="N552" s="243"/>
      <c r="O552" s="242"/>
      <c r="P552" s="241"/>
      <c r="Q552" s="241"/>
      <c r="R552" s="241"/>
      <c r="S552" s="244"/>
      <c r="T552" s="244"/>
    </row>
    <row r="553" spans="1:20" s="239" customFormat="1">
      <c r="A553" s="241"/>
      <c r="B553" s="241"/>
      <c r="C553" s="242"/>
      <c r="D553" s="241"/>
      <c r="E553" s="241"/>
      <c r="F553" s="241"/>
      <c r="G553" s="243"/>
      <c r="H553" s="254"/>
      <c r="I553" s="241"/>
      <c r="J553" s="241"/>
      <c r="K553" s="241"/>
      <c r="L553" s="241"/>
      <c r="M553" s="243"/>
      <c r="N553" s="243"/>
      <c r="O553" s="242"/>
      <c r="P553" s="241"/>
      <c r="Q553" s="241"/>
      <c r="R553" s="241"/>
      <c r="S553" s="244"/>
      <c r="T553" s="244"/>
    </row>
    <row r="554" spans="1:20" s="239" customFormat="1">
      <c r="A554" s="241"/>
      <c r="B554" s="241"/>
      <c r="C554" s="242"/>
      <c r="D554" s="241"/>
      <c r="E554" s="241"/>
      <c r="F554" s="241"/>
      <c r="G554" s="243"/>
      <c r="H554" s="254"/>
      <c r="I554" s="241"/>
      <c r="J554" s="241"/>
      <c r="K554" s="241"/>
      <c r="L554" s="241"/>
      <c r="M554" s="243"/>
      <c r="N554" s="243"/>
      <c r="O554" s="242"/>
      <c r="P554" s="241"/>
      <c r="Q554" s="241"/>
      <c r="R554" s="241"/>
      <c r="S554" s="244"/>
      <c r="T554" s="244"/>
    </row>
    <row r="555" spans="1:20" s="239" customFormat="1">
      <c r="A555" s="241"/>
      <c r="B555" s="241"/>
      <c r="C555" s="242"/>
      <c r="D555" s="241"/>
      <c r="E555" s="241"/>
      <c r="F555" s="241"/>
      <c r="G555" s="243"/>
      <c r="H555" s="254"/>
      <c r="I555" s="241"/>
      <c r="J555" s="241"/>
      <c r="K555" s="241"/>
      <c r="L555" s="241"/>
      <c r="M555" s="243"/>
      <c r="N555" s="243"/>
      <c r="O555" s="242"/>
      <c r="P555" s="241"/>
      <c r="Q555" s="241"/>
      <c r="R555" s="241"/>
      <c r="S555" s="244"/>
      <c r="T555" s="244"/>
    </row>
    <row r="556" spans="1:20" s="239" customFormat="1">
      <c r="A556" s="241"/>
      <c r="B556" s="241"/>
      <c r="C556" s="242"/>
      <c r="D556" s="241"/>
      <c r="E556" s="241"/>
      <c r="F556" s="241"/>
      <c r="G556" s="243"/>
      <c r="H556" s="254"/>
      <c r="I556" s="241"/>
      <c r="J556" s="241"/>
      <c r="K556" s="241"/>
      <c r="L556" s="241"/>
      <c r="M556" s="243"/>
      <c r="N556" s="243"/>
      <c r="O556" s="242"/>
      <c r="P556" s="241"/>
      <c r="Q556" s="241"/>
      <c r="R556" s="241"/>
      <c r="S556" s="244"/>
      <c r="T556" s="244"/>
    </row>
    <row r="557" spans="1:20" s="239" customFormat="1">
      <c r="A557" s="241"/>
      <c r="B557" s="241"/>
      <c r="C557" s="242"/>
      <c r="D557" s="241"/>
      <c r="E557" s="241"/>
      <c r="F557" s="241"/>
      <c r="G557" s="243"/>
      <c r="H557" s="254"/>
      <c r="I557" s="241"/>
      <c r="J557" s="241"/>
      <c r="K557" s="241"/>
      <c r="L557" s="241"/>
      <c r="M557" s="243"/>
      <c r="N557" s="243"/>
      <c r="O557" s="242"/>
      <c r="P557" s="241"/>
      <c r="Q557" s="241"/>
      <c r="R557" s="241"/>
      <c r="S557" s="244"/>
      <c r="T557" s="244"/>
    </row>
    <row r="558" spans="1:20" s="239" customFormat="1">
      <c r="A558" s="241"/>
      <c r="B558" s="241"/>
      <c r="C558" s="242"/>
      <c r="D558" s="241"/>
      <c r="E558" s="241"/>
      <c r="F558" s="241"/>
      <c r="G558" s="243"/>
      <c r="H558" s="254"/>
      <c r="I558" s="241"/>
      <c r="J558" s="241"/>
      <c r="K558" s="241"/>
      <c r="L558" s="241"/>
      <c r="M558" s="243"/>
      <c r="N558" s="243"/>
      <c r="O558" s="242"/>
      <c r="P558" s="241"/>
      <c r="Q558" s="241"/>
      <c r="R558" s="241"/>
      <c r="S558" s="244"/>
      <c r="T558" s="244"/>
    </row>
    <row r="559" spans="1:20" s="239" customFormat="1">
      <c r="A559" s="241"/>
      <c r="B559" s="241"/>
      <c r="C559" s="242"/>
      <c r="D559" s="241"/>
      <c r="E559" s="241"/>
      <c r="F559" s="241"/>
      <c r="G559" s="243"/>
      <c r="H559" s="254"/>
      <c r="I559" s="241"/>
      <c r="J559" s="241"/>
      <c r="K559" s="241"/>
      <c r="L559" s="241"/>
      <c r="M559" s="243"/>
      <c r="N559" s="243"/>
      <c r="O559" s="242"/>
      <c r="P559" s="241"/>
      <c r="Q559" s="241"/>
      <c r="R559" s="241"/>
      <c r="S559" s="244"/>
      <c r="T559" s="244"/>
    </row>
    <row r="560" spans="1:20" s="239" customFormat="1">
      <c r="A560" s="241"/>
      <c r="B560" s="241"/>
      <c r="C560" s="242"/>
      <c r="D560" s="241"/>
      <c r="E560" s="241"/>
      <c r="F560" s="241"/>
      <c r="G560" s="243"/>
      <c r="H560" s="254"/>
      <c r="I560" s="241"/>
      <c r="J560" s="241"/>
      <c r="K560" s="241"/>
      <c r="L560" s="241"/>
      <c r="M560" s="243"/>
      <c r="N560" s="243"/>
      <c r="O560" s="242"/>
      <c r="P560" s="241"/>
      <c r="Q560" s="241"/>
      <c r="R560" s="241"/>
      <c r="S560" s="244"/>
      <c r="T560" s="244"/>
    </row>
    <row r="561" spans="1:20" s="239" customFormat="1">
      <c r="A561" s="241"/>
      <c r="B561" s="241"/>
      <c r="C561" s="242"/>
      <c r="D561" s="241"/>
      <c r="E561" s="241"/>
      <c r="F561" s="241"/>
      <c r="G561" s="243"/>
      <c r="H561" s="254"/>
      <c r="I561" s="241"/>
      <c r="J561" s="241"/>
      <c r="K561" s="241"/>
      <c r="L561" s="241"/>
      <c r="M561" s="243"/>
      <c r="N561" s="243"/>
      <c r="O561" s="242"/>
      <c r="P561" s="241"/>
      <c r="Q561" s="241"/>
      <c r="R561" s="241"/>
      <c r="S561" s="244"/>
      <c r="T561" s="244"/>
    </row>
    <row r="562" spans="1:20" s="239" customFormat="1">
      <c r="A562" s="241"/>
      <c r="B562" s="241"/>
      <c r="C562" s="242"/>
      <c r="D562" s="241"/>
      <c r="E562" s="241"/>
      <c r="F562" s="241"/>
      <c r="G562" s="243"/>
      <c r="H562" s="254"/>
      <c r="I562" s="241"/>
      <c r="J562" s="241"/>
      <c r="K562" s="241"/>
      <c r="L562" s="241"/>
      <c r="M562" s="243"/>
      <c r="N562" s="243"/>
      <c r="O562" s="242"/>
      <c r="P562" s="241"/>
      <c r="Q562" s="241"/>
      <c r="R562" s="241"/>
      <c r="S562" s="244"/>
      <c r="T562" s="244"/>
    </row>
    <row r="563" spans="1:20" s="239" customFormat="1">
      <c r="A563" s="241"/>
      <c r="B563" s="241"/>
      <c r="C563" s="242"/>
      <c r="D563" s="241"/>
      <c r="E563" s="241"/>
      <c r="F563" s="241"/>
      <c r="G563" s="243"/>
      <c r="H563" s="254"/>
      <c r="I563" s="241"/>
      <c r="J563" s="241"/>
      <c r="K563" s="241"/>
      <c r="L563" s="241"/>
      <c r="M563" s="243"/>
      <c r="N563" s="243"/>
      <c r="O563" s="242"/>
      <c r="P563" s="241"/>
      <c r="Q563" s="241"/>
      <c r="R563" s="241"/>
      <c r="S563" s="244"/>
      <c r="T563" s="244"/>
    </row>
    <row r="564" spans="1:20" s="239" customFormat="1">
      <c r="A564" s="241"/>
      <c r="B564" s="241"/>
      <c r="C564" s="242"/>
      <c r="D564" s="241"/>
      <c r="E564" s="241"/>
      <c r="F564" s="241"/>
      <c r="G564" s="243"/>
      <c r="H564" s="254"/>
      <c r="I564" s="241"/>
      <c r="J564" s="241"/>
      <c r="K564" s="241"/>
      <c r="L564" s="241"/>
      <c r="M564" s="243"/>
      <c r="N564" s="243"/>
      <c r="O564" s="242"/>
      <c r="P564" s="241"/>
      <c r="Q564" s="241"/>
      <c r="R564" s="241"/>
      <c r="S564" s="244"/>
      <c r="T564" s="244"/>
    </row>
    <row r="565" spans="1:20" s="239" customFormat="1">
      <c r="A565" s="241"/>
      <c r="B565" s="241"/>
      <c r="C565" s="242"/>
      <c r="D565" s="241"/>
      <c r="E565" s="241"/>
      <c r="F565" s="241"/>
      <c r="G565" s="243"/>
      <c r="H565" s="254"/>
      <c r="I565" s="241"/>
      <c r="J565" s="241"/>
      <c r="K565" s="241"/>
      <c r="L565" s="241"/>
      <c r="M565" s="243"/>
      <c r="N565" s="243"/>
      <c r="O565" s="242"/>
      <c r="P565" s="241"/>
      <c r="Q565" s="241"/>
      <c r="R565" s="241"/>
      <c r="S565" s="244"/>
      <c r="T565" s="244"/>
    </row>
    <row r="566" spans="1:20" s="239" customFormat="1">
      <c r="A566" s="241"/>
      <c r="B566" s="241"/>
      <c r="C566" s="242"/>
      <c r="D566" s="241"/>
      <c r="E566" s="241"/>
      <c r="F566" s="241"/>
      <c r="G566" s="243"/>
      <c r="H566" s="254"/>
      <c r="I566" s="241"/>
      <c r="J566" s="241"/>
      <c r="K566" s="241"/>
      <c r="L566" s="241"/>
      <c r="M566" s="243"/>
      <c r="N566" s="243"/>
      <c r="O566" s="242"/>
      <c r="P566" s="241"/>
      <c r="Q566" s="241"/>
      <c r="R566" s="241"/>
      <c r="S566" s="244"/>
      <c r="T566" s="244"/>
    </row>
    <row r="567" spans="1:20" s="239" customFormat="1">
      <c r="A567" s="241"/>
      <c r="B567" s="241"/>
      <c r="C567" s="242"/>
      <c r="D567" s="241"/>
      <c r="E567" s="241"/>
      <c r="F567" s="241"/>
      <c r="G567" s="243"/>
      <c r="H567" s="254"/>
      <c r="I567" s="241"/>
      <c r="J567" s="241"/>
      <c r="K567" s="241"/>
      <c r="L567" s="241"/>
      <c r="M567" s="243"/>
      <c r="N567" s="243"/>
      <c r="O567" s="242"/>
      <c r="P567" s="241"/>
      <c r="Q567" s="241"/>
      <c r="R567" s="241"/>
      <c r="S567" s="244"/>
      <c r="T567" s="244"/>
    </row>
    <row r="568" spans="1:20" s="239" customFormat="1">
      <c r="A568" s="241"/>
      <c r="B568" s="241"/>
      <c r="C568" s="242"/>
      <c r="D568" s="241"/>
      <c r="E568" s="241"/>
      <c r="F568" s="241"/>
      <c r="G568" s="243"/>
      <c r="H568" s="254"/>
      <c r="I568" s="241"/>
      <c r="J568" s="241"/>
      <c r="K568" s="241"/>
      <c r="L568" s="241"/>
      <c r="M568" s="243"/>
      <c r="N568" s="243"/>
      <c r="O568" s="242"/>
      <c r="P568" s="241"/>
      <c r="Q568" s="241"/>
      <c r="R568" s="241"/>
      <c r="S568" s="244"/>
      <c r="T568" s="244"/>
    </row>
    <row r="569" spans="1:20" s="239" customFormat="1">
      <c r="A569" s="241"/>
      <c r="B569" s="241"/>
      <c r="C569" s="242"/>
      <c r="D569" s="241"/>
      <c r="E569" s="241"/>
      <c r="F569" s="241"/>
      <c r="G569" s="243"/>
      <c r="H569" s="254"/>
      <c r="I569" s="241"/>
      <c r="J569" s="241"/>
      <c r="K569" s="241"/>
      <c r="L569" s="241"/>
      <c r="M569" s="243"/>
      <c r="N569" s="243"/>
      <c r="O569" s="242"/>
      <c r="P569" s="241"/>
      <c r="Q569" s="241"/>
      <c r="R569" s="241"/>
      <c r="S569" s="244"/>
      <c r="T569" s="244"/>
    </row>
    <row r="570" spans="1:20" s="239" customFormat="1">
      <c r="A570" s="241"/>
      <c r="B570" s="241"/>
      <c r="C570" s="242"/>
      <c r="D570" s="241"/>
      <c r="E570" s="241"/>
      <c r="F570" s="241"/>
      <c r="G570" s="243"/>
      <c r="H570" s="254"/>
      <c r="I570" s="241"/>
      <c r="J570" s="241"/>
      <c r="K570" s="241"/>
      <c r="L570" s="241"/>
      <c r="M570" s="243"/>
      <c r="N570" s="243"/>
      <c r="O570" s="242"/>
      <c r="P570" s="241"/>
      <c r="Q570" s="241"/>
      <c r="R570" s="241"/>
      <c r="S570" s="244"/>
      <c r="T570" s="244"/>
    </row>
    <row r="571" spans="1:20" s="239" customFormat="1">
      <c r="A571" s="241"/>
      <c r="B571" s="241"/>
      <c r="C571" s="242"/>
      <c r="D571" s="241"/>
      <c r="E571" s="241"/>
      <c r="F571" s="241"/>
      <c r="G571" s="243"/>
      <c r="H571" s="254"/>
      <c r="I571" s="241"/>
      <c r="J571" s="241"/>
      <c r="K571" s="241"/>
      <c r="L571" s="241"/>
      <c r="M571" s="243"/>
      <c r="N571" s="243"/>
      <c r="O571" s="242"/>
      <c r="P571" s="241"/>
      <c r="Q571" s="241"/>
      <c r="R571" s="241"/>
      <c r="S571" s="244"/>
      <c r="T571" s="244"/>
    </row>
    <row r="572" spans="1:20" s="239" customFormat="1">
      <c r="A572" s="241"/>
      <c r="B572" s="241"/>
      <c r="C572" s="242"/>
      <c r="D572" s="241"/>
      <c r="E572" s="241"/>
      <c r="F572" s="241"/>
      <c r="G572" s="243"/>
      <c r="H572" s="254"/>
      <c r="I572" s="241"/>
      <c r="J572" s="241"/>
      <c r="K572" s="241"/>
      <c r="L572" s="241"/>
      <c r="M572" s="243"/>
      <c r="N572" s="243"/>
      <c r="O572" s="242"/>
      <c r="P572" s="241"/>
      <c r="Q572" s="241"/>
      <c r="R572" s="241"/>
      <c r="S572" s="244"/>
      <c r="T572" s="244"/>
    </row>
    <row r="573" spans="1:20" s="239" customFormat="1">
      <c r="A573" s="241"/>
      <c r="B573" s="241"/>
      <c r="C573" s="242"/>
      <c r="D573" s="241"/>
      <c r="E573" s="241"/>
      <c r="F573" s="241"/>
      <c r="G573" s="243"/>
      <c r="H573" s="254"/>
      <c r="I573" s="241"/>
      <c r="J573" s="241"/>
      <c r="K573" s="241"/>
      <c r="L573" s="241"/>
      <c r="M573" s="243"/>
      <c r="N573" s="243"/>
      <c r="O573" s="242"/>
      <c r="P573" s="241"/>
      <c r="Q573" s="241"/>
      <c r="R573" s="241"/>
      <c r="S573" s="244"/>
      <c r="T573" s="244"/>
    </row>
    <row r="574" spans="1:20" s="239" customFormat="1">
      <c r="A574" s="241"/>
      <c r="B574" s="241"/>
      <c r="C574" s="242"/>
      <c r="D574" s="241"/>
      <c r="E574" s="241"/>
      <c r="F574" s="241"/>
      <c r="G574" s="243"/>
      <c r="H574" s="254"/>
      <c r="I574" s="241"/>
      <c r="J574" s="241"/>
      <c r="K574" s="241"/>
      <c r="L574" s="241"/>
      <c r="M574" s="243"/>
      <c r="N574" s="243"/>
      <c r="O574" s="242"/>
      <c r="P574" s="241"/>
      <c r="Q574" s="241"/>
      <c r="R574" s="241"/>
      <c r="S574" s="244"/>
      <c r="T574" s="244"/>
    </row>
    <row r="575" spans="1:20">
      <c r="A575" s="228"/>
      <c r="B575" s="229"/>
      <c r="C575" s="230"/>
      <c r="D575" s="229"/>
      <c r="E575" s="229"/>
      <c r="F575" s="229"/>
      <c r="G575" s="226"/>
      <c r="H575" s="257"/>
      <c r="I575" s="229"/>
      <c r="J575" s="229"/>
      <c r="K575" s="229"/>
      <c r="L575" s="229"/>
      <c r="M575" s="226"/>
      <c r="N575" s="226"/>
      <c r="O575" s="230"/>
      <c r="P575" s="229"/>
      <c r="Q575" s="229"/>
      <c r="R575" s="229"/>
      <c r="S575" s="234"/>
      <c r="T575" s="252"/>
    </row>
    <row r="576" spans="1:20">
      <c r="A576" s="228"/>
      <c r="B576" s="229"/>
      <c r="C576" s="230"/>
      <c r="D576" s="229"/>
      <c r="E576" s="229"/>
      <c r="F576" s="229"/>
      <c r="G576" s="226"/>
      <c r="H576" s="257"/>
      <c r="I576" s="229"/>
      <c r="J576" s="229"/>
      <c r="K576" s="229"/>
      <c r="L576" s="229"/>
      <c r="M576" s="226"/>
      <c r="N576" s="226"/>
      <c r="O576" s="230"/>
      <c r="P576" s="229"/>
      <c r="Q576" s="229"/>
      <c r="R576" s="229"/>
      <c r="S576" s="234"/>
      <c r="T576" s="252"/>
    </row>
    <row r="577" spans="1:20">
      <c r="A577" s="228"/>
      <c r="B577" s="229"/>
      <c r="C577" s="230"/>
      <c r="D577" s="229"/>
      <c r="E577" s="229"/>
      <c r="F577" s="229"/>
      <c r="G577" s="226"/>
      <c r="H577" s="257"/>
      <c r="I577" s="229"/>
      <c r="J577" s="229"/>
      <c r="K577" s="229"/>
      <c r="L577" s="229"/>
      <c r="M577" s="226"/>
      <c r="N577" s="226"/>
      <c r="O577" s="230"/>
      <c r="P577" s="229"/>
      <c r="Q577" s="229"/>
      <c r="R577" s="229"/>
      <c r="S577" s="234"/>
      <c r="T577" s="252"/>
    </row>
    <row r="578" spans="1:20">
      <c r="A578" s="228"/>
      <c r="B578" s="229"/>
      <c r="C578" s="230"/>
      <c r="D578" s="229"/>
      <c r="E578" s="229"/>
      <c r="F578" s="229"/>
      <c r="G578" s="226"/>
      <c r="H578" s="257"/>
      <c r="I578" s="229"/>
      <c r="J578" s="229"/>
      <c r="K578" s="229"/>
      <c r="L578" s="229"/>
      <c r="M578" s="226"/>
      <c r="N578" s="226"/>
      <c r="O578" s="230"/>
      <c r="P578" s="229"/>
      <c r="Q578" s="229"/>
      <c r="R578" s="229"/>
      <c r="S578" s="234"/>
      <c r="T578" s="252"/>
    </row>
    <row r="579" spans="1:20">
      <c r="A579" s="228"/>
      <c r="B579" s="229"/>
      <c r="C579" s="230"/>
      <c r="D579" s="229"/>
      <c r="E579" s="229"/>
      <c r="F579" s="229"/>
      <c r="G579" s="226"/>
      <c r="H579" s="257"/>
      <c r="I579" s="229"/>
      <c r="J579" s="229"/>
      <c r="K579" s="229"/>
      <c r="L579" s="229"/>
      <c r="M579" s="226"/>
      <c r="N579" s="226"/>
      <c r="O579" s="230"/>
      <c r="P579" s="229"/>
      <c r="Q579" s="229"/>
      <c r="R579" s="229"/>
      <c r="S579" s="234"/>
      <c r="T579" s="252"/>
    </row>
    <row r="580" spans="1:20">
      <c r="A580" s="228"/>
      <c r="B580" s="229"/>
      <c r="C580" s="230"/>
      <c r="D580" s="229"/>
      <c r="E580" s="229"/>
      <c r="F580" s="229"/>
      <c r="G580" s="226"/>
      <c r="H580" s="257"/>
      <c r="I580" s="229"/>
      <c r="J580" s="229"/>
      <c r="K580" s="229"/>
      <c r="L580" s="229"/>
      <c r="M580" s="226"/>
      <c r="N580" s="226"/>
      <c r="O580" s="230"/>
      <c r="P580" s="229"/>
      <c r="Q580" s="229"/>
      <c r="R580" s="229"/>
      <c r="S580" s="234"/>
      <c r="T580" s="252"/>
    </row>
    <row r="581" spans="1:20">
      <c r="A581" s="228"/>
      <c r="B581" s="229"/>
      <c r="C581" s="230"/>
      <c r="D581" s="229"/>
      <c r="E581" s="229"/>
      <c r="F581" s="229"/>
      <c r="G581" s="226"/>
      <c r="H581" s="257"/>
      <c r="I581" s="229"/>
      <c r="J581" s="229"/>
      <c r="K581" s="229"/>
      <c r="L581" s="229"/>
      <c r="M581" s="226"/>
      <c r="N581" s="226"/>
      <c r="O581" s="230"/>
      <c r="P581" s="229"/>
      <c r="Q581" s="229"/>
      <c r="R581" s="229"/>
      <c r="S581" s="234"/>
      <c r="T581" s="252"/>
    </row>
    <row r="582" spans="1:20">
      <c r="A582" s="228"/>
      <c r="B582" s="229"/>
      <c r="C582" s="230"/>
      <c r="D582" s="229"/>
      <c r="E582" s="229"/>
      <c r="F582" s="229"/>
      <c r="G582" s="226"/>
      <c r="H582" s="257"/>
      <c r="I582" s="229"/>
      <c r="J582" s="229"/>
      <c r="K582" s="229"/>
      <c r="L582" s="229"/>
      <c r="M582" s="226"/>
      <c r="N582" s="226"/>
      <c r="O582" s="230"/>
      <c r="P582" s="229"/>
      <c r="Q582" s="229"/>
      <c r="R582" s="229"/>
      <c r="S582" s="234"/>
      <c r="T582" s="252"/>
    </row>
    <row r="583" spans="1:20">
      <c r="A583" s="228"/>
      <c r="B583" s="229"/>
      <c r="C583" s="230"/>
      <c r="D583" s="229"/>
      <c r="E583" s="229"/>
      <c r="F583" s="229"/>
      <c r="G583" s="226"/>
      <c r="H583" s="257"/>
      <c r="I583" s="229"/>
      <c r="J583" s="229"/>
      <c r="K583" s="229"/>
      <c r="L583" s="229"/>
      <c r="M583" s="226"/>
      <c r="N583" s="226"/>
      <c r="O583" s="230"/>
      <c r="P583" s="229"/>
      <c r="Q583" s="229"/>
      <c r="R583" s="229"/>
      <c r="S583" s="234"/>
      <c r="T583" s="252"/>
    </row>
    <row r="584" spans="1:20">
      <c r="A584" s="228"/>
      <c r="B584" s="229"/>
      <c r="C584" s="230"/>
      <c r="D584" s="229"/>
      <c r="E584" s="229"/>
      <c r="F584" s="229"/>
      <c r="G584" s="226"/>
      <c r="H584" s="257"/>
      <c r="I584" s="229"/>
      <c r="J584" s="229"/>
      <c r="K584" s="229"/>
      <c r="L584" s="229"/>
      <c r="M584" s="226"/>
      <c r="N584" s="226"/>
      <c r="O584" s="230"/>
      <c r="P584" s="229"/>
      <c r="Q584" s="229"/>
      <c r="R584" s="229"/>
      <c r="S584" s="234"/>
      <c r="T584" s="252"/>
    </row>
    <row r="585" spans="1:20">
      <c r="A585" s="228"/>
      <c r="B585" s="229"/>
      <c r="C585" s="230"/>
      <c r="D585" s="229"/>
      <c r="E585" s="229"/>
      <c r="F585" s="229"/>
      <c r="G585" s="226"/>
      <c r="H585" s="257"/>
      <c r="I585" s="229"/>
      <c r="J585" s="229"/>
      <c r="K585" s="229"/>
      <c r="L585" s="229"/>
      <c r="M585" s="226"/>
      <c r="N585" s="226"/>
      <c r="O585" s="230"/>
      <c r="P585" s="229"/>
      <c r="Q585" s="229"/>
      <c r="R585" s="229"/>
      <c r="S585" s="234"/>
      <c r="T585" s="252"/>
    </row>
    <row r="586" spans="1:20">
      <c r="A586" s="228"/>
      <c r="B586" s="229"/>
      <c r="C586" s="230"/>
      <c r="D586" s="229"/>
      <c r="E586" s="229"/>
      <c r="F586" s="229"/>
      <c r="G586" s="226"/>
      <c r="H586" s="257"/>
      <c r="I586" s="229"/>
      <c r="J586" s="229"/>
      <c r="K586" s="229"/>
      <c r="L586" s="229"/>
      <c r="M586" s="226"/>
      <c r="N586" s="226"/>
      <c r="O586" s="230"/>
      <c r="P586" s="229"/>
      <c r="Q586" s="229"/>
      <c r="R586" s="229"/>
      <c r="S586" s="234"/>
      <c r="T586" s="252"/>
    </row>
    <row r="587" spans="1:20">
      <c r="A587" s="228"/>
      <c r="B587" s="229"/>
      <c r="C587" s="230"/>
      <c r="D587" s="229"/>
      <c r="E587" s="229"/>
      <c r="F587" s="229"/>
      <c r="G587" s="226"/>
      <c r="H587" s="257"/>
      <c r="I587" s="229"/>
      <c r="J587" s="229"/>
      <c r="K587" s="229"/>
      <c r="L587" s="229"/>
      <c r="M587" s="226"/>
      <c r="N587" s="226"/>
      <c r="O587" s="230"/>
      <c r="P587" s="229"/>
      <c r="Q587" s="229"/>
      <c r="R587" s="229"/>
      <c r="S587" s="234"/>
      <c r="T587" s="252"/>
    </row>
    <row r="588" spans="1:20">
      <c r="A588" s="228"/>
      <c r="B588" s="229"/>
      <c r="C588" s="230"/>
      <c r="D588" s="229"/>
      <c r="E588" s="229"/>
      <c r="F588" s="229"/>
      <c r="G588" s="226"/>
      <c r="H588" s="257"/>
      <c r="I588" s="229"/>
      <c r="J588" s="229"/>
      <c r="K588" s="229"/>
      <c r="L588" s="229"/>
      <c r="M588" s="226"/>
      <c r="N588" s="226"/>
      <c r="O588" s="230"/>
      <c r="P588" s="229"/>
      <c r="Q588" s="229"/>
      <c r="R588" s="229"/>
      <c r="S588" s="234"/>
      <c r="T588" s="252"/>
    </row>
    <row r="589" spans="1:20">
      <c r="A589" s="228"/>
      <c r="B589" s="229"/>
      <c r="C589" s="230"/>
      <c r="D589" s="229"/>
      <c r="E589" s="229"/>
      <c r="F589" s="229"/>
      <c r="G589" s="226"/>
      <c r="H589" s="257"/>
      <c r="I589" s="229"/>
      <c r="J589" s="229"/>
      <c r="K589" s="229"/>
      <c r="L589" s="229"/>
      <c r="M589" s="226"/>
      <c r="N589" s="226"/>
      <c r="O589" s="230"/>
      <c r="P589" s="229"/>
      <c r="Q589" s="229"/>
      <c r="R589" s="229"/>
      <c r="S589" s="234"/>
      <c r="T589" s="252"/>
    </row>
    <row r="590" spans="1:20">
      <c r="A590" s="228"/>
      <c r="B590" s="229"/>
      <c r="C590" s="230"/>
      <c r="D590" s="229"/>
      <c r="E590" s="229"/>
      <c r="F590" s="229"/>
      <c r="G590" s="226"/>
      <c r="H590" s="257"/>
      <c r="I590" s="229"/>
      <c r="J590" s="229"/>
      <c r="K590" s="229"/>
      <c r="L590" s="229"/>
      <c r="M590" s="226"/>
      <c r="N590" s="226"/>
      <c r="O590" s="230"/>
      <c r="P590" s="229"/>
      <c r="Q590" s="229"/>
      <c r="R590" s="229"/>
      <c r="S590" s="234"/>
      <c r="T590" s="252"/>
    </row>
    <row r="591" spans="1:20">
      <c r="A591" s="228"/>
      <c r="B591" s="229"/>
      <c r="C591" s="230"/>
      <c r="D591" s="229"/>
      <c r="E591" s="229"/>
      <c r="F591" s="229"/>
      <c r="G591" s="226"/>
      <c r="H591" s="257"/>
      <c r="I591" s="229"/>
      <c r="J591" s="229"/>
      <c r="K591" s="229"/>
      <c r="L591" s="229"/>
      <c r="M591" s="226"/>
      <c r="N591" s="226"/>
      <c r="O591" s="230"/>
      <c r="P591" s="229"/>
      <c r="Q591" s="229"/>
      <c r="R591" s="229"/>
      <c r="S591" s="234"/>
      <c r="T591" s="252"/>
    </row>
    <row r="592" spans="1:20">
      <c r="A592" s="228"/>
      <c r="B592" s="229"/>
      <c r="C592" s="230"/>
      <c r="D592" s="229"/>
      <c r="E592" s="229"/>
      <c r="F592" s="229"/>
      <c r="G592" s="226"/>
      <c r="H592" s="257"/>
      <c r="I592" s="229"/>
      <c r="J592" s="229"/>
      <c r="K592" s="229"/>
      <c r="L592" s="229"/>
      <c r="M592" s="226"/>
      <c r="N592" s="226"/>
      <c r="O592" s="230"/>
      <c r="P592" s="229"/>
      <c r="Q592" s="229"/>
      <c r="R592" s="229"/>
      <c r="S592" s="234"/>
      <c r="T592" s="252"/>
    </row>
    <row r="593" spans="1:20">
      <c r="A593" s="228"/>
      <c r="B593" s="229"/>
      <c r="C593" s="230"/>
      <c r="D593" s="229"/>
      <c r="E593" s="229"/>
      <c r="F593" s="229"/>
      <c r="G593" s="226"/>
      <c r="H593" s="257"/>
      <c r="I593" s="229"/>
      <c r="J593" s="229"/>
      <c r="K593" s="229"/>
      <c r="L593" s="229"/>
      <c r="M593" s="226"/>
      <c r="N593" s="226"/>
      <c r="O593" s="230"/>
      <c r="P593" s="229"/>
      <c r="Q593" s="229"/>
      <c r="R593" s="229"/>
      <c r="S593" s="234"/>
      <c r="T593" s="252"/>
    </row>
    <row r="594" spans="1:20">
      <c r="A594" s="228"/>
      <c r="B594" s="229"/>
      <c r="C594" s="230"/>
      <c r="D594" s="229"/>
      <c r="E594" s="229"/>
      <c r="F594" s="229"/>
      <c r="G594" s="226"/>
      <c r="H594" s="257"/>
      <c r="I594" s="229"/>
      <c r="J594" s="229"/>
      <c r="K594" s="229"/>
      <c r="L594" s="229"/>
      <c r="M594" s="226"/>
      <c r="N594" s="226"/>
      <c r="O594" s="230"/>
      <c r="P594" s="229"/>
      <c r="Q594" s="229"/>
      <c r="R594" s="229"/>
      <c r="S594" s="234"/>
      <c r="T594" s="252"/>
    </row>
    <row r="595" spans="1:20">
      <c r="A595" s="228"/>
      <c r="B595" s="229"/>
      <c r="C595" s="230"/>
      <c r="D595" s="229"/>
      <c r="E595" s="229"/>
      <c r="F595" s="229"/>
      <c r="G595" s="226"/>
      <c r="H595" s="257"/>
      <c r="I595" s="229"/>
      <c r="J595" s="229"/>
      <c r="K595" s="229"/>
      <c r="L595" s="229"/>
      <c r="M595" s="226"/>
      <c r="N595" s="226"/>
      <c r="O595" s="230"/>
      <c r="P595" s="229"/>
      <c r="Q595" s="229"/>
      <c r="R595" s="229"/>
      <c r="S595" s="234"/>
      <c r="T595" s="252"/>
    </row>
    <row r="596" spans="1:20">
      <c r="A596" s="228"/>
      <c r="B596" s="229"/>
      <c r="C596" s="230"/>
      <c r="D596" s="229"/>
      <c r="E596" s="229"/>
      <c r="F596" s="229"/>
      <c r="G596" s="226"/>
      <c r="H596" s="257"/>
      <c r="I596" s="229"/>
      <c r="J596" s="229"/>
      <c r="K596" s="229"/>
      <c r="L596" s="229"/>
      <c r="M596" s="226"/>
      <c r="N596" s="226"/>
      <c r="O596" s="230"/>
      <c r="P596" s="229"/>
      <c r="Q596" s="229"/>
      <c r="R596" s="229"/>
      <c r="S596" s="234"/>
      <c r="T596" s="252"/>
    </row>
    <row r="597" spans="1:20">
      <c r="A597" s="228"/>
      <c r="B597" s="229"/>
      <c r="C597" s="230"/>
      <c r="D597" s="229"/>
      <c r="E597" s="229"/>
      <c r="F597" s="229"/>
      <c r="G597" s="226"/>
      <c r="H597" s="257"/>
      <c r="I597" s="229"/>
      <c r="J597" s="229"/>
      <c r="K597" s="229"/>
      <c r="L597" s="229"/>
      <c r="M597" s="226"/>
      <c r="N597" s="226"/>
      <c r="O597" s="230"/>
      <c r="P597" s="229"/>
      <c r="Q597" s="229"/>
      <c r="R597" s="229"/>
      <c r="S597" s="234"/>
      <c r="T597" s="252"/>
    </row>
    <row r="598" spans="1:20">
      <c r="A598" s="228"/>
      <c r="B598" s="229"/>
      <c r="C598" s="230"/>
      <c r="D598" s="229"/>
      <c r="E598" s="229"/>
      <c r="F598" s="229"/>
      <c r="G598" s="226"/>
      <c r="H598" s="257"/>
      <c r="I598" s="229"/>
      <c r="J598" s="229"/>
      <c r="K598" s="229"/>
      <c r="L598" s="229"/>
      <c r="M598" s="226"/>
      <c r="N598" s="226"/>
      <c r="O598" s="230"/>
      <c r="P598" s="229"/>
      <c r="Q598" s="229"/>
      <c r="R598" s="229"/>
      <c r="S598" s="234"/>
      <c r="T598" s="252"/>
    </row>
    <row r="599" spans="1:20">
      <c r="A599" s="228"/>
      <c r="B599" s="229"/>
      <c r="C599" s="230"/>
      <c r="D599" s="229"/>
      <c r="E599" s="229"/>
      <c r="F599" s="229"/>
      <c r="G599" s="226"/>
      <c r="H599" s="257"/>
      <c r="I599" s="229"/>
      <c r="J599" s="229"/>
      <c r="K599" s="229"/>
      <c r="L599" s="229"/>
      <c r="M599" s="226"/>
      <c r="N599" s="226"/>
      <c r="O599" s="230"/>
      <c r="P599" s="229"/>
      <c r="Q599" s="229"/>
      <c r="R599" s="229"/>
      <c r="S599" s="234"/>
      <c r="T599" s="252"/>
    </row>
    <row r="600" spans="1:20">
      <c r="A600" s="228"/>
      <c r="B600" s="229"/>
      <c r="C600" s="230"/>
      <c r="D600" s="229"/>
      <c r="E600" s="229"/>
      <c r="F600" s="229"/>
      <c r="G600" s="226"/>
      <c r="H600" s="257"/>
      <c r="I600" s="229"/>
      <c r="J600" s="229"/>
      <c r="K600" s="229"/>
      <c r="L600" s="229"/>
      <c r="M600" s="226"/>
      <c r="N600" s="226"/>
      <c r="O600" s="230"/>
      <c r="P600" s="229"/>
      <c r="Q600" s="229"/>
      <c r="R600" s="229"/>
      <c r="S600" s="234"/>
      <c r="T600" s="252"/>
    </row>
    <row r="601" spans="1:20">
      <c r="A601" s="228"/>
      <c r="B601" s="229"/>
      <c r="C601" s="230"/>
      <c r="D601" s="229"/>
      <c r="E601" s="229"/>
      <c r="F601" s="229"/>
      <c r="G601" s="226"/>
      <c r="H601" s="257"/>
      <c r="I601" s="229"/>
      <c r="J601" s="229"/>
      <c r="K601" s="229"/>
      <c r="L601" s="229"/>
      <c r="M601" s="226"/>
      <c r="N601" s="226"/>
      <c r="O601" s="230"/>
      <c r="P601" s="229"/>
      <c r="Q601" s="229"/>
      <c r="R601" s="229"/>
      <c r="S601" s="234"/>
      <c r="T601" s="252"/>
    </row>
    <row r="602" spans="1:20">
      <c r="A602" s="228"/>
      <c r="B602" s="229"/>
      <c r="C602" s="230"/>
      <c r="D602" s="229"/>
      <c r="E602" s="229"/>
      <c r="F602" s="229"/>
      <c r="G602" s="226"/>
      <c r="H602" s="257"/>
      <c r="I602" s="229"/>
      <c r="J602" s="229"/>
      <c r="K602" s="229"/>
      <c r="L602" s="229"/>
      <c r="M602" s="226"/>
      <c r="N602" s="226"/>
      <c r="O602" s="230"/>
      <c r="P602" s="229"/>
      <c r="Q602" s="229"/>
      <c r="R602" s="229"/>
      <c r="S602" s="234"/>
      <c r="T602" s="252"/>
    </row>
    <row r="603" spans="1:20">
      <c r="A603" s="228"/>
      <c r="B603" s="229"/>
      <c r="C603" s="230"/>
      <c r="D603" s="229"/>
      <c r="E603" s="229"/>
      <c r="F603" s="229"/>
      <c r="G603" s="226"/>
      <c r="H603" s="257"/>
      <c r="I603" s="229"/>
      <c r="J603" s="229"/>
      <c r="K603" s="229"/>
      <c r="L603" s="229"/>
      <c r="M603" s="226"/>
      <c r="N603" s="226"/>
      <c r="O603" s="230"/>
      <c r="P603" s="229"/>
      <c r="Q603" s="229"/>
      <c r="R603" s="229"/>
      <c r="S603" s="234"/>
      <c r="T603" s="252"/>
    </row>
    <row r="604" spans="1:20">
      <c r="A604" s="228"/>
      <c r="B604" s="229"/>
      <c r="C604" s="230"/>
      <c r="D604" s="229"/>
      <c r="E604" s="229"/>
      <c r="F604" s="229"/>
      <c r="G604" s="226"/>
      <c r="H604" s="257"/>
      <c r="I604" s="229"/>
      <c r="J604" s="229"/>
      <c r="K604" s="229"/>
      <c r="L604" s="229"/>
      <c r="M604" s="226"/>
      <c r="N604" s="226"/>
      <c r="O604" s="230"/>
      <c r="P604" s="229"/>
      <c r="Q604" s="229"/>
      <c r="R604" s="229"/>
      <c r="S604" s="234"/>
      <c r="T604" s="252"/>
    </row>
    <row r="605" spans="1:20">
      <c r="A605" s="228"/>
      <c r="B605" s="229"/>
      <c r="C605" s="230"/>
      <c r="D605" s="229"/>
      <c r="E605" s="229"/>
      <c r="F605" s="229"/>
      <c r="G605" s="226"/>
      <c r="H605" s="257"/>
      <c r="I605" s="229"/>
      <c r="J605" s="229"/>
      <c r="K605" s="229"/>
      <c r="L605" s="229"/>
      <c r="M605" s="226"/>
      <c r="N605" s="226"/>
      <c r="O605" s="230"/>
      <c r="P605" s="229"/>
      <c r="Q605" s="229"/>
      <c r="R605" s="229"/>
      <c r="S605" s="234"/>
      <c r="T605" s="252"/>
    </row>
    <row r="606" spans="1:20">
      <c r="A606" s="228"/>
      <c r="B606" s="229"/>
      <c r="C606" s="230"/>
      <c r="D606" s="229"/>
      <c r="E606" s="229"/>
      <c r="F606" s="229"/>
      <c r="G606" s="226"/>
      <c r="H606" s="257"/>
      <c r="I606" s="229"/>
      <c r="J606" s="229"/>
      <c r="K606" s="229"/>
      <c r="L606" s="229"/>
      <c r="M606" s="226"/>
      <c r="N606" s="226"/>
      <c r="O606" s="230"/>
      <c r="P606" s="229"/>
      <c r="Q606" s="229"/>
      <c r="R606" s="229"/>
      <c r="S606" s="234"/>
      <c r="T606" s="252"/>
    </row>
    <row r="607" spans="1:20">
      <c r="A607" s="228"/>
      <c r="B607" s="229"/>
      <c r="C607" s="230"/>
      <c r="D607" s="229"/>
      <c r="E607" s="229"/>
      <c r="F607" s="229"/>
      <c r="G607" s="226"/>
      <c r="H607" s="257"/>
      <c r="I607" s="229"/>
      <c r="J607" s="229"/>
      <c r="K607" s="229"/>
      <c r="L607" s="229"/>
      <c r="M607" s="226"/>
      <c r="N607" s="226"/>
      <c r="O607" s="230"/>
      <c r="P607" s="229"/>
      <c r="Q607" s="229"/>
      <c r="R607" s="229"/>
      <c r="S607" s="234"/>
      <c r="T607" s="252"/>
    </row>
    <row r="608" spans="1:20">
      <c r="A608" s="228"/>
      <c r="B608" s="229"/>
      <c r="C608" s="230"/>
      <c r="D608" s="229"/>
      <c r="E608" s="229"/>
      <c r="F608" s="229"/>
      <c r="G608" s="226"/>
      <c r="H608" s="257"/>
      <c r="I608" s="229"/>
      <c r="J608" s="229"/>
      <c r="K608" s="229"/>
      <c r="L608" s="229"/>
      <c r="M608" s="226"/>
      <c r="N608" s="226"/>
      <c r="O608" s="230"/>
      <c r="P608" s="229"/>
      <c r="Q608" s="229"/>
      <c r="R608" s="229"/>
      <c r="S608" s="234"/>
      <c r="T608" s="252"/>
    </row>
    <row r="609" spans="1:20">
      <c r="A609" s="228"/>
      <c r="B609" s="229"/>
      <c r="C609" s="230"/>
      <c r="D609" s="229"/>
      <c r="E609" s="229"/>
      <c r="F609" s="229"/>
      <c r="G609" s="226"/>
      <c r="H609" s="257"/>
      <c r="I609" s="229"/>
      <c r="J609" s="229"/>
      <c r="K609" s="229"/>
      <c r="L609" s="229"/>
      <c r="M609" s="226"/>
      <c r="N609" s="226"/>
      <c r="O609" s="230"/>
      <c r="P609" s="229"/>
      <c r="Q609" s="229"/>
      <c r="R609" s="229"/>
      <c r="S609" s="234"/>
      <c r="T609" s="252"/>
    </row>
    <row r="610" spans="1:20">
      <c r="A610" s="228"/>
      <c r="B610" s="229"/>
      <c r="C610" s="230"/>
      <c r="D610" s="229"/>
      <c r="E610" s="229"/>
      <c r="F610" s="229"/>
      <c r="G610" s="226"/>
      <c r="H610" s="257"/>
      <c r="I610" s="229"/>
      <c r="J610" s="229"/>
      <c r="K610" s="229"/>
      <c r="L610" s="229"/>
      <c r="M610" s="226"/>
      <c r="N610" s="226"/>
      <c r="O610" s="230"/>
      <c r="P610" s="229"/>
      <c r="Q610" s="229"/>
      <c r="R610" s="229"/>
      <c r="S610" s="234"/>
      <c r="T610" s="252"/>
    </row>
    <row r="611" spans="1:20">
      <c r="A611" s="228"/>
      <c r="B611" s="229"/>
      <c r="C611" s="230"/>
      <c r="D611" s="229"/>
      <c r="E611" s="229"/>
      <c r="F611" s="229"/>
      <c r="G611" s="226"/>
      <c r="H611" s="257"/>
      <c r="I611" s="229"/>
      <c r="J611" s="229"/>
      <c r="K611" s="229"/>
      <c r="L611" s="229"/>
      <c r="M611" s="226"/>
      <c r="N611" s="226"/>
      <c r="O611" s="230"/>
      <c r="P611" s="229"/>
      <c r="Q611" s="229"/>
      <c r="R611" s="229"/>
      <c r="S611" s="234"/>
      <c r="T611" s="252"/>
    </row>
    <row r="612" spans="1:20">
      <c r="A612" s="228"/>
      <c r="B612" s="229"/>
      <c r="C612" s="230"/>
      <c r="D612" s="229"/>
      <c r="E612" s="229"/>
      <c r="F612" s="229"/>
      <c r="G612" s="226"/>
      <c r="H612" s="257"/>
      <c r="I612" s="229"/>
      <c r="J612" s="229"/>
      <c r="K612" s="229"/>
      <c r="L612" s="229"/>
      <c r="M612" s="226"/>
      <c r="N612" s="226"/>
      <c r="O612" s="230"/>
      <c r="P612" s="229"/>
      <c r="Q612" s="229"/>
      <c r="R612" s="229"/>
      <c r="S612" s="234"/>
      <c r="T612" s="252"/>
    </row>
    <row r="613" spans="1:20">
      <c r="A613" s="228"/>
      <c r="B613" s="229"/>
      <c r="C613" s="230"/>
      <c r="D613" s="229"/>
      <c r="E613" s="229"/>
      <c r="F613" s="229"/>
      <c r="G613" s="226"/>
      <c r="H613" s="257"/>
      <c r="I613" s="229"/>
      <c r="J613" s="229"/>
      <c r="K613" s="229"/>
      <c r="L613" s="229"/>
      <c r="M613" s="226"/>
      <c r="N613" s="226"/>
      <c r="O613" s="230"/>
      <c r="P613" s="229"/>
      <c r="Q613" s="229"/>
      <c r="R613" s="229"/>
      <c r="S613" s="234"/>
      <c r="T613" s="252"/>
    </row>
    <row r="614" spans="1:20">
      <c r="A614" s="228"/>
      <c r="B614" s="229"/>
      <c r="C614" s="230"/>
      <c r="D614" s="229"/>
      <c r="E614" s="229"/>
      <c r="F614" s="229"/>
      <c r="G614" s="226"/>
      <c r="H614" s="257"/>
      <c r="I614" s="229"/>
      <c r="J614" s="229"/>
      <c r="K614" s="229"/>
      <c r="L614" s="229"/>
      <c r="M614" s="226"/>
      <c r="N614" s="226"/>
      <c r="O614" s="230"/>
      <c r="P614" s="229"/>
      <c r="Q614" s="229"/>
      <c r="R614" s="229"/>
      <c r="S614" s="234"/>
      <c r="T614" s="252"/>
    </row>
    <row r="615" spans="1:20">
      <c r="A615" s="228"/>
      <c r="B615" s="229"/>
      <c r="C615" s="230"/>
      <c r="D615" s="229"/>
      <c r="E615" s="229"/>
      <c r="F615" s="229"/>
      <c r="G615" s="226"/>
      <c r="H615" s="257"/>
      <c r="I615" s="229"/>
      <c r="J615" s="229"/>
      <c r="K615" s="229"/>
      <c r="L615" s="229"/>
      <c r="M615" s="226"/>
      <c r="N615" s="226"/>
      <c r="O615" s="230"/>
      <c r="P615" s="229"/>
      <c r="Q615" s="229"/>
      <c r="R615" s="229"/>
      <c r="S615" s="234"/>
      <c r="T615" s="252"/>
    </row>
    <row r="616" spans="1:20">
      <c r="A616" s="228"/>
      <c r="B616" s="229"/>
      <c r="C616" s="230"/>
      <c r="D616" s="229"/>
      <c r="E616" s="229"/>
      <c r="F616" s="229"/>
      <c r="G616" s="226"/>
      <c r="H616" s="257"/>
      <c r="I616" s="229"/>
      <c r="J616" s="229"/>
      <c r="K616" s="229"/>
      <c r="L616" s="229"/>
      <c r="M616" s="226"/>
      <c r="N616" s="226"/>
      <c r="O616" s="230"/>
      <c r="P616" s="229"/>
      <c r="Q616" s="229"/>
      <c r="R616" s="229"/>
      <c r="S616" s="234"/>
      <c r="T616" s="252"/>
    </row>
    <row r="617" spans="1:20">
      <c r="A617" s="228"/>
      <c r="B617" s="229"/>
      <c r="C617" s="230"/>
      <c r="D617" s="229"/>
      <c r="E617" s="229"/>
      <c r="F617" s="229"/>
      <c r="G617" s="226"/>
      <c r="H617" s="257"/>
      <c r="I617" s="229"/>
      <c r="J617" s="229"/>
      <c r="K617" s="229"/>
      <c r="L617" s="229"/>
      <c r="M617" s="226"/>
      <c r="N617" s="226"/>
      <c r="O617" s="230"/>
      <c r="P617" s="229"/>
      <c r="Q617" s="229"/>
      <c r="R617" s="229"/>
      <c r="S617" s="234"/>
      <c r="T617" s="252"/>
    </row>
    <row r="618" spans="1:20">
      <c r="A618" s="228"/>
      <c r="B618" s="229"/>
      <c r="C618" s="230"/>
      <c r="D618" s="229"/>
      <c r="E618" s="229"/>
      <c r="F618" s="229"/>
      <c r="G618" s="226"/>
      <c r="H618" s="257"/>
      <c r="I618" s="229"/>
      <c r="J618" s="229"/>
      <c r="K618" s="229"/>
      <c r="L618" s="229"/>
      <c r="M618" s="226"/>
      <c r="N618" s="226"/>
      <c r="O618" s="230"/>
      <c r="P618" s="229"/>
      <c r="Q618" s="229"/>
      <c r="R618" s="229"/>
      <c r="S618" s="234"/>
      <c r="T618" s="252"/>
    </row>
    <row r="619" spans="1:20">
      <c r="A619" s="228"/>
      <c r="B619" s="229"/>
      <c r="C619" s="230"/>
      <c r="D619" s="229"/>
      <c r="E619" s="229"/>
      <c r="F619" s="229"/>
      <c r="G619" s="226"/>
      <c r="H619" s="257"/>
      <c r="I619" s="229"/>
      <c r="J619" s="229"/>
      <c r="K619" s="229"/>
      <c r="L619" s="229"/>
      <c r="M619" s="226"/>
      <c r="N619" s="226"/>
      <c r="O619" s="230"/>
      <c r="P619" s="229"/>
      <c r="Q619" s="229"/>
      <c r="R619" s="229"/>
      <c r="S619" s="234"/>
      <c r="T619" s="252"/>
    </row>
    <row r="620" spans="1:20">
      <c r="A620" s="228"/>
      <c r="B620" s="229"/>
      <c r="C620" s="230"/>
      <c r="D620" s="229"/>
      <c r="E620" s="229"/>
      <c r="F620" s="229"/>
      <c r="G620" s="226"/>
      <c r="H620" s="257"/>
      <c r="I620" s="229"/>
      <c r="J620" s="229"/>
      <c r="K620" s="229"/>
      <c r="L620" s="229"/>
      <c r="M620" s="226"/>
      <c r="N620" s="226"/>
      <c r="O620" s="230"/>
      <c r="P620" s="229"/>
      <c r="Q620" s="229"/>
      <c r="R620" s="229"/>
      <c r="S620" s="234"/>
      <c r="T620" s="252"/>
    </row>
    <row r="621" spans="1:20">
      <c r="A621" s="228"/>
      <c r="B621" s="229"/>
      <c r="C621" s="230"/>
      <c r="D621" s="229"/>
      <c r="E621" s="229"/>
      <c r="F621" s="229"/>
      <c r="G621" s="226"/>
      <c r="H621" s="257"/>
      <c r="I621" s="229"/>
      <c r="J621" s="229"/>
      <c r="K621" s="229"/>
      <c r="L621" s="229"/>
      <c r="M621" s="226"/>
      <c r="N621" s="226"/>
      <c r="O621" s="230"/>
      <c r="P621" s="229"/>
      <c r="Q621" s="229"/>
      <c r="R621" s="229"/>
      <c r="S621" s="234"/>
      <c r="T621" s="252"/>
    </row>
    <row r="622" spans="1:20">
      <c r="A622" s="228"/>
      <c r="B622" s="229"/>
      <c r="C622" s="230"/>
      <c r="D622" s="229"/>
      <c r="E622" s="229"/>
      <c r="F622" s="229"/>
      <c r="G622" s="226"/>
      <c r="H622" s="257"/>
      <c r="I622" s="229"/>
      <c r="J622" s="229"/>
      <c r="K622" s="229"/>
      <c r="L622" s="229"/>
      <c r="M622" s="226"/>
      <c r="N622" s="226"/>
      <c r="O622" s="230"/>
      <c r="P622" s="229"/>
      <c r="Q622" s="229"/>
      <c r="R622" s="229"/>
      <c r="S622" s="234"/>
      <c r="T622" s="252"/>
    </row>
    <row r="623" spans="1:20">
      <c r="A623" s="228"/>
      <c r="B623" s="229"/>
      <c r="C623" s="230"/>
      <c r="D623" s="229"/>
      <c r="E623" s="229"/>
      <c r="F623" s="229"/>
      <c r="G623" s="226"/>
      <c r="H623" s="257"/>
      <c r="I623" s="229"/>
      <c r="J623" s="229"/>
      <c r="K623" s="229"/>
      <c r="L623" s="229"/>
      <c r="M623" s="226"/>
      <c r="N623" s="226"/>
      <c r="O623" s="230"/>
      <c r="P623" s="229"/>
      <c r="Q623" s="229"/>
      <c r="R623" s="229"/>
      <c r="S623" s="234"/>
      <c r="T623" s="252"/>
    </row>
    <row r="624" spans="1:20">
      <c r="A624" s="228"/>
      <c r="B624" s="229"/>
      <c r="C624" s="230"/>
      <c r="D624" s="229"/>
      <c r="E624" s="229"/>
      <c r="F624" s="229"/>
      <c r="G624" s="226"/>
      <c r="H624" s="257"/>
      <c r="I624" s="229"/>
      <c r="J624" s="229"/>
      <c r="K624" s="229"/>
      <c r="L624" s="229"/>
      <c r="M624" s="226"/>
      <c r="N624" s="226"/>
      <c r="O624" s="230"/>
      <c r="P624" s="229"/>
      <c r="Q624" s="229"/>
      <c r="R624" s="229"/>
      <c r="S624" s="234"/>
      <c r="T624" s="252"/>
    </row>
    <row r="625" spans="1:20">
      <c r="A625" s="228"/>
      <c r="B625" s="229"/>
      <c r="C625" s="230"/>
      <c r="D625" s="229"/>
      <c r="E625" s="229"/>
      <c r="F625" s="229"/>
      <c r="G625" s="226"/>
      <c r="H625" s="257"/>
      <c r="I625" s="229"/>
      <c r="J625" s="229"/>
      <c r="K625" s="229"/>
      <c r="L625" s="229"/>
      <c r="M625" s="226"/>
      <c r="N625" s="226"/>
      <c r="O625" s="230"/>
      <c r="P625" s="229"/>
      <c r="Q625" s="229"/>
      <c r="R625" s="229"/>
      <c r="S625" s="234"/>
      <c r="T625" s="252"/>
    </row>
    <row r="626" spans="1:20">
      <c r="A626" s="228"/>
      <c r="B626" s="229"/>
      <c r="C626" s="230"/>
      <c r="D626" s="229"/>
      <c r="E626" s="229"/>
      <c r="F626" s="229"/>
      <c r="G626" s="226"/>
      <c r="H626" s="257"/>
      <c r="I626" s="229"/>
      <c r="J626" s="229"/>
      <c r="K626" s="229"/>
      <c r="L626" s="229"/>
      <c r="M626" s="226"/>
      <c r="N626" s="226"/>
      <c r="O626" s="230"/>
      <c r="P626" s="229"/>
      <c r="Q626" s="229"/>
      <c r="R626" s="229"/>
      <c r="S626" s="234"/>
      <c r="T626" s="252"/>
    </row>
    <row r="627" spans="1:20">
      <c r="A627" s="228"/>
      <c r="B627" s="229"/>
      <c r="C627" s="230"/>
      <c r="D627" s="229"/>
      <c r="E627" s="229"/>
      <c r="F627" s="229"/>
      <c r="G627" s="226"/>
      <c r="H627" s="257"/>
      <c r="I627" s="229"/>
      <c r="J627" s="229"/>
      <c r="K627" s="229"/>
      <c r="L627" s="229"/>
      <c r="M627" s="226"/>
      <c r="N627" s="226"/>
      <c r="O627" s="230"/>
      <c r="P627" s="229"/>
      <c r="Q627" s="229"/>
      <c r="R627" s="229"/>
      <c r="S627" s="234"/>
      <c r="T627" s="252"/>
    </row>
    <row r="628" spans="1:20">
      <c r="A628" s="228"/>
      <c r="B628" s="229"/>
      <c r="C628" s="230"/>
      <c r="D628" s="229"/>
      <c r="E628" s="229"/>
      <c r="F628" s="229"/>
      <c r="G628" s="226"/>
      <c r="H628" s="257"/>
      <c r="I628" s="229"/>
      <c r="J628" s="229"/>
      <c r="K628" s="229"/>
      <c r="L628" s="229"/>
      <c r="M628" s="226"/>
      <c r="N628" s="226"/>
      <c r="O628" s="230"/>
      <c r="P628" s="229"/>
      <c r="Q628" s="229"/>
      <c r="R628" s="229"/>
      <c r="S628" s="234"/>
      <c r="T628" s="252"/>
    </row>
    <row r="629" spans="1:20">
      <c r="A629" s="228"/>
      <c r="B629" s="229"/>
      <c r="C629" s="230"/>
      <c r="D629" s="229"/>
      <c r="E629" s="229"/>
      <c r="F629" s="229"/>
      <c r="G629" s="226"/>
      <c r="H629" s="257"/>
      <c r="I629" s="229"/>
      <c r="J629" s="229"/>
      <c r="K629" s="229"/>
      <c r="L629" s="229"/>
      <c r="M629" s="226"/>
      <c r="N629" s="226"/>
      <c r="O629" s="230"/>
      <c r="P629" s="229"/>
      <c r="Q629" s="229"/>
      <c r="R629" s="229"/>
      <c r="S629" s="234"/>
      <c r="T629" s="252"/>
    </row>
    <row r="630" spans="1:20">
      <c r="A630" s="228"/>
      <c r="B630" s="229"/>
      <c r="C630" s="230"/>
      <c r="D630" s="229"/>
      <c r="E630" s="229"/>
      <c r="F630" s="229"/>
      <c r="G630" s="226"/>
      <c r="H630" s="257"/>
      <c r="I630" s="229"/>
      <c r="J630" s="229"/>
      <c r="K630" s="229"/>
      <c r="L630" s="229"/>
      <c r="M630" s="226"/>
      <c r="N630" s="226"/>
      <c r="O630" s="230"/>
      <c r="P630" s="229"/>
      <c r="Q630" s="229"/>
      <c r="R630" s="229"/>
      <c r="S630" s="234"/>
      <c r="T630" s="252"/>
    </row>
    <row r="631" spans="1:20">
      <c r="A631" s="228"/>
      <c r="B631" s="229"/>
      <c r="C631" s="230"/>
      <c r="D631" s="229"/>
      <c r="E631" s="229"/>
      <c r="F631" s="229"/>
      <c r="G631" s="226"/>
      <c r="H631" s="257"/>
      <c r="I631" s="229"/>
      <c r="J631" s="229"/>
      <c r="K631" s="229"/>
      <c r="L631" s="229"/>
      <c r="M631" s="226"/>
      <c r="N631" s="226"/>
      <c r="O631" s="230"/>
      <c r="P631" s="229"/>
      <c r="Q631" s="229"/>
      <c r="R631" s="229"/>
      <c r="S631" s="234"/>
      <c r="T631" s="252"/>
    </row>
    <row r="632" spans="1:20">
      <c r="A632" s="228"/>
      <c r="B632" s="229"/>
      <c r="C632" s="230"/>
      <c r="D632" s="229"/>
      <c r="E632" s="229"/>
      <c r="F632" s="229"/>
      <c r="G632" s="226"/>
      <c r="H632" s="257"/>
      <c r="I632" s="229"/>
      <c r="J632" s="229"/>
      <c r="K632" s="229"/>
      <c r="L632" s="229"/>
      <c r="M632" s="226"/>
      <c r="N632" s="226"/>
      <c r="O632" s="230"/>
      <c r="P632" s="229"/>
      <c r="Q632" s="229"/>
      <c r="R632" s="229"/>
      <c r="S632" s="234"/>
      <c r="T632" s="252"/>
    </row>
    <row r="633" spans="1:20">
      <c r="A633" s="228"/>
      <c r="B633" s="229"/>
      <c r="C633" s="230"/>
      <c r="D633" s="229"/>
      <c r="E633" s="229"/>
      <c r="F633" s="229"/>
      <c r="G633" s="226"/>
      <c r="H633" s="257"/>
      <c r="I633" s="229"/>
      <c r="J633" s="229"/>
      <c r="K633" s="229"/>
      <c r="L633" s="229"/>
      <c r="M633" s="226"/>
      <c r="N633" s="226"/>
      <c r="O633" s="230"/>
      <c r="P633" s="229"/>
      <c r="Q633" s="229"/>
      <c r="R633" s="229"/>
      <c r="S633" s="234"/>
      <c r="T633" s="252"/>
    </row>
    <row r="634" spans="1:20">
      <c r="A634" s="228"/>
      <c r="B634" s="229"/>
      <c r="C634" s="230"/>
      <c r="D634" s="229"/>
      <c r="E634" s="229"/>
      <c r="F634" s="229"/>
      <c r="G634" s="226"/>
      <c r="H634" s="257"/>
      <c r="I634" s="229"/>
      <c r="J634" s="229"/>
      <c r="K634" s="229"/>
      <c r="L634" s="229"/>
      <c r="M634" s="226"/>
      <c r="N634" s="226"/>
      <c r="O634" s="230"/>
      <c r="P634" s="229"/>
      <c r="Q634" s="229"/>
      <c r="R634" s="229"/>
      <c r="S634" s="234"/>
      <c r="T634" s="252"/>
    </row>
    <row r="635" spans="1:20">
      <c r="A635" s="228"/>
      <c r="B635" s="229"/>
      <c r="C635" s="230"/>
      <c r="D635" s="229"/>
      <c r="E635" s="229"/>
      <c r="F635" s="229"/>
      <c r="G635" s="226"/>
      <c r="H635" s="257"/>
      <c r="I635" s="229"/>
      <c r="J635" s="229"/>
      <c r="K635" s="229"/>
      <c r="L635" s="229"/>
      <c r="M635" s="226"/>
      <c r="N635" s="226"/>
      <c r="O635" s="230"/>
      <c r="P635" s="229"/>
      <c r="Q635" s="229"/>
      <c r="R635" s="229"/>
      <c r="S635" s="234"/>
      <c r="T635" s="252"/>
    </row>
    <row r="636" spans="1:20">
      <c r="A636" s="228"/>
      <c r="B636" s="229"/>
      <c r="C636" s="230"/>
      <c r="D636" s="229"/>
      <c r="E636" s="229"/>
      <c r="F636" s="229"/>
      <c r="G636" s="226"/>
      <c r="H636" s="257"/>
      <c r="I636" s="229"/>
      <c r="J636" s="229"/>
      <c r="K636" s="229"/>
      <c r="L636" s="229"/>
      <c r="M636" s="226"/>
      <c r="N636" s="226"/>
      <c r="O636" s="230"/>
      <c r="P636" s="229"/>
      <c r="Q636" s="229"/>
      <c r="R636" s="229"/>
      <c r="S636" s="234"/>
      <c r="T636" s="252"/>
    </row>
    <row r="637" spans="1:20">
      <c r="A637" s="228"/>
      <c r="B637" s="229"/>
      <c r="C637" s="230"/>
      <c r="D637" s="229"/>
      <c r="E637" s="229"/>
      <c r="F637" s="229"/>
      <c r="G637" s="226"/>
      <c r="H637" s="257"/>
      <c r="I637" s="229"/>
      <c r="J637" s="229"/>
      <c r="K637" s="229"/>
      <c r="L637" s="229"/>
      <c r="M637" s="226"/>
      <c r="N637" s="226"/>
      <c r="O637" s="230"/>
      <c r="P637" s="229"/>
      <c r="Q637" s="229"/>
      <c r="R637" s="229"/>
      <c r="S637" s="234"/>
      <c r="T637" s="252"/>
    </row>
    <row r="638" spans="1:20">
      <c r="A638" s="228"/>
      <c r="B638" s="229"/>
      <c r="C638" s="230"/>
      <c r="D638" s="229"/>
      <c r="E638" s="229"/>
      <c r="F638" s="229"/>
      <c r="G638" s="226"/>
      <c r="H638" s="257"/>
      <c r="I638" s="229"/>
      <c r="J638" s="229"/>
      <c r="K638" s="229"/>
      <c r="L638" s="229"/>
      <c r="M638" s="226"/>
      <c r="N638" s="226"/>
      <c r="O638" s="230"/>
      <c r="P638" s="229"/>
      <c r="Q638" s="229"/>
      <c r="R638" s="229"/>
      <c r="S638" s="234"/>
      <c r="T638" s="252"/>
    </row>
    <row r="639" spans="1:20">
      <c r="A639" s="228"/>
      <c r="B639" s="229"/>
      <c r="C639" s="230"/>
      <c r="D639" s="229"/>
      <c r="E639" s="229"/>
      <c r="F639" s="229"/>
      <c r="G639" s="226"/>
      <c r="H639" s="257"/>
      <c r="I639" s="229"/>
      <c r="J639" s="229"/>
      <c r="K639" s="229"/>
      <c r="L639" s="229"/>
      <c r="M639" s="226"/>
      <c r="N639" s="226"/>
      <c r="O639" s="230"/>
      <c r="P639" s="229"/>
      <c r="Q639" s="229"/>
      <c r="R639" s="229"/>
      <c r="S639" s="234"/>
      <c r="T639" s="252"/>
    </row>
    <row r="640" spans="1:20">
      <c r="A640" s="228"/>
      <c r="B640" s="229"/>
      <c r="C640" s="230"/>
      <c r="D640" s="229"/>
      <c r="E640" s="229"/>
      <c r="F640" s="229"/>
      <c r="G640" s="226"/>
      <c r="H640" s="257"/>
      <c r="I640" s="229"/>
      <c r="J640" s="229"/>
      <c r="K640" s="229"/>
      <c r="L640" s="229"/>
      <c r="M640" s="226"/>
      <c r="N640" s="226"/>
      <c r="O640" s="230"/>
      <c r="P640" s="229"/>
      <c r="Q640" s="229"/>
      <c r="R640" s="229"/>
      <c r="S640" s="234"/>
      <c r="T640" s="252"/>
    </row>
    <row r="641" spans="1:20">
      <c r="A641" s="228"/>
      <c r="B641" s="229"/>
      <c r="C641" s="230"/>
      <c r="D641" s="229"/>
      <c r="E641" s="229"/>
      <c r="F641" s="229"/>
      <c r="G641" s="226"/>
      <c r="H641" s="257"/>
      <c r="I641" s="229"/>
      <c r="J641" s="229"/>
      <c r="K641" s="229"/>
      <c r="L641" s="229"/>
      <c r="M641" s="226"/>
      <c r="N641" s="226"/>
      <c r="O641" s="230"/>
      <c r="P641" s="229"/>
      <c r="Q641" s="229"/>
      <c r="R641" s="229"/>
      <c r="S641" s="234"/>
      <c r="T641" s="252"/>
    </row>
    <row r="642" spans="1:20">
      <c r="A642" s="228"/>
      <c r="B642" s="229"/>
      <c r="C642" s="230"/>
      <c r="D642" s="229"/>
      <c r="E642" s="229"/>
      <c r="F642" s="229"/>
      <c r="G642" s="226"/>
      <c r="H642" s="257"/>
      <c r="I642" s="229"/>
      <c r="J642" s="229"/>
      <c r="K642" s="229"/>
      <c r="L642" s="229"/>
      <c r="M642" s="226"/>
      <c r="N642" s="226"/>
      <c r="O642" s="230"/>
      <c r="P642" s="229"/>
      <c r="Q642" s="229"/>
      <c r="R642" s="229"/>
      <c r="S642" s="234"/>
      <c r="T642" s="252"/>
    </row>
    <row r="643" spans="1:20">
      <c r="A643" s="228"/>
      <c r="B643" s="229"/>
      <c r="C643" s="230"/>
      <c r="D643" s="229"/>
      <c r="E643" s="229"/>
      <c r="F643" s="229"/>
      <c r="G643" s="226"/>
      <c r="H643" s="257"/>
      <c r="I643" s="229"/>
      <c r="J643" s="229"/>
      <c r="K643" s="229"/>
      <c r="L643" s="229"/>
      <c r="M643" s="226"/>
      <c r="N643" s="226"/>
      <c r="O643" s="230"/>
      <c r="P643" s="229"/>
      <c r="Q643" s="229"/>
      <c r="R643" s="229"/>
      <c r="S643" s="234"/>
      <c r="T643" s="252"/>
    </row>
    <row r="644" spans="1:20">
      <c r="A644" s="228"/>
      <c r="B644" s="229"/>
      <c r="C644" s="230"/>
      <c r="D644" s="229"/>
      <c r="E644" s="229"/>
      <c r="F644" s="229"/>
      <c r="G644" s="226"/>
      <c r="H644" s="257"/>
      <c r="I644" s="229"/>
      <c r="J644" s="229"/>
      <c r="K644" s="229"/>
      <c r="L644" s="229"/>
      <c r="M644" s="226"/>
      <c r="N644" s="226"/>
      <c r="O644" s="230"/>
      <c r="P644" s="229"/>
      <c r="Q644" s="229"/>
      <c r="R644" s="229"/>
      <c r="S644" s="234"/>
      <c r="T644" s="252"/>
    </row>
    <row r="645" spans="1:20">
      <c r="A645" s="228"/>
      <c r="B645" s="229"/>
      <c r="C645" s="230"/>
      <c r="D645" s="229"/>
      <c r="E645" s="229"/>
      <c r="F645" s="229"/>
      <c r="G645" s="226"/>
      <c r="H645" s="257"/>
      <c r="I645" s="229"/>
      <c r="J645" s="229"/>
      <c r="K645" s="229"/>
      <c r="L645" s="229"/>
      <c r="M645" s="226"/>
      <c r="N645" s="226"/>
      <c r="O645" s="230"/>
      <c r="P645" s="229"/>
      <c r="Q645" s="229"/>
      <c r="R645" s="229"/>
      <c r="S645" s="234"/>
      <c r="T645" s="252"/>
    </row>
    <row r="646" spans="1:20">
      <c r="A646" s="228"/>
      <c r="B646" s="229"/>
      <c r="C646" s="230"/>
      <c r="D646" s="229"/>
      <c r="E646" s="229"/>
      <c r="F646" s="229"/>
      <c r="G646" s="226"/>
      <c r="H646" s="257"/>
      <c r="I646" s="229"/>
      <c r="J646" s="229"/>
      <c r="K646" s="229"/>
      <c r="L646" s="229"/>
      <c r="M646" s="226"/>
      <c r="N646" s="226"/>
      <c r="O646" s="230"/>
      <c r="P646" s="229"/>
      <c r="Q646" s="229"/>
      <c r="R646" s="229"/>
      <c r="S646" s="234"/>
      <c r="T646" s="252"/>
    </row>
    <row r="647" spans="1:20">
      <c r="A647" s="228"/>
      <c r="B647" s="229"/>
      <c r="C647" s="230"/>
      <c r="D647" s="229"/>
      <c r="E647" s="229"/>
      <c r="F647" s="229"/>
      <c r="G647" s="226"/>
      <c r="H647" s="257"/>
      <c r="I647" s="229"/>
      <c r="J647" s="229"/>
      <c r="K647" s="229"/>
      <c r="L647" s="229"/>
      <c r="M647" s="226"/>
      <c r="N647" s="226"/>
      <c r="O647" s="230"/>
      <c r="P647" s="229"/>
      <c r="Q647" s="229"/>
      <c r="R647" s="229"/>
      <c r="S647" s="234"/>
      <c r="T647" s="252"/>
    </row>
    <row r="648" spans="1:20">
      <c r="A648" s="228"/>
      <c r="B648" s="229"/>
      <c r="C648" s="230"/>
      <c r="D648" s="229"/>
      <c r="E648" s="229"/>
      <c r="F648" s="229"/>
      <c r="G648" s="226"/>
      <c r="H648" s="257"/>
      <c r="I648" s="229"/>
      <c r="J648" s="229"/>
      <c r="K648" s="229"/>
      <c r="L648" s="229"/>
      <c r="M648" s="226"/>
      <c r="N648" s="226"/>
      <c r="O648" s="230"/>
      <c r="P648" s="229"/>
      <c r="Q648" s="229"/>
      <c r="R648" s="229"/>
      <c r="S648" s="234"/>
      <c r="T648" s="252"/>
    </row>
    <row r="649" spans="1:20">
      <c r="A649" s="228"/>
      <c r="B649" s="229"/>
      <c r="C649" s="230"/>
      <c r="D649" s="229"/>
      <c r="E649" s="229"/>
      <c r="F649" s="229"/>
      <c r="G649" s="226"/>
      <c r="H649" s="257"/>
      <c r="I649" s="229"/>
      <c r="J649" s="229"/>
      <c r="K649" s="229"/>
      <c r="L649" s="229"/>
      <c r="M649" s="226"/>
      <c r="N649" s="226"/>
      <c r="O649" s="230"/>
      <c r="P649" s="229"/>
      <c r="Q649" s="229"/>
      <c r="R649" s="229"/>
      <c r="S649" s="234"/>
      <c r="T649" s="252"/>
    </row>
    <row r="650" spans="1:20">
      <c r="A650" s="228"/>
      <c r="B650" s="229"/>
      <c r="C650" s="230"/>
      <c r="D650" s="229"/>
      <c r="E650" s="229"/>
      <c r="F650" s="229"/>
      <c r="G650" s="226"/>
      <c r="H650" s="257"/>
      <c r="I650" s="229"/>
      <c r="J650" s="229"/>
      <c r="K650" s="229"/>
      <c r="L650" s="229"/>
      <c r="M650" s="226"/>
      <c r="N650" s="226"/>
      <c r="O650" s="230"/>
      <c r="P650" s="229"/>
      <c r="Q650" s="229"/>
      <c r="R650" s="229"/>
      <c r="S650" s="234"/>
      <c r="T650" s="252"/>
    </row>
    <row r="651" spans="1:20">
      <c r="A651" s="228"/>
      <c r="B651" s="229"/>
      <c r="C651" s="230"/>
      <c r="D651" s="229"/>
      <c r="E651" s="229"/>
      <c r="F651" s="229"/>
      <c r="G651" s="226"/>
      <c r="H651" s="257"/>
      <c r="I651" s="229"/>
      <c r="J651" s="229"/>
      <c r="K651" s="229"/>
      <c r="L651" s="229"/>
      <c r="M651" s="226"/>
      <c r="N651" s="226"/>
      <c r="O651" s="230"/>
      <c r="P651" s="229"/>
      <c r="Q651" s="229"/>
      <c r="R651" s="229"/>
      <c r="S651" s="234"/>
      <c r="T651" s="252"/>
    </row>
    <row r="652" spans="1:20">
      <c r="A652" s="228"/>
      <c r="B652" s="229"/>
      <c r="C652" s="230"/>
      <c r="D652" s="229"/>
      <c r="E652" s="229"/>
      <c r="F652" s="229"/>
      <c r="G652" s="226"/>
      <c r="H652" s="257"/>
      <c r="I652" s="229"/>
      <c r="J652" s="229"/>
      <c r="K652" s="229"/>
      <c r="L652" s="229"/>
      <c r="M652" s="226"/>
      <c r="N652" s="226"/>
      <c r="O652" s="230"/>
      <c r="P652" s="229"/>
      <c r="Q652" s="229"/>
      <c r="R652" s="229"/>
      <c r="S652" s="234"/>
      <c r="T652" s="252"/>
    </row>
    <row r="653" spans="1:20">
      <c r="A653" s="228"/>
      <c r="B653" s="229"/>
      <c r="C653" s="230"/>
      <c r="D653" s="229"/>
      <c r="E653" s="229"/>
      <c r="F653" s="229"/>
      <c r="G653" s="226"/>
      <c r="H653" s="257"/>
      <c r="I653" s="229"/>
      <c r="J653" s="229"/>
      <c r="K653" s="229"/>
      <c r="L653" s="229"/>
      <c r="M653" s="226"/>
      <c r="N653" s="226"/>
      <c r="O653" s="230"/>
      <c r="P653" s="229"/>
      <c r="Q653" s="229"/>
      <c r="R653" s="229"/>
      <c r="S653" s="234"/>
      <c r="T653" s="252"/>
    </row>
    <row r="654" spans="1:20">
      <c r="A654" s="228"/>
      <c r="B654" s="229"/>
      <c r="C654" s="230"/>
      <c r="D654" s="229"/>
      <c r="E654" s="229"/>
      <c r="F654" s="229"/>
      <c r="G654" s="226"/>
      <c r="H654" s="257"/>
      <c r="I654" s="229"/>
      <c r="J654" s="229"/>
      <c r="K654" s="229"/>
      <c r="L654" s="229"/>
      <c r="M654" s="226"/>
      <c r="N654" s="226"/>
      <c r="O654" s="230"/>
      <c r="P654" s="229"/>
      <c r="Q654" s="229"/>
      <c r="R654" s="229"/>
      <c r="S654" s="234"/>
      <c r="T654" s="252"/>
    </row>
    <row r="655" spans="1:20">
      <c r="A655" s="228"/>
      <c r="B655" s="229"/>
      <c r="C655" s="230"/>
      <c r="D655" s="229"/>
      <c r="E655" s="229"/>
      <c r="F655" s="229"/>
      <c r="G655" s="226"/>
      <c r="H655" s="257"/>
      <c r="I655" s="229"/>
      <c r="J655" s="229"/>
      <c r="K655" s="229"/>
      <c r="L655" s="229"/>
      <c r="M655" s="226"/>
      <c r="N655" s="226"/>
      <c r="O655" s="230"/>
      <c r="P655" s="229"/>
      <c r="Q655" s="229"/>
      <c r="R655" s="229"/>
      <c r="S655" s="234"/>
      <c r="T655" s="252"/>
    </row>
    <row r="656" spans="1:20">
      <c r="A656" s="228"/>
      <c r="B656" s="229"/>
      <c r="C656" s="230"/>
      <c r="D656" s="229"/>
      <c r="E656" s="229"/>
      <c r="F656" s="229"/>
      <c r="G656" s="226"/>
      <c r="H656" s="257"/>
      <c r="I656" s="229"/>
      <c r="J656" s="229"/>
      <c r="K656" s="229"/>
      <c r="L656" s="229"/>
      <c r="M656" s="226"/>
      <c r="N656" s="226"/>
      <c r="O656" s="230"/>
      <c r="P656" s="229"/>
      <c r="Q656" s="229"/>
      <c r="R656" s="229"/>
      <c r="S656" s="234"/>
      <c r="T656" s="252"/>
    </row>
    <row r="657" spans="1:20">
      <c r="A657" s="228"/>
      <c r="B657" s="229"/>
      <c r="C657" s="230"/>
      <c r="D657" s="229"/>
      <c r="E657" s="229"/>
      <c r="F657" s="229"/>
      <c r="G657" s="226"/>
      <c r="H657" s="257"/>
      <c r="I657" s="229"/>
      <c r="J657" s="229"/>
      <c r="K657" s="229"/>
      <c r="L657" s="229"/>
      <c r="M657" s="226"/>
      <c r="N657" s="226"/>
      <c r="O657" s="230"/>
      <c r="P657" s="229"/>
      <c r="Q657" s="229"/>
      <c r="R657" s="229"/>
      <c r="S657" s="234"/>
      <c r="T657" s="252"/>
    </row>
    <row r="658" spans="1:20">
      <c r="A658" s="228"/>
      <c r="B658" s="229"/>
      <c r="C658" s="230"/>
      <c r="D658" s="229"/>
      <c r="E658" s="229"/>
      <c r="F658" s="229"/>
      <c r="G658" s="226"/>
      <c r="H658" s="257"/>
      <c r="I658" s="229"/>
      <c r="J658" s="229"/>
      <c r="K658" s="229"/>
      <c r="L658" s="229"/>
      <c r="M658" s="226"/>
      <c r="N658" s="226"/>
      <c r="O658" s="230"/>
      <c r="P658" s="229"/>
      <c r="Q658" s="229"/>
      <c r="R658" s="229"/>
      <c r="S658" s="234"/>
      <c r="T658" s="252"/>
    </row>
    <row r="659" spans="1:20">
      <c r="A659" s="228"/>
      <c r="B659" s="229"/>
      <c r="C659" s="230"/>
      <c r="D659" s="229"/>
      <c r="E659" s="229"/>
      <c r="F659" s="229"/>
      <c r="G659" s="226"/>
      <c r="H659" s="257"/>
      <c r="I659" s="229"/>
      <c r="J659" s="229"/>
      <c r="K659" s="229"/>
      <c r="L659" s="229"/>
      <c r="M659" s="226"/>
      <c r="N659" s="226"/>
      <c r="O659" s="230"/>
      <c r="P659" s="229"/>
      <c r="Q659" s="229"/>
      <c r="R659" s="229"/>
      <c r="S659" s="234"/>
      <c r="T659" s="252"/>
    </row>
    <row r="660" spans="1:20">
      <c r="A660" s="228"/>
      <c r="B660" s="229"/>
      <c r="C660" s="230"/>
      <c r="D660" s="229"/>
      <c r="E660" s="229"/>
      <c r="F660" s="229"/>
      <c r="G660" s="226"/>
      <c r="H660" s="257"/>
      <c r="I660" s="229"/>
      <c r="J660" s="229"/>
      <c r="K660" s="229"/>
      <c r="L660" s="229"/>
      <c r="M660" s="226"/>
      <c r="N660" s="226"/>
      <c r="O660" s="230"/>
      <c r="P660" s="229"/>
      <c r="Q660" s="229"/>
      <c r="R660" s="229"/>
      <c r="S660" s="234"/>
      <c r="T660" s="252"/>
    </row>
    <row r="661" spans="1:20">
      <c r="A661" s="228"/>
      <c r="B661" s="229"/>
      <c r="C661" s="230"/>
      <c r="D661" s="229"/>
      <c r="E661" s="229"/>
      <c r="F661" s="229"/>
      <c r="G661" s="226"/>
      <c r="H661" s="257"/>
      <c r="I661" s="229"/>
      <c r="J661" s="229"/>
      <c r="K661" s="229"/>
      <c r="L661" s="229"/>
      <c r="M661" s="226"/>
      <c r="N661" s="226"/>
      <c r="O661" s="230"/>
      <c r="P661" s="229"/>
      <c r="Q661" s="229"/>
      <c r="R661" s="229"/>
      <c r="S661" s="234"/>
      <c r="T661" s="252"/>
    </row>
    <row r="662" spans="1:20">
      <c r="A662" s="228"/>
      <c r="B662" s="229"/>
      <c r="C662" s="230"/>
      <c r="D662" s="229"/>
      <c r="E662" s="229"/>
      <c r="F662" s="229"/>
      <c r="G662" s="226"/>
      <c r="H662" s="257"/>
      <c r="I662" s="229"/>
      <c r="J662" s="229"/>
      <c r="K662" s="229"/>
      <c r="L662" s="229"/>
      <c r="M662" s="226"/>
      <c r="N662" s="226"/>
      <c r="O662" s="230"/>
      <c r="P662" s="229"/>
      <c r="Q662" s="229"/>
      <c r="R662" s="229"/>
      <c r="S662" s="234"/>
      <c r="T662" s="252"/>
    </row>
    <row r="663" spans="1:20">
      <c r="A663" s="228"/>
      <c r="B663" s="229"/>
      <c r="C663" s="230"/>
      <c r="D663" s="229"/>
      <c r="E663" s="229"/>
      <c r="F663" s="229"/>
      <c r="G663" s="226"/>
      <c r="H663" s="257"/>
      <c r="I663" s="229"/>
      <c r="J663" s="229"/>
      <c r="K663" s="229"/>
      <c r="L663" s="229"/>
      <c r="M663" s="226"/>
      <c r="N663" s="226"/>
      <c r="O663" s="230"/>
      <c r="P663" s="229"/>
      <c r="Q663" s="229"/>
      <c r="R663" s="229"/>
      <c r="S663" s="234"/>
      <c r="T663" s="252"/>
    </row>
    <row r="664" spans="1:20">
      <c r="A664" s="228"/>
      <c r="B664" s="229"/>
      <c r="C664" s="230"/>
      <c r="D664" s="229"/>
      <c r="E664" s="229"/>
      <c r="F664" s="229"/>
      <c r="G664" s="226"/>
      <c r="H664" s="257"/>
      <c r="I664" s="229"/>
      <c r="J664" s="229"/>
      <c r="K664" s="229"/>
      <c r="L664" s="229"/>
      <c r="M664" s="226"/>
      <c r="N664" s="226"/>
      <c r="O664" s="230"/>
      <c r="P664" s="229"/>
      <c r="Q664" s="229"/>
      <c r="R664" s="229"/>
      <c r="S664" s="234"/>
      <c r="T664" s="252"/>
    </row>
    <row r="665" spans="1:20">
      <c r="A665" s="228"/>
      <c r="B665" s="229"/>
      <c r="C665" s="230"/>
      <c r="D665" s="229"/>
      <c r="E665" s="229"/>
      <c r="F665" s="229"/>
      <c r="G665" s="226"/>
      <c r="H665" s="257"/>
      <c r="I665" s="229"/>
      <c r="J665" s="229"/>
      <c r="K665" s="229"/>
      <c r="L665" s="229"/>
      <c r="M665" s="226"/>
      <c r="N665" s="226"/>
      <c r="O665" s="230"/>
      <c r="P665" s="229"/>
      <c r="Q665" s="229"/>
      <c r="R665" s="229"/>
      <c r="S665" s="234"/>
      <c r="T665" s="252"/>
    </row>
    <row r="666" spans="1:20">
      <c r="A666" s="228"/>
      <c r="B666" s="229"/>
      <c r="C666" s="230"/>
      <c r="D666" s="229"/>
      <c r="E666" s="229"/>
      <c r="F666" s="229"/>
      <c r="G666" s="226"/>
      <c r="H666" s="257"/>
      <c r="I666" s="229"/>
      <c r="J666" s="229"/>
      <c r="K666" s="229"/>
      <c r="L666" s="229"/>
      <c r="M666" s="226"/>
      <c r="N666" s="226"/>
      <c r="O666" s="230"/>
      <c r="P666" s="229"/>
      <c r="Q666" s="229"/>
      <c r="R666" s="229"/>
      <c r="S666" s="234"/>
      <c r="T666" s="252"/>
    </row>
    <row r="667" spans="1:20">
      <c r="A667" s="228"/>
      <c r="B667" s="229"/>
      <c r="C667" s="230"/>
      <c r="D667" s="229"/>
      <c r="E667" s="229"/>
      <c r="F667" s="229"/>
      <c r="G667" s="226"/>
      <c r="H667" s="257"/>
      <c r="I667" s="229"/>
      <c r="J667" s="229"/>
      <c r="K667" s="229"/>
      <c r="L667" s="229"/>
      <c r="M667" s="226"/>
      <c r="N667" s="226"/>
      <c r="O667" s="230"/>
      <c r="P667" s="229"/>
      <c r="Q667" s="229"/>
      <c r="R667" s="229"/>
      <c r="S667" s="234"/>
      <c r="T667" s="252"/>
    </row>
    <row r="668" spans="1:20">
      <c r="A668" s="228"/>
      <c r="B668" s="229"/>
      <c r="C668" s="230"/>
      <c r="D668" s="229"/>
      <c r="E668" s="229"/>
      <c r="F668" s="229"/>
      <c r="G668" s="226"/>
      <c r="H668" s="257"/>
      <c r="I668" s="229"/>
      <c r="J668" s="229"/>
      <c r="K668" s="229"/>
      <c r="L668" s="229"/>
      <c r="M668" s="226"/>
      <c r="N668" s="226"/>
      <c r="O668" s="230"/>
      <c r="P668" s="229"/>
      <c r="Q668" s="229"/>
      <c r="R668" s="229"/>
      <c r="S668" s="234"/>
      <c r="T668" s="252"/>
    </row>
    <row r="669" spans="1:20">
      <c r="A669" s="228"/>
      <c r="B669" s="229"/>
      <c r="C669" s="230"/>
      <c r="D669" s="229"/>
      <c r="E669" s="229"/>
      <c r="F669" s="229"/>
      <c r="G669" s="226"/>
      <c r="H669" s="257"/>
      <c r="I669" s="229"/>
      <c r="J669" s="229"/>
      <c r="K669" s="229"/>
      <c r="L669" s="229"/>
      <c r="M669" s="226"/>
      <c r="N669" s="226"/>
      <c r="O669" s="230"/>
      <c r="P669" s="229"/>
      <c r="Q669" s="229"/>
      <c r="R669" s="229"/>
      <c r="S669" s="234"/>
      <c r="T669" s="252"/>
    </row>
    <row r="670" spans="1:20">
      <c r="A670" s="228"/>
      <c r="B670" s="229"/>
      <c r="C670" s="230"/>
      <c r="D670" s="229"/>
      <c r="E670" s="229"/>
      <c r="F670" s="229"/>
      <c r="G670" s="226"/>
      <c r="H670" s="257"/>
      <c r="I670" s="229"/>
      <c r="J670" s="229"/>
      <c r="K670" s="229"/>
      <c r="L670" s="229"/>
      <c r="M670" s="226"/>
      <c r="N670" s="226"/>
      <c r="O670" s="230"/>
      <c r="P670" s="229"/>
      <c r="Q670" s="229"/>
      <c r="R670" s="229"/>
      <c r="S670" s="234"/>
      <c r="T670" s="252"/>
    </row>
    <row r="671" spans="1:20">
      <c r="A671" s="228"/>
      <c r="B671" s="229"/>
      <c r="C671" s="230"/>
      <c r="D671" s="229"/>
      <c r="E671" s="229"/>
      <c r="F671" s="229"/>
      <c r="G671" s="226"/>
      <c r="H671" s="257"/>
      <c r="I671" s="229"/>
      <c r="J671" s="229"/>
      <c r="K671" s="229"/>
      <c r="L671" s="229"/>
      <c r="M671" s="226"/>
      <c r="N671" s="226"/>
      <c r="O671" s="230"/>
      <c r="P671" s="229"/>
      <c r="Q671" s="229"/>
      <c r="R671" s="229"/>
      <c r="S671" s="234"/>
      <c r="T671" s="252"/>
    </row>
    <row r="672" spans="1:20">
      <c r="A672" s="228"/>
      <c r="B672" s="229"/>
      <c r="C672" s="230"/>
      <c r="D672" s="229"/>
      <c r="E672" s="229"/>
      <c r="F672" s="229"/>
      <c r="G672" s="226"/>
      <c r="H672" s="257"/>
      <c r="I672" s="229"/>
      <c r="J672" s="229"/>
      <c r="K672" s="229"/>
      <c r="L672" s="229"/>
      <c r="M672" s="226"/>
      <c r="N672" s="226"/>
      <c r="O672" s="230"/>
      <c r="P672" s="229"/>
      <c r="Q672" s="229"/>
      <c r="R672" s="229"/>
      <c r="S672" s="234"/>
      <c r="T672" s="252"/>
    </row>
    <row r="673" spans="1:20">
      <c r="A673" s="228"/>
      <c r="B673" s="229"/>
      <c r="C673" s="230"/>
      <c r="D673" s="229"/>
      <c r="E673" s="229"/>
      <c r="F673" s="229"/>
      <c r="G673" s="226"/>
      <c r="H673" s="257"/>
      <c r="I673" s="229"/>
      <c r="J673" s="229"/>
      <c r="K673" s="229"/>
      <c r="L673" s="229"/>
      <c r="M673" s="226"/>
      <c r="N673" s="226"/>
      <c r="O673" s="230"/>
      <c r="P673" s="229"/>
      <c r="Q673" s="229"/>
      <c r="R673" s="229"/>
      <c r="S673" s="234"/>
      <c r="T673" s="252"/>
    </row>
    <row r="674" spans="1:20">
      <c r="A674" s="228"/>
      <c r="B674" s="229"/>
      <c r="C674" s="230"/>
      <c r="D674" s="229"/>
      <c r="E674" s="229"/>
      <c r="F674" s="229"/>
      <c r="G674" s="226"/>
      <c r="H674" s="257"/>
      <c r="I674" s="229"/>
      <c r="J674" s="229"/>
      <c r="K674" s="229"/>
      <c r="L674" s="229"/>
      <c r="M674" s="226"/>
      <c r="N674" s="226"/>
      <c r="O674" s="230"/>
      <c r="P674" s="229"/>
      <c r="Q674" s="229"/>
      <c r="R674" s="229"/>
      <c r="S674" s="234"/>
      <c r="T674" s="252"/>
    </row>
    <row r="675" spans="1:20">
      <c r="A675" s="228"/>
      <c r="B675" s="229"/>
      <c r="C675" s="230"/>
      <c r="D675" s="229"/>
      <c r="E675" s="229"/>
      <c r="F675" s="229"/>
      <c r="G675" s="226"/>
      <c r="H675" s="257"/>
      <c r="I675" s="229"/>
      <c r="J675" s="229"/>
      <c r="K675" s="229"/>
      <c r="L675" s="229"/>
      <c r="M675" s="226"/>
      <c r="N675" s="226"/>
      <c r="O675" s="230"/>
      <c r="P675" s="229"/>
      <c r="Q675" s="229"/>
      <c r="R675" s="229"/>
      <c r="S675" s="234"/>
      <c r="T675" s="252"/>
    </row>
    <row r="676" spans="1:20">
      <c r="A676" s="228"/>
      <c r="B676" s="229"/>
      <c r="C676" s="230"/>
      <c r="D676" s="229"/>
      <c r="E676" s="229"/>
      <c r="F676" s="229"/>
      <c r="G676" s="226"/>
      <c r="H676" s="257"/>
      <c r="I676" s="229"/>
      <c r="J676" s="229"/>
      <c r="K676" s="229"/>
      <c r="L676" s="229"/>
      <c r="M676" s="226"/>
      <c r="N676" s="226"/>
      <c r="O676" s="230"/>
      <c r="P676" s="229"/>
      <c r="Q676" s="229"/>
      <c r="R676" s="229"/>
      <c r="S676" s="234"/>
      <c r="T676" s="252"/>
    </row>
    <row r="677" spans="1:20">
      <c r="A677" s="228"/>
      <c r="B677" s="229"/>
      <c r="C677" s="230"/>
      <c r="D677" s="229"/>
      <c r="E677" s="229"/>
      <c r="F677" s="229"/>
      <c r="G677" s="226"/>
      <c r="H677" s="257"/>
      <c r="I677" s="229"/>
      <c r="J677" s="229"/>
      <c r="K677" s="229"/>
      <c r="L677" s="229"/>
      <c r="M677" s="226"/>
      <c r="N677" s="226"/>
      <c r="O677" s="230"/>
      <c r="P677" s="229"/>
      <c r="Q677" s="229"/>
      <c r="R677" s="229"/>
      <c r="S677" s="234"/>
      <c r="T677" s="252"/>
    </row>
    <row r="678" spans="1:20">
      <c r="A678" s="228"/>
      <c r="B678" s="229"/>
      <c r="C678" s="230"/>
      <c r="D678" s="229"/>
      <c r="E678" s="229"/>
      <c r="F678" s="229"/>
      <c r="G678" s="226"/>
      <c r="H678" s="257"/>
      <c r="I678" s="229"/>
      <c r="J678" s="229"/>
      <c r="K678" s="229"/>
      <c r="L678" s="229"/>
      <c r="M678" s="226"/>
      <c r="N678" s="226"/>
      <c r="O678" s="230"/>
      <c r="P678" s="229"/>
      <c r="Q678" s="229"/>
      <c r="R678" s="229"/>
      <c r="S678" s="234"/>
      <c r="T678" s="252"/>
    </row>
    <row r="679" spans="1:20">
      <c r="A679" s="228"/>
      <c r="B679" s="229"/>
      <c r="C679" s="230"/>
      <c r="D679" s="229"/>
      <c r="E679" s="229"/>
      <c r="F679" s="229"/>
      <c r="G679" s="226"/>
      <c r="H679" s="257"/>
      <c r="I679" s="229"/>
      <c r="J679" s="229"/>
      <c r="K679" s="229"/>
      <c r="L679" s="229"/>
      <c r="M679" s="226"/>
      <c r="N679" s="226"/>
      <c r="O679" s="230"/>
      <c r="P679" s="229"/>
      <c r="Q679" s="229"/>
      <c r="R679" s="229"/>
      <c r="S679" s="234"/>
      <c r="T679" s="252"/>
    </row>
    <row r="680" spans="1:20">
      <c r="A680" s="228"/>
      <c r="B680" s="229"/>
      <c r="C680" s="230"/>
      <c r="D680" s="229"/>
      <c r="E680" s="229"/>
      <c r="F680" s="229"/>
      <c r="G680" s="226"/>
      <c r="H680" s="257"/>
      <c r="I680" s="229"/>
      <c r="J680" s="229"/>
      <c r="K680" s="229"/>
      <c r="L680" s="229"/>
      <c r="M680" s="226"/>
      <c r="N680" s="226"/>
      <c r="O680" s="230"/>
      <c r="P680" s="229"/>
      <c r="Q680" s="229"/>
      <c r="R680" s="229"/>
      <c r="S680" s="234"/>
      <c r="T680" s="252"/>
    </row>
    <row r="681" spans="1:20">
      <c r="A681" s="228"/>
      <c r="B681" s="229"/>
      <c r="C681" s="230"/>
      <c r="D681" s="229"/>
      <c r="E681" s="229"/>
      <c r="F681" s="229"/>
      <c r="G681" s="226"/>
      <c r="H681" s="257"/>
      <c r="I681" s="229"/>
      <c r="J681" s="229"/>
      <c r="K681" s="229"/>
      <c r="L681" s="229"/>
      <c r="M681" s="226"/>
      <c r="N681" s="226"/>
      <c r="O681" s="230"/>
      <c r="P681" s="229"/>
      <c r="Q681" s="229"/>
      <c r="R681" s="229"/>
      <c r="S681" s="234"/>
      <c r="T681" s="252"/>
    </row>
    <row r="682" spans="1:20">
      <c r="A682" s="228"/>
      <c r="B682" s="229"/>
      <c r="C682" s="230"/>
      <c r="D682" s="229"/>
      <c r="E682" s="229"/>
      <c r="F682" s="229"/>
      <c r="G682" s="226"/>
      <c r="H682" s="257"/>
      <c r="I682" s="229"/>
      <c r="J682" s="229"/>
      <c r="K682" s="229"/>
      <c r="L682" s="229"/>
      <c r="M682" s="226"/>
      <c r="N682" s="226"/>
      <c r="O682" s="230"/>
      <c r="P682" s="229"/>
      <c r="Q682" s="229"/>
      <c r="R682" s="229"/>
      <c r="S682" s="234"/>
      <c r="T682" s="252"/>
    </row>
    <row r="683" spans="1:20">
      <c r="A683" s="228"/>
      <c r="B683" s="229"/>
      <c r="C683" s="230"/>
      <c r="D683" s="229"/>
      <c r="E683" s="229"/>
      <c r="F683" s="229"/>
      <c r="G683" s="226"/>
      <c r="H683" s="257"/>
      <c r="I683" s="229"/>
      <c r="J683" s="229"/>
      <c r="K683" s="229"/>
      <c r="L683" s="229"/>
      <c r="M683" s="226"/>
      <c r="N683" s="226"/>
      <c r="O683" s="230"/>
      <c r="P683" s="229"/>
      <c r="Q683" s="229"/>
      <c r="R683" s="229"/>
      <c r="S683" s="234"/>
      <c r="T683" s="252"/>
    </row>
    <row r="684" spans="1:20">
      <c r="A684" s="228"/>
      <c r="B684" s="229"/>
      <c r="C684" s="230"/>
      <c r="D684" s="229"/>
      <c r="E684" s="229"/>
      <c r="F684" s="229"/>
      <c r="G684" s="226"/>
      <c r="H684" s="257"/>
      <c r="I684" s="229"/>
      <c r="J684" s="229"/>
      <c r="K684" s="229"/>
      <c r="L684" s="229"/>
      <c r="M684" s="226"/>
      <c r="N684" s="226"/>
      <c r="O684" s="230"/>
      <c r="P684" s="229"/>
      <c r="Q684" s="229"/>
      <c r="R684" s="229"/>
      <c r="S684" s="234"/>
      <c r="T684" s="252"/>
    </row>
    <row r="685" spans="1:20">
      <c r="A685" s="228"/>
      <c r="B685" s="229"/>
      <c r="C685" s="230"/>
      <c r="D685" s="229"/>
      <c r="E685" s="229"/>
      <c r="F685" s="229"/>
      <c r="G685" s="226"/>
      <c r="H685" s="257"/>
      <c r="I685" s="229"/>
      <c r="J685" s="229"/>
      <c r="K685" s="229"/>
      <c r="L685" s="229"/>
      <c r="M685" s="226"/>
      <c r="N685" s="226"/>
      <c r="O685" s="230"/>
      <c r="P685" s="229"/>
      <c r="Q685" s="229"/>
      <c r="R685" s="229"/>
      <c r="S685" s="234"/>
      <c r="T685" s="252"/>
    </row>
    <row r="686" spans="1:20">
      <c r="A686" s="228"/>
      <c r="B686" s="229"/>
      <c r="C686" s="230"/>
      <c r="D686" s="229"/>
      <c r="E686" s="229"/>
      <c r="F686" s="229"/>
      <c r="G686" s="226"/>
      <c r="H686" s="257"/>
      <c r="I686" s="229"/>
      <c r="J686" s="229"/>
      <c r="K686" s="229"/>
      <c r="L686" s="229"/>
      <c r="M686" s="226"/>
      <c r="N686" s="226"/>
      <c r="O686" s="230"/>
      <c r="P686" s="229"/>
      <c r="Q686" s="229"/>
      <c r="R686" s="229"/>
      <c r="S686" s="234"/>
      <c r="T686" s="252"/>
    </row>
    <row r="687" spans="1:20">
      <c r="A687" s="228"/>
      <c r="B687" s="229"/>
      <c r="C687" s="230"/>
      <c r="D687" s="229"/>
      <c r="E687" s="229"/>
      <c r="F687" s="229"/>
      <c r="G687" s="226"/>
      <c r="H687" s="257"/>
      <c r="I687" s="229"/>
      <c r="J687" s="229"/>
      <c r="K687" s="229"/>
      <c r="L687" s="229"/>
      <c r="M687" s="226"/>
      <c r="N687" s="226"/>
      <c r="O687" s="230"/>
      <c r="P687" s="229"/>
      <c r="Q687" s="229"/>
      <c r="R687" s="229"/>
      <c r="S687" s="234"/>
      <c r="T687" s="252"/>
    </row>
    <row r="688" spans="1:20">
      <c r="A688" s="228"/>
      <c r="B688" s="229"/>
      <c r="C688" s="230"/>
      <c r="D688" s="229"/>
      <c r="E688" s="229"/>
      <c r="F688" s="229"/>
      <c r="G688" s="226"/>
      <c r="H688" s="257"/>
      <c r="I688" s="229"/>
      <c r="J688" s="229"/>
      <c r="K688" s="229"/>
      <c r="L688" s="229"/>
      <c r="M688" s="226"/>
      <c r="N688" s="226"/>
      <c r="O688" s="230"/>
      <c r="P688" s="229"/>
      <c r="Q688" s="229"/>
      <c r="R688" s="229"/>
      <c r="S688" s="234"/>
      <c r="T688" s="252"/>
    </row>
    <row r="689" spans="1:20">
      <c r="A689" s="228"/>
      <c r="B689" s="229"/>
      <c r="C689" s="230"/>
      <c r="D689" s="229"/>
      <c r="E689" s="229"/>
      <c r="F689" s="229"/>
      <c r="G689" s="226"/>
      <c r="H689" s="257"/>
      <c r="I689" s="229"/>
      <c r="J689" s="229"/>
      <c r="K689" s="229"/>
      <c r="L689" s="229"/>
      <c r="M689" s="226"/>
      <c r="N689" s="226"/>
      <c r="O689" s="230"/>
      <c r="P689" s="229"/>
      <c r="Q689" s="229"/>
      <c r="R689" s="229"/>
      <c r="S689" s="234"/>
      <c r="T689" s="252"/>
    </row>
    <row r="690" spans="1:20">
      <c r="A690" s="228"/>
      <c r="B690" s="229"/>
      <c r="C690" s="230"/>
      <c r="D690" s="229"/>
      <c r="E690" s="229"/>
      <c r="F690" s="229"/>
      <c r="G690" s="226"/>
      <c r="H690" s="257"/>
      <c r="I690" s="229"/>
      <c r="J690" s="229"/>
      <c r="K690" s="229"/>
      <c r="L690" s="229"/>
      <c r="M690" s="226"/>
      <c r="N690" s="226"/>
      <c r="O690" s="230"/>
      <c r="P690" s="229"/>
      <c r="Q690" s="229"/>
      <c r="R690" s="229"/>
      <c r="S690" s="234"/>
      <c r="T690" s="252"/>
    </row>
    <row r="691" spans="1:20">
      <c r="A691" s="228"/>
      <c r="B691" s="229"/>
      <c r="C691" s="230"/>
      <c r="D691" s="229"/>
      <c r="E691" s="229"/>
      <c r="F691" s="229"/>
      <c r="G691" s="226"/>
      <c r="H691" s="257"/>
      <c r="I691" s="229"/>
      <c r="J691" s="229"/>
      <c r="K691" s="229"/>
      <c r="L691" s="229"/>
      <c r="M691" s="226"/>
      <c r="N691" s="226"/>
      <c r="O691" s="230"/>
      <c r="P691" s="229"/>
      <c r="Q691" s="229"/>
      <c r="R691" s="229"/>
      <c r="S691" s="234"/>
      <c r="T691" s="252"/>
    </row>
    <row r="692" spans="1:20">
      <c r="A692" s="228"/>
      <c r="B692" s="229"/>
      <c r="C692" s="230"/>
      <c r="D692" s="229"/>
      <c r="E692" s="229"/>
      <c r="F692" s="229"/>
      <c r="G692" s="226"/>
      <c r="H692" s="257"/>
      <c r="I692" s="229"/>
      <c r="J692" s="229"/>
      <c r="K692" s="229"/>
      <c r="L692" s="229"/>
      <c r="M692" s="226"/>
      <c r="N692" s="226"/>
      <c r="O692" s="230"/>
      <c r="P692" s="229"/>
      <c r="Q692" s="229"/>
      <c r="R692" s="229"/>
      <c r="S692" s="234"/>
      <c r="T692" s="252"/>
    </row>
    <row r="693" spans="1:20">
      <c r="A693" s="228"/>
      <c r="B693" s="229"/>
      <c r="C693" s="230"/>
      <c r="D693" s="229"/>
      <c r="E693" s="229"/>
      <c r="F693" s="229"/>
      <c r="G693" s="226"/>
      <c r="H693" s="257"/>
      <c r="I693" s="229"/>
      <c r="J693" s="229"/>
      <c r="K693" s="229"/>
      <c r="L693" s="229"/>
      <c r="M693" s="226"/>
      <c r="N693" s="226"/>
      <c r="O693" s="230"/>
      <c r="P693" s="229"/>
      <c r="Q693" s="229"/>
      <c r="R693" s="229"/>
      <c r="S693" s="234"/>
      <c r="T693" s="252"/>
    </row>
    <row r="694" spans="1:20">
      <c r="A694" s="228"/>
      <c r="B694" s="229"/>
      <c r="C694" s="230"/>
      <c r="D694" s="229"/>
      <c r="E694" s="229"/>
      <c r="F694" s="229"/>
      <c r="G694" s="226"/>
      <c r="H694" s="257"/>
      <c r="I694" s="229"/>
      <c r="J694" s="229"/>
      <c r="K694" s="229"/>
      <c r="L694" s="229"/>
      <c r="M694" s="226"/>
      <c r="N694" s="226"/>
      <c r="O694" s="230"/>
      <c r="P694" s="229"/>
      <c r="Q694" s="229"/>
      <c r="R694" s="229"/>
      <c r="S694" s="234"/>
      <c r="T694" s="252"/>
    </row>
    <row r="695" spans="1:20">
      <c r="A695" s="228"/>
      <c r="B695" s="229"/>
      <c r="C695" s="230"/>
      <c r="D695" s="229"/>
      <c r="E695" s="229"/>
      <c r="F695" s="229"/>
      <c r="G695" s="226"/>
      <c r="H695" s="257"/>
      <c r="I695" s="229"/>
      <c r="J695" s="229"/>
      <c r="K695" s="229"/>
      <c r="L695" s="229"/>
      <c r="M695" s="226"/>
      <c r="N695" s="226"/>
      <c r="O695" s="230"/>
      <c r="P695" s="229"/>
      <c r="Q695" s="229"/>
      <c r="R695" s="229"/>
      <c r="S695" s="234"/>
      <c r="T695" s="252"/>
    </row>
    <row r="696" spans="1:20">
      <c r="A696" s="228"/>
      <c r="B696" s="229"/>
      <c r="C696" s="230"/>
      <c r="D696" s="229"/>
      <c r="E696" s="229"/>
      <c r="F696" s="229"/>
      <c r="G696" s="226"/>
      <c r="H696" s="257"/>
      <c r="I696" s="229"/>
      <c r="J696" s="229"/>
      <c r="K696" s="229"/>
      <c r="L696" s="229"/>
      <c r="M696" s="226"/>
      <c r="N696" s="226"/>
      <c r="O696" s="230"/>
      <c r="P696" s="229"/>
      <c r="Q696" s="229"/>
      <c r="R696" s="229"/>
      <c r="S696" s="234"/>
      <c r="T696" s="252"/>
    </row>
    <row r="697" spans="1:20">
      <c r="A697" s="228"/>
      <c r="B697" s="229"/>
      <c r="C697" s="230"/>
      <c r="D697" s="229"/>
      <c r="E697" s="229"/>
      <c r="F697" s="229"/>
      <c r="G697" s="226"/>
      <c r="H697" s="257"/>
      <c r="I697" s="229"/>
      <c r="J697" s="229"/>
      <c r="K697" s="229"/>
      <c r="L697" s="229"/>
      <c r="M697" s="226"/>
      <c r="N697" s="226"/>
      <c r="O697" s="230"/>
      <c r="P697" s="229"/>
      <c r="Q697" s="229"/>
      <c r="R697" s="229"/>
      <c r="S697" s="234"/>
      <c r="T697" s="252"/>
    </row>
    <row r="698" spans="1:20">
      <c r="A698" s="228"/>
      <c r="B698" s="229"/>
      <c r="C698" s="230"/>
      <c r="D698" s="229"/>
      <c r="E698" s="229"/>
      <c r="F698" s="229"/>
      <c r="G698" s="226"/>
      <c r="H698" s="257"/>
      <c r="I698" s="229"/>
      <c r="J698" s="229"/>
      <c r="K698" s="229"/>
      <c r="L698" s="229"/>
      <c r="M698" s="226"/>
      <c r="N698" s="226"/>
      <c r="O698" s="230"/>
      <c r="P698" s="229"/>
      <c r="Q698" s="229"/>
      <c r="R698" s="229"/>
      <c r="S698" s="234"/>
      <c r="T698" s="252"/>
    </row>
    <row r="699" spans="1:20">
      <c r="A699" s="228"/>
      <c r="B699" s="229"/>
      <c r="C699" s="230"/>
      <c r="D699" s="229"/>
      <c r="E699" s="229"/>
      <c r="F699" s="229"/>
      <c r="G699" s="226"/>
      <c r="H699" s="257"/>
      <c r="I699" s="229"/>
      <c r="J699" s="229"/>
      <c r="K699" s="229"/>
      <c r="L699" s="229"/>
      <c r="M699" s="226"/>
      <c r="N699" s="226"/>
      <c r="O699" s="230"/>
      <c r="P699" s="229"/>
      <c r="Q699" s="229"/>
      <c r="R699" s="229"/>
      <c r="S699" s="234"/>
      <c r="T699" s="252"/>
    </row>
    <row r="700" spans="1:20">
      <c r="A700" s="228"/>
      <c r="B700" s="229"/>
      <c r="C700" s="230"/>
      <c r="D700" s="229"/>
      <c r="E700" s="229"/>
      <c r="F700" s="229"/>
      <c r="G700" s="226"/>
      <c r="H700" s="257"/>
      <c r="I700" s="229"/>
      <c r="J700" s="229"/>
      <c r="K700" s="229"/>
      <c r="L700" s="229"/>
      <c r="M700" s="226"/>
      <c r="N700" s="226"/>
      <c r="O700" s="230"/>
      <c r="P700" s="229"/>
      <c r="Q700" s="229"/>
      <c r="R700" s="229"/>
      <c r="S700" s="234"/>
      <c r="T700" s="252"/>
    </row>
    <row r="701" spans="1:20">
      <c r="A701" s="228"/>
      <c r="B701" s="229"/>
      <c r="C701" s="230"/>
      <c r="D701" s="229"/>
      <c r="E701" s="229"/>
      <c r="F701" s="229"/>
      <c r="G701" s="226"/>
      <c r="H701" s="257"/>
      <c r="I701" s="229"/>
      <c r="J701" s="229"/>
      <c r="K701" s="229"/>
      <c r="L701" s="229"/>
      <c r="M701" s="226"/>
      <c r="N701" s="226"/>
      <c r="O701" s="230"/>
      <c r="P701" s="229"/>
      <c r="Q701" s="229"/>
      <c r="R701" s="229"/>
      <c r="S701" s="234"/>
      <c r="T701" s="252"/>
    </row>
    <row r="702" spans="1:20">
      <c r="A702" s="228"/>
      <c r="B702" s="229"/>
      <c r="C702" s="230"/>
      <c r="D702" s="229"/>
      <c r="E702" s="229"/>
      <c r="F702" s="229"/>
      <c r="G702" s="226"/>
      <c r="H702" s="257"/>
      <c r="I702" s="229"/>
      <c r="J702" s="229"/>
      <c r="K702" s="229"/>
      <c r="L702" s="229"/>
      <c r="M702" s="226"/>
      <c r="N702" s="226"/>
      <c r="O702" s="230"/>
      <c r="P702" s="229"/>
      <c r="Q702" s="229"/>
      <c r="R702" s="229"/>
      <c r="S702" s="234"/>
      <c r="T702" s="252"/>
    </row>
    <row r="703" spans="1:20">
      <c r="A703" s="228"/>
      <c r="B703" s="229"/>
      <c r="C703" s="230"/>
      <c r="D703" s="229"/>
      <c r="E703" s="229"/>
      <c r="F703" s="229"/>
      <c r="G703" s="226"/>
      <c r="H703" s="257"/>
      <c r="I703" s="229"/>
      <c r="J703" s="229"/>
      <c r="K703" s="229"/>
      <c r="L703" s="229"/>
      <c r="M703" s="226"/>
      <c r="N703" s="226"/>
      <c r="O703" s="230"/>
      <c r="P703" s="229"/>
      <c r="Q703" s="229"/>
      <c r="R703" s="229"/>
      <c r="S703" s="234"/>
      <c r="T703" s="252"/>
    </row>
    <row r="704" spans="1:20">
      <c r="A704" s="228"/>
      <c r="B704" s="229"/>
      <c r="C704" s="230"/>
      <c r="D704" s="229"/>
      <c r="E704" s="229"/>
      <c r="F704" s="229"/>
      <c r="G704" s="226"/>
      <c r="H704" s="257"/>
      <c r="I704" s="229"/>
      <c r="J704" s="229"/>
      <c r="K704" s="229"/>
      <c r="L704" s="229"/>
      <c r="M704" s="226"/>
      <c r="N704" s="226"/>
      <c r="O704" s="230"/>
      <c r="P704" s="229"/>
      <c r="Q704" s="229"/>
      <c r="R704" s="229"/>
      <c r="S704" s="234"/>
      <c r="T704" s="252"/>
    </row>
    <row r="705" spans="1:20">
      <c r="A705" s="228"/>
      <c r="B705" s="229"/>
      <c r="C705" s="230"/>
      <c r="D705" s="229"/>
      <c r="E705" s="229"/>
      <c r="F705" s="229"/>
      <c r="G705" s="226"/>
      <c r="H705" s="257"/>
      <c r="I705" s="229"/>
      <c r="J705" s="229"/>
      <c r="K705" s="229"/>
      <c r="L705" s="229"/>
      <c r="M705" s="226"/>
      <c r="N705" s="226"/>
      <c r="O705" s="230"/>
      <c r="P705" s="229"/>
      <c r="Q705" s="229"/>
      <c r="R705" s="229"/>
      <c r="S705" s="234"/>
      <c r="T705" s="252"/>
    </row>
    <row r="706" spans="1:20">
      <c r="A706" s="228"/>
      <c r="B706" s="229"/>
      <c r="C706" s="230"/>
      <c r="D706" s="229"/>
      <c r="E706" s="229"/>
      <c r="F706" s="229"/>
      <c r="G706" s="226"/>
      <c r="H706" s="257"/>
      <c r="I706" s="229"/>
      <c r="J706" s="229"/>
      <c r="K706" s="229"/>
      <c r="L706" s="229"/>
      <c r="M706" s="226"/>
      <c r="N706" s="226"/>
      <c r="O706" s="230"/>
      <c r="P706" s="229"/>
      <c r="Q706" s="229"/>
      <c r="R706" s="229"/>
      <c r="S706" s="234"/>
      <c r="T706" s="252"/>
    </row>
    <row r="707" spans="1:20">
      <c r="A707" s="228"/>
      <c r="B707" s="229"/>
      <c r="C707" s="230"/>
      <c r="D707" s="229"/>
      <c r="E707" s="229"/>
      <c r="F707" s="229"/>
      <c r="G707" s="226"/>
      <c r="H707" s="257"/>
      <c r="I707" s="229"/>
      <c r="J707" s="229"/>
      <c r="K707" s="229"/>
      <c r="L707" s="229"/>
      <c r="M707" s="226"/>
      <c r="N707" s="226"/>
      <c r="O707" s="230"/>
      <c r="P707" s="229"/>
      <c r="Q707" s="229"/>
      <c r="R707" s="229"/>
      <c r="S707" s="234"/>
      <c r="T707" s="252"/>
    </row>
    <row r="708" spans="1:20">
      <c r="A708" s="228"/>
      <c r="B708" s="229"/>
      <c r="C708" s="230"/>
      <c r="D708" s="229"/>
      <c r="E708" s="229"/>
      <c r="F708" s="229"/>
      <c r="G708" s="226"/>
      <c r="H708" s="257"/>
      <c r="I708" s="229"/>
      <c r="J708" s="229"/>
      <c r="K708" s="229"/>
      <c r="L708" s="229"/>
      <c r="M708" s="226"/>
      <c r="N708" s="226"/>
      <c r="O708" s="230"/>
      <c r="P708" s="229"/>
      <c r="Q708" s="229"/>
      <c r="R708" s="229"/>
      <c r="S708" s="234"/>
      <c r="T708" s="252"/>
    </row>
    <row r="709" spans="1:20">
      <c r="A709" s="228"/>
      <c r="B709" s="229"/>
      <c r="C709" s="230"/>
      <c r="D709" s="229"/>
      <c r="E709" s="229"/>
      <c r="F709" s="229"/>
      <c r="G709" s="226"/>
      <c r="H709" s="257"/>
      <c r="I709" s="229"/>
      <c r="J709" s="229"/>
      <c r="K709" s="229"/>
      <c r="L709" s="229"/>
      <c r="M709" s="226"/>
      <c r="N709" s="226"/>
      <c r="O709" s="230"/>
      <c r="P709" s="229"/>
      <c r="Q709" s="229"/>
      <c r="R709" s="229"/>
      <c r="S709" s="234"/>
      <c r="T709" s="252"/>
    </row>
    <row r="710" spans="1:20">
      <c r="A710" s="228"/>
      <c r="B710" s="229"/>
      <c r="C710" s="230"/>
      <c r="D710" s="229"/>
      <c r="E710" s="229"/>
      <c r="F710" s="229"/>
      <c r="G710" s="226"/>
      <c r="H710" s="257"/>
      <c r="I710" s="229"/>
      <c r="J710" s="229"/>
      <c r="K710" s="229"/>
      <c r="L710" s="229"/>
      <c r="M710" s="226"/>
      <c r="N710" s="226"/>
      <c r="O710" s="230"/>
      <c r="P710" s="229"/>
      <c r="Q710" s="229"/>
      <c r="R710" s="229"/>
      <c r="S710" s="234"/>
      <c r="T710" s="252"/>
    </row>
    <row r="711" spans="1:20">
      <c r="A711" s="228"/>
      <c r="B711" s="229"/>
      <c r="C711" s="230"/>
      <c r="D711" s="229"/>
      <c r="E711" s="229"/>
      <c r="F711" s="229"/>
      <c r="G711" s="226"/>
      <c r="H711" s="257"/>
      <c r="I711" s="229"/>
      <c r="J711" s="229"/>
      <c r="K711" s="229"/>
      <c r="L711" s="229"/>
      <c r="M711" s="226"/>
      <c r="N711" s="226"/>
      <c r="O711" s="230"/>
      <c r="P711" s="229"/>
      <c r="Q711" s="229"/>
      <c r="R711" s="229"/>
      <c r="S711" s="234"/>
      <c r="T711" s="252"/>
    </row>
    <row r="712" spans="1:20">
      <c r="A712" s="228"/>
      <c r="B712" s="229"/>
      <c r="C712" s="230"/>
      <c r="D712" s="229"/>
      <c r="E712" s="229"/>
      <c r="F712" s="229"/>
      <c r="G712" s="226"/>
      <c r="H712" s="257"/>
      <c r="I712" s="229"/>
      <c r="J712" s="229"/>
      <c r="K712" s="229"/>
      <c r="L712" s="229"/>
      <c r="M712" s="226"/>
      <c r="N712" s="226"/>
      <c r="O712" s="230"/>
      <c r="P712" s="229"/>
      <c r="Q712" s="229"/>
      <c r="R712" s="229"/>
      <c r="S712" s="234"/>
      <c r="T712" s="252"/>
    </row>
    <row r="713" spans="1:20">
      <c r="A713" s="228"/>
      <c r="B713" s="229"/>
      <c r="C713" s="230"/>
      <c r="D713" s="229"/>
      <c r="E713" s="229"/>
      <c r="F713" s="229"/>
      <c r="G713" s="226"/>
      <c r="H713" s="257"/>
      <c r="I713" s="229"/>
      <c r="J713" s="229"/>
      <c r="K713" s="229"/>
      <c r="L713" s="229"/>
      <c r="M713" s="226"/>
      <c r="N713" s="226"/>
      <c r="O713" s="230"/>
      <c r="P713" s="229"/>
      <c r="Q713" s="229"/>
      <c r="R713" s="229"/>
      <c r="S713" s="234"/>
      <c r="T713" s="252"/>
    </row>
    <row r="714" spans="1:20">
      <c r="A714" s="228"/>
      <c r="B714" s="229"/>
      <c r="C714" s="230"/>
      <c r="D714" s="229"/>
      <c r="E714" s="229"/>
      <c r="F714" s="229"/>
      <c r="G714" s="226"/>
      <c r="H714" s="257"/>
      <c r="I714" s="229"/>
      <c r="J714" s="229"/>
      <c r="K714" s="229"/>
      <c r="L714" s="229"/>
      <c r="M714" s="226"/>
      <c r="N714" s="226"/>
      <c r="O714" s="230"/>
      <c r="P714" s="229"/>
      <c r="Q714" s="229"/>
      <c r="R714" s="229"/>
      <c r="S714" s="234"/>
      <c r="T714" s="252"/>
    </row>
    <row r="715" spans="1:20">
      <c r="A715" s="228"/>
      <c r="B715" s="229"/>
      <c r="C715" s="230"/>
      <c r="D715" s="229"/>
      <c r="E715" s="229"/>
      <c r="F715" s="229"/>
      <c r="G715" s="226"/>
      <c r="H715" s="257"/>
      <c r="I715" s="229"/>
      <c r="J715" s="229"/>
      <c r="K715" s="229"/>
      <c r="L715" s="229"/>
      <c r="M715" s="226"/>
      <c r="N715" s="226"/>
      <c r="O715" s="230"/>
      <c r="P715" s="229"/>
      <c r="Q715" s="229"/>
      <c r="R715" s="229"/>
      <c r="S715" s="234"/>
      <c r="T715" s="252"/>
    </row>
    <row r="716" spans="1:20">
      <c r="A716" s="228"/>
      <c r="B716" s="229"/>
      <c r="C716" s="230"/>
      <c r="D716" s="229"/>
      <c r="E716" s="229"/>
      <c r="F716" s="229"/>
      <c r="G716" s="226"/>
      <c r="H716" s="257"/>
      <c r="I716" s="229"/>
      <c r="J716" s="229"/>
      <c r="K716" s="229"/>
      <c r="L716" s="229"/>
      <c r="M716" s="226"/>
      <c r="N716" s="226"/>
      <c r="O716" s="230"/>
      <c r="P716" s="229"/>
      <c r="Q716" s="229"/>
      <c r="R716" s="229"/>
      <c r="S716" s="234"/>
      <c r="T716" s="252"/>
    </row>
    <row r="717" spans="1:20">
      <c r="A717" s="228"/>
      <c r="B717" s="229"/>
      <c r="C717" s="230"/>
      <c r="D717" s="229"/>
      <c r="E717" s="229"/>
      <c r="F717" s="229"/>
      <c r="G717" s="226"/>
      <c r="H717" s="257"/>
      <c r="I717" s="229"/>
      <c r="J717" s="229"/>
      <c r="K717" s="229"/>
      <c r="L717" s="229"/>
      <c r="M717" s="226"/>
      <c r="N717" s="226"/>
      <c r="O717" s="230"/>
      <c r="P717" s="229"/>
      <c r="Q717" s="229"/>
      <c r="R717" s="229"/>
      <c r="S717" s="234"/>
      <c r="T717" s="252"/>
    </row>
    <row r="718" spans="1:20">
      <c r="A718" s="228"/>
      <c r="B718" s="229"/>
      <c r="C718" s="230"/>
      <c r="D718" s="229"/>
      <c r="E718" s="229"/>
      <c r="F718" s="229"/>
      <c r="G718" s="226"/>
      <c r="H718" s="257"/>
      <c r="I718" s="229"/>
      <c r="J718" s="229"/>
      <c r="K718" s="229"/>
      <c r="L718" s="229"/>
      <c r="M718" s="226"/>
      <c r="N718" s="226"/>
      <c r="O718" s="230"/>
      <c r="P718" s="229"/>
      <c r="Q718" s="229"/>
      <c r="R718" s="229"/>
      <c r="S718" s="234"/>
      <c r="T718" s="252"/>
    </row>
    <row r="719" spans="1:20">
      <c r="A719" s="228"/>
      <c r="B719" s="229"/>
      <c r="C719" s="230"/>
      <c r="D719" s="229"/>
      <c r="E719" s="229"/>
      <c r="F719" s="229"/>
      <c r="G719" s="226"/>
      <c r="H719" s="257"/>
      <c r="I719" s="229"/>
      <c r="J719" s="229"/>
      <c r="K719" s="229"/>
      <c r="L719" s="229"/>
      <c r="M719" s="226"/>
      <c r="N719" s="226"/>
      <c r="O719" s="230"/>
      <c r="P719" s="229"/>
      <c r="Q719" s="229"/>
      <c r="R719" s="229"/>
      <c r="S719" s="234"/>
      <c r="T719" s="252"/>
    </row>
    <row r="720" spans="1:20">
      <c r="A720" s="228"/>
      <c r="B720" s="229"/>
      <c r="C720" s="230"/>
      <c r="D720" s="229"/>
      <c r="E720" s="229"/>
      <c r="F720" s="229"/>
      <c r="G720" s="226"/>
      <c r="H720" s="257"/>
      <c r="I720" s="229"/>
      <c r="J720" s="229"/>
      <c r="K720" s="229"/>
      <c r="L720" s="229"/>
      <c r="M720" s="226"/>
      <c r="N720" s="226"/>
      <c r="O720" s="230"/>
      <c r="P720" s="229"/>
      <c r="Q720" s="229"/>
      <c r="R720" s="229"/>
      <c r="S720" s="234"/>
      <c r="T720" s="252"/>
    </row>
    <row r="721" spans="1:20">
      <c r="A721" s="228"/>
      <c r="B721" s="229"/>
      <c r="C721" s="230"/>
      <c r="D721" s="229"/>
      <c r="E721" s="229"/>
      <c r="F721" s="229"/>
      <c r="G721" s="226"/>
      <c r="H721" s="257"/>
      <c r="I721" s="229"/>
      <c r="J721" s="229"/>
      <c r="K721" s="229"/>
      <c r="L721" s="229"/>
      <c r="M721" s="226"/>
      <c r="N721" s="226"/>
      <c r="O721" s="230"/>
      <c r="P721" s="229"/>
      <c r="Q721" s="229"/>
      <c r="R721" s="229"/>
      <c r="S721" s="234"/>
      <c r="T721" s="252"/>
    </row>
    <row r="722" spans="1:20">
      <c r="A722" s="228"/>
      <c r="B722" s="229"/>
      <c r="C722" s="230"/>
      <c r="D722" s="229"/>
      <c r="E722" s="229"/>
      <c r="F722" s="229"/>
      <c r="G722" s="226"/>
      <c r="H722" s="257"/>
      <c r="I722" s="229"/>
      <c r="J722" s="229"/>
      <c r="K722" s="229"/>
      <c r="L722" s="229"/>
      <c r="M722" s="226"/>
      <c r="N722" s="226"/>
      <c r="O722" s="230"/>
      <c r="P722" s="229"/>
      <c r="Q722" s="229"/>
      <c r="R722" s="229"/>
      <c r="S722" s="234"/>
      <c r="T722" s="252"/>
    </row>
    <row r="723" spans="1:20">
      <c r="A723" s="228"/>
      <c r="B723" s="229"/>
      <c r="C723" s="230"/>
      <c r="D723" s="229"/>
      <c r="E723" s="229"/>
      <c r="F723" s="229"/>
      <c r="G723" s="226"/>
      <c r="H723" s="257"/>
      <c r="I723" s="229"/>
      <c r="J723" s="229"/>
      <c r="K723" s="229"/>
      <c r="L723" s="229"/>
      <c r="M723" s="226"/>
      <c r="N723" s="226"/>
      <c r="O723" s="230"/>
      <c r="P723" s="229"/>
      <c r="Q723" s="229"/>
      <c r="R723" s="229"/>
      <c r="S723" s="234"/>
      <c r="T723" s="252"/>
    </row>
    <row r="724" spans="1:20">
      <c r="A724" s="228"/>
      <c r="B724" s="229"/>
      <c r="C724" s="230"/>
      <c r="D724" s="229"/>
      <c r="E724" s="229"/>
      <c r="F724" s="229"/>
      <c r="G724" s="226"/>
      <c r="H724" s="257"/>
      <c r="I724" s="229"/>
      <c r="J724" s="229"/>
      <c r="K724" s="229"/>
      <c r="L724" s="229"/>
      <c r="M724" s="226"/>
      <c r="N724" s="226"/>
      <c r="O724" s="230"/>
      <c r="P724" s="229"/>
      <c r="Q724" s="229"/>
      <c r="R724" s="229"/>
      <c r="S724" s="234"/>
      <c r="T724" s="252"/>
    </row>
    <row r="725" spans="1:20">
      <c r="A725" s="228"/>
      <c r="B725" s="229"/>
      <c r="C725" s="230"/>
      <c r="D725" s="229"/>
      <c r="E725" s="229"/>
      <c r="F725" s="229"/>
      <c r="G725" s="226"/>
      <c r="H725" s="257"/>
      <c r="I725" s="229"/>
      <c r="J725" s="229"/>
      <c r="K725" s="229"/>
      <c r="L725" s="229"/>
      <c r="M725" s="226"/>
      <c r="N725" s="226"/>
      <c r="O725" s="230"/>
      <c r="P725" s="229"/>
      <c r="Q725" s="229"/>
      <c r="R725" s="229"/>
      <c r="S725" s="234"/>
      <c r="T725" s="252"/>
    </row>
    <row r="726" spans="1:20">
      <c r="A726" s="228"/>
      <c r="B726" s="229"/>
      <c r="C726" s="230"/>
      <c r="D726" s="229"/>
      <c r="E726" s="229"/>
      <c r="F726" s="229"/>
      <c r="G726" s="226"/>
      <c r="H726" s="257"/>
      <c r="I726" s="229"/>
      <c r="J726" s="229"/>
      <c r="K726" s="229"/>
      <c r="L726" s="229"/>
      <c r="M726" s="226"/>
      <c r="N726" s="226"/>
      <c r="O726" s="230"/>
      <c r="P726" s="229"/>
      <c r="Q726" s="229"/>
      <c r="R726" s="229"/>
      <c r="S726" s="234"/>
      <c r="T726" s="252"/>
    </row>
    <row r="727" spans="1:20">
      <c r="A727" s="228"/>
      <c r="B727" s="229"/>
      <c r="C727" s="230"/>
      <c r="D727" s="229"/>
      <c r="E727" s="229"/>
      <c r="F727" s="229"/>
      <c r="G727" s="226"/>
      <c r="H727" s="257"/>
      <c r="I727" s="229"/>
      <c r="J727" s="229"/>
      <c r="K727" s="229"/>
      <c r="L727" s="229"/>
      <c r="M727" s="226"/>
      <c r="N727" s="226"/>
      <c r="O727" s="230"/>
      <c r="P727" s="229"/>
      <c r="Q727" s="229"/>
      <c r="R727" s="229"/>
      <c r="S727" s="234"/>
      <c r="T727" s="252"/>
    </row>
    <row r="728" spans="1:20">
      <c r="A728" s="228"/>
      <c r="B728" s="229"/>
      <c r="C728" s="230"/>
      <c r="D728" s="229"/>
      <c r="E728" s="229"/>
      <c r="F728" s="229"/>
      <c r="G728" s="226"/>
      <c r="H728" s="257"/>
      <c r="I728" s="229"/>
      <c r="J728" s="229"/>
      <c r="K728" s="229"/>
      <c r="L728" s="229"/>
      <c r="M728" s="226"/>
      <c r="N728" s="226"/>
      <c r="O728" s="230"/>
      <c r="P728" s="229"/>
      <c r="Q728" s="229"/>
      <c r="R728" s="229"/>
      <c r="S728" s="234"/>
      <c r="T728" s="252"/>
    </row>
    <row r="729" spans="1:20">
      <c r="A729" s="228"/>
      <c r="B729" s="229"/>
      <c r="C729" s="230"/>
      <c r="D729" s="229"/>
      <c r="E729" s="229"/>
      <c r="F729" s="229"/>
      <c r="G729" s="226"/>
      <c r="H729" s="257"/>
      <c r="I729" s="229"/>
      <c r="J729" s="229"/>
      <c r="K729" s="229"/>
      <c r="L729" s="229"/>
      <c r="M729" s="226"/>
      <c r="N729" s="226"/>
      <c r="O729" s="230"/>
      <c r="P729" s="229"/>
      <c r="Q729" s="229"/>
      <c r="R729" s="229"/>
      <c r="S729" s="234"/>
      <c r="T729" s="252"/>
    </row>
    <row r="730" spans="1:20">
      <c r="A730" s="228"/>
      <c r="B730" s="229"/>
      <c r="C730" s="230"/>
      <c r="D730" s="229"/>
      <c r="E730" s="229"/>
      <c r="F730" s="229"/>
      <c r="G730" s="226"/>
      <c r="H730" s="257"/>
      <c r="I730" s="229"/>
      <c r="J730" s="229"/>
      <c r="K730" s="229"/>
      <c r="L730" s="229"/>
      <c r="M730" s="226"/>
      <c r="N730" s="226"/>
      <c r="O730" s="230"/>
      <c r="P730" s="229"/>
      <c r="Q730" s="229"/>
      <c r="R730" s="229"/>
      <c r="S730" s="234"/>
      <c r="T730" s="252"/>
    </row>
    <row r="731" spans="1:20">
      <c r="A731" s="228"/>
      <c r="B731" s="229"/>
      <c r="C731" s="230"/>
      <c r="D731" s="229"/>
      <c r="E731" s="229"/>
      <c r="F731" s="229"/>
      <c r="G731" s="226"/>
      <c r="H731" s="257"/>
      <c r="I731" s="229"/>
      <c r="J731" s="229"/>
      <c r="K731" s="229"/>
      <c r="L731" s="229"/>
      <c r="M731" s="226"/>
      <c r="N731" s="226"/>
      <c r="O731" s="230"/>
      <c r="P731" s="229"/>
      <c r="Q731" s="229"/>
      <c r="R731" s="229"/>
      <c r="S731" s="234"/>
      <c r="T731" s="252"/>
    </row>
    <row r="732" spans="1:20">
      <c r="A732" s="228"/>
      <c r="B732" s="229"/>
      <c r="C732" s="230"/>
      <c r="D732" s="229"/>
      <c r="E732" s="229"/>
      <c r="F732" s="229"/>
      <c r="G732" s="226"/>
      <c r="H732" s="257"/>
      <c r="I732" s="229"/>
      <c r="J732" s="229"/>
      <c r="K732" s="229"/>
      <c r="L732" s="229"/>
      <c r="M732" s="226"/>
      <c r="N732" s="226"/>
      <c r="O732" s="230"/>
      <c r="P732" s="229"/>
      <c r="Q732" s="229"/>
      <c r="R732" s="229"/>
      <c r="S732" s="234"/>
      <c r="T732" s="252"/>
    </row>
    <row r="733" spans="1:20">
      <c r="A733" s="228"/>
      <c r="B733" s="229"/>
      <c r="C733" s="230"/>
      <c r="D733" s="229"/>
      <c r="E733" s="229"/>
      <c r="F733" s="229"/>
      <c r="G733" s="226"/>
      <c r="H733" s="257"/>
      <c r="I733" s="229"/>
      <c r="J733" s="229"/>
      <c r="K733" s="229"/>
      <c r="L733" s="229"/>
      <c r="M733" s="226"/>
      <c r="N733" s="226"/>
      <c r="O733" s="230"/>
      <c r="P733" s="229"/>
      <c r="Q733" s="229"/>
      <c r="R733" s="229"/>
      <c r="S733" s="234"/>
      <c r="T733" s="252"/>
    </row>
    <row r="734" spans="1:20">
      <c r="A734" s="228"/>
      <c r="B734" s="229"/>
      <c r="C734" s="230"/>
      <c r="D734" s="229"/>
      <c r="E734" s="229"/>
      <c r="F734" s="229"/>
      <c r="G734" s="226"/>
      <c r="H734" s="257"/>
      <c r="I734" s="229"/>
      <c r="J734" s="229"/>
      <c r="K734" s="229"/>
      <c r="L734" s="229"/>
      <c r="M734" s="226"/>
      <c r="N734" s="226"/>
      <c r="O734" s="230"/>
      <c r="P734" s="229"/>
      <c r="Q734" s="229"/>
      <c r="R734" s="229"/>
      <c r="S734" s="234"/>
      <c r="T734" s="252"/>
    </row>
    <row r="735" spans="1:20">
      <c r="A735" s="228"/>
      <c r="B735" s="229"/>
      <c r="C735" s="230"/>
      <c r="D735" s="229"/>
      <c r="E735" s="229"/>
      <c r="F735" s="229"/>
      <c r="G735" s="226"/>
      <c r="H735" s="257"/>
      <c r="I735" s="229"/>
      <c r="J735" s="229"/>
      <c r="K735" s="229"/>
      <c r="L735" s="229"/>
      <c r="M735" s="226"/>
      <c r="N735" s="226"/>
      <c r="O735" s="230"/>
      <c r="P735" s="229"/>
      <c r="Q735" s="229"/>
      <c r="R735" s="229"/>
      <c r="S735" s="234"/>
      <c r="T735" s="252"/>
    </row>
    <row r="736" spans="1:20">
      <c r="A736" s="228"/>
      <c r="B736" s="229"/>
      <c r="C736" s="230"/>
      <c r="D736" s="229"/>
      <c r="E736" s="229"/>
      <c r="F736" s="229"/>
      <c r="G736" s="226"/>
      <c r="H736" s="257"/>
      <c r="I736" s="229"/>
      <c r="J736" s="229"/>
      <c r="K736" s="229"/>
      <c r="L736" s="229"/>
      <c r="M736" s="226"/>
      <c r="N736" s="226"/>
      <c r="O736" s="230"/>
      <c r="P736" s="229"/>
      <c r="Q736" s="229"/>
      <c r="R736" s="229"/>
      <c r="S736" s="234"/>
      <c r="T736" s="252"/>
    </row>
    <row r="737" spans="1:20">
      <c r="A737" s="228"/>
      <c r="B737" s="229"/>
      <c r="C737" s="230"/>
      <c r="D737" s="229"/>
      <c r="E737" s="229"/>
      <c r="F737" s="229"/>
      <c r="G737" s="226"/>
      <c r="H737" s="257"/>
      <c r="I737" s="229"/>
      <c r="J737" s="229"/>
      <c r="K737" s="229"/>
      <c r="L737" s="229"/>
      <c r="M737" s="226"/>
      <c r="N737" s="226"/>
      <c r="O737" s="230"/>
      <c r="P737" s="229"/>
      <c r="Q737" s="229"/>
      <c r="R737" s="229"/>
      <c r="S737" s="234"/>
      <c r="T737" s="252"/>
    </row>
    <row r="738" spans="1:20">
      <c r="A738" s="228"/>
      <c r="B738" s="229"/>
      <c r="C738" s="230"/>
      <c r="D738" s="229"/>
      <c r="E738" s="229"/>
      <c r="F738" s="229"/>
      <c r="G738" s="226"/>
      <c r="H738" s="257"/>
      <c r="I738" s="229"/>
      <c r="J738" s="229"/>
      <c r="K738" s="229"/>
      <c r="L738" s="229"/>
      <c r="M738" s="226"/>
      <c r="N738" s="226"/>
      <c r="O738" s="230"/>
      <c r="P738" s="229"/>
      <c r="Q738" s="229"/>
      <c r="R738" s="229"/>
      <c r="S738" s="234"/>
      <c r="T738" s="252"/>
    </row>
    <row r="739" spans="1:20">
      <c r="A739" s="228"/>
      <c r="B739" s="229"/>
      <c r="C739" s="230"/>
      <c r="D739" s="229"/>
      <c r="E739" s="229"/>
      <c r="F739" s="229"/>
      <c r="G739" s="226"/>
      <c r="H739" s="257"/>
      <c r="I739" s="229"/>
      <c r="J739" s="229"/>
      <c r="K739" s="229"/>
      <c r="L739" s="229"/>
      <c r="M739" s="226"/>
      <c r="N739" s="226"/>
      <c r="O739" s="230"/>
      <c r="P739" s="229"/>
      <c r="Q739" s="229"/>
      <c r="R739" s="229"/>
      <c r="S739" s="234"/>
      <c r="T739" s="252"/>
    </row>
    <row r="740" spans="1:20">
      <c r="A740" s="228"/>
      <c r="B740" s="229"/>
      <c r="C740" s="230"/>
      <c r="D740" s="229"/>
      <c r="E740" s="229"/>
      <c r="F740" s="229"/>
      <c r="G740" s="226"/>
      <c r="H740" s="257"/>
      <c r="I740" s="229"/>
      <c r="J740" s="229"/>
      <c r="K740" s="229"/>
      <c r="L740" s="229"/>
      <c r="M740" s="226"/>
      <c r="N740" s="226"/>
      <c r="O740" s="230"/>
      <c r="P740" s="229"/>
      <c r="Q740" s="229"/>
      <c r="R740" s="229"/>
      <c r="S740" s="234"/>
      <c r="T740" s="252"/>
    </row>
    <row r="741" spans="1:20">
      <c r="A741" s="228"/>
      <c r="B741" s="229"/>
      <c r="C741" s="230"/>
      <c r="D741" s="229"/>
      <c r="E741" s="229"/>
      <c r="F741" s="229"/>
      <c r="G741" s="226"/>
      <c r="H741" s="257"/>
      <c r="I741" s="229"/>
      <c r="J741" s="229"/>
      <c r="K741" s="229"/>
      <c r="L741" s="229"/>
      <c r="M741" s="226"/>
      <c r="N741" s="226"/>
      <c r="O741" s="230"/>
      <c r="P741" s="229"/>
      <c r="Q741" s="229"/>
      <c r="R741" s="229"/>
      <c r="S741" s="234"/>
      <c r="T741" s="252"/>
    </row>
    <row r="742" spans="1:20">
      <c r="A742" s="228"/>
      <c r="B742" s="229"/>
      <c r="C742" s="230"/>
      <c r="D742" s="229"/>
      <c r="E742" s="229"/>
      <c r="F742" s="229"/>
      <c r="G742" s="226"/>
      <c r="H742" s="257"/>
      <c r="I742" s="229"/>
      <c r="J742" s="229"/>
      <c r="K742" s="229"/>
      <c r="L742" s="229"/>
      <c r="M742" s="226"/>
      <c r="N742" s="226"/>
      <c r="O742" s="230"/>
      <c r="P742" s="229"/>
      <c r="Q742" s="229"/>
      <c r="R742" s="229"/>
      <c r="S742" s="234"/>
      <c r="T742" s="252"/>
    </row>
    <row r="743" spans="1:20">
      <c r="A743" s="228"/>
      <c r="B743" s="229"/>
      <c r="C743" s="230"/>
      <c r="D743" s="229"/>
      <c r="E743" s="229"/>
      <c r="F743" s="229"/>
      <c r="G743" s="226"/>
      <c r="H743" s="257"/>
      <c r="I743" s="229"/>
      <c r="J743" s="229"/>
      <c r="K743" s="229"/>
      <c r="L743" s="229"/>
      <c r="M743" s="226"/>
      <c r="N743" s="226"/>
      <c r="O743" s="230"/>
      <c r="P743" s="229"/>
      <c r="Q743" s="229"/>
      <c r="R743" s="229"/>
      <c r="S743" s="234"/>
      <c r="T743" s="252"/>
    </row>
    <row r="744" spans="1:20">
      <c r="A744" s="228"/>
      <c r="B744" s="229"/>
      <c r="C744" s="230"/>
      <c r="D744" s="229"/>
      <c r="E744" s="229"/>
      <c r="F744" s="229"/>
      <c r="G744" s="226"/>
      <c r="H744" s="257"/>
      <c r="I744" s="229"/>
      <c r="J744" s="229"/>
      <c r="K744" s="229"/>
      <c r="L744" s="229"/>
      <c r="M744" s="226"/>
      <c r="N744" s="226"/>
      <c r="O744" s="230"/>
      <c r="P744" s="229"/>
      <c r="Q744" s="229"/>
      <c r="R744" s="229"/>
      <c r="S744" s="234"/>
      <c r="T744" s="252"/>
    </row>
    <row r="745" spans="1:20">
      <c r="A745" s="228"/>
      <c r="B745" s="229"/>
      <c r="C745" s="230"/>
      <c r="D745" s="229"/>
      <c r="E745" s="229"/>
      <c r="F745" s="229"/>
      <c r="G745" s="226"/>
      <c r="H745" s="257"/>
      <c r="I745" s="229"/>
      <c r="J745" s="229"/>
      <c r="K745" s="229"/>
      <c r="L745" s="229"/>
      <c r="M745" s="226"/>
      <c r="N745" s="226"/>
      <c r="O745" s="230"/>
      <c r="P745" s="229"/>
      <c r="Q745" s="229"/>
      <c r="R745" s="229"/>
      <c r="S745" s="234"/>
      <c r="T745" s="252"/>
    </row>
    <row r="746" spans="1:20">
      <c r="A746" s="228"/>
      <c r="B746" s="229"/>
      <c r="C746" s="230"/>
      <c r="D746" s="229"/>
      <c r="E746" s="229"/>
      <c r="F746" s="229"/>
      <c r="G746" s="226"/>
      <c r="H746" s="257"/>
      <c r="I746" s="229"/>
      <c r="J746" s="229"/>
      <c r="K746" s="229"/>
      <c r="L746" s="229"/>
      <c r="M746" s="226"/>
      <c r="N746" s="226"/>
      <c r="O746" s="230"/>
      <c r="P746" s="229"/>
      <c r="Q746" s="229"/>
      <c r="R746" s="229"/>
      <c r="S746" s="234"/>
      <c r="T746" s="252"/>
    </row>
    <row r="747" spans="1:20">
      <c r="A747" s="228"/>
      <c r="B747" s="229"/>
      <c r="C747" s="230"/>
      <c r="D747" s="229"/>
      <c r="E747" s="229"/>
      <c r="F747" s="229"/>
      <c r="G747" s="226"/>
      <c r="H747" s="257"/>
      <c r="I747" s="229"/>
      <c r="J747" s="229"/>
      <c r="K747" s="229"/>
      <c r="L747" s="229"/>
      <c r="M747" s="226"/>
      <c r="N747" s="226"/>
      <c r="O747" s="230"/>
      <c r="P747" s="229"/>
      <c r="Q747" s="229"/>
      <c r="R747" s="229"/>
      <c r="S747" s="234"/>
      <c r="T747" s="252"/>
    </row>
    <row r="748" spans="1:20">
      <c r="A748" s="228"/>
      <c r="B748" s="229"/>
      <c r="C748" s="230"/>
      <c r="D748" s="229"/>
      <c r="E748" s="229"/>
      <c r="F748" s="229"/>
      <c r="G748" s="226"/>
      <c r="H748" s="257"/>
      <c r="I748" s="229"/>
      <c r="J748" s="229"/>
      <c r="K748" s="229"/>
      <c r="L748" s="229"/>
      <c r="M748" s="226"/>
      <c r="N748" s="226"/>
      <c r="O748" s="230"/>
      <c r="P748" s="229"/>
      <c r="Q748" s="229"/>
      <c r="R748" s="229"/>
      <c r="S748" s="234"/>
      <c r="T748" s="252"/>
    </row>
    <row r="749" spans="1:20">
      <c r="A749" s="228"/>
      <c r="B749" s="229"/>
      <c r="C749" s="230"/>
      <c r="D749" s="229"/>
      <c r="E749" s="229"/>
      <c r="F749" s="229"/>
      <c r="G749" s="226"/>
      <c r="H749" s="257"/>
      <c r="I749" s="229"/>
      <c r="J749" s="229"/>
      <c r="K749" s="229"/>
      <c r="L749" s="229"/>
      <c r="M749" s="226"/>
      <c r="N749" s="226"/>
      <c r="O749" s="230"/>
      <c r="P749" s="229"/>
      <c r="Q749" s="229"/>
      <c r="R749" s="229"/>
      <c r="S749" s="234"/>
      <c r="T749" s="252"/>
    </row>
    <row r="750" spans="1:20">
      <c r="A750" s="228"/>
      <c r="B750" s="229"/>
      <c r="C750" s="230"/>
      <c r="D750" s="229"/>
      <c r="E750" s="229"/>
      <c r="F750" s="229"/>
      <c r="G750" s="226"/>
      <c r="H750" s="257"/>
      <c r="I750" s="229"/>
      <c r="J750" s="229"/>
      <c r="K750" s="229"/>
      <c r="L750" s="229"/>
      <c r="M750" s="226"/>
      <c r="N750" s="226"/>
      <c r="O750" s="230"/>
      <c r="P750" s="229"/>
      <c r="Q750" s="229"/>
      <c r="R750" s="229"/>
      <c r="S750" s="234"/>
      <c r="T750" s="252"/>
    </row>
    <row r="751" spans="1:20">
      <c r="A751" s="228"/>
      <c r="B751" s="229"/>
      <c r="C751" s="230"/>
      <c r="D751" s="229"/>
      <c r="E751" s="229"/>
      <c r="F751" s="229"/>
      <c r="G751" s="226"/>
      <c r="H751" s="257"/>
      <c r="I751" s="229"/>
      <c r="J751" s="229"/>
      <c r="K751" s="229"/>
      <c r="L751" s="229"/>
      <c r="M751" s="226"/>
      <c r="N751" s="226"/>
      <c r="O751" s="230"/>
      <c r="P751" s="229"/>
      <c r="Q751" s="229"/>
      <c r="R751" s="229"/>
      <c r="S751" s="234"/>
      <c r="T751" s="252"/>
    </row>
    <row r="752" spans="1:20">
      <c r="A752" s="228"/>
      <c r="B752" s="229"/>
      <c r="C752" s="230"/>
      <c r="D752" s="229"/>
      <c r="E752" s="229"/>
      <c r="F752" s="229"/>
      <c r="G752" s="226"/>
      <c r="H752" s="257"/>
      <c r="I752" s="229"/>
      <c r="J752" s="229"/>
      <c r="K752" s="229"/>
      <c r="L752" s="229"/>
      <c r="M752" s="226"/>
      <c r="N752" s="226"/>
      <c r="O752" s="230"/>
      <c r="P752" s="229"/>
      <c r="Q752" s="229"/>
      <c r="R752" s="229"/>
      <c r="S752" s="234"/>
      <c r="T752" s="252"/>
    </row>
    <row r="753" spans="1:20">
      <c r="A753" s="228"/>
      <c r="B753" s="229"/>
      <c r="C753" s="230"/>
      <c r="D753" s="229"/>
      <c r="E753" s="229"/>
      <c r="F753" s="229"/>
      <c r="G753" s="226"/>
      <c r="H753" s="257"/>
      <c r="I753" s="229"/>
      <c r="J753" s="229"/>
      <c r="K753" s="229"/>
      <c r="L753" s="229"/>
      <c r="M753" s="226"/>
      <c r="N753" s="226"/>
      <c r="O753" s="230"/>
      <c r="P753" s="229"/>
      <c r="Q753" s="229"/>
      <c r="R753" s="229"/>
      <c r="S753" s="234"/>
      <c r="T753" s="252"/>
    </row>
    <row r="754" spans="1:20">
      <c r="A754" s="228"/>
      <c r="B754" s="229"/>
      <c r="C754" s="230"/>
      <c r="D754" s="229"/>
      <c r="E754" s="229"/>
      <c r="F754" s="229"/>
      <c r="G754" s="226"/>
      <c r="H754" s="257"/>
      <c r="I754" s="229"/>
      <c r="J754" s="229"/>
      <c r="K754" s="229"/>
      <c r="L754" s="229"/>
      <c r="M754" s="226"/>
      <c r="N754" s="226"/>
      <c r="O754" s="230"/>
      <c r="P754" s="229"/>
      <c r="Q754" s="229"/>
      <c r="R754" s="229"/>
      <c r="S754" s="234"/>
      <c r="T754" s="252"/>
    </row>
    <row r="755" spans="1:20">
      <c r="A755" s="228"/>
      <c r="B755" s="229"/>
      <c r="C755" s="230"/>
      <c r="D755" s="229"/>
      <c r="E755" s="229"/>
      <c r="F755" s="229"/>
      <c r="G755" s="226"/>
      <c r="H755" s="257"/>
      <c r="I755" s="229"/>
      <c r="J755" s="229"/>
      <c r="K755" s="229"/>
      <c r="L755" s="229"/>
      <c r="M755" s="226"/>
      <c r="N755" s="226"/>
      <c r="O755" s="230"/>
      <c r="P755" s="229"/>
      <c r="Q755" s="229"/>
      <c r="R755" s="229"/>
      <c r="S755" s="234"/>
      <c r="T755" s="252"/>
    </row>
    <row r="756" spans="1:20">
      <c r="A756" s="228"/>
      <c r="B756" s="229"/>
      <c r="C756" s="230"/>
      <c r="D756" s="229"/>
      <c r="E756" s="229"/>
      <c r="F756" s="229"/>
      <c r="G756" s="226"/>
      <c r="H756" s="257"/>
      <c r="I756" s="229"/>
      <c r="J756" s="229"/>
      <c r="K756" s="229"/>
      <c r="L756" s="229"/>
      <c r="M756" s="226"/>
      <c r="N756" s="226"/>
      <c r="O756" s="230"/>
      <c r="P756" s="229"/>
      <c r="Q756" s="229"/>
      <c r="R756" s="229"/>
      <c r="S756" s="234"/>
      <c r="T756" s="252"/>
    </row>
    <row r="757" spans="1:20">
      <c r="A757" s="228"/>
      <c r="B757" s="229"/>
      <c r="C757" s="230"/>
      <c r="D757" s="229"/>
      <c r="E757" s="229"/>
      <c r="F757" s="229"/>
      <c r="G757" s="226"/>
      <c r="H757" s="257"/>
      <c r="I757" s="229"/>
      <c r="J757" s="229"/>
      <c r="K757" s="229"/>
      <c r="L757" s="229"/>
      <c r="M757" s="226"/>
      <c r="N757" s="226"/>
      <c r="O757" s="230"/>
      <c r="P757" s="229"/>
      <c r="Q757" s="229"/>
      <c r="R757" s="229"/>
      <c r="S757" s="234"/>
      <c r="T757" s="252"/>
    </row>
    <row r="758" spans="1:20">
      <c r="A758" s="228"/>
      <c r="B758" s="229"/>
      <c r="C758" s="230"/>
      <c r="D758" s="229"/>
      <c r="E758" s="229"/>
      <c r="F758" s="229"/>
      <c r="G758" s="226"/>
      <c r="H758" s="257"/>
      <c r="I758" s="229"/>
      <c r="J758" s="229"/>
      <c r="K758" s="229"/>
      <c r="L758" s="229"/>
      <c r="M758" s="226"/>
      <c r="N758" s="226"/>
      <c r="O758" s="230"/>
      <c r="P758" s="229"/>
      <c r="Q758" s="229"/>
      <c r="R758" s="229"/>
      <c r="S758" s="234"/>
      <c r="T758" s="252"/>
    </row>
    <row r="759" spans="1:20">
      <c r="A759" s="228"/>
      <c r="B759" s="229"/>
      <c r="C759" s="230"/>
      <c r="D759" s="229"/>
      <c r="E759" s="229"/>
      <c r="F759" s="229"/>
      <c r="G759" s="226"/>
      <c r="H759" s="257"/>
      <c r="I759" s="229"/>
      <c r="J759" s="229"/>
      <c r="K759" s="229"/>
      <c r="L759" s="229"/>
      <c r="M759" s="226"/>
      <c r="N759" s="226"/>
      <c r="O759" s="230"/>
      <c r="P759" s="229"/>
      <c r="Q759" s="229"/>
      <c r="R759" s="229"/>
      <c r="S759" s="234"/>
      <c r="T759" s="252"/>
    </row>
    <row r="760" spans="1:20">
      <c r="A760" s="228"/>
      <c r="B760" s="229"/>
      <c r="C760" s="230"/>
      <c r="D760" s="229"/>
      <c r="E760" s="229"/>
      <c r="F760" s="229"/>
      <c r="G760" s="226"/>
      <c r="H760" s="257"/>
      <c r="I760" s="229"/>
      <c r="J760" s="229"/>
      <c r="K760" s="229"/>
      <c r="L760" s="229"/>
      <c r="M760" s="226"/>
      <c r="N760" s="226"/>
      <c r="O760" s="230"/>
      <c r="P760" s="229"/>
      <c r="Q760" s="229"/>
      <c r="R760" s="229"/>
      <c r="S760" s="234"/>
      <c r="T760" s="252"/>
    </row>
    <row r="761" spans="1:20">
      <c r="A761" s="228"/>
      <c r="B761" s="229"/>
      <c r="C761" s="230"/>
      <c r="D761" s="229"/>
      <c r="E761" s="229"/>
      <c r="F761" s="229"/>
      <c r="G761" s="226"/>
      <c r="H761" s="257"/>
      <c r="I761" s="229"/>
      <c r="J761" s="229"/>
      <c r="K761" s="229"/>
      <c r="L761" s="229"/>
      <c r="M761" s="226"/>
      <c r="N761" s="226"/>
      <c r="O761" s="230"/>
      <c r="P761" s="229"/>
      <c r="Q761" s="229"/>
      <c r="R761" s="229"/>
      <c r="S761" s="234"/>
      <c r="T761" s="252"/>
    </row>
    <row r="762" spans="1:20">
      <c r="A762" s="228"/>
      <c r="B762" s="229"/>
      <c r="C762" s="230"/>
      <c r="D762" s="229"/>
      <c r="E762" s="229"/>
      <c r="F762" s="229"/>
      <c r="G762" s="226"/>
      <c r="H762" s="257"/>
      <c r="I762" s="229"/>
      <c r="J762" s="229"/>
      <c r="K762" s="229"/>
      <c r="L762" s="229"/>
      <c r="M762" s="226"/>
      <c r="N762" s="226"/>
      <c r="O762" s="230"/>
      <c r="P762" s="229"/>
      <c r="Q762" s="229"/>
      <c r="R762" s="229"/>
      <c r="S762" s="234"/>
      <c r="T762" s="252"/>
    </row>
    <row r="763" spans="1:20">
      <c r="A763" s="228"/>
      <c r="B763" s="229"/>
      <c r="C763" s="230"/>
      <c r="D763" s="229"/>
      <c r="E763" s="229"/>
      <c r="F763" s="229"/>
      <c r="G763" s="226"/>
      <c r="H763" s="257"/>
      <c r="I763" s="229"/>
      <c r="J763" s="229"/>
      <c r="K763" s="229"/>
      <c r="L763" s="229"/>
      <c r="M763" s="226"/>
      <c r="N763" s="226"/>
      <c r="O763" s="230"/>
      <c r="P763" s="229"/>
      <c r="Q763" s="229"/>
      <c r="R763" s="229"/>
      <c r="S763" s="234"/>
      <c r="T763" s="252"/>
    </row>
    <row r="764" spans="1:20">
      <c r="A764" s="228"/>
      <c r="B764" s="229"/>
      <c r="C764" s="230"/>
      <c r="D764" s="229"/>
      <c r="E764" s="229"/>
      <c r="F764" s="229"/>
      <c r="G764" s="226"/>
      <c r="H764" s="257"/>
      <c r="I764" s="229"/>
      <c r="J764" s="229"/>
      <c r="K764" s="229"/>
      <c r="L764" s="229"/>
      <c r="M764" s="226"/>
      <c r="N764" s="226"/>
      <c r="O764" s="230"/>
      <c r="P764" s="229"/>
      <c r="Q764" s="229"/>
      <c r="R764" s="229"/>
      <c r="S764" s="234"/>
      <c r="T764" s="252"/>
    </row>
    <row r="765" spans="1:20">
      <c r="A765" s="228"/>
      <c r="B765" s="229"/>
      <c r="C765" s="230"/>
      <c r="D765" s="229"/>
      <c r="E765" s="229"/>
      <c r="F765" s="229"/>
      <c r="G765" s="226"/>
      <c r="H765" s="257"/>
      <c r="I765" s="229"/>
      <c r="J765" s="229"/>
      <c r="K765" s="229"/>
      <c r="L765" s="229"/>
      <c r="M765" s="226"/>
      <c r="N765" s="226"/>
      <c r="O765" s="230"/>
      <c r="P765" s="229"/>
      <c r="Q765" s="229"/>
      <c r="R765" s="229"/>
      <c r="S765" s="234"/>
      <c r="T765" s="252"/>
    </row>
    <row r="766" spans="1:20">
      <c r="A766" s="228"/>
      <c r="B766" s="229"/>
      <c r="C766" s="230"/>
      <c r="D766" s="229"/>
      <c r="E766" s="229"/>
      <c r="F766" s="229"/>
      <c r="G766" s="226"/>
      <c r="H766" s="257"/>
      <c r="I766" s="229"/>
      <c r="J766" s="229"/>
      <c r="K766" s="229"/>
      <c r="L766" s="229"/>
      <c r="M766" s="226"/>
      <c r="N766" s="226"/>
      <c r="O766" s="230"/>
      <c r="P766" s="229"/>
      <c r="Q766" s="229"/>
      <c r="R766" s="229"/>
      <c r="S766" s="234"/>
      <c r="T766" s="252"/>
    </row>
    <row r="767" spans="1:20">
      <c r="A767" s="228"/>
      <c r="B767" s="229"/>
      <c r="C767" s="230"/>
      <c r="D767" s="229"/>
      <c r="E767" s="229"/>
      <c r="F767" s="229"/>
      <c r="G767" s="226"/>
      <c r="H767" s="257"/>
      <c r="I767" s="229"/>
      <c r="J767" s="229"/>
      <c r="K767" s="229"/>
      <c r="L767" s="229"/>
      <c r="M767" s="226"/>
      <c r="N767" s="226"/>
      <c r="O767" s="230"/>
      <c r="P767" s="229"/>
      <c r="Q767" s="229"/>
      <c r="R767" s="229"/>
      <c r="S767" s="234"/>
      <c r="T767" s="252"/>
    </row>
    <row r="768" spans="1:20">
      <c r="A768" s="228"/>
      <c r="B768" s="229"/>
      <c r="C768" s="230"/>
      <c r="D768" s="229"/>
      <c r="E768" s="229"/>
      <c r="F768" s="229"/>
      <c r="G768" s="226"/>
      <c r="H768" s="257"/>
      <c r="I768" s="229"/>
      <c r="J768" s="229"/>
      <c r="K768" s="229"/>
      <c r="L768" s="229"/>
      <c r="M768" s="226"/>
      <c r="N768" s="226"/>
      <c r="O768" s="230"/>
      <c r="P768" s="229"/>
      <c r="Q768" s="229"/>
      <c r="R768" s="229"/>
      <c r="S768" s="234"/>
      <c r="T768" s="252"/>
    </row>
    <row r="769" spans="1:20">
      <c r="A769" s="228"/>
      <c r="B769" s="229"/>
      <c r="C769" s="230"/>
      <c r="D769" s="229"/>
      <c r="E769" s="229"/>
      <c r="F769" s="229"/>
      <c r="G769" s="226"/>
      <c r="H769" s="257"/>
      <c r="I769" s="229"/>
      <c r="J769" s="229"/>
      <c r="K769" s="229"/>
      <c r="L769" s="229"/>
      <c r="M769" s="226"/>
      <c r="N769" s="226"/>
      <c r="O769" s="230"/>
      <c r="P769" s="229"/>
      <c r="Q769" s="229"/>
      <c r="R769" s="229"/>
      <c r="S769" s="234"/>
      <c r="T769" s="252"/>
    </row>
    <row r="770" spans="1:20">
      <c r="A770" s="228"/>
      <c r="B770" s="229"/>
      <c r="C770" s="230"/>
      <c r="D770" s="229"/>
      <c r="E770" s="229"/>
      <c r="F770" s="229"/>
      <c r="G770" s="226"/>
      <c r="H770" s="257"/>
      <c r="I770" s="229"/>
      <c r="J770" s="229"/>
      <c r="K770" s="229"/>
      <c r="L770" s="229"/>
      <c r="M770" s="226"/>
      <c r="N770" s="226"/>
      <c r="O770" s="230"/>
      <c r="P770" s="229"/>
      <c r="Q770" s="229"/>
      <c r="R770" s="229"/>
      <c r="S770" s="234"/>
      <c r="T770" s="252"/>
    </row>
    <row r="771" spans="1:20">
      <c r="A771" s="228"/>
      <c r="B771" s="229"/>
      <c r="C771" s="230"/>
      <c r="D771" s="229"/>
      <c r="E771" s="229"/>
      <c r="F771" s="229"/>
      <c r="G771" s="226"/>
      <c r="H771" s="257"/>
      <c r="I771" s="229"/>
      <c r="J771" s="229"/>
      <c r="K771" s="229"/>
      <c r="L771" s="229"/>
      <c r="M771" s="226"/>
      <c r="N771" s="226"/>
      <c r="O771" s="230"/>
      <c r="P771" s="229"/>
      <c r="Q771" s="229"/>
      <c r="R771" s="229"/>
      <c r="S771" s="234"/>
      <c r="T771" s="252"/>
    </row>
    <row r="772" spans="1:20">
      <c r="A772" s="228"/>
      <c r="B772" s="229"/>
      <c r="C772" s="230"/>
      <c r="D772" s="229"/>
      <c r="E772" s="229"/>
      <c r="F772" s="229"/>
      <c r="G772" s="226"/>
      <c r="H772" s="257"/>
      <c r="I772" s="229"/>
      <c r="J772" s="229"/>
      <c r="K772" s="229"/>
      <c r="L772" s="229"/>
      <c r="M772" s="226"/>
      <c r="N772" s="226"/>
      <c r="O772" s="230"/>
      <c r="P772" s="229"/>
      <c r="Q772" s="229"/>
      <c r="R772" s="229"/>
      <c r="S772" s="234"/>
      <c r="T772" s="252"/>
    </row>
    <row r="773" spans="1:20">
      <c r="A773" s="228"/>
      <c r="B773" s="229"/>
      <c r="C773" s="230"/>
      <c r="D773" s="229"/>
      <c r="E773" s="229"/>
      <c r="F773" s="229"/>
      <c r="G773" s="226"/>
      <c r="H773" s="257"/>
      <c r="I773" s="229"/>
      <c r="J773" s="229"/>
      <c r="K773" s="229"/>
      <c r="L773" s="229"/>
      <c r="M773" s="226"/>
      <c r="N773" s="226"/>
      <c r="O773" s="230"/>
      <c r="P773" s="229"/>
      <c r="Q773" s="229"/>
      <c r="R773" s="229"/>
      <c r="S773" s="234"/>
      <c r="T773" s="252"/>
    </row>
    <row r="774" spans="1:20">
      <c r="A774" s="228"/>
      <c r="B774" s="229"/>
      <c r="C774" s="230"/>
      <c r="D774" s="229"/>
      <c r="E774" s="229"/>
      <c r="F774" s="229"/>
      <c r="G774" s="226"/>
      <c r="H774" s="257"/>
      <c r="I774" s="229"/>
      <c r="J774" s="229"/>
      <c r="K774" s="229"/>
      <c r="L774" s="229"/>
      <c r="M774" s="226"/>
      <c r="N774" s="226"/>
      <c r="O774" s="230"/>
      <c r="P774" s="229"/>
      <c r="Q774" s="229"/>
      <c r="R774" s="229"/>
      <c r="S774" s="234"/>
      <c r="T774" s="252"/>
    </row>
    <row r="775" spans="1:20">
      <c r="A775" s="228"/>
      <c r="B775" s="229"/>
      <c r="C775" s="230"/>
      <c r="D775" s="229"/>
      <c r="E775" s="229"/>
      <c r="F775" s="229"/>
      <c r="G775" s="226"/>
      <c r="H775" s="257"/>
      <c r="I775" s="229"/>
      <c r="J775" s="229"/>
      <c r="K775" s="229"/>
      <c r="L775" s="229"/>
      <c r="M775" s="226"/>
      <c r="N775" s="226"/>
      <c r="O775" s="230"/>
      <c r="P775" s="229"/>
      <c r="Q775" s="229"/>
      <c r="R775" s="229"/>
      <c r="S775" s="234"/>
      <c r="T775" s="252"/>
    </row>
    <row r="776" spans="1:20">
      <c r="A776" s="228"/>
      <c r="B776" s="229"/>
      <c r="C776" s="230"/>
      <c r="D776" s="229"/>
      <c r="E776" s="229"/>
      <c r="F776" s="229"/>
      <c r="G776" s="226"/>
      <c r="H776" s="257"/>
      <c r="I776" s="229"/>
      <c r="J776" s="229"/>
      <c r="K776" s="229"/>
      <c r="L776" s="229"/>
      <c r="M776" s="226"/>
      <c r="N776" s="226"/>
      <c r="O776" s="230"/>
      <c r="P776" s="229"/>
      <c r="Q776" s="229"/>
      <c r="R776" s="229"/>
      <c r="S776" s="234"/>
      <c r="T776" s="252"/>
    </row>
    <row r="777" spans="1:20">
      <c r="A777" s="228"/>
      <c r="B777" s="229"/>
      <c r="C777" s="230"/>
      <c r="D777" s="229"/>
      <c r="E777" s="229"/>
      <c r="F777" s="229"/>
      <c r="G777" s="226"/>
      <c r="H777" s="257"/>
      <c r="I777" s="229"/>
      <c r="J777" s="229"/>
      <c r="K777" s="229"/>
      <c r="L777" s="229"/>
      <c r="M777" s="226"/>
      <c r="N777" s="226"/>
      <c r="O777" s="230"/>
      <c r="P777" s="229"/>
      <c r="Q777" s="229"/>
      <c r="R777" s="229"/>
      <c r="S777" s="234"/>
      <c r="T777" s="252"/>
    </row>
    <row r="778" spans="1:20">
      <c r="A778" s="228"/>
      <c r="B778" s="229"/>
      <c r="C778" s="230"/>
      <c r="D778" s="229"/>
      <c r="E778" s="229"/>
      <c r="F778" s="229"/>
      <c r="G778" s="226"/>
      <c r="H778" s="257"/>
      <c r="I778" s="229"/>
      <c r="J778" s="229"/>
      <c r="K778" s="229"/>
      <c r="L778" s="229"/>
      <c r="M778" s="226"/>
      <c r="N778" s="226"/>
      <c r="O778" s="230"/>
      <c r="P778" s="229"/>
      <c r="Q778" s="229"/>
      <c r="R778" s="229"/>
      <c r="S778" s="234"/>
      <c r="T778" s="252"/>
    </row>
    <row r="779" spans="1:20">
      <c r="A779" s="228"/>
      <c r="B779" s="229"/>
      <c r="C779" s="230"/>
      <c r="D779" s="229"/>
      <c r="E779" s="229"/>
      <c r="F779" s="229"/>
      <c r="G779" s="226"/>
      <c r="H779" s="257"/>
      <c r="I779" s="229"/>
      <c r="J779" s="229"/>
      <c r="K779" s="229"/>
      <c r="L779" s="229"/>
      <c r="M779" s="226"/>
      <c r="N779" s="226"/>
      <c r="O779" s="230"/>
      <c r="P779" s="229"/>
      <c r="Q779" s="229"/>
      <c r="R779" s="229"/>
      <c r="S779" s="234"/>
      <c r="T779" s="252"/>
    </row>
    <row r="780" spans="1:20">
      <c r="A780" s="228"/>
      <c r="B780" s="229"/>
      <c r="C780" s="230"/>
      <c r="D780" s="229"/>
      <c r="E780" s="229"/>
      <c r="F780" s="229"/>
      <c r="G780" s="226"/>
      <c r="H780" s="257"/>
      <c r="I780" s="229"/>
      <c r="J780" s="229"/>
      <c r="K780" s="229"/>
      <c r="L780" s="229"/>
      <c r="M780" s="226"/>
      <c r="N780" s="226"/>
      <c r="O780" s="230"/>
      <c r="P780" s="229"/>
      <c r="Q780" s="229"/>
      <c r="R780" s="229"/>
      <c r="S780" s="234"/>
      <c r="T780" s="252"/>
    </row>
    <row r="781" spans="1:20">
      <c r="A781" s="228"/>
      <c r="B781" s="229"/>
      <c r="C781" s="230"/>
      <c r="D781" s="229"/>
      <c r="E781" s="229"/>
      <c r="F781" s="229"/>
      <c r="G781" s="226"/>
      <c r="H781" s="257"/>
      <c r="I781" s="229"/>
      <c r="J781" s="229"/>
      <c r="K781" s="229"/>
      <c r="L781" s="229"/>
      <c r="M781" s="226"/>
      <c r="N781" s="226"/>
      <c r="O781" s="230"/>
      <c r="P781" s="229"/>
      <c r="Q781" s="229"/>
      <c r="R781" s="229"/>
      <c r="S781" s="234"/>
      <c r="T781" s="252"/>
    </row>
    <row r="782" spans="1:20">
      <c r="A782" s="228"/>
      <c r="B782" s="229"/>
      <c r="C782" s="230"/>
      <c r="D782" s="229"/>
      <c r="E782" s="229"/>
      <c r="F782" s="229"/>
      <c r="G782" s="226"/>
      <c r="H782" s="257"/>
      <c r="I782" s="229"/>
      <c r="J782" s="229"/>
      <c r="K782" s="229"/>
      <c r="L782" s="229"/>
      <c r="M782" s="226"/>
      <c r="N782" s="226"/>
      <c r="O782" s="230"/>
      <c r="P782" s="229"/>
      <c r="Q782" s="229"/>
      <c r="R782" s="229"/>
      <c r="S782" s="234"/>
      <c r="T782" s="252"/>
    </row>
    <row r="783" spans="1:20">
      <c r="A783" s="228"/>
      <c r="B783" s="229"/>
      <c r="C783" s="230"/>
      <c r="D783" s="229"/>
      <c r="E783" s="229"/>
      <c r="F783" s="229"/>
      <c r="G783" s="226"/>
      <c r="H783" s="257"/>
      <c r="I783" s="229"/>
      <c r="J783" s="229"/>
      <c r="K783" s="229"/>
      <c r="L783" s="229"/>
      <c r="M783" s="226"/>
      <c r="N783" s="226"/>
      <c r="O783" s="230"/>
      <c r="P783" s="229"/>
      <c r="Q783" s="229"/>
      <c r="R783" s="229"/>
      <c r="S783" s="234"/>
      <c r="T783" s="252"/>
    </row>
    <row r="784" spans="1:20">
      <c r="A784" s="228"/>
      <c r="B784" s="229"/>
      <c r="C784" s="230"/>
      <c r="D784" s="229"/>
      <c r="E784" s="229"/>
      <c r="F784" s="229"/>
      <c r="G784" s="226"/>
      <c r="H784" s="257"/>
      <c r="I784" s="229"/>
      <c r="J784" s="229"/>
      <c r="K784" s="229"/>
      <c r="L784" s="229"/>
      <c r="M784" s="226"/>
      <c r="N784" s="226"/>
      <c r="O784" s="230"/>
      <c r="P784" s="229"/>
      <c r="Q784" s="229"/>
      <c r="R784" s="229"/>
      <c r="S784" s="234"/>
      <c r="T784" s="252"/>
    </row>
    <row r="785" spans="1:20">
      <c r="A785" s="228"/>
      <c r="B785" s="229"/>
      <c r="C785" s="230"/>
      <c r="D785" s="229"/>
      <c r="E785" s="229"/>
      <c r="F785" s="229"/>
      <c r="G785" s="226"/>
      <c r="H785" s="257"/>
      <c r="I785" s="229"/>
      <c r="J785" s="229"/>
      <c r="K785" s="229"/>
      <c r="L785" s="229"/>
      <c r="M785" s="226"/>
      <c r="N785" s="226"/>
      <c r="O785" s="230"/>
      <c r="P785" s="229"/>
      <c r="Q785" s="229"/>
      <c r="R785" s="229"/>
      <c r="S785" s="234"/>
      <c r="T785" s="252"/>
    </row>
    <row r="786" spans="1:20">
      <c r="A786" s="228"/>
      <c r="B786" s="229"/>
      <c r="C786" s="230"/>
      <c r="D786" s="229"/>
      <c r="E786" s="229"/>
      <c r="F786" s="229"/>
      <c r="G786" s="226"/>
      <c r="H786" s="257"/>
      <c r="I786" s="229"/>
      <c r="J786" s="229"/>
      <c r="K786" s="229"/>
      <c r="L786" s="229"/>
      <c r="M786" s="226"/>
      <c r="N786" s="226"/>
      <c r="O786" s="230"/>
      <c r="P786" s="229"/>
      <c r="Q786" s="229"/>
      <c r="R786" s="229"/>
      <c r="S786" s="234"/>
      <c r="T786" s="252"/>
    </row>
    <row r="787" spans="1:20">
      <c r="A787" s="228"/>
      <c r="B787" s="229"/>
      <c r="C787" s="230"/>
      <c r="D787" s="229"/>
      <c r="E787" s="229"/>
      <c r="F787" s="229"/>
      <c r="G787" s="226"/>
      <c r="H787" s="257"/>
      <c r="I787" s="229"/>
      <c r="J787" s="229"/>
      <c r="K787" s="229"/>
      <c r="L787" s="229"/>
      <c r="M787" s="226"/>
      <c r="N787" s="226"/>
      <c r="O787" s="230"/>
      <c r="P787" s="229"/>
      <c r="Q787" s="229"/>
      <c r="R787" s="229"/>
      <c r="S787" s="234"/>
      <c r="T787" s="252"/>
    </row>
    <row r="788" spans="1:20">
      <c r="A788" s="228"/>
      <c r="B788" s="229"/>
      <c r="C788" s="230"/>
      <c r="D788" s="229"/>
      <c r="E788" s="229"/>
      <c r="F788" s="229"/>
      <c r="G788" s="226"/>
      <c r="H788" s="257"/>
      <c r="I788" s="229"/>
      <c r="J788" s="229"/>
      <c r="K788" s="229"/>
      <c r="L788" s="229"/>
      <c r="M788" s="226"/>
      <c r="N788" s="226"/>
      <c r="O788" s="230"/>
      <c r="P788" s="229"/>
      <c r="Q788" s="229"/>
      <c r="R788" s="229"/>
      <c r="S788" s="234"/>
      <c r="T788" s="252"/>
    </row>
    <row r="789" spans="1:20">
      <c r="A789" s="228"/>
      <c r="B789" s="229"/>
      <c r="C789" s="230"/>
      <c r="D789" s="229"/>
      <c r="E789" s="229"/>
      <c r="F789" s="229"/>
      <c r="G789" s="226"/>
      <c r="H789" s="257"/>
      <c r="I789" s="229"/>
      <c r="J789" s="229"/>
      <c r="K789" s="229"/>
      <c r="L789" s="229"/>
      <c r="M789" s="226"/>
      <c r="N789" s="226"/>
      <c r="O789" s="230"/>
      <c r="P789" s="229"/>
      <c r="Q789" s="229"/>
      <c r="R789" s="229"/>
      <c r="S789" s="234"/>
      <c r="T789" s="252"/>
    </row>
    <row r="790" spans="1:20">
      <c r="A790" s="228"/>
      <c r="B790" s="229"/>
      <c r="C790" s="230"/>
      <c r="D790" s="229"/>
      <c r="E790" s="229"/>
      <c r="F790" s="229"/>
      <c r="G790" s="226"/>
      <c r="H790" s="257"/>
      <c r="I790" s="229"/>
      <c r="J790" s="229"/>
      <c r="K790" s="229"/>
      <c r="L790" s="229"/>
      <c r="M790" s="226"/>
      <c r="N790" s="226"/>
      <c r="O790" s="230"/>
      <c r="P790" s="229"/>
      <c r="Q790" s="229"/>
      <c r="R790" s="229"/>
      <c r="S790" s="234"/>
      <c r="T790" s="252"/>
    </row>
    <row r="791" spans="1:20">
      <c r="A791" s="228"/>
      <c r="B791" s="229"/>
      <c r="C791" s="230"/>
      <c r="D791" s="229"/>
      <c r="E791" s="229"/>
      <c r="F791" s="229"/>
      <c r="G791" s="226"/>
      <c r="H791" s="257"/>
      <c r="I791" s="229"/>
      <c r="J791" s="229"/>
      <c r="K791" s="229"/>
      <c r="L791" s="229"/>
      <c r="M791" s="226"/>
      <c r="N791" s="226"/>
      <c r="O791" s="230"/>
      <c r="P791" s="229"/>
      <c r="Q791" s="229"/>
      <c r="R791" s="229"/>
      <c r="S791" s="234"/>
      <c r="T791" s="252"/>
    </row>
    <row r="792" spans="1:20">
      <c r="A792" s="228"/>
      <c r="B792" s="229"/>
      <c r="C792" s="230"/>
      <c r="D792" s="229"/>
      <c r="E792" s="229"/>
      <c r="F792" s="229"/>
      <c r="G792" s="226"/>
      <c r="H792" s="257"/>
      <c r="I792" s="229"/>
      <c r="J792" s="229"/>
      <c r="K792" s="229"/>
      <c r="L792" s="229"/>
      <c r="M792" s="226"/>
      <c r="N792" s="226"/>
      <c r="O792" s="230"/>
      <c r="P792" s="229"/>
      <c r="Q792" s="229"/>
      <c r="R792" s="229"/>
      <c r="S792" s="234"/>
      <c r="T792" s="252"/>
    </row>
    <row r="793" spans="1:20">
      <c r="A793" s="228"/>
      <c r="B793" s="229"/>
      <c r="C793" s="230"/>
      <c r="D793" s="229"/>
      <c r="E793" s="229"/>
      <c r="F793" s="229"/>
      <c r="G793" s="226"/>
      <c r="H793" s="257"/>
      <c r="I793" s="229"/>
      <c r="J793" s="229"/>
      <c r="K793" s="229"/>
      <c r="L793" s="229"/>
      <c r="M793" s="226"/>
      <c r="N793" s="226"/>
      <c r="O793" s="230"/>
      <c r="P793" s="229"/>
      <c r="Q793" s="229"/>
      <c r="R793" s="229"/>
      <c r="S793" s="234"/>
      <c r="T793" s="252"/>
    </row>
    <row r="794" spans="1:20">
      <c r="A794" s="228"/>
      <c r="B794" s="229"/>
      <c r="C794" s="230"/>
      <c r="D794" s="229"/>
      <c r="E794" s="229"/>
      <c r="F794" s="229"/>
      <c r="G794" s="226"/>
      <c r="H794" s="257"/>
      <c r="I794" s="229"/>
      <c r="J794" s="229"/>
      <c r="K794" s="229"/>
      <c r="L794" s="229"/>
      <c r="M794" s="226"/>
      <c r="N794" s="226"/>
      <c r="O794" s="230"/>
      <c r="P794" s="229"/>
      <c r="Q794" s="229"/>
      <c r="R794" s="229"/>
      <c r="S794" s="234"/>
      <c r="T794" s="252"/>
    </row>
    <row r="795" spans="1:20">
      <c r="A795" s="228"/>
      <c r="B795" s="229"/>
      <c r="C795" s="230"/>
      <c r="D795" s="229"/>
      <c r="E795" s="229"/>
      <c r="F795" s="229"/>
      <c r="G795" s="226"/>
      <c r="H795" s="257"/>
      <c r="I795" s="229"/>
      <c r="J795" s="229"/>
      <c r="K795" s="229"/>
      <c r="L795" s="229"/>
      <c r="M795" s="226"/>
      <c r="N795" s="226"/>
      <c r="O795" s="230"/>
      <c r="P795" s="229"/>
      <c r="Q795" s="229"/>
      <c r="R795" s="229"/>
      <c r="S795" s="234"/>
      <c r="T795" s="252"/>
    </row>
    <row r="796" spans="1:20">
      <c r="A796" s="228"/>
      <c r="B796" s="229"/>
      <c r="C796" s="230"/>
      <c r="D796" s="229"/>
      <c r="E796" s="229"/>
      <c r="F796" s="229"/>
      <c r="G796" s="226"/>
      <c r="H796" s="257"/>
      <c r="I796" s="229"/>
      <c r="J796" s="229"/>
      <c r="K796" s="229"/>
      <c r="L796" s="229"/>
      <c r="M796" s="226"/>
      <c r="N796" s="226"/>
      <c r="O796" s="230"/>
      <c r="P796" s="229"/>
      <c r="Q796" s="229"/>
      <c r="R796" s="229"/>
      <c r="S796" s="234"/>
      <c r="T796" s="252"/>
    </row>
    <row r="797" spans="1:20">
      <c r="A797" s="228"/>
      <c r="B797" s="229"/>
      <c r="C797" s="230"/>
      <c r="D797" s="229"/>
      <c r="E797" s="229"/>
      <c r="F797" s="229"/>
      <c r="G797" s="226"/>
      <c r="H797" s="257"/>
      <c r="I797" s="229"/>
      <c r="J797" s="229"/>
      <c r="K797" s="229"/>
      <c r="L797" s="229"/>
      <c r="M797" s="226"/>
      <c r="N797" s="226"/>
      <c r="O797" s="230"/>
      <c r="P797" s="229"/>
      <c r="Q797" s="229"/>
      <c r="R797" s="229"/>
      <c r="S797" s="234"/>
      <c r="T797" s="252"/>
    </row>
    <row r="798" spans="1:20">
      <c r="A798" s="228"/>
      <c r="B798" s="229"/>
      <c r="C798" s="230"/>
      <c r="D798" s="229"/>
      <c r="E798" s="229"/>
      <c r="F798" s="229"/>
      <c r="G798" s="226"/>
      <c r="H798" s="257"/>
      <c r="I798" s="229"/>
      <c r="J798" s="229"/>
      <c r="K798" s="229"/>
      <c r="L798" s="229"/>
      <c r="M798" s="226"/>
      <c r="N798" s="226"/>
      <c r="O798" s="230"/>
      <c r="P798" s="229"/>
      <c r="Q798" s="229"/>
      <c r="R798" s="229"/>
      <c r="S798" s="234"/>
      <c r="T798" s="252"/>
    </row>
    <row r="799" spans="1:20">
      <c r="A799" s="228"/>
      <c r="B799" s="229"/>
      <c r="C799" s="230"/>
      <c r="D799" s="229"/>
      <c r="E799" s="229"/>
      <c r="F799" s="229"/>
      <c r="G799" s="226"/>
      <c r="H799" s="257"/>
      <c r="I799" s="229"/>
      <c r="J799" s="229"/>
      <c r="K799" s="229"/>
      <c r="L799" s="229"/>
      <c r="M799" s="226"/>
      <c r="N799" s="226"/>
      <c r="O799" s="230"/>
      <c r="P799" s="229"/>
      <c r="Q799" s="229"/>
      <c r="R799" s="229"/>
      <c r="S799" s="234"/>
      <c r="T799" s="252"/>
    </row>
    <row r="800" spans="1:20">
      <c r="A800" s="228"/>
      <c r="B800" s="229"/>
      <c r="C800" s="230"/>
      <c r="D800" s="229"/>
      <c r="E800" s="229"/>
      <c r="F800" s="229"/>
      <c r="G800" s="226"/>
      <c r="H800" s="257"/>
      <c r="I800" s="229"/>
      <c r="J800" s="229"/>
      <c r="K800" s="229"/>
      <c r="L800" s="229"/>
      <c r="M800" s="226"/>
      <c r="N800" s="226"/>
      <c r="O800" s="230"/>
      <c r="P800" s="229"/>
      <c r="Q800" s="229"/>
      <c r="R800" s="229"/>
      <c r="S800" s="234"/>
      <c r="T800" s="252"/>
    </row>
    <row r="801" spans="1:20">
      <c r="A801" s="228"/>
      <c r="B801" s="229"/>
      <c r="C801" s="230"/>
      <c r="D801" s="229"/>
      <c r="E801" s="229"/>
      <c r="F801" s="229"/>
      <c r="G801" s="226"/>
      <c r="H801" s="257"/>
      <c r="I801" s="229"/>
      <c r="J801" s="229"/>
      <c r="K801" s="229"/>
      <c r="L801" s="229"/>
      <c r="M801" s="226"/>
      <c r="N801" s="226"/>
      <c r="O801" s="230"/>
      <c r="P801" s="229"/>
      <c r="Q801" s="229"/>
      <c r="R801" s="229"/>
      <c r="S801" s="234"/>
      <c r="T801" s="252"/>
    </row>
    <row r="802" spans="1:20">
      <c r="A802" s="228"/>
      <c r="B802" s="229"/>
      <c r="C802" s="230"/>
      <c r="D802" s="229"/>
      <c r="E802" s="229"/>
      <c r="F802" s="229"/>
      <c r="G802" s="226"/>
      <c r="H802" s="257"/>
      <c r="I802" s="229"/>
      <c r="J802" s="229"/>
      <c r="K802" s="229"/>
      <c r="L802" s="229"/>
      <c r="M802" s="226"/>
      <c r="N802" s="226"/>
      <c r="O802" s="230"/>
      <c r="P802" s="229"/>
      <c r="Q802" s="229"/>
      <c r="R802" s="229"/>
      <c r="S802" s="234"/>
      <c r="T802" s="252"/>
    </row>
    <row r="803" spans="1:20">
      <c r="A803" s="228"/>
      <c r="B803" s="229"/>
      <c r="C803" s="230"/>
      <c r="D803" s="229"/>
      <c r="E803" s="229"/>
      <c r="F803" s="229"/>
      <c r="G803" s="226"/>
      <c r="H803" s="257"/>
      <c r="I803" s="229"/>
      <c r="J803" s="229"/>
      <c r="K803" s="229"/>
      <c r="L803" s="229"/>
      <c r="M803" s="226"/>
      <c r="N803" s="226"/>
      <c r="O803" s="230"/>
      <c r="P803" s="229"/>
      <c r="Q803" s="229"/>
      <c r="R803" s="229"/>
      <c r="S803" s="234"/>
      <c r="T803" s="252"/>
    </row>
    <row r="804" spans="1:20">
      <c r="A804" s="228"/>
      <c r="B804" s="229"/>
      <c r="C804" s="230"/>
      <c r="D804" s="229"/>
      <c r="E804" s="229"/>
      <c r="F804" s="229"/>
      <c r="G804" s="226"/>
      <c r="H804" s="257"/>
      <c r="I804" s="229"/>
      <c r="J804" s="229"/>
      <c r="K804" s="229"/>
      <c r="L804" s="229"/>
      <c r="M804" s="226"/>
      <c r="N804" s="226"/>
      <c r="O804" s="230"/>
      <c r="P804" s="229"/>
      <c r="Q804" s="229"/>
      <c r="R804" s="229"/>
      <c r="S804" s="234"/>
      <c r="T804" s="252"/>
    </row>
    <row r="805" spans="1:20">
      <c r="A805" s="228"/>
      <c r="B805" s="229"/>
      <c r="C805" s="230"/>
      <c r="D805" s="229"/>
      <c r="E805" s="229"/>
      <c r="F805" s="229"/>
      <c r="G805" s="226"/>
      <c r="H805" s="257"/>
      <c r="I805" s="229"/>
      <c r="J805" s="229"/>
      <c r="K805" s="229"/>
      <c r="L805" s="229"/>
      <c r="M805" s="226"/>
      <c r="N805" s="226"/>
      <c r="O805" s="230"/>
      <c r="P805" s="229"/>
      <c r="Q805" s="229"/>
      <c r="R805" s="229"/>
      <c r="S805" s="234"/>
      <c r="T805" s="252"/>
    </row>
    <row r="806" spans="1:20">
      <c r="A806" s="228"/>
      <c r="B806" s="229"/>
      <c r="C806" s="230"/>
      <c r="D806" s="229"/>
      <c r="E806" s="229"/>
      <c r="F806" s="229"/>
      <c r="G806" s="226"/>
      <c r="H806" s="257"/>
      <c r="I806" s="229"/>
      <c r="J806" s="229"/>
      <c r="K806" s="229"/>
      <c r="L806" s="229"/>
      <c r="M806" s="226"/>
      <c r="N806" s="226"/>
      <c r="O806" s="230"/>
      <c r="P806" s="229"/>
      <c r="Q806" s="229"/>
      <c r="R806" s="229"/>
      <c r="S806" s="234"/>
      <c r="T806" s="252"/>
    </row>
    <row r="807" spans="1:20">
      <c r="A807" s="228"/>
      <c r="B807" s="229"/>
      <c r="C807" s="230"/>
      <c r="D807" s="229"/>
      <c r="E807" s="229"/>
      <c r="F807" s="229"/>
      <c r="G807" s="226"/>
      <c r="H807" s="257"/>
      <c r="I807" s="229"/>
      <c r="J807" s="229"/>
      <c r="K807" s="229"/>
      <c r="L807" s="229"/>
      <c r="M807" s="226"/>
      <c r="N807" s="226"/>
      <c r="O807" s="230"/>
      <c r="P807" s="229"/>
      <c r="Q807" s="229"/>
      <c r="R807" s="229"/>
      <c r="S807" s="234"/>
      <c r="T807" s="252"/>
    </row>
    <row r="808" spans="1:20">
      <c r="A808" s="228"/>
      <c r="B808" s="229"/>
      <c r="C808" s="230"/>
      <c r="D808" s="229"/>
      <c r="E808" s="229"/>
      <c r="F808" s="229"/>
      <c r="G808" s="226"/>
      <c r="H808" s="257"/>
      <c r="I808" s="229"/>
      <c r="J808" s="229"/>
      <c r="K808" s="229"/>
      <c r="L808" s="229"/>
      <c r="M808" s="226"/>
      <c r="N808" s="226"/>
      <c r="O808" s="230"/>
      <c r="P808" s="229"/>
      <c r="Q808" s="229"/>
      <c r="R808" s="229"/>
      <c r="S808" s="234"/>
      <c r="T808" s="252"/>
    </row>
    <row r="809" spans="1:20">
      <c r="A809" s="228"/>
      <c r="B809" s="229"/>
      <c r="C809" s="230"/>
      <c r="D809" s="229"/>
      <c r="E809" s="229"/>
      <c r="F809" s="229"/>
      <c r="G809" s="226"/>
      <c r="H809" s="257"/>
      <c r="I809" s="229"/>
      <c r="J809" s="229"/>
      <c r="K809" s="229"/>
      <c r="L809" s="229"/>
      <c r="M809" s="226"/>
      <c r="N809" s="226"/>
      <c r="O809" s="230"/>
      <c r="P809" s="229"/>
      <c r="Q809" s="229"/>
      <c r="R809" s="229"/>
      <c r="S809" s="234"/>
      <c r="T809" s="252"/>
    </row>
    <row r="810" spans="1:20">
      <c r="A810" s="228"/>
      <c r="B810" s="229"/>
      <c r="C810" s="230"/>
      <c r="D810" s="229"/>
      <c r="E810" s="229"/>
      <c r="F810" s="229"/>
      <c r="G810" s="226"/>
      <c r="H810" s="257"/>
      <c r="I810" s="229"/>
      <c r="J810" s="229"/>
      <c r="K810" s="229"/>
      <c r="L810" s="229"/>
      <c r="M810" s="226"/>
      <c r="N810" s="226"/>
      <c r="O810" s="230"/>
      <c r="P810" s="229"/>
      <c r="Q810" s="229"/>
      <c r="R810" s="229"/>
      <c r="S810" s="234"/>
      <c r="T810" s="252"/>
    </row>
    <row r="811" spans="1:20">
      <c r="A811" s="228"/>
      <c r="B811" s="229"/>
      <c r="C811" s="230"/>
      <c r="D811" s="229"/>
      <c r="E811" s="229"/>
      <c r="F811" s="229"/>
      <c r="G811" s="226"/>
      <c r="H811" s="257"/>
      <c r="I811" s="229"/>
      <c r="J811" s="229"/>
      <c r="K811" s="229"/>
      <c r="L811" s="229"/>
      <c r="M811" s="226"/>
      <c r="N811" s="226"/>
      <c r="O811" s="230"/>
      <c r="P811" s="229"/>
      <c r="Q811" s="229"/>
      <c r="R811" s="229"/>
      <c r="S811" s="234"/>
      <c r="T811" s="252"/>
    </row>
    <row r="812" spans="1:20">
      <c r="A812" s="228"/>
      <c r="B812" s="229"/>
      <c r="C812" s="230"/>
      <c r="D812" s="229"/>
      <c r="E812" s="229"/>
      <c r="F812" s="229"/>
      <c r="G812" s="226"/>
      <c r="H812" s="257"/>
      <c r="I812" s="229"/>
      <c r="J812" s="229"/>
      <c r="K812" s="229"/>
      <c r="L812" s="229"/>
      <c r="M812" s="226"/>
      <c r="N812" s="226"/>
      <c r="O812" s="230"/>
      <c r="P812" s="229"/>
      <c r="Q812" s="229"/>
      <c r="R812" s="229"/>
      <c r="S812" s="234"/>
      <c r="T812" s="252"/>
    </row>
    <row r="813" spans="1:20">
      <c r="A813" s="228"/>
      <c r="B813" s="229"/>
      <c r="C813" s="230"/>
      <c r="D813" s="229"/>
      <c r="E813" s="229"/>
      <c r="F813" s="229"/>
      <c r="G813" s="226"/>
      <c r="H813" s="257"/>
      <c r="I813" s="229"/>
      <c r="J813" s="229"/>
      <c r="K813" s="229"/>
      <c r="L813" s="229"/>
      <c r="M813" s="226"/>
      <c r="N813" s="226"/>
      <c r="O813" s="230"/>
      <c r="P813" s="229"/>
      <c r="Q813" s="229"/>
      <c r="R813" s="229"/>
      <c r="S813" s="234"/>
      <c r="T813" s="252"/>
    </row>
    <row r="814" spans="1:20">
      <c r="A814" s="228"/>
      <c r="B814" s="229"/>
      <c r="C814" s="230"/>
      <c r="D814" s="229"/>
      <c r="E814" s="229"/>
      <c r="F814" s="229"/>
      <c r="G814" s="226"/>
      <c r="H814" s="257"/>
      <c r="I814" s="229"/>
      <c r="J814" s="229"/>
      <c r="K814" s="229"/>
      <c r="L814" s="229"/>
      <c r="M814" s="226"/>
      <c r="N814" s="226"/>
      <c r="O814" s="230"/>
      <c r="P814" s="229"/>
      <c r="Q814" s="229"/>
      <c r="R814" s="229"/>
      <c r="S814" s="234"/>
      <c r="T814" s="252"/>
    </row>
    <row r="815" spans="1:20">
      <c r="A815" s="228"/>
      <c r="B815" s="229"/>
      <c r="C815" s="230"/>
      <c r="D815" s="229"/>
      <c r="E815" s="229"/>
      <c r="F815" s="229"/>
      <c r="G815" s="226"/>
      <c r="H815" s="257"/>
      <c r="I815" s="229"/>
      <c r="J815" s="229"/>
      <c r="K815" s="229"/>
      <c r="L815" s="229"/>
      <c r="M815" s="226"/>
      <c r="N815" s="226"/>
      <c r="O815" s="230"/>
      <c r="P815" s="229"/>
      <c r="Q815" s="229"/>
      <c r="R815" s="229"/>
      <c r="S815" s="234"/>
      <c r="T815" s="252"/>
    </row>
    <row r="816" spans="1:20">
      <c r="A816" s="228"/>
      <c r="B816" s="229"/>
      <c r="C816" s="230"/>
      <c r="D816" s="229"/>
      <c r="E816" s="229"/>
      <c r="F816" s="229"/>
      <c r="G816" s="226"/>
      <c r="H816" s="257"/>
      <c r="I816" s="229"/>
      <c r="J816" s="229"/>
      <c r="K816" s="229"/>
      <c r="L816" s="229"/>
      <c r="M816" s="226"/>
      <c r="N816" s="226"/>
      <c r="O816" s="230"/>
      <c r="P816" s="229"/>
      <c r="Q816" s="229"/>
      <c r="R816" s="229"/>
      <c r="S816" s="234"/>
      <c r="T816" s="252"/>
    </row>
    <row r="817" spans="1:20">
      <c r="A817" s="228"/>
      <c r="B817" s="229"/>
      <c r="C817" s="230"/>
      <c r="D817" s="229"/>
      <c r="E817" s="229"/>
      <c r="F817" s="229"/>
      <c r="G817" s="226"/>
      <c r="H817" s="257"/>
      <c r="I817" s="229"/>
      <c r="J817" s="229"/>
      <c r="K817" s="229"/>
      <c r="L817" s="229"/>
      <c r="M817" s="226"/>
      <c r="N817" s="226"/>
      <c r="O817" s="230"/>
      <c r="P817" s="229"/>
      <c r="Q817" s="229"/>
      <c r="R817" s="229"/>
      <c r="S817" s="234"/>
      <c r="T817" s="252"/>
    </row>
    <row r="818" spans="1:20">
      <c r="A818" s="228"/>
      <c r="B818" s="229"/>
      <c r="C818" s="230"/>
      <c r="D818" s="229"/>
      <c r="E818" s="229"/>
      <c r="F818" s="229"/>
      <c r="G818" s="226"/>
      <c r="H818" s="257"/>
      <c r="I818" s="229"/>
      <c r="J818" s="229"/>
      <c r="K818" s="229"/>
      <c r="L818" s="229"/>
      <c r="M818" s="226"/>
      <c r="N818" s="226"/>
      <c r="O818" s="230"/>
      <c r="P818" s="229"/>
      <c r="Q818" s="229"/>
      <c r="R818" s="229"/>
      <c r="S818" s="234"/>
      <c r="T818" s="252"/>
    </row>
    <row r="819" spans="1:20">
      <c r="A819" s="228"/>
      <c r="B819" s="229"/>
      <c r="C819" s="230"/>
      <c r="D819" s="229"/>
      <c r="E819" s="229"/>
      <c r="F819" s="229"/>
      <c r="G819" s="226"/>
      <c r="H819" s="257"/>
      <c r="I819" s="229"/>
      <c r="J819" s="229"/>
      <c r="K819" s="229"/>
      <c r="L819" s="229"/>
      <c r="M819" s="226"/>
      <c r="N819" s="226"/>
      <c r="O819" s="230"/>
      <c r="P819" s="229"/>
      <c r="Q819" s="229"/>
      <c r="R819" s="229"/>
      <c r="S819" s="234"/>
      <c r="T819" s="252"/>
    </row>
    <row r="820" spans="1:20">
      <c r="A820" s="228"/>
      <c r="B820" s="229"/>
      <c r="C820" s="230"/>
      <c r="D820" s="229"/>
      <c r="E820" s="229"/>
      <c r="F820" s="229"/>
      <c r="G820" s="226"/>
      <c r="H820" s="257"/>
      <c r="I820" s="229"/>
      <c r="J820" s="229"/>
      <c r="K820" s="229"/>
      <c r="L820" s="229"/>
      <c r="M820" s="226"/>
      <c r="N820" s="226"/>
      <c r="O820" s="230"/>
      <c r="P820" s="229"/>
      <c r="Q820" s="229"/>
      <c r="R820" s="229"/>
      <c r="S820" s="234"/>
      <c r="T820" s="252"/>
    </row>
    <row r="821" spans="1:20">
      <c r="A821" s="228"/>
      <c r="B821" s="229"/>
      <c r="C821" s="230"/>
      <c r="D821" s="229"/>
      <c r="E821" s="229"/>
      <c r="F821" s="229"/>
      <c r="G821" s="226"/>
      <c r="H821" s="257"/>
      <c r="I821" s="229"/>
      <c r="J821" s="229"/>
      <c r="K821" s="229"/>
      <c r="L821" s="229"/>
      <c r="M821" s="226"/>
      <c r="N821" s="226"/>
      <c r="O821" s="230"/>
      <c r="P821" s="229"/>
      <c r="Q821" s="229"/>
      <c r="R821" s="229"/>
      <c r="S821" s="234"/>
      <c r="T821" s="252"/>
    </row>
    <row r="822" spans="1:20">
      <c r="A822" s="228"/>
      <c r="B822" s="229"/>
      <c r="C822" s="230"/>
      <c r="D822" s="229"/>
      <c r="E822" s="229"/>
      <c r="F822" s="229"/>
      <c r="G822" s="226"/>
      <c r="H822" s="257"/>
      <c r="I822" s="229"/>
      <c r="J822" s="229"/>
      <c r="K822" s="229"/>
      <c r="L822" s="229"/>
      <c r="M822" s="226"/>
      <c r="N822" s="226"/>
      <c r="O822" s="230"/>
      <c r="P822" s="229"/>
      <c r="Q822" s="229"/>
      <c r="R822" s="229"/>
      <c r="S822" s="234"/>
      <c r="T822" s="252"/>
    </row>
    <row r="823" spans="1:20">
      <c r="A823" s="228"/>
      <c r="B823" s="229"/>
      <c r="C823" s="230"/>
      <c r="D823" s="229"/>
      <c r="E823" s="229"/>
      <c r="F823" s="229"/>
      <c r="G823" s="226"/>
      <c r="H823" s="257"/>
      <c r="I823" s="229"/>
      <c r="J823" s="229"/>
      <c r="K823" s="229"/>
      <c r="L823" s="229"/>
      <c r="M823" s="226"/>
      <c r="N823" s="226"/>
      <c r="O823" s="230"/>
      <c r="P823" s="229"/>
      <c r="Q823" s="229"/>
      <c r="R823" s="229"/>
      <c r="S823" s="234"/>
      <c r="T823" s="252"/>
    </row>
    <row r="824" spans="1:20">
      <c r="A824" s="228"/>
      <c r="B824" s="229"/>
      <c r="C824" s="230"/>
      <c r="D824" s="229"/>
      <c r="E824" s="229"/>
      <c r="F824" s="229"/>
      <c r="G824" s="226"/>
      <c r="H824" s="257"/>
      <c r="I824" s="229"/>
      <c r="J824" s="229"/>
      <c r="K824" s="229"/>
      <c r="L824" s="229"/>
      <c r="M824" s="226"/>
      <c r="N824" s="226"/>
      <c r="O824" s="230"/>
      <c r="P824" s="229"/>
      <c r="Q824" s="229"/>
      <c r="R824" s="229"/>
      <c r="S824" s="234"/>
      <c r="T824" s="252"/>
    </row>
    <row r="825" spans="1:20">
      <c r="A825" s="228"/>
      <c r="B825" s="229"/>
      <c r="C825" s="230"/>
      <c r="D825" s="229"/>
      <c r="E825" s="229"/>
      <c r="F825" s="229"/>
      <c r="G825" s="226"/>
      <c r="H825" s="257"/>
      <c r="I825" s="229"/>
      <c r="J825" s="229"/>
      <c r="K825" s="229"/>
      <c r="L825" s="229"/>
      <c r="M825" s="226"/>
      <c r="N825" s="226"/>
      <c r="O825" s="230"/>
      <c r="P825" s="229"/>
      <c r="Q825" s="229"/>
      <c r="R825" s="229"/>
      <c r="S825" s="234"/>
      <c r="T825" s="252"/>
    </row>
    <row r="826" spans="1:20">
      <c r="A826" s="228"/>
      <c r="B826" s="229"/>
      <c r="C826" s="230"/>
      <c r="D826" s="229"/>
      <c r="E826" s="229"/>
      <c r="F826" s="229"/>
      <c r="G826" s="226"/>
      <c r="H826" s="257"/>
      <c r="I826" s="229"/>
      <c r="J826" s="229"/>
      <c r="K826" s="229"/>
      <c r="L826" s="229"/>
      <c r="M826" s="226"/>
      <c r="N826" s="226"/>
      <c r="O826" s="230"/>
      <c r="P826" s="229"/>
      <c r="Q826" s="229"/>
      <c r="R826" s="229"/>
      <c r="S826" s="234"/>
      <c r="T826" s="252"/>
    </row>
    <row r="827" spans="1:20">
      <c r="A827" s="228"/>
      <c r="B827" s="229"/>
      <c r="C827" s="230"/>
      <c r="D827" s="229"/>
      <c r="E827" s="229"/>
      <c r="F827" s="229"/>
      <c r="G827" s="226"/>
      <c r="H827" s="257"/>
      <c r="I827" s="229"/>
      <c r="J827" s="229"/>
      <c r="K827" s="229"/>
      <c r="L827" s="229"/>
      <c r="M827" s="226"/>
      <c r="N827" s="226"/>
      <c r="O827" s="230"/>
      <c r="P827" s="229"/>
      <c r="Q827" s="229"/>
      <c r="R827" s="229"/>
      <c r="S827" s="234"/>
      <c r="T827" s="252"/>
    </row>
    <row r="828" spans="1:20">
      <c r="A828" s="228"/>
      <c r="B828" s="229"/>
      <c r="C828" s="230"/>
      <c r="D828" s="229"/>
      <c r="E828" s="229"/>
      <c r="F828" s="229"/>
      <c r="G828" s="226"/>
      <c r="H828" s="257"/>
      <c r="I828" s="229"/>
      <c r="J828" s="229"/>
      <c r="K828" s="229"/>
      <c r="L828" s="229"/>
      <c r="M828" s="226"/>
      <c r="N828" s="226"/>
      <c r="O828" s="230"/>
      <c r="P828" s="229"/>
      <c r="Q828" s="229"/>
      <c r="R828" s="229"/>
      <c r="S828" s="234"/>
      <c r="T828" s="252"/>
    </row>
    <row r="829" spans="1:20">
      <c r="A829" s="228"/>
      <c r="B829" s="229"/>
      <c r="C829" s="230"/>
      <c r="D829" s="229"/>
      <c r="E829" s="229"/>
      <c r="F829" s="229"/>
      <c r="G829" s="226"/>
      <c r="H829" s="257"/>
      <c r="I829" s="229"/>
      <c r="J829" s="229"/>
      <c r="K829" s="229"/>
      <c r="L829" s="229"/>
      <c r="M829" s="226"/>
      <c r="N829" s="226"/>
      <c r="O829" s="230"/>
      <c r="P829" s="229"/>
      <c r="Q829" s="229"/>
      <c r="R829" s="229"/>
      <c r="S829" s="234"/>
      <c r="T829" s="252"/>
    </row>
    <row r="830" spans="1:20">
      <c r="A830" s="228"/>
      <c r="B830" s="229"/>
      <c r="C830" s="230"/>
      <c r="D830" s="229"/>
      <c r="E830" s="229"/>
      <c r="F830" s="229"/>
      <c r="G830" s="226"/>
      <c r="H830" s="257"/>
      <c r="I830" s="229"/>
      <c r="J830" s="229"/>
      <c r="K830" s="229"/>
      <c r="L830" s="229"/>
      <c r="M830" s="226"/>
      <c r="N830" s="226"/>
      <c r="O830" s="230"/>
      <c r="P830" s="229"/>
      <c r="Q830" s="229"/>
      <c r="R830" s="229"/>
      <c r="S830" s="234"/>
      <c r="T830" s="252"/>
    </row>
    <row r="831" spans="1:20">
      <c r="A831" s="228"/>
      <c r="B831" s="229"/>
      <c r="C831" s="230"/>
      <c r="D831" s="229"/>
      <c r="E831" s="229"/>
      <c r="F831" s="229"/>
      <c r="G831" s="226"/>
      <c r="H831" s="257"/>
      <c r="I831" s="229"/>
      <c r="J831" s="229"/>
      <c r="K831" s="229"/>
      <c r="L831" s="229"/>
      <c r="M831" s="226"/>
      <c r="N831" s="226"/>
      <c r="O831" s="230"/>
      <c r="P831" s="229"/>
      <c r="Q831" s="229"/>
      <c r="R831" s="229"/>
      <c r="S831" s="234"/>
      <c r="T831" s="252"/>
    </row>
    <row r="832" spans="1:20">
      <c r="A832" s="228"/>
      <c r="B832" s="229"/>
      <c r="C832" s="230"/>
      <c r="D832" s="229"/>
      <c r="E832" s="229"/>
      <c r="F832" s="229"/>
      <c r="G832" s="226"/>
      <c r="H832" s="257"/>
      <c r="I832" s="229"/>
      <c r="J832" s="229"/>
      <c r="K832" s="229"/>
      <c r="L832" s="229"/>
      <c r="M832" s="226"/>
      <c r="N832" s="226"/>
      <c r="O832" s="230"/>
      <c r="P832" s="229"/>
      <c r="Q832" s="229"/>
      <c r="R832" s="229"/>
      <c r="S832" s="234"/>
      <c r="T832" s="252"/>
    </row>
    <row r="833" spans="1:20">
      <c r="A833" s="228"/>
      <c r="B833" s="229"/>
      <c r="C833" s="230"/>
      <c r="D833" s="229"/>
      <c r="E833" s="229"/>
      <c r="F833" s="229"/>
      <c r="G833" s="226"/>
      <c r="H833" s="257"/>
      <c r="I833" s="229"/>
      <c r="J833" s="229"/>
      <c r="K833" s="229"/>
      <c r="L833" s="229"/>
      <c r="M833" s="226"/>
      <c r="N833" s="226"/>
      <c r="O833" s="230"/>
      <c r="P833" s="229"/>
      <c r="Q833" s="229"/>
      <c r="R833" s="229"/>
      <c r="S833" s="234"/>
      <c r="T833" s="252"/>
    </row>
    <row r="834" spans="1:20">
      <c r="A834" s="228"/>
      <c r="B834" s="229"/>
      <c r="C834" s="230"/>
      <c r="D834" s="229"/>
      <c r="E834" s="229"/>
      <c r="F834" s="229"/>
      <c r="G834" s="226"/>
      <c r="H834" s="257"/>
      <c r="I834" s="229"/>
      <c r="J834" s="229"/>
      <c r="K834" s="229"/>
      <c r="L834" s="229"/>
      <c r="M834" s="226"/>
      <c r="N834" s="226"/>
      <c r="O834" s="230"/>
      <c r="P834" s="229"/>
      <c r="Q834" s="229"/>
      <c r="R834" s="229"/>
      <c r="S834" s="234"/>
      <c r="T834" s="252"/>
    </row>
    <row r="835" spans="1:20">
      <c r="A835" s="228"/>
      <c r="B835" s="229"/>
      <c r="C835" s="230"/>
      <c r="D835" s="229"/>
      <c r="E835" s="229"/>
      <c r="F835" s="229"/>
      <c r="G835" s="226"/>
      <c r="H835" s="257"/>
      <c r="I835" s="229"/>
      <c r="J835" s="229"/>
      <c r="K835" s="229"/>
      <c r="L835" s="229"/>
      <c r="M835" s="226"/>
      <c r="N835" s="226"/>
      <c r="O835" s="230"/>
      <c r="P835" s="229"/>
      <c r="Q835" s="229"/>
      <c r="R835" s="229"/>
      <c r="S835" s="234"/>
      <c r="T835" s="252"/>
    </row>
    <row r="836" spans="1:20">
      <c r="A836" s="228"/>
      <c r="B836" s="229"/>
      <c r="C836" s="230"/>
      <c r="D836" s="229"/>
      <c r="E836" s="229"/>
      <c r="F836" s="229"/>
      <c r="G836" s="226"/>
      <c r="H836" s="257"/>
      <c r="I836" s="229"/>
      <c r="J836" s="229"/>
      <c r="K836" s="229"/>
      <c r="L836" s="229"/>
      <c r="M836" s="226"/>
      <c r="N836" s="226"/>
      <c r="O836" s="230"/>
      <c r="P836" s="229"/>
      <c r="Q836" s="229"/>
      <c r="R836" s="229"/>
      <c r="S836" s="234"/>
      <c r="T836" s="252"/>
    </row>
    <row r="837" spans="1:20">
      <c r="A837" s="228"/>
      <c r="B837" s="229"/>
      <c r="C837" s="230"/>
      <c r="D837" s="229"/>
      <c r="E837" s="229"/>
      <c r="F837" s="229"/>
      <c r="G837" s="226"/>
      <c r="H837" s="257"/>
      <c r="I837" s="229"/>
      <c r="J837" s="229"/>
      <c r="K837" s="229"/>
      <c r="L837" s="229"/>
      <c r="M837" s="226"/>
      <c r="N837" s="226"/>
      <c r="O837" s="230"/>
      <c r="P837" s="229"/>
      <c r="Q837" s="229"/>
      <c r="R837" s="229"/>
      <c r="S837" s="234"/>
      <c r="T837" s="252"/>
    </row>
    <row r="838" spans="1:20">
      <c r="A838" s="228"/>
      <c r="B838" s="229"/>
      <c r="C838" s="230"/>
      <c r="D838" s="229"/>
      <c r="E838" s="229"/>
      <c r="F838" s="229"/>
      <c r="G838" s="226"/>
      <c r="H838" s="257"/>
      <c r="I838" s="229"/>
      <c r="J838" s="229"/>
      <c r="K838" s="229"/>
      <c r="L838" s="229"/>
      <c r="M838" s="226"/>
      <c r="N838" s="226"/>
      <c r="O838" s="230"/>
      <c r="P838" s="229"/>
      <c r="Q838" s="229"/>
      <c r="R838" s="229"/>
      <c r="S838" s="234"/>
      <c r="T838" s="252"/>
    </row>
    <row r="839" spans="1:20">
      <c r="A839" s="228"/>
      <c r="B839" s="229"/>
      <c r="C839" s="230"/>
      <c r="D839" s="229"/>
      <c r="E839" s="229"/>
      <c r="F839" s="229"/>
      <c r="G839" s="226"/>
      <c r="H839" s="257"/>
      <c r="I839" s="229"/>
      <c r="J839" s="229"/>
      <c r="K839" s="229"/>
      <c r="L839" s="229"/>
      <c r="M839" s="226"/>
      <c r="N839" s="226"/>
      <c r="O839" s="230"/>
      <c r="P839" s="229"/>
      <c r="Q839" s="229"/>
      <c r="R839" s="229"/>
      <c r="S839" s="234"/>
      <c r="T839" s="252"/>
    </row>
    <row r="840" spans="1:20">
      <c r="A840" s="228"/>
      <c r="B840" s="229"/>
      <c r="C840" s="230"/>
      <c r="D840" s="229"/>
      <c r="E840" s="229"/>
      <c r="F840" s="229"/>
      <c r="G840" s="226"/>
      <c r="H840" s="257"/>
      <c r="I840" s="229"/>
      <c r="J840" s="229"/>
      <c r="K840" s="229"/>
      <c r="L840" s="229"/>
      <c r="M840" s="226"/>
      <c r="N840" s="226"/>
      <c r="O840" s="230"/>
      <c r="P840" s="229"/>
      <c r="Q840" s="229"/>
      <c r="R840" s="229"/>
      <c r="S840" s="234"/>
      <c r="T840" s="252"/>
    </row>
    <row r="841" spans="1:20">
      <c r="A841" s="228"/>
      <c r="B841" s="229"/>
      <c r="C841" s="230"/>
      <c r="D841" s="229"/>
      <c r="E841" s="229"/>
      <c r="F841" s="229"/>
      <c r="G841" s="226"/>
      <c r="H841" s="257"/>
      <c r="I841" s="229"/>
      <c r="J841" s="229"/>
      <c r="K841" s="229"/>
      <c r="L841" s="229"/>
      <c r="M841" s="226"/>
      <c r="N841" s="226"/>
      <c r="O841" s="230"/>
      <c r="P841" s="229"/>
      <c r="Q841" s="229"/>
      <c r="R841" s="229"/>
      <c r="S841" s="234"/>
      <c r="T841" s="252"/>
    </row>
    <row r="842" spans="1:20">
      <c r="A842" s="228"/>
      <c r="B842" s="229"/>
      <c r="C842" s="230"/>
      <c r="D842" s="229"/>
      <c r="E842" s="229"/>
      <c r="F842" s="229"/>
      <c r="G842" s="226"/>
      <c r="H842" s="257"/>
      <c r="I842" s="229"/>
      <c r="J842" s="229"/>
      <c r="K842" s="229"/>
      <c r="L842" s="229"/>
      <c r="M842" s="226"/>
      <c r="N842" s="226"/>
      <c r="O842" s="230"/>
      <c r="P842" s="229"/>
      <c r="Q842" s="229"/>
      <c r="R842" s="229"/>
      <c r="S842" s="234"/>
      <c r="T842" s="252"/>
    </row>
    <row r="843" spans="1:20">
      <c r="A843" s="228"/>
      <c r="B843" s="229"/>
      <c r="C843" s="230"/>
      <c r="D843" s="229"/>
      <c r="E843" s="229"/>
      <c r="F843" s="229"/>
      <c r="G843" s="226"/>
      <c r="H843" s="257"/>
      <c r="I843" s="229"/>
      <c r="J843" s="229"/>
      <c r="K843" s="229"/>
      <c r="L843" s="229"/>
      <c r="M843" s="226"/>
      <c r="N843" s="226"/>
      <c r="O843" s="230"/>
      <c r="P843" s="229"/>
      <c r="Q843" s="229"/>
      <c r="R843" s="229"/>
      <c r="S843" s="234"/>
      <c r="T843" s="252"/>
    </row>
    <row r="844" spans="1:20">
      <c r="A844" s="228"/>
      <c r="B844" s="229"/>
      <c r="C844" s="230"/>
      <c r="D844" s="229"/>
      <c r="E844" s="229"/>
      <c r="F844" s="229"/>
      <c r="G844" s="226"/>
      <c r="H844" s="257"/>
      <c r="I844" s="229"/>
      <c r="J844" s="229"/>
      <c r="K844" s="229"/>
      <c r="L844" s="229"/>
      <c r="M844" s="226"/>
      <c r="N844" s="226"/>
      <c r="O844" s="230"/>
      <c r="P844" s="229"/>
      <c r="Q844" s="229"/>
      <c r="R844" s="229"/>
      <c r="S844" s="234"/>
      <c r="T844" s="252"/>
    </row>
    <row r="845" spans="1:20">
      <c r="A845" s="228"/>
      <c r="B845" s="229"/>
      <c r="C845" s="230"/>
      <c r="D845" s="229"/>
      <c r="E845" s="229"/>
      <c r="F845" s="229"/>
      <c r="G845" s="226"/>
      <c r="H845" s="257"/>
      <c r="I845" s="229"/>
      <c r="J845" s="229"/>
      <c r="K845" s="229"/>
      <c r="L845" s="229"/>
      <c r="M845" s="226"/>
      <c r="N845" s="226"/>
      <c r="O845" s="230"/>
      <c r="P845" s="229"/>
      <c r="Q845" s="229"/>
      <c r="R845" s="229"/>
      <c r="S845" s="234"/>
      <c r="T845" s="252"/>
    </row>
    <row r="846" spans="1:20">
      <c r="A846" s="228"/>
      <c r="B846" s="229"/>
      <c r="C846" s="230"/>
      <c r="D846" s="229"/>
      <c r="E846" s="229"/>
      <c r="F846" s="229"/>
      <c r="G846" s="226"/>
      <c r="H846" s="257"/>
      <c r="I846" s="229"/>
      <c r="J846" s="229"/>
      <c r="K846" s="229"/>
      <c r="L846" s="229"/>
      <c r="M846" s="226"/>
      <c r="N846" s="226"/>
      <c r="O846" s="230"/>
      <c r="P846" s="229"/>
      <c r="Q846" s="229"/>
      <c r="R846" s="229"/>
      <c r="S846" s="234"/>
      <c r="T846" s="252"/>
    </row>
    <row r="847" spans="1:20">
      <c r="A847" s="228"/>
      <c r="B847" s="229"/>
      <c r="C847" s="230"/>
      <c r="D847" s="229"/>
      <c r="E847" s="229"/>
      <c r="F847" s="229"/>
      <c r="G847" s="226"/>
      <c r="H847" s="257"/>
      <c r="I847" s="229"/>
      <c r="J847" s="229"/>
      <c r="K847" s="229"/>
      <c r="L847" s="229"/>
      <c r="M847" s="226"/>
      <c r="N847" s="226"/>
      <c r="O847" s="230"/>
      <c r="P847" s="229"/>
      <c r="Q847" s="229"/>
      <c r="R847" s="229"/>
      <c r="S847" s="234"/>
      <c r="T847" s="252"/>
    </row>
    <row r="848" spans="1:20">
      <c r="A848" s="228"/>
      <c r="B848" s="229"/>
      <c r="C848" s="230"/>
      <c r="D848" s="229"/>
      <c r="E848" s="229"/>
      <c r="F848" s="229"/>
      <c r="G848" s="226"/>
      <c r="H848" s="257"/>
      <c r="I848" s="229"/>
      <c r="J848" s="229"/>
      <c r="K848" s="229"/>
      <c r="L848" s="229"/>
      <c r="M848" s="226"/>
      <c r="N848" s="226"/>
      <c r="O848" s="230"/>
      <c r="P848" s="229"/>
      <c r="Q848" s="229"/>
      <c r="R848" s="229"/>
      <c r="S848" s="234"/>
      <c r="T848" s="252"/>
    </row>
    <row r="849" spans="1:20">
      <c r="A849" s="228"/>
      <c r="B849" s="229"/>
      <c r="C849" s="230"/>
      <c r="D849" s="229"/>
      <c r="E849" s="229"/>
      <c r="F849" s="229"/>
      <c r="G849" s="226"/>
      <c r="H849" s="257"/>
      <c r="I849" s="229"/>
      <c r="J849" s="229"/>
      <c r="K849" s="229"/>
      <c r="L849" s="229"/>
      <c r="M849" s="226"/>
      <c r="N849" s="226"/>
      <c r="O849" s="230"/>
      <c r="P849" s="229"/>
      <c r="Q849" s="229"/>
      <c r="R849" s="229"/>
      <c r="S849" s="234"/>
      <c r="T849" s="252"/>
    </row>
    <row r="850" spans="1:20">
      <c r="A850" s="228"/>
      <c r="B850" s="229"/>
      <c r="C850" s="230"/>
      <c r="D850" s="229"/>
      <c r="E850" s="229"/>
      <c r="F850" s="229"/>
      <c r="G850" s="226"/>
      <c r="H850" s="257"/>
      <c r="I850" s="229"/>
      <c r="J850" s="229"/>
      <c r="K850" s="229"/>
      <c r="L850" s="229"/>
      <c r="M850" s="226"/>
      <c r="N850" s="226"/>
      <c r="O850" s="230"/>
      <c r="P850" s="229"/>
      <c r="Q850" s="229"/>
      <c r="R850" s="229"/>
      <c r="S850" s="234"/>
      <c r="T850" s="252"/>
    </row>
    <row r="851" spans="1:20">
      <c r="A851" s="228"/>
      <c r="B851" s="229"/>
      <c r="C851" s="230"/>
      <c r="D851" s="229"/>
      <c r="E851" s="229"/>
      <c r="F851" s="229"/>
      <c r="G851" s="226"/>
      <c r="H851" s="257"/>
      <c r="I851" s="229"/>
      <c r="J851" s="229"/>
      <c r="K851" s="229"/>
      <c r="L851" s="229"/>
      <c r="M851" s="226"/>
      <c r="N851" s="226"/>
      <c r="O851" s="230"/>
      <c r="P851" s="229"/>
      <c r="Q851" s="229"/>
      <c r="R851" s="229"/>
      <c r="S851" s="234"/>
      <c r="T851" s="252"/>
    </row>
    <row r="852" spans="1:20">
      <c r="A852" s="228"/>
      <c r="B852" s="229"/>
      <c r="C852" s="230"/>
      <c r="D852" s="229"/>
      <c r="E852" s="229"/>
      <c r="F852" s="229"/>
      <c r="G852" s="226"/>
      <c r="H852" s="257"/>
      <c r="I852" s="229"/>
      <c r="J852" s="229"/>
      <c r="K852" s="229"/>
      <c r="L852" s="229"/>
      <c r="M852" s="226"/>
      <c r="N852" s="226"/>
      <c r="O852" s="230"/>
      <c r="P852" s="229"/>
      <c r="Q852" s="229"/>
      <c r="R852" s="229"/>
      <c r="S852" s="234"/>
      <c r="T852" s="252"/>
    </row>
    <row r="853" spans="1:20">
      <c r="A853" s="228"/>
      <c r="B853" s="229"/>
      <c r="C853" s="230"/>
      <c r="D853" s="229"/>
      <c r="E853" s="229"/>
      <c r="F853" s="229"/>
      <c r="G853" s="226"/>
      <c r="H853" s="257"/>
      <c r="I853" s="229"/>
      <c r="J853" s="229"/>
      <c r="K853" s="229"/>
      <c r="L853" s="229"/>
      <c r="M853" s="226"/>
      <c r="N853" s="226"/>
      <c r="O853" s="230"/>
      <c r="P853" s="229"/>
      <c r="Q853" s="229"/>
      <c r="R853" s="229"/>
      <c r="S853" s="234"/>
      <c r="T853" s="252"/>
    </row>
    <row r="854" spans="1:20">
      <c r="A854" s="228"/>
      <c r="B854" s="229"/>
      <c r="C854" s="230"/>
      <c r="D854" s="229"/>
      <c r="E854" s="229"/>
      <c r="F854" s="229"/>
      <c r="G854" s="226"/>
      <c r="H854" s="257"/>
      <c r="I854" s="229"/>
      <c r="J854" s="229"/>
      <c r="K854" s="229"/>
      <c r="L854" s="229"/>
      <c r="M854" s="226"/>
      <c r="N854" s="226"/>
      <c r="O854" s="230"/>
      <c r="P854" s="229"/>
      <c r="Q854" s="229"/>
      <c r="R854" s="229"/>
      <c r="S854" s="234"/>
      <c r="T854" s="252"/>
    </row>
    <row r="855" spans="1:20">
      <c r="A855" s="228"/>
      <c r="B855" s="229"/>
      <c r="C855" s="230"/>
      <c r="D855" s="229"/>
      <c r="E855" s="229"/>
      <c r="F855" s="229"/>
      <c r="G855" s="226"/>
      <c r="H855" s="257"/>
      <c r="I855" s="229"/>
      <c r="J855" s="229"/>
      <c r="K855" s="229"/>
      <c r="L855" s="229"/>
      <c r="M855" s="226"/>
      <c r="N855" s="226"/>
      <c r="O855" s="230"/>
      <c r="P855" s="229"/>
      <c r="Q855" s="229"/>
      <c r="R855" s="229"/>
      <c r="S855" s="234"/>
      <c r="T855" s="252"/>
    </row>
    <row r="856" spans="1:20">
      <c r="A856" s="228"/>
      <c r="B856" s="229"/>
      <c r="C856" s="230"/>
      <c r="D856" s="229"/>
      <c r="E856" s="229"/>
      <c r="F856" s="229"/>
      <c r="G856" s="226"/>
      <c r="H856" s="257"/>
      <c r="I856" s="229"/>
      <c r="J856" s="229"/>
      <c r="K856" s="229"/>
      <c r="L856" s="229"/>
      <c r="M856" s="226"/>
      <c r="N856" s="226"/>
      <c r="O856" s="230"/>
      <c r="P856" s="229"/>
      <c r="Q856" s="229"/>
      <c r="R856" s="229"/>
      <c r="S856" s="234"/>
      <c r="T856" s="252"/>
    </row>
    <row r="857" spans="1:20">
      <c r="A857" s="228"/>
      <c r="B857" s="229"/>
      <c r="C857" s="230"/>
      <c r="D857" s="229"/>
      <c r="E857" s="229"/>
      <c r="F857" s="229"/>
      <c r="G857" s="226"/>
      <c r="H857" s="257"/>
      <c r="I857" s="229"/>
      <c r="J857" s="229"/>
      <c r="K857" s="229"/>
      <c r="L857" s="229"/>
      <c r="M857" s="226"/>
      <c r="N857" s="226"/>
      <c r="O857" s="230"/>
      <c r="P857" s="229"/>
      <c r="Q857" s="229"/>
      <c r="R857" s="229"/>
      <c r="S857" s="234"/>
      <c r="T857" s="252"/>
    </row>
    <row r="858" spans="1:20">
      <c r="A858" s="228"/>
      <c r="B858" s="229"/>
      <c r="C858" s="230"/>
      <c r="D858" s="229"/>
      <c r="E858" s="229"/>
      <c r="F858" s="229"/>
      <c r="G858" s="226"/>
      <c r="H858" s="257"/>
      <c r="I858" s="229"/>
      <c r="J858" s="229"/>
      <c r="K858" s="229"/>
      <c r="L858" s="229"/>
      <c r="M858" s="226"/>
      <c r="N858" s="226"/>
      <c r="O858" s="230"/>
      <c r="P858" s="229"/>
      <c r="Q858" s="229"/>
      <c r="R858" s="229"/>
      <c r="S858" s="234"/>
      <c r="T858" s="252"/>
    </row>
    <row r="859" spans="1:20">
      <c r="A859" s="228"/>
      <c r="B859" s="229"/>
      <c r="C859" s="230"/>
      <c r="D859" s="229"/>
      <c r="E859" s="229"/>
      <c r="F859" s="229"/>
      <c r="G859" s="226"/>
      <c r="H859" s="257"/>
      <c r="I859" s="229"/>
      <c r="J859" s="229"/>
      <c r="K859" s="229"/>
      <c r="L859" s="229"/>
      <c r="M859" s="226"/>
      <c r="N859" s="226"/>
      <c r="O859" s="230"/>
      <c r="P859" s="229"/>
      <c r="Q859" s="229"/>
      <c r="R859" s="229"/>
      <c r="S859" s="234"/>
      <c r="T859" s="252"/>
    </row>
    <row r="860" spans="1:20">
      <c r="A860" s="228"/>
      <c r="B860" s="229"/>
      <c r="C860" s="230"/>
      <c r="D860" s="229"/>
      <c r="E860" s="229"/>
      <c r="F860" s="229"/>
      <c r="G860" s="226"/>
      <c r="H860" s="257"/>
      <c r="I860" s="229"/>
      <c r="J860" s="229"/>
      <c r="K860" s="229"/>
      <c r="L860" s="229"/>
      <c r="M860" s="226"/>
      <c r="N860" s="226"/>
      <c r="O860" s="230"/>
      <c r="P860" s="229"/>
      <c r="Q860" s="229"/>
      <c r="R860" s="229"/>
      <c r="S860" s="234"/>
      <c r="T860" s="252"/>
    </row>
    <row r="861" spans="1:20">
      <c r="A861" s="228"/>
      <c r="B861" s="229"/>
      <c r="C861" s="230"/>
      <c r="D861" s="229"/>
      <c r="E861" s="229"/>
      <c r="F861" s="229"/>
      <c r="G861" s="226"/>
      <c r="H861" s="257"/>
      <c r="I861" s="229"/>
      <c r="J861" s="229"/>
      <c r="K861" s="229"/>
      <c r="L861" s="229"/>
      <c r="M861" s="226"/>
      <c r="N861" s="226"/>
      <c r="O861" s="230"/>
      <c r="P861" s="229"/>
      <c r="Q861" s="229"/>
      <c r="R861" s="229"/>
      <c r="S861" s="234"/>
      <c r="T861" s="252"/>
    </row>
    <row r="862" spans="1:20">
      <c r="A862" s="228"/>
      <c r="B862" s="229"/>
      <c r="C862" s="230"/>
      <c r="D862" s="229"/>
      <c r="E862" s="229"/>
      <c r="F862" s="229"/>
      <c r="G862" s="226"/>
      <c r="H862" s="257"/>
      <c r="I862" s="229"/>
      <c r="J862" s="229"/>
      <c r="K862" s="229"/>
      <c r="L862" s="229"/>
      <c r="M862" s="226"/>
      <c r="N862" s="226"/>
      <c r="O862" s="230"/>
      <c r="P862" s="229"/>
      <c r="Q862" s="229"/>
      <c r="R862" s="229"/>
      <c r="S862" s="234"/>
      <c r="T862" s="252"/>
    </row>
    <row r="863" spans="1:20">
      <c r="A863" s="228"/>
      <c r="B863" s="229"/>
      <c r="C863" s="230"/>
      <c r="D863" s="229"/>
      <c r="E863" s="229"/>
      <c r="F863" s="229"/>
      <c r="G863" s="226"/>
      <c r="H863" s="257"/>
      <c r="I863" s="229"/>
      <c r="J863" s="229"/>
      <c r="K863" s="229"/>
      <c r="L863" s="229"/>
      <c r="M863" s="226"/>
      <c r="N863" s="226"/>
      <c r="O863" s="230"/>
      <c r="P863" s="229"/>
      <c r="Q863" s="229"/>
      <c r="R863" s="229"/>
      <c r="S863" s="234"/>
      <c r="T863" s="252"/>
    </row>
    <row r="864" spans="1:20">
      <c r="A864" s="228"/>
      <c r="B864" s="229"/>
      <c r="C864" s="230"/>
      <c r="D864" s="229"/>
      <c r="E864" s="229"/>
      <c r="F864" s="229"/>
      <c r="G864" s="226"/>
      <c r="H864" s="257"/>
      <c r="I864" s="229"/>
      <c r="J864" s="229"/>
      <c r="K864" s="229"/>
      <c r="L864" s="229"/>
      <c r="M864" s="226"/>
      <c r="N864" s="226"/>
      <c r="O864" s="230"/>
      <c r="P864" s="229"/>
      <c r="Q864" s="229"/>
      <c r="R864" s="229"/>
      <c r="S864" s="234"/>
      <c r="T864" s="252"/>
    </row>
    <row r="865" spans="1:20">
      <c r="A865" s="228"/>
      <c r="B865" s="229"/>
      <c r="C865" s="230"/>
      <c r="D865" s="229"/>
      <c r="E865" s="229"/>
      <c r="F865" s="229"/>
      <c r="G865" s="226"/>
      <c r="H865" s="257"/>
      <c r="I865" s="229"/>
      <c r="J865" s="229"/>
      <c r="K865" s="229"/>
      <c r="L865" s="229"/>
      <c r="M865" s="226"/>
      <c r="N865" s="226"/>
      <c r="O865" s="230"/>
      <c r="P865" s="229"/>
      <c r="Q865" s="229"/>
      <c r="R865" s="229"/>
      <c r="S865" s="234"/>
      <c r="T865" s="252"/>
    </row>
    <row r="866" spans="1:20">
      <c r="A866" s="228"/>
      <c r="B866" s="229"/>
      <c r="C866" s="230"/>
      <c r="D866" s="229"/>
      <c r="E866" s="229"/>
      <c r="F866" s="229"/>
      <c r="G866" s="226"/>
      <c r="H866" s="257"/>
      <c r="I866" s="229"/>
      <c r="J866" s="229"/>
      <c r="K866" s="229"/>
      <c r="L866" s="229"/>
      <c r="M866" s="226"/>
      <c r="N866" s="226"/>
      <c r="O866" s="230"/>
      <c r="P866" s="229"/>
      <c r="Q866" s="229"/>
      <c r="R866" s="229"/>
      <c r="S866" s="234"/>
      <c r="T866" s="252"/>
    </row>
    <row r="867" spans="1:20">
      <c r="A867" s="228"/>
      <c r="B867" s="229"/>
      <c r="C867" s="230"/>
      <c r="D867" s="229"/>
      <c r="E867" s="229"/>
      <c r="F867" s="229"/>
      <c r="G867" s="226"/>
      <c r="H867" s="257"/>
      <c r="I867" s="229"/>
      <c r="J867" s="229"/>
      <c r="K867" s="229"/>
      <c r="L867" s="229"/>
      <c r="M867" s="226"/>
      <c r="N867" s="226"/>
      <c r="O867" s="230"/>
      <c r="P867" s="229"/>
      <c r="Q867" s="229"/>
      <c r="R867" s="229"/>
      <c r="S867" s="234"/>
      <c r="T867" s="252"/>
    </row>
    <row r="868" spans="1:20">
      <c r="A868" s="228"/>
      <c r="B868" s="229"/>
      <c r="C868" s="230"/>
      <c r="D868" s="229"/>
      <c r="E868" s="229"/>
      <c r="F868" s="229"/>
      <c r="G868" s="226"/>
      <c r="H868" s="257"/>
      <c r="I868" s="229"/>
      <c r="J868" s="229"/>
      <c r="K868" s="229"/>
      <c r="L868" s="229"/>
      <c r="M868" s="226"/>
      <c r="N868" s="226"/>
      <c r="O868" s="230"/>
      <c r="P868" s="229"/>
      <c r="Q868" s="229"/>
      <c r="R868" s="229"/>
      <c r="S868" s="234"/>
      <c r="T868" s="252"/>
    </row>
    <row r="869" spans="1:20">
      <c r="A869" s="228"/>
      <c r="B869" s="229"/>
      <c r="C869" s="230"/>
      <c r="D869" s="229"/>
      <c r="E869" s="229"/>
      <c r="F869" s="229"/>
      <c r="G869" s="226"/>
      <c r="H869" s="257"/>
      <c r="I869" s="229"/>
      <c r="J869" s="229"/>
      <c r="K869" s="229"/>
      <c r="L869" s="229"/>
      <c r="M869" s="226"/>
      <c r="N869" s="226"/>
      <c r="O869" s="230"/>
      <c r="P869" s="229"/>
      <c r="Q869" s="229"/>
      <c r="R869" s="229"/>
      <c r="S869" s="234"/>
      <c r="T869" s="252"/>
    </row>
    <row r="870" spans="1:20">
      <c r="A870" s="228"/>
      <c r="B870" s="229"/>
      <c r="C870" s="230"/>
      <c r="D870" s="229"/>
      <c r="E870" s="229"/>
      <c r="F870" s="229"/>
      <c r="G870" s="226"/>
      <c r="H870" s="257"/>
      <c r="I870" s="229"/>
      <c r="J870" s="229"/>
      <c r="K870" s="229"/>
      <c r="L870" s="229"/>
      <c r="M870" s="226"/>
      <c r="N870" s="226"/>
      <c r="O870" s="230"/>
      <c r="P870" s="229"/>
      <c r="Q870" s="229"/>
      <c r="R870" s="229"/>
      <c r="S870" s="234"/>
      <c r="T870" s="252"/>
    </row>
    <row r="871" spans="1:20">
      <c r="A871" s="228"/>
      <c r="B871" s="229"/>
      <c r="C871" s="230"/>
      <c r="D871" s="229"/>
      <c r="E871" s="229"/>
      <c r="F871" s="229"/>
      <c r="G871" s="226"/>
      <c r="H871" s="257"/>
      <c r="I871" s="229"/>
      <c r="J871" s="229"/>
      <c r="K871" s="229"/>
      <c r="L871" s="229"/>
      <c r="M871" s="226"/>
      <c r="N871" s="226"/>
      <c r="O871" s="230"/>
      <c r="P871" s="229"/>
      <c r="Q871" s="229"/>
      <c r="R871" s="229"/>
      <c r="S871" s="234"/>
      <c r="T871" s="252"/>
    </row>
    <row r="872" spans="1:20">
      <c r="A872" s="228"/>
      <c r="B872" s="229"/>
      <c r="C872" s="230"/>
      <c r="D872" s="229"/>
      <c r="E872" s="229"/>
      <c r="F872" s="229"/>
      <c r="G872" s="226"/>
      <c r="H872" s="257"/>
      <c r="I872" s="229"/>
      <c r="J872" s="229"/>
      <c r="K872" s="229"/>
      <c r="L872" s="229"/>
      <c r="M872" s="226"/>
      <c r="N872" s="226"/>
      <c r="O872" s="230"/>
      <c r="P872" s="229"/>
      <c r="Q872" s="229"/>
      <c r="R872" s="229"/>
      <c r="S872" s="234"/>
      <c r="T872" s="252"/>
    </row>
    <row r="873" spans="1:20">
      <c r="A873" s="228"/>
      <c r="B873" s="229"/>
      <c r="C873" s="230"/>
      <c r="D873" s="229"/>
      <c r="E873" s="229"/>
      <c r="F873" s="229"/>
      <c r="G873" s="226"/>
      <c r="H873" s="257"/>
      <c r="I873" s="229"/>
      <c r="J873" s="229"/>
      <c r="K873" s="229"/>
      <c r="L873" s="229"/>
      <c r="M873" s="226"/>
      <c r="N873" s="226"/>
      <c r="O873" s="230"/>
      <c r="P873" s="229"/>
      <c r="Q873" s="229"/>
      <c r="R873" s="229"/>
      <c r="S873" s="234"/>
      <c r="T873" s="252"/>
    </row>
    <row r="874" spans="1:20">
      <c r="A874" s="228"/>
      <c r="B874" s="229"/>
      <c r="C874" s="230"/>
      <c r="D874" s="229"/>
      <c r="E874" s="229"/>
      <c r="F874" s="229"/>
      <c r="G874" s="226"/>
      <c r="H874" s="257"/>
      <c r="I874" s="229"/>
      <c r="J874" s="229"/>
      <c r="K874" s="229"/>
      <c r="L874" s="229"/>
      <c r="M874" s="226"/>
      <c r="N874" s="226"/>
      <c r="O874" s="230"/>
      <c r="P874" s="229"/>
      <c r="Q874" s="229"/>
      <c r="R874" s="229"/>
      <c r="S874" s="234"/>
      <c r="T874" s="252"/>
    </row>
    <row r="875" spans="1:20">
      <c r="A875" s="228"/>
      <c r="B875" s="229"/>
      <c r="C875" s="230"/>
      <c r="D875" s="229"/>
      <c r="E875" s="229"/>
      <c r="F875" s="229"/>
      <c r="G875" s="226"/>
      <c r="H875" s="257"/>
      <c r="I875" s="229"/>
      <c r="J875" s="229"/>
      <c r="K875" s="229"/>
      <c r="L875" s="229"/>
      <c r="M875" s="226"/>
      <c r="N875" s="226"/>
      <c r="O875" s="230"/>
      <c r="P875" s="229"/>
      <c r="Q875" s="229"/>
      <c r="R875" s="229"/>
      <c r="S875" s="234"/>
      <c r="T875" s="252"/>
    </row>
    <row r="876" spans="1:20">
      <c r="A876" s="228"/>
      <c r="B876" s="229"/>
      <c r="C876" s="230"/>
      <c r="D876" s="229"/>
      <c r="E876" s="229"/>
      <c r="F876" s="229"/>
      <c r="G876" s="226"/>
      <c r="H876" s="257"/>
      <c r="I876" s="229"/>
      <c r="J876" s="229"/>
      <c r="K876" s="229"/>
      <c r="L876" s="229"/>
      <c r="M876" s="226"/>
      <c r="N876" s="226"/>
      <c r="O876" s="230"/>
      <c r="P876" s="229"/>
      <c r="Q876" s="229"/>
      <c r="R876" s="229"/>
      <c r="S876" s="234"/>
      <c r="T876" s="252"/>
    </row>
    <row r="877" spans="1:20">
      <c r="A877" s="228"/>
      <c r="B877" s="229"/>
      <c r="C877" s="230"/>
      <c r="D877" s="229"/>
      <c r="E877" s="229"/>
      <c r="F877" s="229"/>
      <c r="G877" s="226"/>
      <c r="H877" s="257"/>
      <c r="I877" s="229"/>
      <c r="J877" s="229"/>
      <c r="K877" s="229"/>
      <c r="L877" s="229"/>
      <c r="M877" s="226"/>
      <c r="N877" s="226"/>
      <c r="O877" s="230"/>
      <c r="P877" s="229"/>
      <c r="Q877" s="229"/>
      <c r="R877" s="229"/>
      <c r="S877" s="234"/>
      <c r="T877" s="252"/>
    </row>
    <row r="878" spans="1:20">
      <c r="A878" s="228"/>
      <c r="B878" s="229"/>
      <c r="C878" s="230"/>
      <c r="D878" s="229"/>
      <c r="E878" s="229"/>
      <c r="F878" s="229"/>
      <c r="G878" s="226"/>
      <c r="H878" s="257"/>
      <c r="I878" s="229"/>
      <c r="J878" s="229"/>
      <c r="K878" s="229"/>
      <c r="L878" s="229"/>
      <c r="M878" s="226"/>
      <c r="N878" s="226"/>
      <c r="O878" s="230"/>
      <c r="P878" s="229"/>
      <c r="Q878" s="229"/>
      <c r="R878" s="229"/>
      <c r="S878" s="234"/>
      <c r="T878" s="252"/>
    </row>
    <row r="879" spans="1:20">
      <c r="A879" s="228"/>
      <c r="B879" s="229"/>
      <c r="C879" s="230"/>
      <c r="D879" s="229"/>
      <c r="E879" s="229"/>
      <c r="F879" s="229"/>
      <c r="G879" s="226"/>
      <c r="H879" s="257"/>
      <c r="I879" s="229"/>
      <c r="J879" s="229"/>
      <c r="K879" s="229"/>
      <c r="L879" s="229"/>
      <c r="M879" s="226"/>
      <c r="N879" s="226"/>
      <c r="O879" s="230"/>
      <c r="P879" s="229"/>
      <c r="Q879" s="229"/>
      <c r="R879" s="229"/>
      <c r="S879" s="234"/>
      <c r="T879" s="252"/>
    </row>
    <row r="880" spans="1:20">
      <c r="A880" s="228"/>
      <c r="B880" s="229"/>
      <c r="C880" s="230"/>
      <c r="D880" s="229"/>
      <c r="E880" s="229"/>
      <c r="F880" s="229"/>
      <c r="G880" s="226"/>
      <c r="H880" s="257"/>
      <c r="I880" s="229"/>
      <c r="J880" s="229"/>
      <c r="K880" s="229"/>
      <c r="L880" s="229"/>
      <c r="M880" s="226"/>
      <c r="N880" s="226"/>
      <c r="O880" s="230"/>
      <c r="P880" s="229"/>
      <c r="Q880" s="229"/>
      <c r="R880" s="229"/>
      <c r="S880" s="234"/>
      <c r="T880" s="252"/>
    </row>
    <row r="881" spans="1:20">
      <c r="A881" s="228"/>
      <c r="B881" s="229"/>
      <c r="C881" s="230"/>
      <c r="D881" s="229"/>
      <c r="E881" s="229"/>
      <c r="F881" s="229"/>
      <c r="G881" s="226"/>
      <c r="H881" s="257"/>
      <c r="I881" s="229"/>
      <c r="J881" s="229"/>
      <c r="K881" s="229"/>
      <c r="L881" s="229"/>
      <c r="M881" s="226"/>
      <c r="N881" s="226"/>
      <c r="O881" s="230"/>
      <c r="P881" s="229"/>
      <c r="Q881" s="229"/>
      <c r="R881" s="229"/>
      <c r="S881" s="234"/>
      <c r="T881" s="252"/>
    </row>
    <row r="882" spans="1:20">
      <c r="A882" s="228"/>
      <c r="B882" s="229"/>
      <c r="C882" s="230"/>
      <c r="D882" s="229"/>
      <c r="E882" s="229"/>
      <c r="F882" s="229"/>
      <c r="G882" s="226"/>
      <c r="H882" s="257"/>
      <c r="I882" s="229"/>
      <c r="J882" s="229"/>
      <c r="K882" s="229"/>
      <c r="L882" s="229"/>
      <c r="M882" s="226"/>
      <c r="N882" s="226"/>
      <c r="O882" s="230"/>
      <c r="P882" s="229"/>
      <c r="Q882" s="229"/>
      <c r="R882" s="229"/>
      <c r="S882" s="234"/>
      <c r="T882" s="252"/>
    </row>
    <row r="883" spans="1:20">
      <c r="A883" s="228"/>
      <c r="B883" s="229"/>
      <c r="C883" s="230"/>
      <c r="D883" s="229"/>
      <c r="E883" s="229"/>
      <c r="F883" s="229"/>
      <c r="G883" s="226"/>
      <c r="H883" s="257"/>
      <c r="I883" s="229"/>
      <c r="J883" s="229"/>
      <c r="K883" s="229"/>
      <c r="L883" s="229"/>
      <c r="M883" s="226"/>
      <c r="N883" s="226"/>
      <c r="O883" s="230"/>
      <c r="P883" s="229"/>
      <c r="Q883" s="229"/>
      <c r="R883" s="229"/>
      <c r="S883" s="234"/>
      <c r="T883" s="252"/>
    </row>
    <row r="884" spans="1:20">
      <c r="A884" s="228"/>
      <c r="B884" s="229"/>
      <c r="C884" s="230"/>
      <c r="D884" s="229"/>
      <c r="E884" s="229"/>
      <c r="F884" s="229"/>
      <c r="G884" s="226"/>
      <c r="H884" s="257"/>
      <c r="I884" s="229"/>
      <c r="J884" s="229"/>
      <c r="K884" s="229"/>
      <c r="L884" s="229"/>
      <c r="M884" s="226"/>
      <c r="N884" s="226"/>
      <c r="O884" s="230"/>
      <c r="P884" s="229"/>
      <c r="Q884" s="229"/>
      <c r="R884" s="229"/>
      <c r="S884" s="234"/>
      <c r="T884" s="252"/>
    </row>
    <row r="885" spans="1:20">
      <c r="A885" s="228"/>
      <c r="B885" s="229"/>
      <c r="C885" s="230"/>
      <c r="D885" s="229"/>
      <c r="E885" s="229"/>
      <c r="F885" s="229"/>
      <c r="G885" s="226"/>
      <c r="H885" s="257"/>
      <c r="I885" s="229"/>
      <c r="J885" s="229"/>
      <c r="K885" s="229"/>
      <c r="L885" s="229"/>
      <c r="M885" s="226"/>
      <c r="N885" s="226"/>
      <c r="O885" s="230"/>
      <c r="P885" s="229"/>
      <c r="Q885" s="229"/>
      <c r="R885" s="229"/>
      <c r="S885" s="234"/>
      <c r="T885" s="252"/>
    </row>
    <row r="886" spans="1:20">
      <c r="A886" s="228"/>
      <c r="B886" s="229"/>
      <c r="C886" s="230"/>
      <c r="D886" s="229"/>
      <c r="E886" s="229"/>
      <c r="F886" s="229"/>
      <c r="G886" s="226"/>
      <c r="H886" s="257"/>
      <c r="I886" s="229"/>
      <c r="J886" s="229"/>
      <c r="K886" s="229"/>
      <c r="L886" s="229"/>
      <c r="M886" s="226"/>
      <c r="N886" s="226"/>
      <c r="O886" s="230"/>
      <c r="P886" s="229"/>
      <c r="Q886" s="229"/>
      <c r="R886" s="229"/>
      <c r="S886" s="234"/>
      <c r="T886" s="252"/>
    </row>
    <row r="887" spans="1:20">
      <c r="A887" s="228"/>
      <c r="B887" s="229"/>
      <c r="C887" s="230"/>
      <c r="D887" s="229"/>
      <c r="E887" s="229"/>
      <c r="F887" s="229"/>
      <c r="G887" s="226"/>
      <c r="H887" s="257"/>
      <c r="I887" s="229"/>
      <c r="J887" s="229"/>
      <c r="K887" s="229"/>
      <c r="L887" s="229"/>
      <c r="M887" s="226"/>
      <c r="N887" s="226"/>
      <c r="O887" s="230"/>
      <c r="P887" s="229"/>
      <c r="Q887" s="229"/>
      <c r="R887" s="229"/>
      <c r="S887" s="234"/>
      <c r="T887" s="252"/>
    </row>
    <row r="888" spans="1:20">
      <c r="A888" s="228"/>
      <c r="B888" s="229"/>
      <c r="C888" s="230"/>
      <c r="D888" s="229"/>
      <c r="E888" s="229"/>
      <c r="F888" s="229"/>
      <c r="G888" s="226"/>
      <c r="H888" s="257"/>
      <c r="I888" s="229"/>
      <c r="J888" s="229"/>
      <c r="K888" s="229"/>
      <c r="L888" s="229"/>
      <c r="M888" s="226"/>
      <c r="N888" s="226"/>
      <c r="O888" s="230"/>
      <c r="P888" s="229"/>
      <c r="Q888" s="229"/>
      <c r="R888" s="229"/>
      <c r="S888" s="234"/>
      <c r="T888" s="252"/>
    </row>
    <row r="889" spans="1:20">
      <c r="A889" s="228"/>
      <c r="B889" s="229"/>
      <c r="C889" s="230"/>
      <c r="D889" s="229"/>
      <c r="E889" s="229"/>
      <c r="F889" s="229"/>
      <c r="G889" s="226"/>
      <c r="H889" s="257"/>
      <c r="I889" s="229"/>
      <c r="J889" s="229"/>
      <c r="K889" s="229"/>
      <c r="L889" s="229"/>
      <c r="M889" s="226"/>
      <c r="N889" s="226"/>
      <c r="O889" s="230"/>
      <c r="P889" s="229"/>
      <c r="Q889" s="229"/>
      <c r="R889" s="229"/>
      <c r="S889" s="234"/>
      <c r="T889" s="252"/>
    </row>
    <row r="890" spans="1:20">
      <c r="A890" s="228"/>
      <c r="B890" s="229"/>
      <c r="C890" s="230"/>
      <c r="D890" s="229"/>
      <c r="E890" s="229"/>
      <c r="F890" s="229"/>
      <c r="G890" s="226"/>
      <c r="H890" s="257"/>
      <c r="I890" s="229"/>
      <c r="J890" s="229"/>
      <c r="K890" s="229"/>
      <c r="L890" s="229"/>
      <c r="M890" s="226"/>
      <c r="N890" s="226"/>
      <c r="O890" s="230"/>
      <c r="P890" s="229"/>
      <c r="Q890" s="229"/>
      <c r="R890" s="229"/>
      <c r="S890" s="234"/>
      <c r="T890" s="252"/>
    </row>
    <row r="891" spans="1:20">
      <c r="A891" s="228"/>
      <c r="B891" s="229"/>
      <c r="C891" s="230"/>
      <c r="D891" s="229"/>
      <c r="E891" s="229"/>
      <c r="F891" s="229"/>
      <c r="G891" s="226"/>
      <c r="H891" s="257"/>
      <c r="I891" s="229"/>
      <c r="J891" s="229"/>
      <c r="K891" s="229"/>
      <c r="L891" s="229"/>
      <c r="M891" s="226"/>
      <c r="N891" s="226"/>
      <c r="O891" s="230"/>
      <c r="P891" s="229"/>
      <c r="Q891" s="229"/>
      <c r="R891" s="229"/>
      <c r="S891" s="234"/>
      <c r="T891" s="252"/>
    </row>
    <row r="892" spans="1:20">
      <c r="A892" s="228"/>
      <c r="B892" s="229"/>
      <c r="C892" s="230"/>
      <c r="D892" s="229"/>
      <c r="E892" s="229"/>
      <c r="F892" s="229"/>
      <c r="G892" s="226"/>
      <c r="H892" s="257"/>
      <c r="I892" s="229"/>
      <c r="J892" s="229"/>
      <c r="K892" s="229"/>
      <c r="L892" s="229"/>
      <c r="M892" s="226"/>
      <c r="N892" s="226"/>
      <c r="O892" s="230"/>
      <c r="P892" s="229"/>
      <c r="Q892" s="229"/>
      <c r="R892" s="229"/>
      <c r="S892" s="234"/>
      <c r="T892" s="252"/>
    </row>
    <row r="893" spans="1:20">
      <c r="A893" s="228"/>
      <c r="B893" s="229"/>
      <c r="C893" s="230"/>
      <c r="D893" s="229"/>
      <c r="E893" s="229"/>
      <c r="F893" s="229"/>
      <c r="G893" s="226"/>
      <c r="H893" s="257"/>
      <c r="I893" s="229"/>
      <c r="J893" s="229"/>
      <c r="K893" s="229"/>
      <c r="L893" s="229"/>
      <c r="M893" s="226"/>
      <c r="N893" s="226"/>
      <c r="O893" s="230"/>
      <c r="P893" s="229"/>
      <c r="Q893" s="229"/>
      <c r="R893" s="229"/>
      <c r="S893" s="234"/>
      <c r="T893" s="252"/>
    </row>
    <row r="894" spans="1:20">
      <c r="A894" s="228"/>
      <c r="B894" s="229"/>
      <c r="C894" s="230"/>
      <c r="D894" s="229"/>
      <c r="E894" s="229"/>
      <c r="F894" s="229"/>
      <c r="G894" s="226"/>
      <c r="H894" s="257"/>
      <c r="I894" s="229"/>
      <c r="J894" s="229"/>
      <c r="K894" s="229"/>
      <c r="L894" s="229"/>
      <c r="M894" s="226"/>
      <c r="N894" s="226"/>
      <c r="O894" s="230"/>
      <c r="P894" s="229"/>
      <c r="Q894" s="229"/>
      <c r="R894" s="229"/>
      <c r="S894" s="234"/>
      <c r="T894" s="252"/>
    </row>
    <row r="895" spans="1:20">
      <c r="A895" s="228"/>
      <c r="B895" s="229"/>
      <c r="C895" s="230"/>
      <c r="D895" s="229"/>
      <c r="E895" s="229"/>
      <c r="F895" s="229"/>
      <c r="G895" s="226"/>
      <c r="H895" s="257"/>
      <c r="I895" s="229"/>
      <c r="J895" s="229"/>
      <c r="K895" s="229"/>
      <c r="L895" s="229"/>
      <c r="M895" s="226"/>
      <c r="N895" s="226"/>
      <c r="O895" s="230"/>
      <c r="P895" s="229"/>
      <c r="Q895" s="229"/>
      <c r="R895" s="229"/>
      <c r="S895" s="234"/>
      <c r="T895" s="252"/>
    </row>
    <row r="896" spans="1:20">
      <c r="A896" s="228"/>
      <c r="B896" s="229"/>
      <c r="C896" s="230"/>
      <c r="D896" s="229"/>
      <c r="E896" s="229"/>
      <c r="F896" s="229"/>
      <c r="G896" s="226"/>
      <c r="H896" s="257"/>
      <c r="I896" s="229"/>
      <c r="J896" s="229"/>
      <c r="K896" s="229"/>
      <c r="L896" s="229"/>
      <c r="M896" s="226"/>
      <c r="N896" s="226"/>
      <c r="O896" s="230"/>
      <c r="P896" s="229"/>
      <c r="Q896" s="229"/>
      <c r="R896" s="229"/>
      <c r="S896" s="234"/>
      <c r="T896" s="252"/>
    </row>
    <row r="897" spans="1:20">
      <c r="A897" s="228"/>
      <c r="B897" s="229"/>
      <c r="C897" s="230"/>
      <c r="D897" s="229"/>
      <c r="E897" s="229"/>
      <c r="F897" s="229"/>
      <c r="G897" s="226"/>
      <c r="H897" s="257"/>
      <c r="I897" s="229"/>
      <c r="J897" s="229"/>
      <c r="K897" s="229"/>
      <c r="L897" s="229"/>
      <c r="M897" s="226"/>
      <c r="N897" s="226"/>
      <c r="O897" s="230"/>
      <c r="P897" s="229"/>
      <c r="Q897" s="229"/>
      <c r="R897" s="229"/>
      <c r="S897" s="234"/>
      <c r="T897" s="252"/>
    </row>
    <row r="898" spans="1:20">
      <c r="A898" s="228"/>
      <c r="B898" s="229"/>
      <c r="C898" s="230"/>
      <c r="D898" s="229"/>
      <c r="E898" s="229"/>
      <c r="F898" s="229"/>
      <c r="G898" s="226"/>
      <c r="H898" s="257"/>
      <c r="I898" s="229"/>
      <c r="J898" s="229"/>
      <c r="K898" s="229"/>
      <c r="L898" s="229"/>
      <c r="M898" s="226"/>
      <c r="N898" s="226"/>
      <c r="O898" s="230"/>
      <c r="P898" s="229"/>
      <c r="Q898" s="229"/>
      <c r="R898" s="229"/>
      <c r="S898" s="234"/>
      <c r="T898" s="252"/>
    </row>
    <row r="899" spans="1:20">
      <c r="A899" s="228"/>
      <c r="B899" s="229"/>
      <c r="C899" s="230"/>
      <c r="D899" s="229"/>
      <c r="E899" s="229"/>
      <c r="F899" s="229"/>
      <c r="G899" s="226"/>
      <c r="H899" s="257"/>
      <c r="I899" s="229"/>
      <c r="J899" s="229"/>
      <c r="K899" s="229"/>
      <c r="L899" s="229"/>
      <c r="M899" s="226"/>
      <c r="N899" s="226"/>
      <c r="O899" s="230"/>
      <c r="P899" s="229"/>
      <c r="Q899" s="229"/>
      <c r="R899" s="229"/>
      <c r="S899" s="234"/>
      <c r="T899" s="252"/>
    </row>
    <row r="900" spans="1:20">
      <c r="A900" s="228"/>
      <c r="B900" s="229"/>
      <c r="C900" s="230"/>
      <c r="D900" s="229"/>
      <c r="E900" s="229"/>
      <c r="F900" s="229"/>
      <c r="G900" s="226"/>
      <c r="H900" s="257"/>
      <c r="I900" s="229"/>
      <c r="J900" s="229"/>
      <c r="K900" s="229"/>
      <c r="L900" s="229"/>
      <c r="M900" s="226"/>
      <c r="N900" s="226"/>
      <c r="O900" s="230"/>
      <c r="P900" s="229"/>
      <c r="Q900" s="229"/>
      <c r="R900" s="229"/>
      <c r="S900" s="234"/>
      <c r="T900" s="252"/>
    </row>
    <row r="901" spans="1:20">
      <c r="A901" s="228"/>
      <c r="B901" s="229"/>
      <c r="C901" s="230"/>
      <c r="D901" s="229"/>
      <c r="E901" s="229"/>
      <c r="F901" s="229"/>
      <c r="G901" s="226"/>
      <c r="H901" s="257"/>
      <c r="I901" s="229"/>
      <c r="J901" s="229"/>
      <c r="K901" s="229"/>
      <c r="L901" s="229"/>
      <c r="M901" s="226"/>
      <c r="N901" s="226"/>
      <c r="O901" s="230"/>
      <c r="P901" s="229"/>
      <c r="Q901" s="229"/>
      <c r="R901" s="229"/>
      <c r="S901" s="234"/>
      <c r="T901" s="252"/>
    </row>
    <row r="902" spans="1:20">
      <c r="A902" s="228"/>
      <c r="B902" s="229"/>
      <c r="C902" s="230"/>
      <c r="D902" s="229"/>
      <c r="E902" s="229"/>
      <c r="F902" s="229"/>
      <c r="G902" s="226"/>
      <c r="H902" s="257"/>
      <c r="I902" s="229"/>
      <c r="J902" s="229"/>
      <c r="K902" s="229"/>
      <c r="L902" s="229"/>
      <c r="M902" s="226"/>
      <c r="N902" s="226"/>
      <c r="O902" s="230"/>
      <c r="P902" s="229"/>
      <c r="Q902" s="229"/>
      <c r="R902" s="229"/>
      <c r="S902" s="234"/>
      <c r="T902" s="252"/>
    </row>
    <row r="903" spans="1:20">
      <c r="A903" s="228"/>
      <c r="B903" s="229"/>
      <c r="C903" s="230"/>
      <c r="D903" s="229"/>
      <c r="E903" s="229"/>
      <c r="F903" s="229"/>
      <c r="G903" s="226"/>
      <c r="H903" s="257"/>
      <c r="I903" s="229"/>
      <c r="J903" s="229"/>
      <c r="K903" s="229"/>
      <c r="L903" s="229"/>
      <c r="M903" s="226"/>
      <c r="N903" s="226"/>
      <c r="O903" s="230"/>
      <c r="P903" s="229"/>
      <c r="Q903" s="229"/>
      <c r="R903" s="229"/>
      <c r="S903" s="234"/>
      <c r="T903" s="252"/>
    </row>
    <row r="904" spans="1:20">
      <c r="A904" s="228"/>
      <c r="B904" s="229"/>
      <c r="C904" s="230"/>
      <c r="D904" s="229"/>
      <c r="E904" s="229"/>
      <c r="F904" s="229"/>
      <c r="G904" s="226"/>
      <c r="H904" s="257"/>
      <c r="I904" s="229"/>
      <c r="J904" s="229"/>
      <c r="K904" s="229"/>
      <c r="L904" s="229"/>
      <c r="M904" s="226"/>
      <c r="N904" s="226"/>
      <c r="O904" s="230"/>
      <c r="P904" s="229"/>
      <c r="Q904" s="229"/>
      <c r="R904" s="229"/>
      <c r="S904" s="234"/>
      <c r="T904" s="252"/>
    </row>
    <row r="905" spans="1:20">
      <c r="A905" s="228"/>
      <c r="B905" s="229"/>
      <c r="C905" s="230"/>
      <c r="D905" s="229"/>
      <c r="E905" s="229"/>
      <c r="F905" s="229"/>
      <c r="G905" s="226"/>
      <c r="H905" s="257"/>
      <c r="I905" s="229"/>
      <c r="J905" s="229"/>
      <c r="K905" s="229"/>
      <c r="L905" s="229"/>
      <c r="M905" s="226"/>
      <c r="N905" s="226"/>
      <c r="O905" s="230"/>
      <c r="P905" s="229"/>
      <c r="Q905" s="229"/>
      <c r="R905" s="229"/>
      <c r="S905" s="234"/>
      <c r="T905" s="252"/>
    </row>
    <row r="906" spans="1:20">
      <c r="A906" s="228"/>
      <c r="B906" s="229"/>
      <c r="C906" s="230"/>
      <c r="D906" s="229"/>
      <c r="E906" s="229"/>
      <c r="F906" s="229"/>
      <c r="G906" s="226"/>
      <c r="H906" s="257"/>
      <c r="I906" s="229"/>
      <c r="J906" s="229"/>
      <c r="K906" s="229"/>
      <c r="L906" s="229"/>
      <c r="M906" s="226"/>
      <c r="N906" s="226"/>
      <c r="O906" s="230"/>
      <c r="P906" s="229"/>
      <c r="Q906" s="229"/>
      <c r="R906" s="229"/>
      <c r="S906" s="234"/>
      <c r="T906" s="252"/>
    </row>
    <row r="907" spans="1:20">
      <c r="A907" s="228"/>
      <c r="B907" s="229"/>
      <c r="C907" s="230"/>
      <c r="D907" s="229"/>
      <c r="E907" s="229"/>
      <c r="F907" s="229"/>
      <c r="G907" s="226"/>
      <c r="H907" s="257"/>
      <c r="I907" s="229"/>
      <c r="J907" s="229"/>
      <c r="K907" s="229"/>
      <c r="L907" s="229"/>
      <c r="M907" s="226"/>
      <c r="N907" s="226"/>
      <c r="O907" s="230"/>
      <c r="P907" s="229"/>
      <c r="Q907" s="229"/>
      <c r="R907" s="229"/>
      <c r="S907" s="234"/>
      <c r="T907" s="252"/>
    </row>
    <row r="908" spans="1:20">
      <c r="A908" s="228"/>
      <c r="B908" s="229"/>
      <c r="C908" s="230"/>
      <c r="D908" s="229"/>
      <c r="E908" s="229"/>
      <c r="F908" s="229"/>
      <c r="G908" s="226"/>
      <c r="H908" s="257"/>
      <c r="I908" s="229"/>
      <c r="J908" s="229"/>
      <c r="K908" s="229"/>
      <c r="L908" s="229"/>
      <c r="M908" s="226"/>
      <c r="N908" s="226"/>
      <c r="O908" s="230"/>
      <c r="P908" s="229"/>
      <c r="Q908" s="229"/>
      <c r="R908" s="229"/>
      <c r="S908" s="234"/>
      <c r="T908" s="252"/>
    </row>
    <row r="909" spans="1:20">
      <c r="A909" s="228"/>
      <c r="B909" s="229"/>
      <c r="C909" s="230"/>
      <c r="D909" s="229"/>
      <c r="E909" s="229"/>
      <c r="F909" s="229"/>
      <c r="G909" s="226"/>
      <c r="H909" s="257"/>
      <c r="I909" s="229"/>
      <c r="J909" s="229"/>
      <c r="K909" s="229"/>
      <c r="L909" s="229"/>
      <c r="M909" s="226"/>
      <c r="N909" s="226"/>
      <c r="O909" s="230"/>
      <c r="P909" s="229"/>
      <c r="Q909" s="229"/>
      <c r="R909" s="229"/>
      <c r="S909" s="234"/>
      <c r="T909" s="252"/>
    </row>
    <row r="910" spans="1:20">
      <c r="A910" s="228"/>
      <c r="B910" s="229"/>
      <c r="C910" s="230"/>
      <c r="D910" s="229"/>
      <c r="E910" s="229"/>
      <c r="F910" s="229"/>
      <c r="G910" s="226"/>
      <c r="H910" s="257"/>
      <c r="I910" s="229"/>
      <c r="J910" s="229"/>
      <c r="K910" s="229"/>
      <c r="L910" s="229"/>
      <c r="M910" s="226"/>
      <c r="N910" s="226"/>
      <c r="O910" s="230"/>
      <c r="P910" s="229"/>
      <c r="Q910" s="229"/>
      <c r="R910" s="229"/>
      <c r="S910" s="234"/>
      <c r="T910" s="252"/>
    </row>
    <row r="911" spans="1:20">
      <c r="A911" s="228"/>
      <c r="B911" s="229"/>
      <c r="C911" s="230"/>
      <c r="D911" s="229"/>
      <c r="E911" s="229"/>
      <c r="F911" s="229"/>
      <c r="G911" s="226"/>
      <c r="H911" s="257"/>
      <c r="I911" s="229"/>
      <c r="J911" s="229"/>
      <c r="K911" s="229"/>
      <c r="L911" s="229"/>
      <c r="M911" s="226"/>
      <c r="N911" s="226"/>
      <c r="O911" s="230"/>
      <c r="P911" s="229"/>
      <c r="Q911" s="229"/>
      <c r="R911" s="229"/>
      <c r="S911" s="234"/>
      <c r="T911" s="252"/>
    </row>
    <row r="912" spans="1:20">
      <c r="A912" s="228"/>
      <c r="B912" s="229"/>
      <c r="C912" s="230"/>
      <c r="D912" s="229"/>
      <c r="E912" s="229"/>
      <c r="F912" s="229"/>
      <c r="G912" s="226"/>
      <c r="H912" s="257"/>
      <c r="I912" s="229"/>
      <c r="J912" s="229"/>
      <c r="K912" s="229"/>
      <c r="L912" s="229"/>
      <c r="M912" s="226"/>
      <c r="N912" s="226"/>
      <c r="O912" s="230"/>
      <c r="P912" s="229"/>
      <c r="Q912" s="229"/>
      <c r="R912" s="229"/>
      <c r="S912" s="234"/>
      <c r="T912" s="252"/>
    </row>
    <row r="913" spans="1:20">
      <c r="A913" s="228"/>
      <c r="B913" s="229"/>
      <c r="C913" s="230"/>
      <c r="D913" s="229"/>
      <c r="E913" s="229"/>
      <c r="F913" s="229"/>
      <c r="G913" s="226"/>
      <c r="H913" s="257"/>
      <c r="I913" s="229"/>
      <c r="J913" s="229"/>
      <c r="K913" s="229"/>
      <c r="L913" s="229"/>
      <c r="M913" s="226"/>
      <c r="N913" s="226"/>
      <c r="O913" s="230"/>
      <c r="P913" s="229"/>
      <c r="Q913" s="229"/>
      <c r="R913" s="229"/>
      <c r="S913" s="234"/>
      <c r="T913" s="252"/>
    </row>
    <row r="914" spans="1:20">
      <c r="A914" s="228"/>
      <c r="B914" s="229"/>
      <c r="C914" s="230"/>
      <c r="D914" s="229"/>
      <c r="E914" s="229"/>
      <c r="F914" s="229"/>
      <c r="G914" s="226"/>
      <c r="H914" s="257"/>
      <c r="I914" s="229"/>
      <c r="J914" s="229"/>
      <c r="K914" s="229"/>
      <c r="L914" s="229"/>
      <c r="M914" s="226"/>
      <c r="N914" s="226"/>
      <c r="O914" s="230"/>
      <c r="P914" s="229"/>
      <c r="Q914" s="229"/>
      <c r="R914" s="229"/>
      <c r="S914" s="234"/>
      <c r="T914" s="252"/>
    </row>
    <row r="915" spans="1:20">
      <c r="A915" s="228"/>
      <c r="B915" s="229"/>
      <c r="C915" s="230"/>
      <c r="D915" s="229"/>
      <c r="E915" s="229"/>
      <c r="F915" s="229"/>
      <c r="G915" s="226"/>
      <c r="H915" s="257"/>
      <c r="I915" s="229"/>
      <c r="J915" s="229"/>
      <c r="K915" s="229"/>
      <c r="L915" s="229"/>
      <c r="M915" s="226"/>
      <c r="N915" s="226"/>
      <c r="O915" s="230"/>
      <c r="P915" s="229"/>
      <c r="Q915" s="229"/>
      <c r="R915" s="229"/>
      <c r="S915" s="234"/>
      <c r="T915" s="252"/>
    </row>
    <row r="916" spans="1:20">
      <c r="A916" s="228"/>
      <c r="B916" s="229"/>
      <c r="C916" s="230"/>
      <c r="D916" s="229"/>
      <c r="E916" s="229"/>
      <c r="F916" s="229"/>
      <c r="G916" s="226"/>
      <c r="H916" s="257"/>
      <c r="I916" s="229"/>
      <c r="J916" s="229"/>
      <c r="K916" s="229"/>
      <c r="L916" s="229"/>
      <c r="M916" s="226"/>
      <c r="N916" s="226"/>
      <c r="O916" s="230"/>
      <c r="P916" s="229"/>
      <c r="Q916" s="229"/>
      <c r="R916" s="229"/>
      <c r="S916" s="234"/>
      <c r="T916" s="252"/>
    </row>
    <row r="917" spans="1:20">
      <c r="A917" s="228"/>
      <c r="B917" s="229"/>
      <c r="C917" s="230"/>
      <c r="D917" s="229"/>
      <c r="E917" s="229"/>
      <c r="F917" s="229"/>
      <c r="G917" s="226"/>
      <c r="H917" s="257"/>
      <c r="I917" s="229"/>
      <c r="J917" s="229"/>
      <c r="K917" s="229"/>
      <c r="L917" s="229"/>
      <c r="M917" s="226"/>
      <c r="N917" s="226"/>
      <c r="O917" s="230"/>
      <c r="P917" s="229"/>
      <c r="Q917" s="229"/>
      <c r="R917" s="229"/>
      <c r="S917" s="234"/>
      <c r="T917" s="252"/>
    </row>
    <row r="918" spans="1:20">
      <c r="A918" s="228"/>
      <c r="B918" s="229"/>
      <c r="C918" s="230"/>
      <c r="D918" s="229"/>
      <c r="E918" s="229"/>
      <c r="F918" s="229"/>
      <c r="G918" s="226"/>
      <c r="H918" s="257"/>
      <c r="I918" s="229"/>
      <c r="J918" s="229"/>
      <c r="K918" s="229"/>
      <c r="L918" s="229"/>
      <c r="M918" s="226"/>
      <c r="N918" s="226"/>
      <c r="O918" s="230"/>
      <c r="P918" s="229"/>
      <c r="Q918" s="229"/>
      <c r="R918" s="229"/>
      <c r="S918" s="234"/>
      <c r="T918" s="252"/>
    </row>
    <row r="919" spans="1:20">
      <c r="A919" s="228"/>
      <c r="B919" s="229"/>
      <c r="C919" s="230"/>
      <c r="D919" s="229"/>
      <c r="E919" s="229"/>
      <c r="F919" s="229"/>
      <c r="G919" s="226"/>
      <c r="H919" s="257"/>
      <c r="I919" s="229"/>
      <c r="J919" s="229"/>
      <c r="K919" s="229"/>
      <c r="L919" s="229"/>
      <c r="M919" s="226"/>
      <c r="N919" s="226"/>
      <c r="O919" s="230"/>
      <c r="P919" s="229"/>
      <c r="Q919" s="229"/>
      <c r="R919" s="229"/>
      <c r="S919" s="234"/>
      <c r="T919" s="252"/>
    </row>
    <row r="920" spans="1:20">
      <c r="A920" s="228"/>
      <c r="B920" s="229"/>
      <c r="C920" s="230"/>
      <c r="D920" s="229"/>
      <c r="E920" s="229"/>
      <c r="F920" s="229"/>
      <c r="G920" s="226"/>
      <c r="H920" s="257"/>
      <c r="I920" s="229"/>
      <c r="J920" s="229"/>
      <c r="K920" s="229"/>
      <c r="L920" s="229"/>
      <c r="M920" s="226"/>
      <c r="N920" s="226"/>
      <c r="O920" s="230"/>
      <c r="P920" s="229"/>
      <c r="Q920" s="229"/>
      <c r="R920" s="229"/>
      <c r="S920" s="234"/>
      <c r="T920" s="252"/>
    </row>
    <row r="921" spans="1:20">
      <c r="A921" s="228"/>
      <c r="B921" s="229"/>
      <c r="C921" s="230"/>
      <c r="D921" s="229"/>
      <c r="E921" s="229"/>
      <c r="F921" s="229"/>
      <c r="G921" s="226"/>
      <c r="H921" s="257"/>
      <c r="I921" s="229"/>
      <c r="J921" s="229"/>
      <c r="K921" s="229"/>
      <c r="L921" s="229"/>
      <c r="M921" s="226"/>
      <c r="N921" s="226"/>
      <c r="O921" s="230"/>
      <c r="P921" s="229"/>
      <c r="Q921" s="229"/>
      <c r="R921" s="229"/>
      <c r="S921" s="234"/>
      <c r="T921" s="252"/>
    </row>
    <row r="922" spans="1:20">
      <c r="A922" s="228"/>
      <c r="B922" s="229"/>
      <c r="C922" s="230"/>
      <c r="D922" s="229"/>
      <c r="E922" s="229"/>
      <c r="F922" s="229"/>
      <c r="G922" s="226"/>
      <c r="H922" s="257"/>
      <c r="I922" s="229"/>
      <c r="J922" s="229"/>
      <c r="K922" s="229"/>
      <c r="L922" s="229"/>
      <c r="M922" s="226"/>
      <c r="N922" s="226"/>
      <c r="O922" s="230"/>
      <c r="P922" s="229"/>
      <c r="Q922" s="229"/>
      <c r="R922" s="229"/>
      <c r="S922" s="234"/>
      <c r="T922" s="252"/>
    </row>
    <row r="923" spans="1:20">
      <c r="A923" s="228"/>
      <c r="B923" s="229"/>
      <c r="C923" s="230"/>
      <c r="D923" s="229"/>
      <c r="E923" s="229"/>
      <c r="F923" s="229"/>
      <c r="G923" s="226"/>
      <c r="H923" s="257"/>
      <c r="I923" s="229"/>
      <c r="J923" s="229"/>
      <c r="K923" s="229"/>
      <c r="L923" s="229"/>
      <c r="M923" s="226"/>
      <c r="N923" s="226"/>
      <c r="O923" s="230"/>
      <c r="P923" s="229"/>
      <c r="Q923" s="229"/>
      <c r="R923" s="229"/>
      <c r="S923" s="234"/>
      <c r="T923" s="252"/>
    </row>
    <row r="924" spans="1:20">
      <c r="A924" s="228"/>
      <c r="B924" s="229"/>
      <c r="C924" s="230"/>
      <c r="D924" s="229"/>
      <c r="E924" s="229"/>
      <c r="F924" s="229"/>
      <c r="G924" s="226"/>
      <c r="H924" s="257"/>
      <c r="I924" s="229"/>
      <c r="J924" s="229"/>
      <c r="K924" s="229"/>
      <c r="L924" s="229"/>
      <c r="M924" s="226"/>
      <c r="N924" s="226"/>
      <c r="O924" s="230"/>
      <c r="P924" s="229"/>
      <c r="Q924" s="229"/>
      <c r="R924" s="229"/>
      <c r="S924" s="234"/>
      <c r="T924" s="252"/>
    </row>
    <row r="925" spans="1:20">
      <c r="A925" s="228"/>
      <c r="B925" s="229"/>
      <c r="C925" s="230"/>
      <c r="D925" s="229"/>
      <c r="E925" s="229"/>
      <c r="F925" s="229"/>
      <c r="G925" s="226"/>
      <c r="H925" s="257"/>
      <c r="I925" s="229"/>
      <c r="J925" s="229"/>
      <c r="K925" s="229"/>
      <c r="L925" s="229"/>
      <c r="M925" s="226"/>
      <c r="N925" s="226"/>
      <c r="O925" s="230"/>
      <c r="P925" s="229"/>
      <c r="Q925" s="229"/>
      <c r="R925" s="229"/>
      <c r="S925" s="234"/>
      <c r="T925" s="252"/>
    </row>
    <row r="926" spans="1:20">
      <c r="A926" s="228"/>
      <c r="B926" s="229"/>
      <c r="C926" s="230"/>
      <c r="D926" s="229"/>
      <c r="E926" s="229"/>
      <c r="F926" s="229"/>
      <c r="G926" s="226"/>
      <c r="H926" s="257"/>
      <c r="I926" s="229"/>
      <c r="J926" s="229"/>
      <c r="K926" s="229"/>
      <c r="L926" s="229"/>
      <c r="M926" s="226"/>
      <c r="N926" s="226"/>
      <c r="O926" s="230"/>
      <c r="P926" s="229"/>
      <c r="Q926" s="229"/>
      <c r="R926" s="229"/>
      <c r="S926" s="234"/>
      <c r="T926" s="252"/>
    </row>
    <row r="927" spans="1:20">
      <c r="A927" s="228"/>
      <c r="B927" s="229"/>
      <c r="C927" s="230"/>
      <c r="D927" s="229"/>
      <c r="E927" s="229"/>
      <c r="F927" s="229"/>
      <c r="G927" s="226"/>
      <c r="H927" s="257"/>
      <c r="I927" s="229"/>
      <c r="J927" s="229"/>
      <c r="K927" s="229"/>
      <c r="L927" s="229"/>
      <c r="M927" s="226"/>
      <c r="N927" s="226"/>
      <c r="O927" s="230"/>
      <c r="P927" s="229"/>
      <c r="Q927" s="229"/>
      <c r="R927" s="229"/>
      <c r="S927" s="234"/>
      <c r="T927" s="252"/>
    </row>
    <row r="928" spans="1:20">
      <c r="A928" s="228"/>
      <c r="B928" s="229"/>
      <c r="C928" s="230"/>
      <c r="D928" s="229"/>
      <c r="E928" s="229"/>
      <c r="F928" s="229"/>
      <c r="G928" s="226"/>
      <c r="H928" s="257"/>
      <c r="I928" s="229"/>
      <c r="J928" s="229"/>
      <c r="K928" s="229"/>
      <c r="L928" s="229"/>
      <c r="M928" s="226"/>
      <c r="N928" s="226"/>
      <c r="O928" s="230"/>
      <c r="P928" s="229"/>
      <c r="Q928" s="229"/>
      <c r="R928" s="229"/>
      <c r="S928" s="234"/>
      <c r="T928" s="252"/>
    </row>
    <row r="929" spans="1:20">
      <c r="A929" s="228"/>
      <c r="B929" s="229"/>
      <c r="C929" s="230"/>
      <c r="D929" s="229"/>
      <c r="E929" s="229"/>
      <c r="F929" s="229"/>
      <c r="G929" s="226"/>
      <c r="H929" s="257"/>
      <c r="I929" s="229"/>
      <c r="J929" s="229"/>
      <c r="K929" s="229"/>
      <c r="L929" s="229"/>
      <c r="M929" s="226"/>
      <c r="N929" s="226"/>
      <c r="O929" s="230"/>
      <c r="P929" s="229"/>
      <c r="Q929" s="229"/>
      <c r="R929" s="229"/>
      <c r="S929" s="234"/>
      <c r="T929" s="252"/>
    </row>
    <row r="930" spans="1:20">
      <c r="A930" s="228"/>
      <c r="B930" s="229"/>
      <c r="C930" s="230"/>
      <c r="D930" s="229"/>
      <c r="E930" s="229"/>
      <c r="F930" s="229"/>
      <c r="G930" s="226"/>
      <c r="H930" s="257"/>
      <c r="I930" s="229"/>
      <c r="J930" s="229"/>
      <c r="K930" s="229"/>
      <c r="L930" s="229"/>
      <c r="M930" s="226"/>
      <c r="N930" s="226"/>
      <c r="O930" s="230"/>
      <c r="P930" s="229"/>
      <c r="Q930" s="229"/>
      <c r="R930" s="229"/>
      <c r="S930" s="234"/>
      <c r="T930" s="252"/>
    </row>
    <row r="931" spans="1:20">
      <c r="A931" s="228"/>
      <c r="B931" s="229"/>
      <c r="C931" s="230"/>
      <c r="D931" s="229"/>
      <c r="E931" s="229"/>
      <c r="F931" s="229"/>
      <c r="G931" s="226"/>
      <c r="H931" s="257"/>
      <c r="I931" s="229"/>
      <c r="J931" s="229"/>
      <c r="K931" s="229"/>
      <c r="L931" s="229"/>
      <c r="M931" s="226"/>
      <c r="N931" s="226"/>
      <c r="O931" s="230"/>
      <c r="P931" s="229"/>
      <c r="Q931" s="229"/>
      <c r="R931" s="229"/>
      <c r="S931" s="234"/>
      <c r="T931" s="252"/>
    </row>
    <row r="932" spans="1:20">
      <c r="A932" s="228"/>
      <c r="B932" s="229"/>
      <c r="C932" s="230"/>
      <c r="D932" s="229"/>
      <c r="E932" s="229"/>
      <c r="F932" s="229"/>
      <c r="G932" s="226"/>
      <c r="H932" s="257"/>
      <c r="I932" s="229"/>
      <c r="J932" s="229"/>
      <c r="K932" s="229"/>
      <c r="L932" s="229"/>
      <c r="M932" s="226"/>
      <c r="N932" s="226"/>
      <c r="O932" s="230"/>
      <c r="P932" s="229"/>
      <c r="Q932" s="229"/>
      <c r="R932" s="229"/>
      <c r="S932" s="234"/>
      <c r="T932" s="252"/>
    </row>
    <row r="933" spans="1:20">
      <c r="A933" s="228"/>
      <c r="B933" s="229"/>
      <c r="C933" s="230"/>
      <c r="D933" s="229"/>
      <c r="E933" s="229"/>
      <c r="F933" s="229"/>
      <c r="G933" s="226"/>
      <c r="H933" s="257"/>
      <c r="I933" s="229"/>
      <c r="J933" s="229"/>
      <c r="K933" s="229"/>
      <c r="L933" s="229"/>
      <c r="M933" s="226"/>
      <c r="N933" s="226"/>
      <c r="O933" s="230"/>
      <c r="P933" s="229"/>
      <c r="Q933" s="229"/>
      <c r="R933" s="229"/>
      <c r="S933" s="234"/>
      <c r="T933" s="252"/>
    </row>
    <row r="934" spans="1:20">
      <c r="A934" s="228"/>
      <c r="B934" s="229"/>
      <c r="C934" s="230"/>
      <c r="D934" s="229"/>
      <c r="E934" s="229"/>
      <c r="F934" s="229"/>
      <c r="G934" s="226"/>
      <c r="H934" s="257"/>
      <c r="I934" s="229"/>
      <c r="J934" s="229"/>
      <c r="K934" s="229"/>
      <c r="L934" s="229"/>
      <c r="M934" s="226"/>
      <c r="N934" s="226"/>
      <c r="O934" s="230"/>
      <c r="P934" s="229"/>
      <c r="Q934" s="229"/>
      <c r="R934" s="229"/>
      <c r="S934" s="234"/>
      <c r="T934" s="252"/>
    </row>
    <row r="935" spans="1:20">
      <c r="A935" s="228"/>
      <c r="B935" s="229"/>
      <c r="C935" s="230"/>
      <c r="D935" s="229"/>
      <c r="E935" s="229"/>
      <c r="F935" s="229"/>
      <c r="G935" s="226"/>
      <c r="H935" s="257"/>
      <c r="I935" s="229"/>
      <c r="J935" s="229"/>
      <c r="K935" s="229"/>
      <c r="L935" s="229"/>
      <c r="M935" s="226"/>
      <c r="N935" s="226"/>
      <c r="O935" s="230"/>
      <c r="P935" s="229"/>
      <c r="Q935" s="229"/>
      <c r="R935" s="229"/>
      <c r="S935" s="234"/>
      <c r="T935" s="252"/>
    </row>
    <row r="936" spans="1:20">
      <c r="A936" s="228"/>
      <c r="B936" s="229"/>
      <c r="C936" s="230"/>
      <c r="D936" s="229"/>
      <c r="E936" s="229"/>
      <c r="F936" s="229"/>
      <c r="G936" s="226"/>
      <c r="H936" s="257"/>
      <c r="I936" s="229"/>
      <c r="J936" s="229"/>
      <c r="K936" s="229"/>
      <c r="L936" s="229"/>
      <c r="M936" s="226"/>
      <c r="N936" s="226"/>
      <c r="O936" s="230"/>
      <c r="P936" s="229"/>
      <c r="Q936" s="229"/>
      <c r="R936" s="229"/>
      <c r="S936" s="234"/>
      <c r="T936" s="252"/>
    </row>
    <row r="937" spans="1:20">
      <c r="A937" s="228"/>
      <c r="B937" s="229"/>
      <c r="C937" s="230"/>
      <c r="D937" s="229"/>
      <c r="E937" s="229"/>
      <c r="F937" s="229"/>
      <c r="G937" s="226"/>
      <c r="H937" s="257"/>
      <c r="I937" s="229"/>
      <c r="J937" s="229"/>
      <c r="K937" s="229"/>
      <c r="L937" s="229"/>
      <c r="M937" s="226"/>
      <c r="N937" s="226"/>
      <c r="O937" s="230"/>
      <c r="P937" s="229"/>
      <c r="Q937" s="229"/>
      <c r="R937" s="229"/>
      <c r="S937" s="234"/>
      <c r="T937" s="252"/>
    </row>
    <row r="938" spans="1:20">
      <c r="A938" s="228"/>
      <c r="B938" s="229"/>
      <c r="C938" s="230"/>
      <c r="D938" s="229"/>
      <c r="E938" s="229"/>
      <c r="F938" s="229"/>
      <c r="G938" s="226"/>
      <c r="H938" s="257"/>
      <c r="I938" s="229"/>
      <c r="J938" s="229"/>
      <c r="K938" s="229"/>
      <c r="L938" s="229"/>
      <c r="M938" s="226"/>
      <c r="N938" s="226"/>
      <c r="O938" s="230"/>
      <c r="P938" s="229"/>
      <c r="Q938" s="229"/>
      <c r="R938" s="229"/>
      <c r="S938" s="234"/>
      <c r="T938" s="252"/>
    </row>
    <row r="939" spans="1:20">
      <c r="A939" s="228"/>
      <c r="B939" s="229"/>
      <c r="C939" s="230"/>
      <c r="D939" s="229"/>
      <c r="E939" s="229"/>
      <c r="F939" s="229"/>
      <c r="G939" s="226"/>
      <c r="H939" s="257"/>
      <c r="I939" s="229"/>
      <c r="J939" s="229"/>
      <c r="K939" s="229"/>
      <c r="L939" s="229"/>
      <c r="M939" s="226"/>
      <c r="N939" s="226"/>
      <c r="O939" s="230"/>
      <c r="P939" s="229"/>
      <c r="Q939" s="229"/>
      <c r="R939" s="229"/>
      <c r="S939" s="234"/>
      <c r="T939" s="252"/>
    </row>
    <row r="940" spans="1:20">
      <c r="A940" s="228"/>
      <c r="B940" s="229"/>
      <c r="C940" s="230"/>
      <c r="D940" s="229"/>
      <c r="E940" s="229"/>
      <c r="F940" s="229"/>
      <c r="G940" s="226"/>
      <c r="H940" s="257"/>
      <c r="I940" s="229"/>
      <c r="J940" s="229"/>
      <c r="K940" s="229"/>
      <c r="L940" s="229"/>
      <c r="M940" s="226"/>
      <c r="N940" s="226"/>
      <c r="O940" s="230"/>
      <c r="P940" s="229"/>
      <c r="Q940" s="229"/>
      <c r="R940" s="229"/>
      <c r="S940" s="234"/>
      <c r="T940" s="252"/>
    </row>
    <row r="941" spans="1:20">
      <c r="A941" s="228"/>
      <c r="B941" s="229"/>
      <c r="C941" s="230"/>
      <c r="D941" s="229"/>
      <c r="E941" s="229"/>
      <c r="F941" s="229"/>
      <c r="G941" s="226"/>
      <c r="H941" s="257"/>
      <c r="I941" s="229"/>
      <c r="J941" s="229"/>
      <c r="K941" s="229"/>
      <c r="L941" s="229"/>
      <c r="M941" s="226"/>
      <c r="N941" s="226"/>
      <c r="O941" s="230"/>
      <c r="P941" s="229"/>
      <c r="Q941" s="229"/>
      <c r="R941" s="229"/>
      <c r="S941" s="234"/>
      <c r="T941" s="252"/>
    </row>
    <row r="942" spans="1:20">
      <c r="A942" s="228"/>
      <c r="B942" s="229"/>
      <c r="C942" s="230"/>
      <c r="D942" s="229"/>
      <c r="E942" s="229"/>
      <c r="F942" s="229"/>
      <c r="G942" s="226"/>
      <c r="H942" s="257"/>
      <c r="I942" s="229"/>
      <c r="J942" s="229"/>
      <c r="K942" s="229"/>
      <c r="L942" s="229"/>
      <c r="M942" s="226"/>
      <c r="N942" s="226"/>
      <c r="O942" s="230"/>
      <c r="P942" s="229"/>
      <c r="Q942" s="229"/>
      <c r="R942" s="229"/>
      <c r="S942" s="234"/>
      <c r="T942" s="252"/>
    </row>
    <row r="943" spans="1:20">
      <c r="A943" s="228"/>
      <c r="B943" s="229"/>
      <c r="C943" s="230"/>
      <c r="D943" s="229"/>
      <c r="E943" s="229"/>
      <c r="F943" s="229"/>
      <c r="G943" s="226"/>
      <c r="H943" s="257"/>
      <c r="I943" s="229"/>
      <c r="J943" s="229"/>
      <c r="K943" s="229"/>
      <c r="L943" s="229"/>
      <c r="M943" s="226"/>
      <c r="N943" s="226"/>
      <c r="O943" s="230"/>
      <c r="P943" s="229"/>
      <c r="Q943" s="229"/>
      <c r="R943" s="229"/>
      <c r="S943" s="234"/>
      <c r="T943" s="252"/>
    </row>
    <row r="944" spans="1:20">
      <c r="A944" s="228"/>
      <c r="B944" s="229"/>
      <c r="C944" s="230"/>
      <c r="D944" s="229"/>
      <c r="E944" s="229"/>
      <c r="F944" s="229"/>
      <c r="G944" s="226"/>
      <c r="H944" s="257"/>
      <c r="I944" s="229"/>
      <c r="J944" s="229"/>
      <c r="K944" s="229"/>
      <c r="L944" s="229"/>
      <c r="M944" s="226"/>
      <c r="N944" s="226"/>
      <c r="O944" s="230"/>
      <c r="P944" s="229"/>
      <c r="Q944" s="229"/>
      <c r="R944" s="229"/>
      <c r="S944" s="234"/>
      <c r="T944" s="252"/>
    </row>
    <row r="945" spans="1:20">
      <c r="A945" s="228"/>
      <c r="B945" s="229"/>
      <c r="C945" s="230"/>
      <c r="D945" s="229"/>
      <c r="E945" s="229"/>
      <c r="F945" s="229"/>
      <c r="G945" s="226"/>
      <c r="H945" s="257"/>
      <c r="I945" s="229"/>
      <c r="J945" s="229"/>
      <c r="K945" s="229"/>
      <c r="L945" s="229"/>
      <c r="M945" s="226"/>
      <c r="N945" s="226"/>
      <c r="O945" s="230"/>
      <c r="P945" s="229"/>
      <c r="Q945" s="229"/>
      <c r="R945" s="229"/>
      <c r="S945" s="234"/>
      <c r="T945" s="252"/>
    </row>
    <row r="946" spans="1:20">
      <c r="A946" s="228"/>
      <c r="B946" s="229"/>
      <c r="C946" s="230"/>
      <c r="D946" s="229"/>
      <c r="E946" s="229"/>
      <c r="F946" s="229"/>
      <c r="G946" s="226"/>
      <c r="H946" s="257"/>
      <c r="I946" s="229"/>
      <c r="J946" s="229"/>
      <c r="K946" s="229"/>
      <c r="L946" s="229"/>
      <c r="M946" s="226"/>
      <c r="N946" s="226"/>
      <c r="O946" s="230"/>
      <c r="P946" s="229"/>
      <c r="Q946" s="229"/>
      <c r="R946" s="229"/>
      <c r="S946" s="234"/>
      <c r="T946" s="252"/>
    </row>
    <row r="947" spans="1:20">
      <c r="A947" s="228"/>
      <c r="B947" s="229"/>
      <c r="C947" s="230"/>
      <c r="D947" s="229"/>
      <c r="E947" s="229"/>
      <c r="F947" s="229"/>
      <c r="G947" s="226"/>
      <c r="H947" s="257"/>
      <c r="I947" s="229"/>
      <c r="J947" s="229"/>
      <c r="K947" s="229"/>
      <c r="L947" s="229"/>
      <c r="M947" s="226"/>
      <c r="N947" s="226"/>
      <c r="O947" s="230"/>
      <c r="P947" s="229"/>
      <c r="Q947" s="229"/>
      <c r="R947" s="229"/>
      <c r="S947" s="234"/>
      <c r="T947" s="252"/>
    </row>
    <row r="948" spans="1:20">
      <c r="A948" s="228"/>
      <c r="B948" s="229"/>
      <c r="C948" s="230"/>
      <c r="D948" s="229"/>
      <c r="E948" s="229"/>
      <c r="F948" s="229"/>
      <c r="G948" s="226"/>
      <c r="H948" s="257"/>
      <c r="I948" s="229"/>
      <c r="J948" s="229"/>
      <c r="K948" s="229"/>
      <c r="L948" s="229"/>
      <c r="M948" s="226"/>
      <c r="N948" s="226"/>
      <c r="O948" s="230"/>
      <c r="P948" s="229"/>
      <c r="Q948" s="229"/>
      <c r="R948" s="229"/>
      <c r="S948" s="234"/>
      <c r="T948" s="252"/>
    </row>
    <row r="949" spans="1:20">
      <c r="A949" s="228"/>
      <c r="B949" s="229"/>
      <c r="C949" s="230"/>
      <c r="D949" s="229"/>
      <c r="E949" s="229"/>
      <c r="F949" s="229"/>
      <c r="G949" s="226"/>
      <c r="H949" s="257"/>
      <c r="I949" s="229"/>
      <c r="J949" s="229"/>
      <c r="K949" s="229"/>
      <c r="L949" s="229"/>
      <c r="M949" s="226"/>
      <c r="N949" s="226"/>
      <c r="O949" s="230"/>
      <c r="P949" s="229"/>
      <c r="Q949" s="229"/>
      <c r="R949" s="229"/>
      <c r="S949" s="234"/>
      <c r="T949" s="252"/>
    </row>
    <row r="950" spans="1:20">
      <c r="A950" s="228"/>
      <c r="B950" s="229"/>
      <c r="C950" s="230"/>
      <c r="D950" s="229"/>
      <c r="E950" s="229"/>
      <c r="F950" s="229"/>
      <c r="G950" s="226"/>
      <c r="H950" s="257"/>
      <c r="I950" s="229"/>
      <c r="J950" s="229"/>
      <c r="K950" s="229"/>
      <c r="L950" s="229"/>
      <c r="M950" s="226"/>
      <c r="N950" s="226"/>
      <c r="O950" s="230"/>
      <c r="P950" s="229"/>
      <c r="Q950" s="229"/>
      <c r="R950" s="229"/>
      <c r="S950" s="234"/>
      <c r="T950" s="252"/>
    </row>
    <row r="951" spans="1:20">
      <c r="A951" s="228"/>
      <c r="B951" s="229"/>
      <c r="C951" s="230"/>
      <c r="D951" s="229"/>
      <c r="E951" s="229"/>
      <c r="F951" s="229"/>
      <c r="G951" s="226"/>
      <c r="H951" s="257"/>
      <c r="I951" s="229"/>
      <c r="J951" s="229"/>
      <c r="K951" s="229"/>
      <c r="L951" s="229"/>
      <c r="M951" s="226"/>
      <c r="N951" s="226"/>
      <c r="O951" s="230"/>
      <c r="P951" s="229"/>
      <c r="Q951" s="229"/>
      <c r="R951" s="229"/>
      <c r="S951" s="234"/>
      <c r="T951" s="252"/>
    </row>
    <row r="952" spans="1:20">
      <c r="A952" s="228"/>
      <c r="B952" s="229"/>
      <c r="C952" s="230"/>
      <c r="D952" s="229"/>
      <c r="E952" s="229"/>
      <c r="F952" s="229"/>
      <c r="G952" s="226"/>
      <c r="H952" s="257"/>
      <c r="I952" s="229"/>
      <c r="J952" s="229"/>
      <c r="K952" s="229"/>
      <c r="L952" s="229"/>
      <c r="M952" s="226"/>
      <c r="N952" s="226"/>
      <c r="O952" s="230"/>
      <c r="P952" s="229"/>
      <c r="Q952" s="229"/>
      <c r="R952" s="229"/>
      <c r="S952" s="234"/>
      <c r="T952" s="252"/>
    </row>
    <row r="953" spans="1:20">
      <c r="A953" s="228"/>
      <c r="B953" s="229"/>
      <c r="C953" s="230"/>
      <c r="D953" s="229"/>
      <c r="E953" s="229"/>
      <c r="F953" s="229"/>
      <c r="G953" s="226"/>
      <c r="H953" s="257"/>
      <c r="I953" s="229"/>
      <c r="J953" s="229"/>
      <c r="K953" s="229"/>
      <c r="L953" s="229"/>
      <c r="M953" s="226"/>
      <c r="N953" s="226"/>
      <c r="O953" s="230"/>
      <c r="P953" s="229"/>
      <c r="Q953" s="229"/>
      <c r="R953" s="229"/>
      <c r="S953" s="234"/>
      <c r="T953" s="252"/>
    </row>
    <row r="954" spans="1:20">
      <c r="A954" s="228"/>
      <c r="B954" s="229"/>
      <c r="C954" s="230"/>
      <c r="D954" s="229"/>
      <c r="E954" s="229"/>
      <c r="F954" s="229"/>
      <c r="G954" s="226"/>
      <c r="H954" s="257"/>
      <c r="I954" s="229"/>
      <c r="J954" s="229"/>
      <c r="K954" s="229"/>
      <c r="L954" s="229"/>
      <c r="M954" s="226"/>
      <c r="N954" s="226"/>
      <c r="O954" s="230"/>
      <c r="P954" s="229"/>
      <c r="Q954" s="229"/>
      <c r="R954" s="229"/>
      <c r="S954" s="234"/>
      <c r="T954" s="252"/>
    </row>
    <row r="955" spans="1:20">
      <c r="A955" s="228"/>
      <c r="B955" s="229"/>
      <c r="C955" s="230"/>
      <c r="D955" s="229"/>
      <c r="E955" s="229"/>
      <c r="F955" s="229"/>
      <c r="G955" s="226"/>
      <c r="H955" s="257"/>
      <c r="I955" s="229"/>
      <c r="J955" s="229"/>
      <c r="K955" s="229"/>
      <c r="L955" s="229"/>
      <c r="M955" s="226"/>
      <c r="N955" s="226"/>
      <c r="O955" s="230"/>
      <c r="P955" s="229"/>
      <c r="Q955" s="229"/>
      <c r="R955" s="229"/>
      <c r="S955" s="234"/>
      <c r="T955" s="252"/>
    </row>
    <row r="956" spans="1:20">
      <c r="A956" s="228"/>
      <c r="B956" s="229"/>
      <c r="C956" s="230"/>
      <c r="D956" s="229"/>
      <c r="E956" s="229"/>
      <c r="F956" s="229"/>
      <c r="G956" s="226"/>
      <c r="H956" s="257"/>
      <c r="I956" s="229"/>
      <c r="J956" s="229"/>
      <c r="K956" s="229"/>
      <c r="L956" s="229"/>
      <c r="M956" s="226"/>
      <c r="N956" s="226"/>
      <c r="O956" s="230"/>
      <c r="P956" s="229"/>
      <c r="Q956" s="229"/>
      <c r="R956" s="229"/>
      <c r="S956" s="234"/>
      <c r="T956" s="252"/>
    </row>
    <row r="957" spans="1:20">
      <c r="A957" s="228"/>
      <c r="B957" s="229"/>
      <c r="C957" s="230"/>
      <c r="D957" s="229"/>
      <c r="E957" s="229"/>
      <c r="F957" s="229"/>
      <c r="G957" s="226"/>
      <c r="H957" s="257"/>
      <c r="I957" s="229"/>
      <c r="J957" s="229"/>
      <c r="K957" s="229"/>
      <c r="L957" s="229"/>
      <c r="M957" s="226"/>
      <c r="N957" s="226"/>
      <c r="O957" s="230"/>
      <c r="P957" s="229"/>
      <c r="Q957" s="229"/>
      <c r="R957" s="229"/>
      <c r="S957" s="234"/>
      <c r="T957" s="252"/>
    </row>
    <row r="958" spans="1:20">
      <c r="A958" s="228"/>
      <c r="B958" s="229"/>
      <c r="C958" s="230"/>
      <c r="D958" s="229"/>
      <c r="E958" s="229"/>
      <c r="F958" s="229"/>
      <c r="G958" s="226"/>
      <c r="H958" s="257"/>
      <c r="I958" s="229"/>
      <c r="J958" s="229"/>
      <c r="K958" s="229"/>
      <c r="L958" s="229"/>
      <c r="M958" s="226"/>
      <c r="N958" s="226"/>
      <c r="O958" s="230"/>
      <c r="P958" s="229"/>
      <c r="Q958" s="229"/>
      <c r="R958" s="229"/>
      <c r="S958" s="234"/>
      <c r="T958" s="252"/>
    </row>
    <row r="959" spans="1:20">
      <c r="A959" s="228"/>
      <c r="B959" s="229"/>
      <c r="C959" s="230"/>
      <c r="D959" s="229"/>
      <c r="E959" s="229"/>
      <c r="F959" s="229"/>
      <c r="G959" s="226"/>
      <c r="H959" s="257"/>
      <c r="I959" s="229"/>
      <c r="J959" s="229"/>
      <c r="K959" s="229"/>
      <c r="L959" s="229"/>
      <c r="M959" s="226"/>
      <c r="N959" s="226"/>
      <c r="O959" s="230"/>
      <c r="P959" s="229"/>
      <c r="Q959" s="229"/>
      <c r="R959" s="229"/>
      <c r="S959" s="234"/>
      <c r="T959" s="252"/>
    </row>
    <row r="960" spans="1:20">
      <c r="A960" s="228"/>
      <c r="B960" s="229"/>
      <c r="C960" s="230"/>
      <c r="D960" s="229"/>
      <c r="E960" s="229"/>
      <c r="F960" s="229"/>
      <c r="G960" s="226"/>
      <c r="H960" s="257"/>
      <c r="I960" s="229"/>
      <c r="J960" s="229"/>
      <c r="K960" s="229"/>
      <c r="L960" s="229"/>
      <c r="M960" s="226"/>
      <c r="N960" s="226"/>
      <c r="O960" s="230"/>
      <c r="P960" s="229"/>
      <c r="Q960" s="229"/>
      <c r="R960" s="229"/>
      <c r="S960" s="234"/>
      <c r="T960" s="252"/>
    </row>
    <row r="961" spans="1:20">
      <c r="A961" s="228"/>
      <c r="B961" s="229"/>
      <c r="C961" s="230"/>
      <c r="D961" s="229"/>
      <c r="E961" s="229"/>
      <c r="F961" s="229"/>
      <c r="G961" s="226"/>
      <c r="H961" s="257"/>
      <c r="I961" s="229"/>
      <c r="J961" s="229"/>
      <c r="K961" s="229"/>
      <c r="L961" s="229"/>
      <c r="M961" s="226"/>
      <c r="N961" s="226"/>
      <c r="O961" s="230"/>
      <c r="P961" s="229"/>
      <c r="Q961" s="229"/>
      <c r="R961" s="229"/>
      <c r="S961" s="234"/>
      <c r="T961" s="252"/>
    </row>
    <row r="962" spans="1:20">
      <c r="A962" s="228"/>
      <c r="B962" s="229"/>
      <c r="C962" s="230"/>
      <c r="D962" s="229"/>
      <c r="E962" s="229"/>
      <c r="F962" s="229"/>
      <c r="G962" s="226"/>
      <c r="H962" s="257"/>
      <c r="I962" s="229"/>
      <c r="J962" s="229"/>
      <c r="K962" s="229"/>
      <c r="L962" s="229"/>
      <c r="M962" s="226"/>
      <c r="N962" s="226"/>
      <c r="O962" s="230"/>
      <c r="P962" s="229"/>
      <c r="Q962" s="229"/>
      <c r="R962" s="229"/>
      <c r="S962" s="234"/>
      <c r="T962" s="252"/>
    </row>
    <row r="963" spans="1:20">
      <c r="A963" s="228"/>
      <c r="B963" s="229"/>
      <c r="C963" s="230"/>
      <c r="D963" s="229"/>
      <c r="E963" s="229"/>
      <c r="F963" s="229"/>
      <c r="G963" s="226"/>
      <c r="H963" s="257"/>
      <c r="I963" s="229"/>
      <c r="J963" s="229"/>
      <c r="K963" s="229"/>
      <c r="L963" s="229"/>
      <c r="M963" s="226"/>
      <c r="N963" s="226"/>
      <c r="O963" s="230"/>
      <c r="P963" s="229"/>
      <c r="Q963" s="229"/>
      <c r="R963" s="229"/>
      <c r="S963" s="234"/>
      <c r="T963" s="252"/>
    </row>
    <row r="964" spans="1:20">
      <c r="A964" s="228"/>
      <c r="B964" s="229"/>
      <c r="C964" s="230"/>
      <c r="D964" s="229"/>
      <c r="E964" s="229"/>
      <c r="F964" s="229"/>
      <c r="G964" s="226"/>
      <c r="H964" s="257"/>
      <c r="I964" s="229"/>
      <c r="J964" s="229"/>
      <c r="K964" s="229"/>
      <c r="L964" s="229"/>
      <c r="M964" s="226"/>
      <c r="N964" s="226"/>
      <c r="O964" s="230"/>
      <c r="P964" s="229"/>
      <c r="Q964" s="229"/>
      <c r="R964" s="229"/>
      <c r="S964" s="234"/>
      <c r="T964" s="252"/>
    </row>
    <row r="965" spans="1:20">
      <c r="A965" s="228"/>
      <c r="B965" s="229"/>
      <c r="C965" s="230"/>
      <c r="D965" s="229"/>
      <c r="E965" s="229"/>
      <c r="F965" s="229"/>
      <c r="G965" s="226"/>
      <c r="H965" s="257"/>
      <c r="I965" s="229"/>
      <c r="J965" s="229"/>
      <c r="K965" s="229"/>
      <c r="L965" s="229"/>
      <c r="M965" s="226"/>
      <c r="N965" s="226"/>
      <c r="O965" s="230"/>
      <c r="P965" s="229"/>
      <c r="Q965" s="229"/>
      <c r="R965" s="229"/>
      <c r="S965" s="234"/>
      <c r="T965" s="252"/>
    </row>
    <row r="966" spans="1:20">
      <c r="A966" s="228"/>
      <c r="B966" s="229"/>
      <c r="C966" s="230"/>
      <c r="D966" s="229"/>
      <c r="E966" s="229"/>
      <c r="F966" s="229"/>
      <c r="G966" s="226"/>
      <c r="H966" s="257"/>
      <c r="I966" s="229"/>
      <c r="J966" s="229"/>
      <c r="K966" s="229"/>
      <c r="L966" s="229"/>
      <c r="M966" s="226"/>
      <c r="N966" s="226"/>
      <c r="O966" s="230"/>
      <c r="P966" s="229"/>
      <c r="Q966" s="229"/>
      <c r="R966" s="229"/>
      <c r="S966" s="234"/>
      <c r="T966" s="252"/>
    </row>
    <row r="967" spans="1:20">
      <c r="A967" s="228"/>
      <c r="B967" s="229"/>
      <c r="C967" s="230"/>
      <c r="D967" s="229"/>
      <c r="E967" s="229"/>
      <c r="F967" s="229"/>
      <c r="G967" s="226"/>
      <c r="H967" s="257"/>
      <c r="I967" s="229"/>
      <c r="J967" s="229"/>
      <c r="K967" s="229"/>
      <c r="L967" s="229"/>
      <c r="M967" s="226"/>
      <c r="N967" s="226"/>
      <c r="O967" s="230"/>
      <c r="P967" s="229"/>
      <c r="Q967" s="229"/>
      <c r="R967" s="229"/>
      <c r="S967" s="234"/>
      <c r="T967" s="252"/>
    </row>
    <row r="968" spans="1:20">
      <c r="A968" s="228"/>
      <c r="B968" s="229"/>
      <c r="C968" s="230"/>
      <c r="D968" s="229"/>
      <c r="E968" s="229"/>
      <c r="F968" s="229"/>
      <c r="G968" s="226"/>
      <c r="H968" s="257"/>
      <c r="I968" s="229"/>
      <c r="J968" s="229"/>
      <c r="K968" s="229"/>
      <c r="L968" s="229"/>
      <c r="M968" s="226"/>
      <c r="N968" s="226"/>
      <c r="O968" s="230"/>
      <c r="P968" s="229"/>
      <c r="Q968" s="229"/>
      <c r="R968" s="229"/>
      <c r="S968" s="234"/>
      <c r="T968" s="252"/>
    </row>
    <row r="969" spans="1:20">
      <c r="A969" s="228"/>
      <c r="B969" s="229"/>
      <c r="C969" s="230"/>
      <c r="D969" s="229"/>
      <c r="E969" s="229"/>
      <c r="F969" s="229"/>
      <c r="G969" s="226"/>
      <c r="H969" s="257"/>
      <c r="I969" s="229"/>
      <c r="J969" s="229"/>
      <c r="K969" s="229"/>
      <c r="L969" s="229"/>
      <c r="M969" s="226"/>
      <c r="N969" s="226"/>
      <c r="O969" s="230"/>
      <c r="P969" s="229"/>
      <c r="Q969" s="229"/>
      <c r="R969" s="229"/>
      <c r="S969" s="234"/>
      <c r="T969" s="252"/>
    </row>
    <row r="970" spans="1:20">
      <c r="A970" s="228"/>
      <c r="B970" s="229"/>
      <c r="C970" s="230"/>
      <c r="D970" s="229"/>
      <c r="E970" s="229"/>
      <c r="F970" s="229"/>
      <c r="G970" s="226"/>
      <c r="H970" s="257"/>
      <c r="I970" s="229"/>
      <c r="J970" s="229"/>
      <c r="K970" s="229"/>
      <c r="L970" s="229"/>
      <c r="M970" s="226"/>
      <c r="N970" s="226"/>
      <c r="O970" s="230"/>
      <c r="P970" s="229"/>
      <c r="Q970" s="229"/>
      <c r="R970" s="229"/>
      <c r="S970" s="234"/>
      <c r="T970" s="252"/>
    </row>
    <row r="971" spans="1:20">
      <c r="A971" s="228"/>
      <c r="B971" s="229"/>
      <c r="C971" s="230"/>
      <c r="D971" s="229"/>
      <c r="E971" s="229"/>
      <c r="F971" s="229"/>
      <c r="G971" s="226"/>
      <c r="H971" s="257"/>
      <c r="I971" s="229"/>
      <c r="J971" s="229"/>
      <c r="K971" s="229"/>
      <c r="L971" s="229"/>
      <c r="M971" s="226"/>
      <c r="N971" s="226"/>
      <c r="O971" s="230"/>
      <c r="P971" s="229"/>
      <c r="Q971" s="229"/>
      <c r="R971" s="229"/>
      <c r="S971" s="234"/>
      <c r="T971" s="252"/>
    </row>
    <row r="972" spans="1:20">
      <c r="A972" s="228"/>
      <c r="B972" s="229"/>
      <c r="C972" s="230"/>
      <c r="D972" s="229"/>
      <c r="E972" s="229"/>
      <c r="F972" s="229"/>
      <c r="G972" s="226"/>
      <c r="H972" s="257"/>
      <c r="I972" s="229"/>
      <c r="J972" s="229"/>
      <c r="K972" s="229"/>
      <c r="L972" s="229"/>
      <c r="M972" s="226"/>
      <c r="N972" s="226"/>
      <c r="O972" s="230"/>
      <c r="P972" s="229"/>
      <c r="Q972" s="229"/>
      <c r="R972" s="229"/>
      <c r="S972" s="234"/>
      <c r="T972" s="252"/>
    </row>
    <row r="973" spans="1:20">
      <c r="A973" s="228"/>
      <c r="B973" s="229"/>
      <c r="C973" s="230"/>
      <c r="D973" s="229"/>
      <c r="E973" s="229"/>
      <c r="F973" s="229"/>
      <c r="G973" s="226"/>
      <c r="H973" s="257"/>
      <c r="I973" s="229"/>
      <c r="J973" s="229"/>
      <c r="K973" s="229"/>
      <c r="L973" s="229"/>
      <c r="M973" s="226"/>
      <c r="N973" s="226"/>
      <c r="O973" s="230"/>
      <c r="P973" s="229"/>
      <c r="Q973" s="229"/>
      <c r="R973" s="229"/>
      <c r="S973" s="234"/>
      <c r="T973" s="252"/>
    </row>
    <row r="974" spans="1:20">
      <c r="A974" s="228"/>
      <c r="B974" s="229"/>
      <c r="C974" s="230"/>
      <c r="D974" s="229"/>
      <c r="E974" s="229"/>
      <c r="F974" s="229"/>
      <c r="G974" s="226"/>
      <c r="H974" s="257"/>
      <c r="I974" s="229"/>
      <c r="J974" s="229"/>
      <c r="K974" s="229"/>
      <c r="L974" s="229"/>
      <c r="M974" s="226"/>
      <c r="N974" s="226"/>
      <c r="O974" s="230"/>
      <c r="P974" s="229"/>
      <c r="Q974" s="229"/>
      <c r="R974" s="229"/>
      <c r="S974" s="234"/>
      <c r="T974" s="252"/>
    </row>
    <row r="975" spans="1:20">
      <c r="A975" s="228"/>
      <c r="B975" s="229"/>
      <c r="C975" s="230"/>
      <c r="D975" s="229"/>
      <c r="E975" s="229"/>
      <c r="F975" s="229"/>
      <c r="G975" s="226"/>
      <c r="H975" s="257"/>
      <c r="I975" s="229"/>
      <c r="J975" s="229"/>
      <c r="K975" s="229"/>
      <c r="L975" s="229"/>
      <c r="M975" s="226"/>
      <c r="N975" s="226"/>
      <c r="O975" s="230"/>
      <c r="P975" s="229"/>
      <c r="Q975" s="229"/>
      <c r="R975" s="229"/>
      <c r="S975" s="234"/>
      <c r="T975" s="252"/>
    </row>
    <row r="976" spans="1:20">
      <c r="A976" s="228"/>
      <c r="B976" s="229"/>
      <c r="C976" s="230"/>
      <c r="D976" s="229"/>
      <c r="E976" s="229"/>
      <c r="F976" s="229"/>
      <c r="G976" s="226"/>
      <c r="H976" s="257"/>
      <c r="I976" s="229"/>
      <c r="J976" s="229"/>
      <c r="K976" s="229"/>
      <c r="L976" s="229"/>
      <c r="M976" s="226"/>
      <c r="N976" s="226"/>
      <c r="O976" s="230"/>
      <c r="P976" s="229"/>
      <c r="Q976" s="229"/>
      <c r="R976" s="229"/>
      <c r="S976" s="234"/>
      <c r="T976" s="252"/>
    </row>
    <row r="977" spans="1:20">
      <c r="A977" s="228"/>
      <c r="B977" s="229"/>
      <c r="C977" s="230"/>
      <c r="D977" s="229"/>
      <c r="E977" s="229"/>
      <c r="F977" s="229"/>
      <c r="G977" s="226"/>
      <c r="H977" s="257"/>
      <c r="I977" s="229"/>
      <c r="J977" s="229"/>
      <c r="K977" s="229"/>
      <c r="L977" s="229"/>
      <c r="M977" s="226"/>
      <c r="N977" s="226"/>
      <c r="O977" s="230"/>
      <c r="P977" s="229"/>
      <c r="Q977" s="229"/>
      <c r="R977" s="229"/>
      <c r="S977" s="234"/>
      <c r="T977" s="252"/>
    </row>
    <row r="978" spans="1:20">
      <c r="A978" s="228"/>
      <c r="B978" s="229"/>
      <c r="C978" s="230"/>
      <c r="D978" s="229"/>
      <c r="E978" s="229"/>
      <c r="F978" s="229"/>
      <c r="G978" s="226"/>
      <c r="H978" s="257"/>
      <c r="I978" s="229"/>
      <c r="J978" s="229"/>
      <c r="K978" s="229"/>
      <c r="L978" s="229"/>
      <c r="M978" s="226"/>
      <c r="N978" s="226"/>
      <c r="O978" s="230"/>
      <c r="P978" s="229"/>
      <c r="Q978" s="229"/>
      <c r="R978" s="229"/>
      <c r="S978" s="234"/>
      <c r="T978" s="252"/>
    </row>
    <row r="979" spans="1:20">
      <c r="A979" s="228"/>
      <c r="B979" s="229"/>
      <c r="C979" s="230"/>
      <c r="D979" s="229"/>
      <c r="E979" s="229"/>
      <c r="F979" s="229"/>
      <c r="G979" s="226"/>
      <c r="H979" s="257"/>
      <c r="I979" s="229"/>
      <c r="J979" s="229"/>
      <c r="K979" s="229"/>
      <c r="L979" s="229"/>
      <c r="M979" s="226"/>
      <c r="N979" s="226"/>
      <c r="O979" s="230"/>
      <c r="P979" s="229"/>
      <c r="Q979" s="229"/>
      <c r="R979" s="229"/>
      <c r="S979" s="234"/>
      <c r="T979" s="252"/>
    </row>
    <row r="980" spans="1:20">
      <c r="A980" s="228"/>
      <c r="B980" s="229"/>
      <c r="C980" s="230"/>
      <c r="D980" s="229"/>
      <c r="E980" s="229"/>
      <c r="F980" s="229"/>
      <c r="G980" s="226"/>
      <c r="H980" s="257"/>
      <c r="I980" s="229"/>
      <c r="J980" s="229"/>
      <c r="K980" s="229"/>
      <c r="L980" s="229"/>
      <c r="M980" s="226"/>
      <c r="N980" s="226"/>
      <c r="O980" s="230"/>
      <c r="P980" s="229"/>
      <c r="Q980" s="229"/>
      <c r="R980" s="229"/>
      <c r="S980" s="234"/>
      <c r="T980" s="252"/>
    </row>
    <row r="981" spans="1:20">
      <c r="A981" s="228"/>
      <c r="B981" s="229"/>
      <c r="C981" s="230"/>
      <c r="D981" s="229"/>
      <c r="E981" s="229"/>
      <c r="F981" s="229"/>
      <c r="G981" s="226"/>
      <c r="H981" s="257"/>
      <c r="I981" s="229"/>
      <c r="J981" s="229"/>
      <c r="K981" s="229"/>
      <c r="L981" s="229"/>
      <c r="M981" s="226"/>
      <c r="N981" s="226"/>
      <c r="O981" s="230"/>
      <c r="P981" s="229"/>
      <c r="Q981" s="229"/>
      <c r="R981" s="229"/>
      <c r="S981" s="234"/>
      <c r="T981" s="252"/>
    </row>
    <row r="982" spans="1:20">
      <c r="A982" s="228"/>
      <c r="B982" s="229"/>
      <c r="C982" s="230"/>
      <c r="D982" s="229"/>
      <c r="E982" s="229"/>
      <c r="F982" s="229"/>
      <c r="G982" s="226"/>
      <c r="H982" s="257"/>
      <c r="I982" s="229"/>
      <c r="J982" s="229"/>
      <c r="K982" s="229"/>
      <c r="L982" s="229"/>
      <c r="M982" s="226"/>
      <c r="N982" s="226"/>
      <c r="O982" s="230"/>
      <c r="P982" s="229"/>
      <c r="Q982" s="229"/>
      <c r="R982" s="229"/>
      <c r="S982" s="234"/>
      <c r="T982" s="252"/>
    </row>
    <row r="983" spans="1:20">
      <c r="A983" s="228"/>
      <c r="B983" s="229"/>
      <c r="C983" s="230"/>
      <c r="D983" s="229"/>
      <c r="E983" s="229"/>
      <c r="F983" s="229"/>
      <c r="G983" s="226"/>
      <c r="H983" s="257"/>
      <c r="I983" s="229"/>
      <c r="J983" s="229"/>
      <c r="K983" s="229"/>
      <c r="L983" s="229"/>
      <c r="M983" s="226"/>
      <c r="N983" s="226"/>
      <c r="O983" s="230"/>
      <c r="P983" s="229"/>
      <c r="Q983" s="229"/>
      <c r="R983" s="229"/>
      <c r="S983" s="234"/>
      <c r="T983" s="252"/>
    </row>
    <row r="984" spans="1:20">
      <c r="A984" s="228"/>
      <c r="B984" s="229"/>
      <c r="C984" s="230"/>
      <c r="D984" s="229"/>
      <c r="E984" s="229"/>
      <c r="F984" s="229"/>
      <c r="G984" s="226"/>
      <c r="H984" s="257"/>
      <c r="I984" s="229"/>
      <c r="J984" s="229"/>
      <c r="K984" s="229"/>
      <c r="L984" s="229"/>
      <c r="M984" s="226"/>
      <c r="N984" s="226"/>
      <c r="O984" s="230"/>
      <c r="P984" s="229"/>
      <c r="Q984" s="229"/>
      <c r="R984" s="229"/>
      <c r="S984" s="234"/>
      <c r="T984" s="252"/>
    </row>
    <row r="985" spans="1:20">
      <c r="A985" s="228"/>
      <c r="B985" s="229"/>
      <c r="C985" s="230"/>
      <c r="D985" s="229"/>
      <c r="E985" s="229"/>
      <c r="F985" s="229"/>
      <c r="G985" s="226"/>
      <c r="H985" s="257"/>
      <c r="I985" s="229"/>
      <c r="J985" s="229"/>
      <c r="K985" s="229"/>
      <c r="L985" s="229"/>
      <c r="M985" s="226"/>
      <c r="N985" s="226"/>
      <c r="O985" s="230"/>
      <c r="P985" s="229"/>
      <c r="Q985" s="229"/>
      <c r="R985" s="229"/>
      <c r="S985" s="234"/>
      <c r="T985" s="252"/>
    </row>
    <row r="986" spans="1:20">
      <c r="A986" s="228"/>
      <c r="B986" s="229"/>
      <c r="C986" s="230"/>
      <c r="D986" s="229"/>
      <c r="E986" s="229"/>
      <c r="F986" s="229"/>
      <c r="G986" s="226"/>
      <c r="H986" s="257"/>
      <c r="I986" s="229"/>
      <c r="J986" s="229"/>
      <c r="K986" s="229"/>
      <c r="L986" s="229"/>
      <c r="M986" s="226"/>
      <c r="N986" s="226"/>
      <c r="O986" s="230"/>
      <c r="P986" s="229"/>
      <c r="Q986" s="229"/>
      <c r="R986" s="229"/>
      <c r="S986" s="234"/>
      <c r="T986" s="252"/>
    </row>
    <row r="987" spans="1:20">
      <c r="A987" s="228"/>
      <c r="B987" s="229"/>
      <c r="C987" s="230"/>
      <c r="D987" s="229"/>
      <c r="E987" s="229"/>
      <c r="F987" s="229"/>
      <c r="G987" s="226"/>
      <c r="H987" s="257"/>
      <c r="I987" s="229"/>
      <c r="J987" s="229"/>
      <c r="K987" s="229"/>
      <c r="L987" s="229"/>
      <c r="M987" s="226"/>
      <c r="N987" s="226"/>
      <c r="O987" s="230"/>
      <c r="P987" s="229"/>
      <c r="Q987" s="229"/>
      <c r="R987" s="229"/>
      <c r="S987" s="234"/>
      <c r="T987" s="252"/>
    </row>
    <row r="988" spans="1:20">
      <c r="A988" s="228"/>
      <c r="B988" s="229"/>
      <c r="C988" s="230"/>
      <c r="D988" s="229"/>
      <c r="E988" s="229"/>
      <c r="F988" s="229"/>
      <c r="G988" s="226"/>
      <c r="H988" s="257"/>
      <c r="I988" s="229"/>
      <c r="J988" s="229"/>
      <c r="K988" s="229"/>
      <c r="L988" s="229"/>
      <c r="M988" s="226"/>
      <c r="N988" s="226"/>
      <c r="O988" s="230"/>
      <c r="P988" s="229"/>
      <c r="Q988" s="229"/>
      <c r="R988" s="229"/>
      <c r="S988" s="234"/>
      <c r="T988" s="252"/>
    </row>
    <row r="989" spans="1:20">
      <c r="A989" s="228"/>
      <c r="B989" s="229"/>
      <c r="C989" s="230"/>
      <c r="D989" s="229"/>
      <c r="E989" s="229"/>
      <c r="F989" s="229"/>
      <c r="G989" s="226"/>
      <c r="H989" s="257"/>
      <c r="I989" s="229"/>
      <c r="J989" s="229"/>
      <c r="K989" s="229"/>
      <c r="L989" s="229"/>
      <c r="M989" s="226"/>
      <c r="N989" s="226"/>
      <c r="O989" s="230"/>
      <c r="P989" s="229"/>
      <c r="Q989" s="229"/>
      <c r="R989" s="229"/>
      <c r="S989" s="234"/>
      <c r="T989" s="252"/>
    </row>
    <row r="990" spans="1:20">
      <c r="A990" s="228"/>
      <c r="B990" s="229"/>
      <c r="C990" s="230"/>
      <c r="D990" s="229"/>
      <c r="E990" s="229"/>
      <c r="F990" s="229"/>
      <c r="G990" s="226"/>
      <c r="H990" s="257"/>
      <c r="I990" s="229"/>
      <c r="J990" s="229"/>
      <c r="K990" s="229"/>
      <c r="L990" s="229"/>
      <c r="M990" s="226"/>
      <c r="N990" s="226"/>
      <c r="O990" s="230"/>
      <c r="P990" s="229"/>
      <c r="Q990" s="229"/>
      <c r="R990" s="229"/>
      <c r="S990" s="234"/>
      <c r="T990" s="252"/>
    </row>
    <row r="991" spans="1:20">
      <c r="A991" s="228"/>
      <c r="B991" s="229"/>
      <c r="C991" s="230"/>
      <c r="D991" s="229"/>
      <c r="E991" s="229"/>
      <c r="F991" s="229"/>
      <c r="G991" s="226"/>
      <c r="H991" s="257"/>
      <c r="I991" s="229"/>
      <c r="J991" s="229"/>
      <c r="K991" s="229"/>
      <c r="L991" s="229"/>
      <c r="M991" s="226"/>
      <c r="N991" s="226"/>
      <c r="O991" s="230"/>
      <c r="P991" s="229"/>
      <c r="Q991" s="229"/>
      <c r="R991" s="229"/>
      <c r="S991" s="234"/>
      <c r="T991" s="252"/>
    </row>
    <row r="992" spans="1:20">
      <c r="A992" s="228"/>
      <c r="B992" s="229"/>
      <c r="C992" s="230"/>
      <c r="D992" s="229"/>
      <c r="E992" s="229"/>
      <c r="F992" s="229"/>
      <c r="G992" s="226"/>
      <c r="H992" s="257"/>
      <c r="I992" s="229"/>
      <c r="J992" s="229"/>
      <c r="K992" s="229"/>
      <c r="L992" s="229"/>
      <c r="M992" s="226"/>
      <c r="N992" s="226"/>
      <c r="O992" s="230"/>
      <c r="P992" s="229"/>
      <c r="Q992" s="229"/>
      <c r="R992" s="229"/>
      <c r="S992" s="234"/>
      <c r="T992" s="252"/>
    </row>
    <row r="993" spans="1:20">
      <c r="A993" s="228"/>
      <c r="B993" s="229"/>
      <c r="C993" s="230"/>
      <c r="D993" s="229"/>
      <c r="E993" s="229"/>
      <c r="F993" s="229"/>
      <c r="G993" s="226"/>
      <c r="H993" s="257"/>
      <c r="I993" s="229"/>
      <c r="J993" s="229"/>
      <c r="K993" s="229"/>
      <c r="L993" s="229"/>
      <c r="M993" s="226"/>
      <c r="N993" s="226"/>
      <c r="O993" s="230"/>
      <c r="P993" s="229"/>
      <c r="Q993" s="229"/>
      <c r="R993" s="229"/>
      <c r="S993" s="234"/>
      <c r="T993" s="252"/>
    </row>
    <row r="994" spans="1:20">
      <c r="A994" s="228"/>
      <c r="B994" s="229"/>
      <c r="C994" s="230"/>
      <c r="D994" s="229"/>
      <c r="E994" s="229"/>
      <c r="F994" s="229"/>
      <c r="G994" s="226"/>
      <c r="H994" s="257"/>
      <c r="I994" s="229"/>
      <c r="J994" s="229"/>
      <c r="K994" s="229"/>
      <c r="L994" s="229"/>
      <c r="M994" s="226"/>
      <c r="N994" s="226"/>
      <c r="O994" s="230"/>
      <c r="P994" s="229"/>
      <c r="Q994" s="229"/>
      <c r="R994" s="229"/>
      <c r="S994" s="234"/>
      <c r="T994" s="252"/>
    </row>
    <row r="995" spans="1:20">
      <c r="A995" s="228"/>
      <c r="B995" s="229"/>
      <c r="C995" s="230"/>
      <c r="D995" s="229"/>
      <c r="E995" s="229"/>
      <c r="F995" s="229"/>
      <c r="G995" s="226"/>
      <c r="H995" s="257"/>
      <c r="I995" s="229"/>
      <c r="J995" s="229"/>
      <c r="K995" s="229"/>
      <c r="L995" s="229"/>
      <c r="M995" s="226"/>
      <c r="N995" s="226"/>
      <c r="O995" s="230"/>
      <c r="P995" s="229"/>
      <c r="Q995" s="229"/>
      <c r="R995" s="229"/>
      <c r="S995" s="234"/>
      <c r="T995" s="252"/>
    </row>
    <row r="996" spans="1:20">
      <c r="A996" s="228"/>
      <c r="B996" s="229"/>
      <c r="C996" s="230"/>
      <c r="D996" s="229"/>
      <c r="E996" s="229"/>
      <c r="F996" s="229"/>
      <c r="G996" s="226"/>
      <c r="H996" s="257"/>
      <c r="I996" s="229"/>
      <c r="J996" s="229"/>
      <c r="K996" s="229"/>
      <c r="L996" s="229"/>
      <c r="M996" s="226"/>
      <c r="N996" s="226"/>
      <c r="O996" s="230"/>
      <c r="P996" s="229"/>
      <c r="Q996" s="229"/>
      <c r="R996" s="229"/>
      <c r="S996" s="234"/>
      <c r="T996" s="252"/>
    </row>
    <row r="997" spans="1:20">
      <c r="A997" s="228"/>
      <c r="B997" s="229"/>
      <c r="C997" s="230"/>
      <c r="D997" s="229"/>
      <c r="E997" s="229"/>
      <c r="F997" s="229"/>
      <c r="G997" s="226"/>
      <c r="H997" s="257"/>
      <c r="I997" s="229"/>
      <c r="J997" s="229"/>
      <c r="K997" s="229"/>
      <c r="L997" s="229"/>
      <c r="M997" s="226"/>
      <c r="N997" s="226"/>
      <c r="O997" s="230"/>
      <c r="P997" s="229"/>
      <c r="Q997" s="229"/>
      <c r="R997" s="229"/>
      <c r="S997" s="234"/>
      <c r="T997" s="252"/>
    </row>
    <row r="998" spans="1:20">
      <c r="A998" s="228"/>
      <c r="B998" s="229"/>
      <c r="C998" s="230"/>
      <c r="D998" s="229"/>
      <c r="E998" s="229"/>
      <c r="F998" s="229"/>
      <c r="G998" s="226"/>
      <c r="H998" s="257"/>
      <c r="I998" s="229"/>
      <c r="J998" s="229"/>
      <c r="K998" s="229"/>
      <c r="L998" s="229"/>
      <c r="M998" s="226"/>
      <c r="N998" s="226"/>
      <c r="O998" s="230"/>
      <c r="P998" s="229"/>
      <c r="Q998" s="229"/>
      <c r="R998" s="229"/>
      <c r="S998" s="234"/>
      <c r="T998" s="252"/>
    </row>
    <row r="999" spans="1:20">
      <c r="A999" s="228"/>
      <c r="B999" s="229"/>
      <c r="C999" s="230"/>
      <c r="D999" s="229"/>
      <c r="E999" s="229"/>
      <c r="F999" s="229"/>
      <c r="G999" s="226"/>
      <c r="H999" s="257"/>
      <c r="I999" s="229"/>
      <c r="J999" s="229"/>
      <c r="K999" s="229"/>
      <c r="L999" s="229"/>
      <c r="M999" s="226"/>
      <c r="N999" s="226"/>
      <c r="O999" s="230"/>
      <c r="P999" s="229"/>
      <c r="Q999" s="229"/>
      <c r="R999" s="229"/>
      <c r="S999" s="234"/>
      <c r="T999" s="252"/>
    </row>
    <row r="1000" spans="1:20">
      <c r="A1000" s="231"/>
      <c r="B1000" s="232"/>
      <c r="C1000" s="233"/>
      <c r="D1000" s="232"/>
      <c r="E1000" s="232"/>
      <c r="F1000" s="232"/>
      <c r="G1000" s="227"/>
      <c r="H1000" s="258"/>
      <c r="I1000" s="232"/>
      <c r="J1000" s="232"/>
      <c r="K1000" s="232"/>
      <c r="L1000" s="232"/>
      <c r="M1000" s="227"/>
      <c r="N1000" s="227"/>
      <c r="O1000" s="233"/>
      <c r="P1000" s="232"/>
      <c r="Q1000" s="232"/>
      <c r="R1000" s="232"/>
      <c r="S1000" s="235"/>
      <c r="T1000" s="253"/>
    </row>
  </sheetData>
  <mergeCells count="4">
    <mergeCell ref="V1:W1"/>
    <mergeCell ref="A1:U1"/>
    <mergeCell ref="A2:U2"/>
    <mergeCell ref="A3:U3"/>
  </mergeCells>
  <phoneticPr fontId="36" type="noConversion"/>
  <conditionalFormatting sqref="J6:J1000">
    <cfRule type="expression" dxfId="17" priority="4">
      <formula>J6="SUDAH TERBANGUN"</formula>
    </cfRule>
    <cfRule type="expression" dxfId="16" priority="5">
      <formula>J6="LAHAN TERSEDIA / BELUM TERBANGUN"</formula>
    </cfRule>
  </conditionalFormatting>
  <conditionalFormatting sqref="L6:L1000">
    <cfRule type="expression" dxfId="15" priority="1">
      <formula>L6="SUDAH DISERAHKAN"</formula>
    </cfRule>
    <cfRule type="expression" dxfId="14" priority="2">
      <formula>L6="BELUM DISERAHKAN"</formula>
    </cfRule>
    <cfRule type="expression" dxfId="13" priority="3">
      <formula>L6="SEBAGIAN"</formula>
    </cfRule>
  </conditionalFormatting>
  <dataValidations count="8">
    <dataValidation type="list" sqref="E6:E1000" xr:uid="{00000000-0002-0000-0100-000001000000}">
      <formula1>"PRASARANA,SARANA,UTILITAS UMUM,LAINNYA"</formula1>
    </dataValidation>
    <dataValidation type="list" sqref="F6:F1000" xr:uid="{00000000-0002-0000-0100-000002000000}">
      <formula1>$W$3:$W$24</formula1>
    </dataValidation>
    <dataValidation type="list" sqref="J6:J1000" xr:uid="{00000000-0002-0000-0100-000003000000}">
      <formula1>"m²,unit,titik,meter,set,lainnya"</formula1>
    </dataValidation>
    <dataValidation type="list" sqref="K6:K1000" xr:uid="{00000000-0002-0000-0100-000004000000}">
      <formula1>"SUDAH TERBANGUN,LAHAN TERSEDIA / BELUM TERBANGUN,BELUM TERBANGUN,BELUM TERSEDIA,TIDAK BERLAKU"</formula1>
    </dataValidation>
    <dataValidation type="list" sqref="L6:L1000" xr:uid="{00000000-0002-0000-0100-000005000000}">
      <formula1>"YA,TIDAK"</formula1>
    </dataValidation>
    <dataValidation type="list" sqref="M6:M1000" xr:uid="{00000000-0002-0000-0100-000006000000}">
      <formula1>"BELUM DISERAHKAN,SEBAGIAN,SUDAH DISERAHKAN,TIDAK BERLAKU"</formula1>
    </dataValidation>
    <dataValidation type="list" sqref="R6:R1000" xr:uid="{00000000-0002-0000-0100-000007000000}">
      <formula1>"Site Plan,Berita Acara Serah Terima,Verifikasi Lapangan,Dokumen Lainnya"</formula1>
    </dataValidation>
    <dataValidation type="list" sqref="S6:S1000"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1" t="s">
        <v>1334</v>
      </c>
      <c r="B1" s="271"/>
      <c r="C1" s="271"/>
      <c r="D1" s="271"/>
      <c r="E1" s="271"/>
      <c r="F1" s="271"/>
      <c r="G1" s="271"/>
      <c r="H1" s="271"/>
      <c r="I1" s="271"/>
      <c r="J1" s="271"/>
      <c r="K1" s="271"/>
      <c r="L1" s="272"/>
      <c r="M1" s="272"/>
      <c r="N1" s="272"/>
      <c r="O1" s="272"/>
      <c r="P1" s="272"/>
      <c r="Q1" s="272"/>
      <c r="R1" s="272"/>
    </row>
    <row r="2" spans="1:18" ht="4.25" customHeight="1">
      <c r="A2" s="273" t="s">
        <v>1335</v>
      </c>
      <c r="B2" s="273"/>
      <c r="C2" s="273"/>
      <c r="D2" s="273"/>
      <c r="E2" s="273"/>
      <c r="F2" s="273"/>
      <c r="G2" s="273"/>
      <c r="H2" s="273"/>
      <c r="I2" s="273"/>
      <c r="J2" s="273"/>
      <c r="K2" s="273"/>
      <c r="L2" s="274"/>
      <c r="M2" s="274"/>
      <c r="N2" s="274"/>
      <c r="O2" s="274"/>
      <c r="P2" s="274"/>
      <c r="Q2" s="274"/>
      <c r="R2" s="274"/>
    </row>
    <row r="3" spans="1:18" ht="7.5" customHeight="1">
      <c r="A3" s="275" t="s">
        <v>1336</v>
      </c>
      <c r="B3" s="275"/>
      <c r="C3" s="275"/>
      <c r="D3" s="275"/>
      <c r="E3" s="275"/>
      <c r="F3" s="275"/>
      <c r="G3" s="275"/>
      <c r="H3" s="275"/>
      <c r="I3" s="275"/>
      <c r="J3" s="275"/>
      <c r="K3" s="275"/>
      <c r="L3" s="276"/>
      <c r="M3" s="276"/>
      <c r="N3" s="276"/>
      <c r="O3" s="276"/>
      <c r="P3" s="276"/>
      <c r="Q3" s="276"/>
      <c r="R3" s="276"/>
    </row>
    <row r="5" spans="1:18" ht="28">
      <c r="A5" s="79" t="s">
        <v>1337</v>
      </c>
      <c r="B5" s="80" t="s">
        <v>1338</v>
      </c>
      <c r="C5" s="80" t="s">
        <v>1339</v>
      </c>
      <c r="D5" s="80" t="s">
        <v>1340</v>
      </c>
      <c r="E5" s="80" t="s">
        <v>1341</v>
      </c>
      <c r="F5" s="80" t="s">
        <v>1342</v>
      </c>
      <c r="G5" s="80" t="s">
        <v>1343</v>
      </c>
      <c r="H5" s="80" t="s">
        <v>1344</v>
      </c>
      <c r="I5" s="80" t="s">
        <v>1345</v>
      </c>
      <c r="J5" s="80" t="s">
        <v>1346</v>
      </c>
      <c r="K5" s="81" t="s">
        <v>1347</v>
      </c>
      <c r="L5" s="82" t="s">
        <v>1348</v>
      </c>
      <c r="M5" s="82" t="s">
        <v>27</v>
      </c>
      <c r="N5" s="82" t="s">
        <v>28</v>
      </c>
      <c r="O5" s="82" t="s">
        <v>29</v>
      </c>
      <c r="P5" s="82" t="s">
        <v>30</v>
      </c>
      <c r="Q5" s="82" t="s">
        <v>31</v>
      </c>
      <c r="R5" s="83" t="s">
        <v>1275</v>
      </c>
    </row>
    <row r="6" spans="1:18" ht="28">
      <c r="A6" s="84" t="s">
        <v>1349</v>
      </c>
      <c r="B6" s="85" t="s">
        <v>1350</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1351</v>
      </c>
      <c r="O6" s="91" t="s">
        <v>223</v>
      </c>
      <c r="P6" s="92"/>
      <c r="Q6" s="91"/>
      <c r="R6" s="91"/>
    </row>
    <row r="7" spans="1:18" ht="28">
      <c r="A7" s="93" t="s">
        <v>1352</v>
      </c>
      <c r="B7" s="94" t="s">
        <v>1350</v>
      </c>
      <c r="C7" s="94" t="s">
        <v>1353</v>
      </c>
      <c r="D7" s="95">
        <v>5264</v>
      </c>
      <c r="E7" s="95">
        <v>3173</v>
      </c>
      <c r="F7" s="95">
        <v>646</v>
      </c>
      <c r="G7" s="95">
        <v>925</v>
      </c>
      <c r="H7" s="95">
        <v>21</v>
      </c>
      <c r="I7" s="95">
        <v>40</v>
      </c>
      <c r="J7" s="96">
        <f t="shared" si="0"/>
        <v>4805</v>
      </c>
      <c r="K7" s="97">
        <f t="shared" si="1"/>
        <v>1632</v>
      </c>
      <c r="L7" s="89">
        <f t="shared" si="2"/>
        <v>1424</v>
      </c>
      <c r="M7" s="90">
        <v>2023</v>
      </c>
      <c r="N7" s="91" t="s">
        <v>1351</v>
      </c>
      <c r="O7" s="91" t="s">
        <v>223</v>
      </c>
      <c r="P7" s="92"/>
      <c r="Q7" s="91"/>
      <c r="R7" s="91"/>
    </row>
    <row r="8" spans="1:18" ht="28">
      <c r="A8" s="93" t="s">
        <v>1354</v>
      </c>
      <c r="B8" s="94" t="s">
        <v>1350</v>
      </c>
      <c r="C8" s="94" t="s">
        <v>126</v>
      </c>
      <c r="D8" s="95">
        <v>5982</v>
      </c>
      <c r="E8" s="95">
        <v>4318</v>
      </c>
      <c r="F8" s="95">
        <v>528</v>
      </c>
      <c r="G8" s="95">
        <v>922</v>
      </c>
      <c r="H8" s="95">
        <v>6</v>
      </c>
      <c r="I8" s="95">
        <v>15</v>
      </c>
      <c r="J8" s="96">
        <f t="shared" si="0"/>
        <v>5789</v>
      </c>
      <c r="K8" s="97">
        <f t="shared" si="1"/>
        <v>1471</v>
      </c>
      <c r="L8" s="89">
        <f t="shared" si="2"/>
        <v>1130</v>
      </c>
      <c r="M8" s="90">
        <v>2023</v>
      </c>
      <c r="N8" s="91" t="s">
        <v>1351</v>
      </c>
      <c r="O8" s="91" t="s">
        <v>223</v>
      </c>
      <c r="P8" s="92"/>
      <c r="Q8" s="91"/>
      <c r="R8" s="91"/>
    </row>
    <row r="9" spans="1:18" ht="28">
      <c r="A9" s="93" t="s">
        <v>1355</v>
      </c>
      <c r="B9" s="94" t="s">
        <v>1350</v>
      </c>
      <c r="C9" s="94" t="s">
        <v>1199</v>
      </c>
      <c r="D9" s="95">
        <v>10299</v>
      </c>
      <c r="E9" s="95">
        <v>6419</v>
      </c>
      <c r="F9" s="95">
        <v>1740</v>
      </c>
      <c r="G9" s="95">
        <v>1344</v>
      </c>
      <c r="H9" s="95">
        <v>100</v>
      </c>
      <c r="I9" s="95">
        <v>76</v>
      </c>
      <c r="J9" s="96">
        <f t="shared" si="0"/>
        <v>9679</v>
      </c>
      <c r="K9" s="97">
        <f t="shared" si="1"/>
        <v>3260</v>
      </c>
      <c r="L9" s="89">
        <f t="shared" si="2"/>
        <v>2040</v>
      </c>
      <c r="M9" s="90">
        <v>2023</v>
      </c>
      <c r="N9" s="91" t="s">
        <v>1351</v>
      </c>
      <c r="O9" s="91" t="s">
        <v>223</v>
      </c>
      <c r="P9" s="92"/>
      <c r="Q9" s="91"/>
      <c r="R9" s="91"/>
    </row>
    <row r="10" spans="1:18" ht="28">
      <c r="A10" s="93" t="s">
        <v>1356</v>
      </c>
      <c r="B10" s="94" t="s">
        <v>1350</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1351</v>
      </c>
      <c r="O10" s="91" t="s">
        <v>223</v>
      </c>
      <c r="P10" s="92"/>
      <c r="Q10" s="91"/>
      <c r="R10" s="91"/>
    </row>
    <row r="11" spans="1:18" ht="28">
      <c r="A11" s="93" t="s">
        <v>1357</v>
      </c>
      <c r="B11" s="94" t="s">
        <v>1350</v>
      </c>
      <c r="C11" s="94" t="s">
        <v>75</v>
      </c>
      <c r="D11" s="95">
        <v>10084</v>
      </c>
      <c r="E11" s="95">
        <v>7610</v>
      </c>
      <c r="F11" s="95">
        <v>757</v>
      </c>
      <c r="G11" s="95">
        <v>565</v>
      </c>
      <c r="H11" s="95">
        <v>36</v>
      </c>
      <c r="I11" s="95">
        <v>14</v>
      </c>
      <c r="J11" s="96">
        <f t="shared" si="0"/>
        <v>8982</v>
      </c>
      <c r="K11" s="97">
        <f t="shared" si="1"/>
        <v>1372</v>
      </c>
      <c r="L11" s="89">
        <f t="shared" si="2"/>
        <v>1681</v>
      </c>
      <c r="M11" s="90">
        <v>2023</v>
      </c>
      <c r="N11" s="91" t="s">
        <v>1351</v>
      </c>
      <c r="O11" s="91" t="s">
        <v>223</v>
      </c>
      <c r="P11" s="92"/>
      <c r="Q11" s="91"/>
      <c r="R11" s="91"/>
    </row>
    <row r="12" spans="1:18" ht="28">
      <c r="A12" s="93" t="s">
        <v>1358</v>
      </c>
      <c r="B12" s="94" t="s">
        <v>1350</v>
      </c>
      <c r="C12" s="94" t="s">
        <v>433</v>
      </c>
      <c r="D12" s="95">
        <v>5115</v>
      </c>
      <c r="E12" s="95">
        <v>3636</v>
      </c>
      <c r="F12" s="95">
        <v>527</v>
      </c>
      <c r="G12" s="95">
        <v>811</v>
      </c>
      <c r="H12" s="95">
        <v>4</v>
      </c>
      <c r="I12" s="95">
        <v>1</v>
      </c>
      <c r="J12" s="96">
        <f t="shared" si="0"/>
        <v>4979</v>
      </c>
      <c r="K12" s="97">
        <f t="shared" si="1"/>
        <v>1343</v>
      </c>
      <c r="L12" s="89">
        <f t="shared" si="2"/>
        <v>948</v>
      </c>
      <c r="M12" s="90">
        <v>2023</v>
      </c>
      <c r="N12" s="91" t="s">
        <v>1351</v>
      </c>
      <c r="O12" s="91" t="s">
        <v>223</v>
      </c>
      <c r="P12" s="92"/>
      <c r="Q12" s="91"/>
      <c r="R12" s="91"/>
    </row>
    <row r="13" spans="1:18" ht="28">
      <c r="A13" s="98" t="s">
        <v>1359</v>
      </c>
      <c r="B13" s="99" t="s">
        <v>1360</v>
      </c>
      <c r="C13" s="99" t="s">
        <v>1361</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1351</v>
      </c>
      <c r="O13" s="104" t="s">
        <v>223</v>
      </c>
      <c r="P13" s="105"/>
      <c r="Q13" s="104"/>
      <c r="R13" s="104" t="s">
        <v>1362</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3" t="s">
        <v>1363</v>
      </c>
      <c r="B1" s="263"/>
      <c r="C1" s="263"/>
      <c r="D1" s="263"/>
      <c r="E1" s="263"/>
      <c r="F1" s="263"/>
      <c r="G1" s="263"/>
      <c r="H1" s="263"/>
      <c r="I1" s="263"/>
      <c r="J1" s="263"/>
      <c r="K1" s="263"/>
    </row>
    <row r="2" spans="1:11">
      <c r="A2" s="264" t="s">
        <v>1364</v>
      </c>
      <c r="B2" s="264"/>
      <c r="C2" s="264"/>
      <c r="D2" s="264"/>
      <c r="E2" s="264"/>
      <c r="F2" s="264"/>
      <c r="G2" s="264"/>
      <c r="H2" s="264"/>
      <c r="I2" s="264"/>
      <c r="J2" s="264"/>
      <c r="K2" s="264"/>
    </row>
    <row r="3" spans="1:11">
      <c r="A3" s="265" t="s">
        <v>1365</v>
      </c>
      <c r="B3" s="265"/>
      <c r="C3" s="265"/>
      <c r="D3" s="265"/>
      <c r="E3" s="265"/>
      <c r="F3" s="265"/>
      <c r="G3" s="265"/>
      <c r="H3" s="265"/>
      <c r="I3" s="265"/>
      <c r="J3" s="265"/>
      <c r="K3" s="265"/>
    </row>
    <row r="5" spans="1:11" ht="26">
      <c r="A5" s="1" t="s">
        <v>1366</v>
      </c>
      <c r="B5" s="2" t="s">
        <v>6</v>
      </c>
      <c r="C5" s="2" t="s">
        <v>1367</v>
      </c>
      <c r="D5" s="2" t="s">
        <v>1368</v>
      </c>
      <c r="E5" s="2" t="s">
        <v>1369</v>
      </c>
      <c r="F5" s="2" t="s">
        <v>1370</v>
      </c>
      <c r="G5" s="2" t="s">
        <v>27</v>
      </c>
      <c r="H5" s="2" t="s">
        <v>28</v>
      </c>
      <c r="I5" s="2" t="s">
        <v>29</v>
      </c>
      <c r="J5" s="2" t="s">
        <v>30</v>
      </c>
      <c r="K5" s="3" t="s">
        <v>31</v>
      </c>
    </row>
    <row r="6" spans="1:11">
      <c r="A6" s="27" t="s">
        <v>1371</v>
      </c>
      <c r="B6" s="8" t="s">
        <v>40</v>
      </c>
      <c r="C6" s="17">
        <v>12049</v>
      </c>
      <c r="D6" s="172">
        <f>424-32</f>
        <v>392</v>
      </c>
      <c r="E6" s="33">
        <f t="shared" ref="E6:E37" si="0">IF(A6="","",MAX(C6-D6,0))</f>
        <v>11657</v>
      </c>
      <c r="F6" s="23">
        <f t="shared" ref="F6:F37" si="1">IF(A6="","",IFERROR(D6/C6,0))</f>
        <v>3.2533820234044317E-2</v>
      </c>
      <c r="G6" s="17">
        <v>2023</v>
      </c>
      <c r="H6" s="8" t="s">
        <v>1372</v>
      </c>
      <c r="I6" s="8" t="s">
        <v>223</v>
      </c>
      <c r="J6" s="11"/>
      <c r="K6" s="30"/>
    </row>
    <row r="7" spans="1:11">
      <c r="A7" s="28" t="s">
        <v>1373</v>
      </c>
      <c r="B7" s="9" t="s">
        <v>102</v>
      </c>
      <c r="C7" s="18">
        <v>9500</v>
      </c>
      <c r="D7" s="108">
        <f>655-3</f>
        <v>652</v>
      </c>
      <c r="E7" s="34">
        <f t="shared" si="0"/>
        <v>8848</v>
      </c>
      <c r="F7" s="24">
        <f t="shared" si="1"/>
        <v>6.8631578947368418E-2</v>
      </c>
      <c r="G7" s="18">
        <v>2023</v>
      </c>
      <c r="H7" s="9" t="s">
        <v>1372</v>
      </c>
      <c r="I7" s="9" t="s">
        <v>223</v>
      </c>
      <c r="J7" s="12"/>
      <c r="K7" s="31"/>
    </row>
    <row r="8" spans="1:11">
      <c r="A8" s="28" t="s">
        <v>1374</v>
      </c>
      <c r="B8" s="9" t="s">
        <v>1353</v>
      </c>
      <c r="C8" s="18">
        <v>4805</v>
      </c>
      <c r="D8" s="108">
        <f>183-11</f>
        <v>172</v>
      </c>
      <c r="E8" s="34">
        <f t="shared" si="0"/>
        <v>4633</v>
      </c>
      <c r="F8" s="24">
        <f t="shared" si="1"/>
        <v>3.5796045785639961E-2</v>
      </c>
      <c r="G8" s="18">
        <v>2023</v>
      </c>
      <c r="H8" s="9" t="s">
        <v>1372</v>
      </c>
      <c r="I8" s="9" t="s">
        <v>223</v>
      </c>
      <c r="J8" s="12"/>
      <c r="K8" s="31"/>
    </row>
    <row r="9" spans="1:11">
      <c r="A9" s="28" t="s">
        <v>1375</v>
      </c>
      <c r="B9" s="9" t="s">
        <v>75</v>
      </c>
      <c r="C9" s="18">
        <v>8982</v>
      </c>
      <c r="D9" s="108">
        <v>568</v>
      </c>
      <c r="E9" s="34">
        <f t="shared" si="0"/>
        <v>8414</v>
      </c>
      <c r="F9" s="24">
        <f t="shared" si="1"/>
        <v>6.3237586283678468E-2</v>
      </c>
      <c r="G9" s="18">
        <v>2023</v>
      </c>
      <c r="H9" s="9" t="s">
        <v>1372</v>
      </c>
      <c r="I9" s="9" t="s">
        <v>223</v>
      </c>
      <c r="J9" s="12"/>
      <c r="K9" s="31"/>
    </row>
    <row r="10" spans="1:11">
      <c r="A10" s="28" t="s">
        <v>1376</v>
      </c>
      <c r="B10" s="9" t="s">
        <v>1199</v>
      </c>
      <c r="C10" s="18">
        <v>9679</v>
      </c>
      <c r="D10" s="108">
        <f>362-12</f>
        <v>350</v>
      </c>
      <c r="E10" s="34">
        <f t="shared" si="0"/>
        <v>9329</v>
      </c>
      <c r="F10" s="24">
        <f t="shared" si="1"/>
        <v>3.6160760409133172E-2</v>
      </c>
      <c r="G10" s="18">
        <v>2023</v>
      </c>
      <c r="H10" s="9" t="s">
        <v>1372</v>
      </c>
      <c r="I10" s="9" t="s">
        <v>223</v>
      </c>
      <c r="J10" s="12"/>
      <c r="K10" s="31"/>
    </row>
    <row r="11" spans="1:11">
      <c r="A11" s="28" t="s">
        <v>1377</v>
      </c>
      <c r="B11" s="9" t="s">
        <v>126</v>
      </c>
      <c r="C11" s="18">
        <v>5789</v>
      </c>
      <c r="D11" s="108">
        <v>757</v>
      </c>
      <c r="E11" s="34">
        <f t="shared" si="0"/>
        <v>5032</v>
      </c>
      <c r="F11" s="24">
        <f t="shared" si="1"/>
        <v>0.13076524442908966</v>
      </c>
      <c r="G11" s="18">
        <v>2023</v>
      </c>
      <c r="H11" s="9" t="s">
        <v>1372</v>
      </c>
      <c r="I11" s="9" t="s">
        <v>223</v>
      </c>
      <c r="J11" s="12"/>
      <c r="K11" s="31"/>
    </row>
    <row r="12" spans="1:11">
      <c r="A12" s="28" t="s">
        <v>1378</v>
      </c>
      <c r="B12" s="9" t="s">
        <v>433</v>
      </c>
      <c r="C12" s="18">
        <v>4979</v>
      </c>
      <c r="D12" s="108">
        <f>49-3</f>
        <v>46</v>
      </c>
      <c r="E12" s="34">
        <f t="shared" si="0"/>
        <v>4933</v>
      </c>
      <c r="F12" s="24">
        <f t="shared" si="1"/>
        <v>9.2388029724844341E-3</v>
      </c>
      <c r="G12" s="18">
        <v>2023</v>
      </c>
      <c r="H12" s="9" t="s">
        <v>1372</v>
      </c>
      <c r="I12" s="9" t="s">
        <v>223</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2" t="s">
        <v>1379</v>
      </c>
      <c r="B1" s="272"/>
      <c r="C1" s="272"/>
      <c r="D1" s="272"/>
      <c r="E1" s="272"/>
      <c r="F1" s="272"/>
      <c r="G1" s="272"/>
      <c r="H1" s="272"/>
      <c r="I1" s="272"/>
      <c r="J1" s="272"/>
      <c r="K1" s="272"/>
      <c r="L1" s="272"/>
      <c r="M1" s="272"/>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2"/>
      <c r="BA1" s="272"/>
      <c r="BB1" s="272"/>
      <c r="BC1" s="272"/>
      <c r="BD1" s="272"/>
      <c r="BE1" s="272"/>
      <c r="BF1" s="272"/>
      <c r="BH1" s="63" t="s">
        <v>1380</v>
      </c>
      <c r="BI1" s="63" t="s">
        <v>1381</v>
      </c>
      <c r="BJ1" s="63" t="s">
        <v>1382</v>
      </c>
      <c r="BK1" s="63" t="s">
        <v>1383</v>
      </c>
      <c r="BL1" s="63" t="s">
        <v>1384</v>
      </c>
      <c r="BM1" s="63" t="s">
        <v>1385</v>
      </c>
      <c r="BN1" s="63" t="s">
        <v>1386</v>
      </c>
      <c r="BO1" s="63" t="s">
        <v>1387</v>
      </c>
      <c r="BP1" s="63" t="s">
        <v>1388</v>
      </c>
      <c r="BQ1" s="63" t="s">
        <v>1389</v>
      </c>
      <c r="BR1" s="63" t="s">
        <v>1390</v>
      </c>
      <c r="BS1" s="63" t="s">
        <v>1391</v>
      </c>
      <c r="BT1" s="63" t="s">
        <v>1392</v>
      </c>
      <c r="BU1" s="63" t="s">
        <v>1393</v>
      </c>
      <c r="BV1" s="63" t="s">
        <v>1394</v>
      </c>
      <c r="BW1" s="63" t="s">
        <v>1395</v>
      </c>
      <c r="BX1" s="63" t="s">
        <v>1396</v>
      </c>
      <c r="BY1" s="63" t="s">
        <v>1333</v>
      </c>
    </row>
    <row r="2" spans="1:77" ht="14.5">
      <c r="A2" s="277" t="s">
        <v>1397</v>
      </c>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T2" s="277"/>
      <c r="AU2" s="277"/>
      <c r="AV2" s="277"/>
      <c r="AW2" s="277"/>
      <c r="AX2" s="277"/>
      <c r="AY2" s="277"/>
      <c r="AZ2" s="277"/>
      <c r="BA2" s="277"/>
      <c r="BB2" s="277"/>
      <c r="BC2" s="277"/>
      <c r="BD2" s="277"/>
      <c r="BE2" s="277"/>
      <c r="BF2" s="277"/>
      <c r="BH2" t="s">
        <v>102</v>
      </c>
      <c r="BI2" t="s">
        <v>1398</v>
      </c>
      <c r="BJ2" t="s">
        <v>1399</v>
      </c>
      <c r="BK2" t="s">
        <v>1400</v>
      </c>
      <c r="BL2" t="s">
        <v>1401</v>
      </c>
      <c r="BM2" t="s">
        <v>1402</v>
      </c>
      <c r="BN2" t="s">
        <v>1401</v>
      </c>
      <c r="BO2" t="s">
        <v>1403</v>
      </c>
      <c r="BP2" t="s">
        <v>1401</v>
      </c>
      <c r="BQ2" t="s">
        <v>1404</v>
      </c>
      <c r="BR2" t="s">
        <v>1405</v>
      </c>
      <c r="BS2" t="s">
        <v>1406</v>
      </c>
      <c r="BT2" t="s">
        <v>1407</v>
      </c>
      <c r="BU2" t="s">
        <v>1408</v>
      </c>
      <c r="BV2" t="s">
        <v>1409</v>
      </c>
      <c r="BW2" t="s">
        <v>1410</v>
      </c>
      <c r="BX2" t="s">
        <v>1411</v>
      </c>
      <c r="BY2" t="s">
        <v>1412</v>
      </c>
    </row>
    <row r="3" spans="1:77">
      <c r="A3" s="278" t="s">
        <v>1413</v>
      </c>
      <c r="B3" s="278"/>
      <c r="C3" s="278"/>
      <c r="D3" s="278"/>
      <c r="E3" s="278"/>
      <c r="F3" s="278"/>
      <c r="G3" s="278"/>
      <c r="H3" s="278"/>
      <c r="I3" s="278"/>
      <c r="J3" s="278"/>
      <c r="K3" s="278"/>
      <c r="L3" s="278"/>
      <c r="M3" s="278"/>
      <c r="N3" s="278"/>
      <c r="O3" s="278"/>
      <c r="P3" s="278"/>
      <c r="Q3" s="278"/>
      <c r="R3" s="278"/>
      <c r="S3" s="278"/>
      <c r="T3" s="278"/>
      <c r="U3" s="278"/>
      <c r="V3" s="278"/>
      <c r="W3" s="278"/>
      <c r="X3" s="278"/>
      <c r="Y3" s="278"/>
      <c r="Z3" s="278"/>
      <c r="AA3" s="278"/>
      <c r="AB3" s="278"/>
      <c r="AC3" s="278"/>
      <c r="AD3" s="278"/>
      <c r="AE3" s="278"/>
      <c r="AF3" s="278"/>
      <c r="AG3" s="278"/>
      <c r="AH3" s="278"/>
      <c r="AI3" s="278"/>
      <c r="AJ3" s="278"/>
      <c r="AK3" s="278"/>
      <c r="AL3" s="278"/>
      <c r="AM3" s="278"/>
      <c r="AN3" s="278"/>
      <c r="AO3" s="278"/>
      <c r="AP3" s="278"/>
      <c r="AQ3" s="278"/>
      <c r="AR3" s="278"/>
      <c r="AS3" s="278"/>
      <c r="AT3" s="278"/>
      <c r="AU3" s="278"/>
      <c r="AV3" s="278"/>
      <c r="AW3" s="278"/>
      <c r="AX3" s="278"/>
      <c r="AY3" s="278"/>
      <c r="AZ3" s="278"/>
      <c r="BA3" s="278"/>
      <c r="BB3" s="278"/>
      <c r="BC3" s="278"/>
      <c r="BD3" s="278"/>
      <c r="BE3" s="278"/>
      <c r="BF3" s="278"/>
      <c r="BH3" t="s">
        <v>75</v>
      </c>
      <c r="BI3" t="s">
        <v>1414</v>
      </c>
      <c r="BJ3" t="s">
        <v>1415</v>
      </c>
      <c r="BK3" t="s">
        <v>1416</v>
      </c>
      <c r="BL3" t="s">
        <v>1417</v>
      </c>
      <c r="BM3" t="s">
        <v>1418</v>
      </c>
      <c r="BN3" t="s">
        <v>1417</v>
      </c>
      <c r="BO3" t="s">
        <v>1419</v>
      </c>
      <c r="BP3" t="s">
        <v>1417</v>
      </c>
      <c r="BQ3" t="s">
        <v>1420</v>
      </c>
      <c r="BR3" t="s">
        <v>1421</v>
      </c>
      <c r="BS3" t="s">
        <v>1422</v>
      </c>
      <c r="BT3" t="s">
        <v>1423</v>
      </c>
      <c r="BU3" t="s">
        <v>1424</v>
      </c>
      <c r="BV3" t="s">
        <v>1425</v>
      </c>
      <c r="BW3" t="s">
        <v>1426</v>
      </c>
      <c r="BX3" t="s">
        <v>1427</v>
      </c>
      <c r="BY3" t="s">
        <v>1428</v>
      </c>
    </row>
    <row r="4" spans="1:77">
      <c r="BH4" t="s">
        <v>40</v>
      </c>
      <c r="BI4" t="s">
        <v>1429</v>
      </c>
      <c r="BJ4" t="s">
        <v>1430</v>
      </c>
      <c r="BK4" t="s">
        <v>1431</v>
      </c>
      <c r="BL4" t="s">
        <v>1432</v>
      </c>
      <c r="BM4" t="s">
        <v>1433</v>
      </c>
      <c r="BN4" t="s">
        <v>1432</v>
      </c>
      <c r="BO4" t="s">
        <v>1434</v>
      </c>
      <c r="BP4" t="s">
        <v>1432</v>
      </c>
      <c r="BQ4" t="s">
        <v>1435</v>
      </c>
      <c r="BR4" t="s">
        <v>1436</v>
      </c>
      <c r="BS4" t="s">
        <v>1436</v>
      </c>
      <c r="BV4" t="s">
        <v>1437</v>
      </c>
      <c r="BW4" t="s">
        <v>1438</v>
      </c>
      <c r="BX4" t="s">
        <v>1439</v>
      </c>
      <c r="BY4" t="s">
        <v>1440</v>
      </c>
    </row>
    <row r="5" spans="1:77" s="77" customFormat="1" ht="15.9" customHeight="1">
      <c r="A5" s="76" t="s">
        <v>1441</v>
      </c>
      <c r="B5" s="76" t="s">
        <v>1442</v>
      </c>
      <c r="C5" s="76" t="s">
        <v>1443</v>
      </c>
      <c r="D5" s="76" t="s">
        <v>1444</v>
      </c>
      <c r="E5" s="76" t="s">
        <v>1445</v>
      </c>
      <c r="F5" s="76" t="s">
        <v>7</v>
      </c>
      <c r="G5" s="76" t="s">
        <v>6</v>
      </c>
      <c r="H5" s="76" t="s">
        <v>1446</v>
      </c>
      <c r="I5" s="76" t="s">
        <v>1447</v>
      </c>
      <c r="J5" s="76" t="s">
        <v>1448</v>
      </c>
      <c r="K5" s="76" t="s">
        <v>1383</v>
      </c>
      <c r="L5" s="76" t="s">
        <v>1384</v>
      </c>
      <c r="M5" s="76" t="s">
        <v>1385</v>
      </c>
      <c r="N5" s="76" t="s">
        <v>1386</v>
      </c>
      <c r="O5" s="76" t="s">
        <v>1387</v>
      </c>
      <c r="P5" s="76" t="s">
        <v>1388</v>
      </c>
      <c r="Q5" s="76" t="s">
        <v>1449</v>
      </c>
      <c r="R5" s="76" t="s">
        <v>1450</v>
      </c>
      <c r="S5" s="76" t="s">
        <v>1451</v>
      </c>
      <c r="T5" s="76" t="s">
        <v>1452</v>
      </c>
      <c r="U5" s="76" t="s">
        <v>1453</v>
      </c>
      <c r="V5" s="76" t="s">
        <v>1454</v>
      </c>
      <c r="W5" s="76" t="s">
        <v>1455</v>
      </c>
      <c r="X5" s="76" t="s">
        <v>1456</v>
      </c>
      <c r="Y5" s="76" t="s">
        <v>1457</v>
      </c>
      <c r="Z5" s="76" t="s">
        <v>1458</v>
      </c>
      <c r="AA5" s="76" t="s">
        <v>1459</v>
      </c>
      <c r="AB5" s="76" t="s">
        <v>1460</v>
      </c>
      <c r="AC5" s="76" t="s">
        <v>1461</v>
      </c>
      <c r="AD5" s="76" t="s">
        <v>1462</v>
      </c>
      <c r="AE5" s="76" t="s">
        <v>1463</v>
      </c>
      <c r="AF5" s="76" t="s">
        <v>1464</v>
      </c>
      <c r="AG5" s="76" t="s">
        <v>1465</v>
      </c>
      <c r="AH5" s="76" t="s">
        <v>1466</v>
      </c>
      <c r="AI5" s="76" t="s">
        <v>1467</v>
      </c>
      <c r="AJ5" s="76" t="s">
        <v>1468</v>
      </c>
      <c r="AK5" s="76" t="s">
        <v>1469</v>
      </c>
      <c r="AL5" s="76" t="s">
        <v>1470</v>
      </c>
      <c r="AM5" s="76" t="s">
        <v>1391</v>
      </c>
      <c r="AN5" s="76" t="s">
        <v>1471</v>
      </c>
      <c r="AO5" s="76" t="s">
        <v>1472</v>
      </c>
      <c r="AP5" s="76" t="s">
        <v>1473</v>
      </c>
      <c r="AQ5" s="76" t="s">
        <v>1474</v>
      </c>
      <c r="AR5" s="76" t="s">
        <v>1475</v>
      </c>
      <c r="AS5" s="76" t="s">
        <v>1476</v>
      </c>
      <c r="AT5" s="76" t="s">
        <v>1477</v>
      </c>
      <c r="AU5" s="76" t="s">
        <v>1478</v>
      </c>
      <c r="AV5" s="76" t="s">
        <v>29</v>
      </c>
      <c r="AW5" s="76" t="s">
        <v>1479</v>
      </c>
      <c r="AX5" s="76" t="s">
        <v>1395</v>
      </c>
      <c r="AY5" s="76" t="s">
        <v>1480</v>
      </c>
      <c r="AZ5" s="76" t="s">
        <v>1396</v>
      </c>
      <c r="BA5" s="76" t="s">
        <v>1481</v>
      </c>
      <c r="BB5" s="76" t="s">
        <v>1482</v>
      </c>
      <c r="BC5" s="76" t="s">
        <v>27</v>
      </c>
      <c r="BD5" s="76" t="s">
        <v>28</v>
      </c>
      <c r="BE5" s="76" t="s">
        <v>30</v>
      </c>
      <c r="BF5" s="76" t="s">
        <v>31</v>
      </c>
      <c r="BH5" s="77" t="s">
        <v>433</v>
      </c>
      <c r="BI5" s="77" t="s">
        <v>1483</v>
      </c>
      <c r="BJ5" s="77" t="s">
        <v>1484</v>
      </c>
      <c r="BK5" s="77" t="s">
        <v>1485</v>
      </c>
      <c r="BL5" s="77" t="s">
        <v>1486</v>
      </c>
      <c r="BM5" s="77" t="s">
        <v>1487</v>
      </c>
      <c r="BN5" s="77" t="s">
        <v>1486</v>
      </c>
      <c r="BO5" s="77" t="s">
        <v>1488</v>
      </c>
      <c r="BP5" s="77" t="s">
        <v>1486</v>
      </c>
      <c r="BQ5" s="77" t="s">
        <v>1436</v>
      </c>
      <c r="BV5" s="77" t="s">
        <v>1489</v>
      </c>
      <c r="BW5" s="77" t="s">
        <v>1490</v>
      </c>
      <c r="BX5" s="77" t="s">
        <v>1491</v>
      </c>
      <c r="BY5" s="77" t="s">
        <v>1492</v>
      </c>
    </row>
    <row r="6" spans="1:77" ht="7.15" customHeight="1">
      <c r="A6" s="59" t="s">
        <v>1493</v>
      </c>
      <c r="B6" s="59" t="s">
        <v>1494</v>
      </c>
      <c r="C6" s="59"/>
      <c r="D6" s="59"/>
      <c r="E6" s="59" t="s">
        <v>1495</v>
      </c>
      <c r="F6" s="59" t="s">
        <v>1496</v>
      </c>
      <c r="G6" s="59" t="s">
        <v>1497</v>
      </c>
      <c r="H6" s="59" t="s">
        <v>1398</v>
      </c>
      <c r="I6" s="59" t="s">
        <v>1498</v>
      </c>
      <c r="J6" s="59" t="s">
        <v>1415</v>
      </c>
      <c r="K6" s="59" t="s">
        <v>1431</v>
      </c>
      <c r="L6" s="59" t="s">
        <v>1417</v>
      </c>
      <c r="M6" s="59" t="s">
        <v>1499</v>
      </c>
      <c r="N6" s="59" t="s">
        <v>1417</v>
      </c>
      <c r="O6" s="59" t="s">
        <v>1434</v>
      </c>
      <c r="P6" s="59" t="s">
        <v>1417</v>
      </c>
      <c r="Q6" s="75" t="s">
        <v>1404</v>
      </c>
      <c r="R6" s="75" t="s">
        <v>1421</v>
      </c>
      <c r="S6" s="75" t="s">
        <v>1421</v>
      </c>
      <c r="T6" s="75" t="s">
        <v>1421</v>
      </c>
      <c r="U6" s="75" t="s">
        <v>1421</v>
      </c>
      <c r="V6" s="75" t="s">
        <v>1436</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1421</v>
      </c>
      <c r="AD6" s="61" t="s">
        <v>1421</v>
      </c>
      <c r="AE6" s="61" t="s">
        <v>1421</v>
      </c>
      <c r="AF6" s="61" t="s">
        <v>1421</v>
      </c>
      <c r="AG6" s="61" t="s">
        <v>1421</v>
      </c>
      <c r="AH6" s="61" t="s">
        <v>1405</v>
      </c>
      <c r="AI6" s="61" t="s">
        <v>1405</v>
      </c>
      <c r="AJ6" s="61" t="s">
        <v>1421</v>
      </c>
      <c r="AK6" s="61" t="s">
        <v>1436</v>
      </c>
      <c r="AL6" s="61"/>
      <c r="AM6" s="61" t="s">
        <v>1436</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1407</v>
      </c>
      <c r="AV6" s="59" t="s">
        <v>1424</v>
      </c>
      <c r="AW6" s="59" t="s">
        <v>1409</v>
      </c>
      <c r="AX6" s="59" t="s">
        <v>1410</v>
      </c>
      <c r="AY6" s="59"/>
      <c r="AZ6" s="59" t="s">
        <v>1408</v>
      </c>
      <c r="BA6" s="59"/>
      <c r="BB6" s="167"/>
      <c r="BC6" s="65">
        <v>2026</v>
      </c>
      <c r="BD6" s="59"/>
      <c r="BE6" s="167"/>
      <c r="BF6" s="59" t="s">
        <v>1500</v>
      </c>
      <c r="BH6" t="s">
        <v>126</v>
      </c>
      <c r="BK6" t="s">
        <v>1501</v>
      </c>
      <c r="BL6" t="s">
        <v>1502</v>
      </c>
      <c r="BM6" t="s">
        <v>1488</v>
      </c>
      <c r="BN6" t="s">
        <v>1502</v>
      </c>
      <c r="BO6" t="s">
        <v>1503</v>
      </c>
      <c r="BP6" t="s">
        <v>1504</v>
      </c>
      <c r="BW6" t="s">
        <v>1505</v>
      </c>
      <c r="BX6" t="s">
        <v>1408</v>
      </c>
      <c r="BY6" t="s">
        <v>1506</v>
      </c>
    </row>
    <row r="7" spans="1:77" ht="7.75" customHeight="1">
      <c r="A7" s="59" t="s">
        <v>1507</v>
      </c>
      <c r="B7" s="59" t="s">
        <v>1508</v>
      </c>
      <c r="C7" s="59"/>
      <c r="D7" s="59"/>
      <c r="E7" s="59" t="s">
        <v>1509</v>
      </c>
      <c r="F7" s="59" t="s">
        <v>1510</v>
      </c>
      <c r="G7" s="59" t="s">
        <v>1511</v>
      </c>
      <c r="H7" s="59" t="s">
        <v>1398</v>
      </c>
      <c r="I7" s="59" t="s">
        <v>1512</v>
      </c>
      <c r="J7" s="59" t="s">
        <v>1430</v>
      </c>
      <c r="K7" s="59" t="s">
        <v>1431</v>
      </c>
      <c r="L7" s="59" t="s">
        <v>1417</v>
      </c>
      <c r="M7" s="59" t="s">
        <v>1488</v>
      </c>
      <c r="N7" s="59" t="s">
        <v>1417</v>
      </c>
      <c r="O7" s="59" t="s">
        <v>1434</v>
      </c>
      <c r="P7" s="59" t="s">
        <v>1417</v>
      </c>
      <c r="Q7" s="75" t="s">
        <v>1404</v>
      </c>
      <c r="R7" s="75" t="s">
        <v>1421</v>
      </c>
      <c r="S7" s="75" t="s">
        <v>1421</v>
      </c>
      <c r="T7" s="75" t="s">
        <v>1421</v>
      </c>
      <c r="U7" s="75" t="s">
        <v>1405</v>
      </c>
      <c r="V7" s="75" t="s">
        <v>1436</v>
      </c>
      <c r="W7" s="60"/>
      <c r="X7" s="73" t="str">
        <f t="shared" si="0"/>
        <v>Belum Dinilai</v>
      </c>
      <c r="Y7" s="73" t="str">
        <f t="shared" si="1"/>
        <v>Belum Dinilai</v>
      </c>
      <c r="Z7" s="74">
        <f t="shared" si="2"/>
        <v>10</v>
      </c>
      <c r="AA7" s="74" t="str">
        <f t="shared" si="3"/>
        <v/>
      </c>
      <c r="AB7" s="74" t="str">
        <f t="shared" si="4"/>
        <v/>
      </c>
      <c r="AC7" s="61" t="s">
        <v>1421</v>
      </c>
      <c r="AD7" s="61" t="s">
        <v>1421</v>
      </c>
      <c r="AE7" s="61" t="s">
        <v>1421</v>
      </c>
      <c r="AF7" s="61" t="s">
        <v>1421</v>
      </c>
      <c r="AG7" s="61" t="s">
        <v>1421</v>
      </c>
      <c r="AH7" s="61" t="s">
        <v>1405</v>
      </c>
      <c r="AI7" s="61" t="s">
        <v>1405</v>
      </c>
      <c r="AJ7" s="61" t="s">
        <v>1421</v>
      </c>
      <c r="AK7" s="61" t="s">
        <v>1421</v>
      </c>
      <c r="AL7" s="61"/>
      <c r="AM7" s="61" t="s">
        <v>1436</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1407</v>
      </c>
      <c r="AV7" s="59" t="s">
        <v>1424</v>
      </c>
      <c r="AW7" s="59" t="s">
        <v>1409</v>
      </c>
      <c r="AX7" s="59" t="s">
        <v>1410</v>
      </c>
      <c r="AY7" s="59"/>
      <c r="AZ7" s="59" t="s">
        <v>1408</v>
      </c>
      <c r="BA7" s="59"/>
      <c r="BB7" s="167"/>
      <c r="BC7" s="65">
        <v>2026</v>
      </c>
      <c r="BD7" s="59"/>
      <c r="BE7" s="167"/>
      <c r="BF7" s="59" t="s">
        <v>1500</v>
      </c>
      <c r="BH7" t="s">
        <v>1199</v>
      </c>
      <c r="BK7" t="s">
        <v>1513</v>
      </c>
      <c r="BL7" t="s">
        <v>1436</v>
      </c>
      <c r="BM7" t="s">
        <v>1514</v>
      </c>
      <c r="BN7" t="s">
        <v>1436</v>
      </c>
      <c r="BO7" t="s">
        <v>1515</v>
      </c>
      <c r="BP7" t="s">
        <v>1436</v>
      </c>
      <c r="BW7" t="s">
        <v>1516</v>
      </c>
    </row>
    <row r="8" spans="1:77" ht="28">
      <c r="A8" s="59" t="s">
        <v>1517</v>
      </c>
      <c r="B8" s="59" t="s">
        <v>1518</v>
      </c>
      <c r="C8" s="59"/>
      <c r="D8" s="59"/>
      <c r="E8" s="59" t="s">
        <v>1519</v>
      </c>
      <c r="F8" s="59" t="s">
        <v>1510</v>
      </c>
      <c r="G8" s="59" t="s">
        <v>1511</v>
      </c>
      <c r="H8" s="59" t="s">
        <v>1398</v>
      </c>
      <c r="I8" s="59" t="s">
        <v>1520</v>
      </c>
      <c r="J8" s="59" t="s">
        <v>1430</v>
      </c>
      <c r="K8" s="59" t="s">
        <v>1416</v>
      </c>
      <c r="L8" s="59" t="s">
        <v>1432</v>
      </c>
      <c r="M8" s="59" t="s">
        <v>1488</v>
      </c>
      <c r="N8" s="59" t="s">
        <v>1432</v>
      </c>
      <c r="O8" s="59" t="s">
        <v>1521</v>
      </c>
      <c r="P8" s="59" t="s">
        <v>1436</v>
      </c>
      <c r="Q8" s="75" t="s">
        <v>1436</v>
      </c>
      <c r="R8" s="75" t="s">
        <v>1436</v>
      </c>
      <c r="S8" s="75" t="s">
        <v>1436</v>
      </c>
      <c r="T8" s="75" t="s">
        <v>1436</v>
      </c>
      <c r="U8" s="75" t="s">
        <v>1436</v>
      </c>
      <c r="V8" s="75" t="s">
        <v>1436</v>
      </c>
      <c r="W8" s="60"/>
      <c r="X8" s="73" t="str">
        <f t="shared" si="0"/>
        <v>Belum Dinilai</v>
      </c>
      <c r="Y8" s="73" t="str">
        <f t="shared" si="1"/>
        <v>Belum Dinilai</v>
      </c>
      <c r="Z8" s="74" t="str">
        <f t="shared" si="2"/>
        <v/>
      </c>
      <c r="AA8" s="74" t="str">
        <f t="shared" si="3"/>
        <v/>
      </c>
      <c r="AB8" s="74" t="str">
        <f t="shared" si="4"/>
        <v/>
      </c>
      <c r="AC8" s="61" t="s">
        <v>1436</v>
      </c>
      <c r="AD8" s="61" t="s">
        <v>1436</v>
      </c>
      <c r="AE8" s="61" t="s">
        <v>1436</v>
      </c>
      <c r="AF8" s="61" t="s">
        <v>1436</v>
      </c>
      <c r="AG8" s="61" t="s">
        <v>1436</v>
      </c>
      <c r="AH8" s="61" t="s">
        <v>1436</v>
      </c>
      <c r="AI8" s="61" t="s">
        <v>1436</v>
      </c>
      <c r="AJ8" s="61" t="s">
        <v>1436</v>
      </c>
      <c r="AK8" s="61" t="s">
        <v>1436</v>
      </c>
      <c r="AL8" s="61"/>
      <c r="AM8" s="61" t="s">
        <v>1436</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1407</v>
      </c>
      <c r="AV8" s="59" t="s">
        <v>1424</v>
      </c>
      <c r="AW8" s="59" t="s">
        <v>1522</v>
      </c>
      <c r="AX8" s="59" t="s">
        <v>1426</v>
      </c>
      <c r="AY8" s="59">
        <v>2023</v>
      </c>
      <c r="AZ8" s="59" t="s">
        <v>1408</v>
      </c>
      <c r="BA8" s="59"/>
      <c r="BB8" s="167"/>
      <c r="BC8" s="65">
        <v>2026</v>
      </c>
      <c r="BD8" s="59"/>
      <c r="BE8" s="167"/>
      <c r="BF8" s="59" t="s">
        <v>1500</v>
      </c>
      <c r="BH8" t="s">
        <v>1523</v>
      </c>
      <c r="BK8" t="s">
        <v>1515</v>
      </c>
      <c r="BM8" t="s">
        <v>1499</v>
      </c>
      <c r="BO8" t="s">
        <v>1506</v>
      </c>
      <c r="BW8" t="s">
        <v>1506</v>
      </c>
    </row>
    <row r="9" spans="1:77" ht="28">
      <c r="A9" s="59" t="s">
        <v>1524</v>
      </c>
      <c r="B9" s="59" t="s">
        <v>1525</v>
      </c>
      <c r="C9" s="59"/>
      <c r="D9" s="59"/>
      <c r="E9" s="59" t="s">
        <v>1526</v>
      </c>
      <c r="F9" s="59" t="s">
        <v>1527</v>
      </c>
      <c r="G9" s="59" t="s">
        <v>1497</v>
      </c>
      <c r="H9" s="59" t="s">
        <v>1398</v>
      </c>
      <c r="I9" s="59" t="s">
        <v>1528</v>
      </c>
      <c r="J9" s="59" t="s">
        <v>1415</v>
      </c>
      <c r="K9" s="59" t="s">
        <v>1416</v>
      </c>
      <c r="L9" s="59" t="s">
        <v>1417</v>
      </c>
      <c r="M9" s="59" t="s">
        <v>1488</v>
      </c>
      <c r="N9" s="59" t="s">
        <v>1417</v>
      </c>
      <c r="O9" s="59" t="s">
        <v>1521</v>
      </c>
      <c r="P9" s="59" t="s">
        <v>1436</v>
      </c>
      <c r="Q9" s="75" t="s">
        <v>1436</v>
      </c>
      <c r="R9" s="75" t="s">
        <v>1436</v>
      </c>
      <c r="S9" s="75" t="s">
        <v>1436</v>
      </c>
      <c r="T9" s="75" t="s">
        <v>1436</v>
      </c>
      <c r="U9" s="75" t="s">
        <v>1436</v>
      </c>
      <c r="V9" s="75" t="s">
        <v>1436</v>
      </c>
      <c r="W9" s="60"/>
      <c r="X9" s="73" t="str">
        <f t="shared" si="0"/>
        <v>Belum Dinilai</v>
      </c>
      <c r="Y9" s="73" t="str">
        <f t="shared" si="1"/>
        <v>Belum Dinilai</v>
      </c>
      <c r="Z9" s="74" t="str">
        <f t="shared" si="2"/>
        <v/>
      </c>
      <c r="AA9" s="74" t="str">
        <f t="shared" si="3"/>
        <v/>
      </c>
      <c r="AB9" s="74" t="str">
        <f t="shared" si="4"/>
        <v/>
      </c>
      <c r="AC9" s="61" t="s">
        <v>1436</v>
      </c>
      <c r="AD9" s="61" t="s">
        <v>1436</v>
      </c>
      <c r="AE9" s="61" t="s">
        <v>1436</v>
      </c>
      <c r="AF9" s="61" t="s">
        <v>1436</v>
      </c>
      <c r="AG9" s="61" t="s">
        <v>1436</v>
      </c>
      <c r="AH9" s="61" t="s">
        <v>1436</v>
      </c>
      <c r="AI9" s="61" t="s">
        <v>1436</v>
      </c>
      <c r="AJ9" s="61" t="s">
        <v>1436</v>
      </c>
      <c r="AK9" s="61" t="s">
        <v>1436</v>
      </c>
      <c r="AL9" s="61"/>
      <c r="AM9" s="61" t="s">
        <v>1436</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1423</v>
      </c>
      <c r="AV9" s="59" t="s">
        <v>1424</v>
      </c>
      <c r="AW9" s="59" t="s">
        <v>1409</v>
      </c>
      <c r="AX9" s="59" t="s">
        <v>1410</v>
      </c>
      <c r="AY9" s="59"/>
      <c r="AZ9" s="59" t="s">
        <v>1408</v>
      </c>
      <c r="BA9" s="59"/>
      <c r="BB9" s="167"/>
      <c r="BC9" s="65">
        <v>2026</v>
      </c>
      <c r="BD9" s="59"/>
      <c r="BE9" s="167"/>
      <c r="BF9" s="59" t="s">
        <v>1500</v>
      </c>
      <c r="BK9" t="s">
        <v>1521</v>
      </c>
      <c r="BM9" t="s">
        <v>1506</v>
      </c>
    </row>
    <row r="10" spans="1:77" ht="42">
      <c r="A10" s="59" t="s">
        <v>1529</v>
      </c>
      <c r="B10" s="59" t="s">
        <v>1530</v>
      </c>
      <c r="C10" s="59"/>
      <c r="D10" s="59"/>
      <c r="E10" s="59" t="s">
        <v>1531</v>
      </c>
      <c r="F10" s="59" t="s">
        <v>1532</v>
      </c>
      <c r="G10" s="59" t="s">
        <v>1533</v>
      </c>
      <c r="H10" s="59" t="s">
        <v>1414</v>
      </c>
      <c r="I10" s="59" t="s">
        <v>1534</v>
      </c>
      <c r="J10" s="59" t="s">
        <v>1399</v>
      </c>
      <c r="K10" s="59" t="s">
        <v>1521</v>
      </c>
      <c r="L10" s="59" t="s">
        <v>1436</v>
      </c>
      <c r="M10" s="59" t="s">
        <v>1487</v>
      </c>
      <c r="N10" s="59" t="s">
        <v>1436</v>
      </c>
      <c r="O10" s="59" t="s">
        <v>1521</v>
      </c>
      <c r="P10" s="59" t="s">
        <v>1436</v>
      </c>
      <c r="Q10" s="75" t="s">
        <v>1436</v>
      </c>
      <c r="R10" s="75" t="s">
        <v>1436</v>
      </c>
      <c r="S10" s="75" t="s">
        <v>1436</v>
      </c>
      <c r="T10" s="75" t="s">
        <v>1436</v>
      </c>
      <c r="U10" s="75" t="s">
        <v>1436</v>
      </c>
      <c r="V10" s="75" t="s">
        <v>1436</v>
      </c>
      <c r="W10" s="60"/>
      <c r="X10" s="73" t="str">
        <f t="shared" si="0"/>
        <v>Belum Dinilai</v>
      </c>
      <c r="Y10" s="73" t="str">
        <f t="shared" si="1"/>
        <v>Belum Dinilai</v>
      </c>
      <c r="Z10" s="74" t="str">
        <f t="shared" si="2"/>
        <v/>
      </c>
      <c r="AA10" s="74" t="str">
        <f t="shared" si="3"/>
        <v/>
      </c>
      <c r="AB10" s="74" t="str">
        <f t="shared" si="4"/>
        <v/>
      </c>
      <c r="AC10" s="61" t="s">
        <v>1436</v>
      </c>
      <c r="AD10" s="61" t="s">
        <v>1436</v>
      </c>
      <c r="AE10" s="61" t="s">
        <v>1436</v>
      </c>
      <c r="AF10" s="61" t="s">
        <v>1436</v>
      </c>
      <c r="AG10" s="61" t="s">
        <v>1436</v>
      </c>
      <c r="AH10" s="61" t="s">
        <v>1436</v>
      </c>
      <c r="AI10" s="61" t="s">
        <v>1436</v>
      </c>
      <c r="AJ10" s="61" t="s">
        <v>1436</v>
      </c>
      <c r="AK10" s="61" t="s">
        <v>1436</v>
      </c>
      <c r="AL10" s="61"/>
      <c r="AM10" s="61" t="s">
        <v>1436</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1407</v>
      </c>
      <c r="AV10" s="59" t="s">
        <v>1424</v>
      </c>
      <c r="AW10" s="59" t="s">
        <v>1409</v>
      </c>
      <c r="AX10" s="59" t="s">
        <v>1410</v>
      </c>
      <c r="AY10" s="59"/>
      <c r="AZ10" s="59" t="s">
        <v>1408</v>
      </c>
      <c r="BA10" s="59"/>
      <c r="BB10" s="167"/>
      <c r="BC10" s="65">
        <v>2026</v>
      </c>
      <c r="BD10" s="59"/>
      <c r="BE10" s="167"/>
      <c r="BF10" s="59" t="s">
        <v>1500</v>
      </c>
      <c r="BM10" t="s">
        <v>1521</v>
      </c>
    </row>
    <row r="11" spans="1:77" ht="42">
      <c r="A11" s="59" t="s">
        <v>1535</v>
      </c>
      <c r="B11" s="59" t="s">
        <v>1536</v>
      </c>
      <c r="C11" s="59"/>
      <c r="D11" s="59"/>
      <c r="E11" s="59" t="s">
        <v>1537</v>
      </c>
      <c r="F11" s="59" t="s">
        <v>1538</v>
      </c>
      <c r="G11" s="59" t="s">
        <v>1511</v>
      </c>
      <c r="H11" s="59" t="s">
        <v>1398</v>
      </c>
      <c r="I11" s="59" t="s">
        <v>1498</v>
      </c>
      <c r="J11" s="59" t="s">
        <v>1415</v>
      </c>
      <c r="K11" s="59" t="s">
        <v>1431</v>
      </c>
      <c r="L11" s="59" t="s">
        <v>1436</v>
      </c>
      <c r="M11" s="59" t="s">
        <v>1488</v>
      </c>
      <c r="N11" s="59" t="s">
        <v>1436</v>
      </c>
      <c r="O11" s="59" t="s">
        <v>1521</v>
      </c>
      <c r="P11" s="59" t="s">
        <v>1436</v>
      </c>
      <c r="Q11" s="75" t="s">
        <v>1436</v>
      </c>
      <c r="R11" s="75" t="s">
        <v>1436</v>
      </c>
      <c r="S11" s="75" t="s">
        <v>1436</v>
      </c>
      <c r="T11" s="75" t="s">
        <v>1436</v>
      </c>
      <c r="U11" s="75" t="s">
        <v>1436</v>
      </c>
      <c r="V11" s="75" t="s">
        <v>1436</v>
      </c>
      <c r="W11" s="60"/>
      <c r="X11" s="73" t="str">
        <f t="shared" si="0"/>
        <v>Belum Dinilai</v>
      </c>
      <c r="Y11" s="73" t="str">
        <f t="shared" si="1"/>
        <v>Belum Dinilai</v>
      </c>
      <c r="Z11" s="74" t="str">
        <f t="shared" si="2"/>
        <v/>
      </c>
      <c r="AA11" s="74" t="str">
        <f t="shared" si="3"/>
        <v/>
      </c>
      <c r="AB11" s="74" t="str">
        <f t="shared" si="4"/>
        <v/>
      </c>
      <c r="AC11" s="61" t="s">
        <v>1436</v>
      </c>
      <c r="AD11" s="61" t="s">
        <v>1436</v>
      </c>
      <c r="AE11" s="61" t="s">
        <v>1436</v>
      </c>
      <c r="AF11" s="61" t="s">
        <v>1436</v>
      </c>
      <c r="AG11" s="61" t="s">
        <v>1436</v>
      </c>
      <c r="AH11" s="61" t="s">
        <v>1436</v>
      </c>
      <c r="AI11" s="61" t="s">
        <v>1436</v>
      </c>
      <c r="AJ11" s="61" t="s">
        <v>1436</v>
      </c>
      <c r="AK11" s="61" t="s">
        <v>1436</v>
      </c>
      <c r="AL11" s="61"/>
      <c r="AM11" s="61" t="s">
        <v>1436</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1407</v>
      </c>
      <c r="AV11" s="59" t="s">
        <v>1424</v>
      </c>
      <c r="AW11" s="59" t="s">
        <v>1522</v>
      </c>
      <c r="AX11" s="59" t="s">
        <v>1426</v>
      </c>
      <c r="AY11" s="59">
        <v>2023</v>
      </c>
      <c r="AZ11" s="59" t="s">
        <v>1408</v>
      </c>
      <c r="BA11" s="59"/>
      <c r="BB11" s="167"/>
      <c r="BC11" s="65">
        <v>2026</v>
      </c>
      <c r="BD11" s="59"/>
      <c r="BE11" s="167"/>
      <c r="BF11" s="59" t="s">
        <v>1500</v>
      </c>
    </row>
    <row r="12" spans="1:77" ht="28">
      <c r="A12" s="59" t="s">
        <v>1539</v>
      </c>
      <c r="B12" s="59" t="s">
        <v>1540</v>
      </c>
      <c r="C12" s="59"/>
      <c r="D12" s="59"/>
      <c r="E12" s="59" t="s">
        <v>1541</v>
      </c>
      <c r="F12" s="59" t="s">
        <v>1542</v>
      </c>
      <c r="G12" s="59" t="s">
        <v>1511</v>
      </c>
      <c r="H12" s="59" t="s">
        <v>1398</v>
      </c>
      <c r="I12" s="59" t="s">
        <v>1543</v>
      </c>
      <c r="J12" s="59" t="s">
        <v>1484</v>
      </c>
      <c r="K12" s="59" t="s">
        <v>1521</v>
      </c>
      <c r="L12" s="59" t="s">
        <v>1436</v>
      </c>
      <c r="M12" s="59" t="s">
        <v>1521</v>
      </c>
      <c r="N12" s="59" t="s">
        <v>1436</v>
      </c>
      <c r="O12" s="59" t="s">
        <v>1521</v>
      </c>
      <c r="P12" s="59" t="s">
        <v>1436</v>
      </c>
      <c r="Q12" s="75" t="s">
        <v>1436</v>
      </c>
      <c r="R12" s="75" t="s">
        <v>1436</v>
      </c>
      <c r="S12" s="75" t="s">
        <v>1436</v>
      </c>
      <c r="T12" s="75" t="s">
        <v>1436</v>
      </c>
      <c r="U12" s="75" t="s">
        <v>1436</v>
      </c>
      <c r="V12" s="75" t="s">
        <v>1436</v>
      </c>
      <c r="W12" s="60"/>
      <c r="X12" s="73" t="str">
        <f t="shared" si="0"/>
        <v>Belum Dinilai</v>
      </c>
      <c r="Y12" s="73" t="str">
        <f t="shared" si="1"/>
        <v>Belum Dinilai</v>
      </c>
      <c r="Z12" s="74" t="str">
        <f t="shared" si="2"/>
        <v/>
      </c>
      <c r="AA12" s="74" t="str">
        <f t="shared" si="3"/>
        <v/>
      </c>
      <c r="AB12" s="74" t="str">
        <f t="shared" si="4"/>
        <v/>
      </c>
      <c r="AC12" s="61" t="s">
        <v>1436</v>
      </c>
      <c r="AD12" s="61" t="s">
        <v>1436</v>
      </c>
      <c r="AE12" s="61" t="s">
        <v>1436</v>
      </c>
      <c r="AF12" s="61" t="s">
        <v>1436</v>
      </c>
      <c r="AG12" s="61" t="s">
        <v>1436</v>
      </c>
      <c r="AH12" s="61" t="s">
        <v>1436</v>
      </c>
      <c r="AI12" s="61" t="s">
        <v>1436</v>
      </c>
      <c r="AJ12" s="61" t="s">
        <v>1436</v>
      </c>
      <c r="AK12" s="61" t="s">
        <v>1436</v>
      </c>
      <c r="AL12" s="61"/>
      <c r="AM12" s="61" t="s">
        <v>1436</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1407</v>
      </c>
      <c r="AV12" s="59" t="s">
        <v>1424</v>
      </c>
      <c r="AW12" s="59" t="s">
        <v>1409</v>
      </c>
      <c r="AX12" s="59" t="s">
        <v>1410</v>
      </c>
      <c r="AY12" s="59"/>
      <c r="AZ12" s="59" t="s">
        <v>1408</v>
      </c>
      <c r="BA12" s="59"/>
      <c r="BB12" s="167"/>
      <c r="BC12" s="65">
        <v>2026</v>
      </c>
      <c r="BD12" s="59"/>
      <c r="BE12" s="167"/>
      <c r="BF12" s="59" t="s">
        <v>1500</v>
      </c>
    </row>
    <row r="13" spans="1:77" ht="28">
      <c r="A13" s="59" t="s">
        <v>1544</v>
      </c>
      <c r="B13" s="59" t="s">
        <v>1545</v>
      </c>
      <c r="C13" s="59"/>
      <c r="D13" s="59"/>
      <c r="E13" s="59" t="s">
        <v>1546</v>
      </c>
      <c r="F13" s="59" t="s">
        <v>1547</v>
      </c>
      <c r="G13" s="59" t="s">
        <v>1548</v>
      </c>
      <c r="H13" s="59" t="s">
        <v>1398</v>
      </c>
      <c r="I13" s="59" t="s">
        <v>1549</v>
      </c>
      <c r="J13" s="59" t="s">
        <v>1484</v>
      </c>
      <c r="K13" s="59" t="s">
        <v>1521</v>
      </c>
      <c r="L13" s="59" t="s">
        <v>1486</v>
      </c>
      <c r="M13" s="59" t="s">
        <v>1521</v>
      </c>
      <c r="N13" s="59" t="s">
        <v>1486</v>
      </c>
      <c r="O13" s="59" t="s">
        <v>1521</v>
      </c>
      <c r="P13" s="59" t="s">
        <v>1436</v>
      </c>
      <c r="Q13" s="75" t="s">
        <v>1436</v>
      </c>
      <c r="R13" s="75" t="s">
        <v>1436</v>
      </c>
      <c r="S13" s="75" t="s">
        <v>1436</v>
      </c>
      <c r="T13" s="75" t="s">
        <v>1436</v>
      </c>
      <c r="U13" s="75" t="s">
        <v>1436</v>
      </c>
      <c r="V13" s="75" t="s">
        <v>1436</v>
      </c>
      <c r="W13" s="60"/>
      <c r="X13" s="73" t="str">
        <f t="shared" si="0"/>
        <v>Belum Dinilai</v>
      </c>
      <c r="Y13" s="73" t="str">
        <f t="shared" si="1"/>
        <v>Belum Dinilai</v>
      </c>
      <c r="Z13" s="74" t="str">
        <f t="shared" si="2"/>
        <v/>
      </c>
      <c r="AA13" s="74" t="str">
        <f t="shared" si="3"/>
        <v/>
      </c>
      <c r="AB13" s="74" t="str">
        <f t="shared" si="4"/>
        <v/>
      </c>
      <c r="AC13" s="61" t="s">
        <v>1436</v>
      </c>
      <c r="AD13" s="61" t="s">
        <v>1436</v>
      </c>
      <c r="AE13" s="61" t="s">
        <v>1436</v>
      </c>
      <c r="AF13" s="61" t="s">
        <v>1436</v>
      </c>
      <c r="AG13" s="61" t="s">
        <v>1436</v>
      </c>
      <c r="AH13" s="61" t="s">
        <v>1436</v>
      </c>
      <c r="AI13" s="61" t="s">
        <v>1436</v>
      </c>
      <c r="AJ13" s="61" t="s">
        <v>1436</v>
      </c>
      <c r="AK13" s="61" t="s">
        <v>1436</v>
      </c>
      <c r="AL13" s="61"/>
      <c r="AM13" s="61" t="s">
        <v>1436</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1407</v>
      </c>
      <c r="AV13" s="59" t="s">
        <v>1424</v>
      </c>
      <c r="AW13" s="59" t="s">
        <v>1409</v>
      </c>
      <c r="AX13" s="59" t="s">
        <v>1410</v>
      </c>
      <c r="AY13" s="59"/>
      <c r="AZ13" s="59" t="s">
        <v>1408</v>
      </c>
      <c r="BA13" s="59"/>
      <c r="BB13" s="167"/>
      <c r="BC13" s="65">
        <v>2026</v>
      </c>
      <c r="BD13" s="59"/>
      <c r="BE13" s="167"/>
      <c r="BF13" s="59" t="s">
        <v>1500</v>
      </c>
    </row>
    <row r="14" spans="1:77" ht="28">
      <c r="A14" s="59" t="s">
        <v>1550</v>
      </c>
      <c r="B14" s="59" t="s">
        <v>1551</v>
      </c>
      <c r="C14" s="59"/>
      <c r="D14" s="59"/>
      <c r="E14" s="59" t="s">
        <v>1552</v>
      </c>
      <c r="F14" s="59" t="s">
        <v>1553</v>
      </c>
      <c r="G14" s="59" t="s">
        <v>1554</v>
      </c>
      <c r="H14" s="59" t="s">
        <v>1398</v>
      </c>
      <c r="I14" s="59" t="s">
        <v>1555</v>
      </c>
      <c r="J14" s="59" t="s">
        <v>1484</v>
      </c>
      <c r="K14" s="59" t="s">
        <v>1521</v>
      </c>
      <c r="L14" s="59" t="s">
        <v>1436</v>
      </c>
      <c r="M14" s="59" t="s">
        <v>1521</v>
      </c>
      <c r="N14" s="59" t="s">
        <v>1436</v>
      </c>
      <c r="O14" s="59" t="s">
        <v>1521</v>
      </c>
      <c r="P14" s="59" t="s">
        <v>1436</v>
      </c>
      <c r="Q14" s="75" t="s">
        <v>1436</v>
      </c>
      <c r="R14" s="75" t="s">
        <v>1436</v>
      </c>
      <c r="S14" s="75" t="s">
        <v>1436</v>
      </c>
      <c r="T14" s="75" t="s">
        <v>1436</v>
      </c>
      <c r="U14" s="75" t="s">
        <v>1436</v>
      </c>
      <c r="V14" s="75" t="s">
        <v>1436</v>
      </c>
      <c r="W14" s="60"/>
      <c r="X14" s="73" t="str">
        <f t="shared" si="0"/>
        <v>Belum Dinilai</v>
      </c>
      <c r="Y14" s="73" t="str">
        <f t="shared" si="1"/>
        <v>Belum Dinilai</v>
      </c>
      <c r="Z14" s="74" t="str">
        <f t="shared" si="2"/>
        <v/>
      </c>
      <c r="AA14" s="74" t="str">
        <f t="shared" si="3"/>
        <v/>
      </c>
      <c r="AB14" s="74" t="str">
        <f t="shared" si="4"/>
        <v/>
      </c>
      <c r="AC14" s="61" t="s">
        <v>1436</v>
      </c>
      <c r="AD14" s="61" t="s">
        <v>1436</v>
      </c>
      <c r="AE14" s="61" t="s">
        <v>1436</v>
      </c>
      <c r="AF14" s="61" t="s">
        <v>1436</v>
      </c>
      <c r="AG14" s="61" t="s">
        <v>1436</v>
      </c>
      <c r="AH14" s="61" t="s">
        <v>1436</v>
      </c>
      <c r="AI14" s="61" t="s">
        <v>1436</v>
      </c>
      <c r="AJ14" s="61" t="s">
        <v>1436</v>
      </c>
      <c r="AK14" s="61" t="s">
        <v>1436</v>
      </c>
      <c r="AL14" s="61"/>
      <c r="AM14" s="61" t="s">
        <v>1436</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1407</v>
      </c>
      <c r="AV14" s="59" t="s">
        <v>1424</v>
      </c>
      <c r="AW14" s="59" t="s">
        <v>1409</v>
      </c>
      <c r="AX14" s="59" t="s">
        <v>1410</v>
      </c>
      <c r="AY14" s="59"/>
      <c r="AZ14" s="59" t="s">
        <v>1408</v>
      </c>
      <c r="BA14" s="59"/>
      <c r="BB14" s="167"/>
      <c r="BC14" s="65">
        <v>2026</v>
      </c>
      <c r="BD14" s="59"/>
      <c r="BE14" s="167"/>
      <c r="BF14" s="59" t="s">
        <v>1500</v>
      </c>
    </row>
    <row r="15" spans="1:77" ht="28">
      <c r="A15" s="59" t="s">
        <v>1556</v>
      </c>
      <c r="B15" s="59" t="s">
        <v>1557</v>
      </c>
      <c r="C15" s="59"/>
      <c r="D15" s="59"/>
      <c r="E15" s="59" t="s">
        <v>1558</v>
      </c>
      <c r="F15" s="59" t="s">
        <v>1559</v>
      </c>
      <c r="G15" s="59" t="s">
        <v>1554</v>
      </c>
      <c r="H15" s="59" t="s">
        <v>1398</v>
      </c>
      <c r="I15" s="59" t="s">
        <v>1560</v>
      </c>
      <c r="J15" s="59" t="s">
        <v>1484</v>
      </c>
      <c r="K15" s="59" t="s">
        <v>1521</v>
      </c>
      <c r="L15" s="59" t="s">
        <v>1486</v>
      </c>
      <c r="M15" s="59" t="s">
        <v>1521</v>
      </c>
      <c r="N15" s="59" t="s">
        <v>1436</v>
      </c>
      <c r="O15" s="59" t="s">
        <v>1521</v>
      </c>
      <c r="P15" s="59" t="s">
        <v>1436</v>
      </c>
      <c r="Q15" s="75" t="s">
        <v>1436</v>
      </c>
      <c r="R15" s="75" t="s">
        <v>1436</v>
      </c>
      <c r="S15" s="75" t="s">
        <v>1436</v>
      </c>
      <c r="T15" s="75" t="s">
        <v>1436</v>
      </c>
      <c r="U15" s="75" t="s">
        <v>1436</v>
      </c>
      <c r="V15" s="75" t="s">
        <v>1436</v>
      </c>
      <c r="W15" s="60"/>
      <c r="X15" s="73" t="str">
        <f t="shared" si="0"/>
        <v>Belum Dinilai</v>
      </c>
      <c r="Y15" s="73" t="str">
        <f t="shared" si="1"/>
        <v>Belum Dinilai</v>
      </c>
      <c r="Z15" s="74" t="str">
        <f t="shared" si="2"/>
        <v/>
      </c>
      <c r="AA15" s="74" t="str">
        <f t="shared" si="3"/>
        <v/>
      </c>
      <c r="AB15" s="74" t="str">
        <f t="shared" si="4"/>
        <v/>
      </c>
      <c r="AC15" s="61" t="s">
        <v>1436</v>
      </c>
      <c r="AD15" s="61" t="s">
        <v>1436</v>
      </c>
      <c r="AE15" s="61" t="s">
        <v>1436</v>
      </c>
      <c r="AF15" s="61" t="s">
        <v>1436</v>
      </c>
      <c r="AG15" s="61" t="s">
        <v>1436</v>
      </c>
      <c r="AH15" s="61" t="s">
        <v>1436</v>
      </c>
      <c r="AI15" s="61" t="s">
        <v>1436</v>
      </c>
      <c r="AJ15" s="61" t="s">
        <v>1436</v>
      </c>
      <c r="AK15" s="61" t="s">
        <v>1436</v>
      </c>
      <c r="AL15" s="61"/>
      <c r="AM15" s="61" t="s">
        <v>1436</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1407</v>
      </c>
      <c r="AV15" s="59" t="s">
        <v>1424</v>
      </c>
      <c r="AW15" s="59" t="s">
        <v>1409</v>
      </c>
      <c r="AX15" s="59" t="s">
        <v>1410</v>
      </c>
      <c r="AY15" s="59"/>
      <c r="AZ15" s="59" t="s">
        <v>1408</v>
      </c>
      <c r="BA15" s="59"/>
      <c r="BB15" s="167"/>
      <c r="BC15" s="65">
        <v>2026</v>
      </c>
      <c r="BD15" s="59"/>
      <c r="BE15" s="167"/>
      <c r="BF15" s="59" t="s">
        <v>1500</v>
      </c>
    </row>
    <row r="16" spans="1:77" ht="28">
      <c r="A16" s="59" t="s">
        <v>1561</v>
      </c>
      <c r="B16" s="59" t="s">
        <v>1562</v>
      </c>
      <c r="C16" s="59"/>
      <c r="D16" s="59"/>
      <c r="E16" s="59" t="s">
        <v>1563</v>
      </c>
      <c r="F16" s="59" t="s">
        <v>1564</v>
      </c>
      <c r="G16" s="59" t="s">
        <v>1554</v>
      </c>
      <c r="H16" s="59" t="s">
        <v>1398</v>
      </c>
      <c r="I16" s="59" t="s">
        <v>1565</v>
      </c>
      <c r="J16" s="59" t="s">
        <v>1484</v>
      </c>
      <c r="K16" s="59" t="s">
        <v>1521</v>
      </c>
      <c r="L16" s="59" t="s">
        <v>1436</v>
      </c>
      <c r="M16" s="59" t="s">
        <v>1521</v>
      </c>
      <c r="N16" s="59" t="s">
        <v>1436</v>
      </c>
      <c r="O16" s="59" t="s">
        <v>1521</v>
      </c>
      <c r="P16" s="59" t="s">
        <v>1436</v>
      </c>
      <c r="Q16" s="75" t="s">
        <v>1436</v>
      </c>
      <c r="R16" s="75" t="s">
        <v>1436</v>
      </c>
      <c r="S16" s="75" t="s">
        <v>1436</v>
      </c>
      <c r="T16" s="75" t="s">
        <v>1436</v>
      </c>
      <c r="U16" s="75" t="s">
        <v>1436</v>
      </c>
      <c r="V16" s="75" t="s">
        <v>1436</v>
      </c>
      <c r="W16" s="60"/>
      <c r="X16" s="73" t="str">
        <f t="shared" si="0"/>
        <v>Belum Dinilai</v>
      </c>
      <c r="Y16" s="73" t="str">
        <f t="shared" si="1"/>
        <v>Belum Dinilai</v>
      </c>
      <c r="Z16" s="74" t="str">
        <f t="shared" si="2"/>
        <v/>
      </c>
      <c r="AA16" s="74" t="str">
        <f t="shared" si="3"/>
        <v/>
      </c>
      <c r="AB16" s="74" t="str">
        <f t="shared" si="4"/>
        <v/>
      </c>
      <c r="AC16" s="61" t="s">
        <v>1436</v>
      </c>
      <c r="AD16" s="61" t="s">
        <v>1436</v>
      </c>
      <c r="AE16" s="61" t="s">
        <v>1436</v>
      </c>
      <c r="AF16" s="61" t="s">
        <v>1436</v>
      </c>
      <c r="AG16" s="61" t="s">
        <v>1436</v>
      </c>
      <c r="AH16" s="61" t="s">
        <v>1436</v>
      </c>
      <c r="AI16" s="61" t="s">
        <v>1436</v>
      </c>
      <c r="AJ16" s="61" t="s">
        <v>1436</v>
      </c>
      <c r="AK16" s="61" t="s">
        <v>1436</v>
      </c>
      <c r="AL16" s="61"/>
      <c r="AM16" s="61" t="s">
        <v>1436</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1407</v>
      </c>
      <c r="AV16" s="59" t="s">
        <v>1424</v>
      </c>
      <c r="AW16" s="59" t="s">
        <v>1409</v>
      </c>
      <c r="AX16" s="59" t="s">
        <v>1410</v>
      </c>
      <c r="AY16" s="59"/>
      <c r="AZ16" s="59" t="s">
        <v>1408</v>
      </c>
      <c r="BA16" s="59"/>
      <c r="BB16" s="167"/>
      <c r="BC16" s="65">
        <v>2026</v>
      </c>
      <c r="BD16" s="59"/>
      <c r="BE16" s="167"/>
      <c r="BF16" s="59" t="s">
        <v>1500</v>
      </c>
    </row>
    <row r="17" spans="1:58" ht="28">
      <c r="A17" s="59" t="s">
        <v>1566</v>
      </c>
      <c r="B17" s="59" t="s">
        <v>1567</v>
      </c>
      <c r="C17" s="59"/>
      <c r="D17" s="59"/>
      <c r="E17" s="59" t="s">
        <v>1568</v>
      </c>
      <c r="F17" s="59" t="s">
        <v>1523</v>
      </c>
      <c r="G17" s="59" t="s">
        <v>1548</v>
      </c>
      <c r="H17" s="59" t="s">
        <v>1398</v>
      </c>
      <c r="I17" s="59" t="s">
        <v>1569</v>
      </c>
      <c r="J17" s="59" t="s">
        <v>1484</v>
      </c>
      <c r="K17" s="59" t="s">
        <v>1521</v>
      </c>
      <c r="L17" s="59" t="s">
        <v>1486</v>
      </c>
      <c r="M17" s="59" t="s">
        <v>1521</v>
      </c>
      <c r="N17" s="59" t="s">
        <v>1486</v>
      </c>
      <c r="O17" s="59" t="s">
        <v>1521</v>
      </c>
      <c r="P17" s="59" t="s">
        <v>1436</v>
      </c>
      <c r="Q17" s="75" t="s">
        <v>1436</v>
      </c>
      <c r="R17" s="75" t="s">
        <v>1436</v>
      </c>
      <c r="S17" s="75" t="s">
        <v>1436</v>
      </c>
      <c r="T17" s="75" t="s">
        <v>1436</v>
      </c>
      <c r="U17" s="75" t="s">
        <v>1436</v>
      </c>
      <c r="V17" s="75" t="s">
        <v>1436</v>
      </c>
      <c r="W17" s="60"/>
      <c r="X17" s="73" t="str">
        <f t="shared" si="0"/>
        <v>Belum Dinilai</v>
      </c>
      <c r="Y17" s="73" t="str">
        <f t="shared" si="1"/>
        <v>Belum Dinilai</v>
      </c>
      <c r="Z17" s="74" t="str">
        <f t="shared" si="2"/>
        <v/>
      </c>
      <c r="AA17" s="74" t="str">
        <f t="shared" si="3"/>
        <v/>
      </c>
      <c r="AB17" s="74" t="str">
        <f t="shared" si="4"/>
        <v/>
      </c>
      <c r="AC17" s="61" t="s">
        <v>1436</v>
      </c>
      <c r="AD17" s="61" t="s">
        <v>1436</v>
      </c>
      <c r="AE17" s="61" t="s">
        <v>1436</v>
      </c>
      <c r="AF17" s="61" t="s">
        <v>1436</v>
      </c>
      <c r="AG17" s="61" t="s">
        <v>1436</v>
      </c>
      <c r="AH17" s="61" t="s">
        <v>1436</v>
      </c>
      <c r="AI17" s="61" t="s">
        <v>1436</v>
      </c>
      <c r="AJ17" s="61" t="s">
        <v>1436</v>
      </c>
      <c r="AK17" s="61" t="s">
        <v>1436</v>
      </c>
      <c r="AL17" s="61"/>
      <c r="AM17" s="61" t="s">
        <v>1436</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1423</v>
      </c>
      <c r="AV17" s="59" t="s">
        <v>1424</v>
      </c>
      <c r="AW17" s="59" t="s">
        <v>1409</v>
      </c>
      <c r="AX17" s="59" t="s">
        <v>1410</v>
      </c>
      <c r="AY17" s="59"/>
      <c r="AZ17" s="59" t="s">
        <v>1408</v>
      </c>
      <c r="BA17" s="59"/>
      <c r="BB17" s="167"/>
      <c r="BC17" s="65">
        <v>2026</v>
      </c>
      <c r="BD17" s="59"/>
      <c r="BE17" s="167"/>
      <c r="BF17" s="59" t="s">
        <v>1500</v>
      </c>
    </row>
    <row r="18" spans="1:58" ht="28">
      <c r="A18" s="59" t="s">
        <v>1570</v>
      </c>
      <c r="B18" s="59" t="s">
        <v>1571</v>
      </c>
      <c r="C18" s="59"/>
      <c r="D18" s="59"/>
      <c r="E18" s="59" t="s">
        <v>1572</v>
      </c>
      <c r="F18" s="59" t="s">
        <v>1573</v>
      </c>
      <c r="G18" s="59" t="s">
        <v>1574</v>
      </c>
      <c r="H18" s="59" t="s">
        <v>1414</v>
      </c>
      <c r="I18" s="59" t="s">
        <v>1575</v>
      </c>
      <c r="J18" s="59" t="s">
        <v>1484</v>
      </c>
      <c r="K18" s="59" t="s">
        <v>1521</v>
      </c>
      <c r="L18" s="59" t="s">
        <v>1486</v>
      </c>
      <c r="M18" s="59" t="s">
        <v>1521</v>
      </c>
      <c r="N18" s="59" t="s">
        <v>1436</v>
      </c>
      <c r="O18" s="59" t="s">
        <v>1521</v>
      </c>
      <c r="P18" s="59" t="s">
        <v>1436</v>
      </c>
      <c r="Q18" s="75" t="s">
        <v>1436</v>
      </c>
      <c r="R18" s="75" t="s">
        <v>1436</v>
      </c>
      <c r="S18" s="75" t="s">
        <v>1436</v>
      </c>
      <c r="T18" s="75" t="s">
        <v>1436</v>
      </c>
      <c r="U18" s="75" t="s">
        <v>1436</v>
      </c>
      <c r="V18" s="75" t="s">
        <v>1436</v>
      </c>
      <c r="W18" s="60"/>
      <c r="X18" s="73" t="str">
        <f t="shared" si="0"/>
        <v>Belum Dinilai</v>
      </c>
      <c r="Y18" s="73" t="str">
        <f t="shared" si="1"/>
        <v>Belum Dinilai</v>
      </c>
      <c r="Z18" s="74" t="str">
        <f t="shared" si="2"/>
        <v/>
      </c>
      <c r="AA18" s="74" t="str">
        <f t="shared" si="3"/>
        <v/>
      </c>
      <c r="AB18" s="74" t="str">
        <f t="shared" si="4"/>
        <v/>
      </c>
      <c r="AC18" s="61" t="s">
        <v>1436</v>
      </c>
      <c r="AD18" s="61" t="s">
        <v>1436</v>
      </c>
      <c r="AE18" s="61" t="s">
        <v>1436</v>
      </c>
      <c r="AF18" s="61" t="s">
        <v>1436</v>
      </c>
      <c r="AG18" s="61" t="s">
        <v>1436</v>
      </c>
      <c r="AH18" s="61" t="s">
        <v>1436</v>
      </c>
      <c r="AI18" s="61" t="s">
        <v>1436</v>
      </c>
      <c r="AJ18" s="61" t="s">
        <v>1436</v>
      </c>
      <c r="AK18" s="61" t="s">
        <v>1436</v>
      </c>
      <c r="AL18" s="61"/>
      <c r="AM18" s="61" t="s">
        <v>1436</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1407</v>
      </c>
      <c r="AV18" s="59" t="s">
        <v>1424</v>
      </c>
      <c r="AW18" s="59" t="s">
        <v>1409</v>
      </c>
      <c r="AX18" s="59" t="s">
        <v>1410</v>
      </c>
      <c r="AY18" s="59"/>
      <c r="AZ18" s="59" t="s">
        <v>1408</v>
      </c>
      <c r="BA18" s="59"/>
      <c r="BB18" s="167"/>
      <c r="BC18" s="65">
        <v>2026</v>
      </c>
      <c r="BD18" s="59"/>
      <c r="BE18" s="167"/>
      <c r="BF18" s="59" t="s">
        <v>1500</v>
      </c>
    </row>
    <row r="19" spans="1:58" ht="28">
      <c r="A19" s="59" t="s">
        <v>1576</v>
      </c>
      <c r="B19" s="59" t="s">
        <v>1577</v>
      </c>
      <c r="C19" s="59"/>
      <c r="D19" s="59"/>
      <c r="E19" s="59" t="s">
        <v>1578</v>
      </c>
      <c r="F19" s="59" t="s">
        <v>1579</v>
      </c>
      <c r="G19" s="59" t="s">
        <v>1511</v>
      </c>
      <c r="H19" s="59" t="s">
        <v>1398</v>
      </c>
      <c r="I19" s="59" t="s">
        <v>1512</v>
      </c>
      <c r="J19" s="59" t="s">
        <v>1430</v>
      </c>
      <c r="K19" s="59" t="s">
        <v>1431</v>
      </c>
      <c r="L19" s="59" t="s">
        <v>1417</v>
      </c>
      <c r="M19" s="59" t="s">
        <v>1488</v>
      </c>
      <c r="N19" s="59" t="s">
        <v>1417</v>
      </c>
      <c r="O19" s="59" t="s">
        <v>1434</v>
      </c>
      <c r="P19" s="59" t="s">
        <v>1417</v>
      </c>
      <c r="Q19" s="75" t="s">
        <v>1404</v>
      </c>
      <c r="R19" s="75" t="s">
        <v>1405</v>
      </c>
      <c r="S19" s="75" t="s">
        <v>1421</v>
      </c>
      <c r="T19" s="75" t="s">
        <v>1405</v>
      </c>
      <c r="U19" s="75" t="s">
        <v>1421</v>
      </c>
      <c r="V19" s="75" t="s">
        <v>1421</v>
      </c>
      <c r="W19" s="60"/>
      <c r="X19" s="73" t="str">
        <f t="shared" si="0"/>
        <v xml:space="preserve">Lansia; Kepala keluarga perempuan; </v>
      </c>
      <c r="Y19" s="73" t="str">
        <f t="shared" si="1"/>
        <v>2 atau Lebih Faktor Rentan</v>
      </c>
      <c r="Z19" s="74">
        <f t="shared" si="2"/>
        <v>10</v>
      </c>
      <c r="AA19" s="74">
        <f t="shared" si="3"/>
        <v>10</v>
      </c>
      <c r="AB19" s="74">
        <f t="shared" si="4"/>
        <v>20</v>
      </c>
      <c r="AC19" s="61" t="s">
        <v>1421</v>
      </c>
      <c r="AD19" s="61" t="s">
        <v>1421</v>
      </c>
      <c r="AE19" s="61" t="s">
        <v>1421</v>
      </c>
      <c r="AF19" s="61" t="s">
        <v>1421</v>
      </c>
      <c r="AG19" s="61" t="s">
        <v>1405</v>
      </c>
      <c r="AH19" s="61" t="s">
        <v>1405</v>
      </c>
      <c r="AI19" s="61" t="s">
        <v>1405</v>
      </c>
      <c r="AJ19" s="61" t="s">
        <v>1421</v>
      </c>
      <c r="AK19" s="61" t="s">
        <v>1421</v>
      </c>
      <c r="AL19" s="61"/>
      <c r="AM19" s="61" t="s">
        <v>1436</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1407</v>
      </c>
      <c r="AV19" s="59" t="s">
        <v>1424</v>
      </c>
      <c r="AW19" s="59" t="s">
        <v>1425</v>
      </c>
      <c r="AX19" s="59" t="s">
        <v>1505</v>
      </c>
      <c r="AY19" s="59">
        <v>2026</v>
      </c>
      <c r="AZ19" s="59" t="s">
        <v>1411</v>
      </c>
      <c r="BA19" s="59"/>
      <c r="BB19" s="167"/>
      <c r="BC19" s="65">
        <v>2026</v>
      </c>
      <c r="BD19" s="59" t="s">
        <v>1440</v>
      </c>
      <c r="BE19" s="167"/>
      <c r="BF19" s="59" t="s">
        <v>1500</v>
      </c>
    </row>
    <row r="20" spans="1:58" ht="28">
      <c r="A20" s="59" t="s">
        <v>1580</v>
      </c>
      <c r="B20" s="59" t="s">
        <v>1581</v>
      </c>
      <c r="C20" s="59"/>
      <c r="D20" s="59"/>
      <c r="E20" s="59" t="s">
        <v>1582</v>
      </c>
      <c r="F20" s="59" t="s">
        <v>1583</v>
      </c>
      <c r="G20" s="59" t="s">
        <v>1584</v>
      </c>
      <c r="H20" s="59" t="s">
        <v>1398</v>
      </c>
      <c r="I20" s="59" t="s">
        <v>1585</v>
      </c>
      <c r="J20" s="59" t="s">
        <v>1430</v>
      </c>
      <c r="K20" s="59" t="s">
        <v>1431</v>
      </c>
      <c r="L20" s="59" t="s">
        <v>1436</v>
      </c>
      <c r="M20" s="59" t="s">
        <v>1488</v>
      </c>
      <c r="N20" s="59" t="s">
        <v>1436</v>
      </c>
      <c r="O20" s="59" t="s">
        <v>1434</v>
      </c>
      <c r="P20" s="59" t="s">
        <v>1436</v>
      </c>
      <c r="Q20" s="75" t="s">
        <v>1436</v>
      </c>
      <c r="R20" s="75" t="s">
        <v>1436</v>
      </c>
      <c r="S20" s="75" t="s">
        <v>1436</v>
      </c>
      <c r="T20" s="75" t="s">
        <v>1436</v>
      </c>
      <c r="U20" s="75" t="s">
        <v>1436</v>
      </c>
      <c r="V20" s="75" t="s">
        <v>1436</v>
      </c>
      <c r="W20" s="60"/>
      <c r="X20" s="73" t="str">
        <f t="shared" si="0"/>
        <v>Belum Dinilai</v>
      </c>
      <c r="Y20" s="73" t="str">
        <f t="shared" si="1"/>
        <v>Belum Dinilai</v>
      </c>
      <c r="Z20" s="74" t="str">
        <f t="shared" si="2"/>
        <v/>
      </c>
      <c r="AA20" s="74" t="str">
        <f t="shared" si="3"/>
        <v/>
      </c>
      <c r="AB20" s="74" t="str">
        <f t="shared" si="4"/>
        <v/>
      </c>
      <c r="AC20" s="61" t="s">
        <v>1436</v>
      </c>
      <c r="AD20" s="61" t="s">
        <v>1436</v>
      </c>
      <c r="AE20" s="61" t="s">
        <v>1436</v>
      </c>
      <c r="AF20" s="61" t="s">
        <v>1436</v>
      </c>
      <c r="AG20" s="61" t="s">
        <v>1436</v>
      </c>
      <c r="AH20" s="61" t="s">
        <v>1436</v>
      </c>
      <c r="AI20" s="61" t="s">
        <v>1436</v>
      </c>
      <c r="AJ20" s="61" t="s">
        <v>1436</v>
      </c>
      <c r="AK20" s="61" t="s">
        <v>1436</v>
      </c>
      <c r="AL20" s="61"/>
      <c r="AM20" s="61" t="s">
        <v>1436</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1423</v>
      </c>
      <c r="AV20" s="59" t="s">
        <v>1424</v>
      </c>
      <c r="AW20" s="59" t="s">
        <v>1522</v>
      </c>
      <c r="AX20" s="59" t="s">
        <v>1490</v>
      </c>
      <c r="AY20" s="59">
        <v>2024</v>
      </c>
      <c r="AZ20" s="59" t="s">
        <v>1411</v>
      </c>
      <c r="BA20" s="59"/>
      <c r="BB20" s="167"/>
      <c r="BC20" s="65">
        <v>2026</v>
      </c>
      <c r="BD20" s="59"/>
      <c r="BE20" s="167"/>
      <c r="BF20" s="59" t="s">
        <v>1500</v>
      </c>
    </row>
    <row r="21" spans="1:58" ht="28">
      <c r="A21" s="59" t="s">
        <v>1586</v>
      </c>
      <c r="B21" s="59" t="s">
        <v>1587</v>
      </c>
      <c r="C21" s="59"/>
      <c r="D21" s="59"/>
      <c r="E21" s="59" t="s">
        <v>1588</v>
      </c>
      <c r="F21" s="59" t="s">
        <v>1589</v>
      </c>
      <c r="G21" s="59" t="s">
        <v>1584</v>
      </c>
      <c r="H21" s="59" t="s">
        <v>1398</v>
      </c>
      <c r="I21" s="59" t="s">
        <v>1590</v>
      </c>
      <c r="J21" s="59" t="s">
        <v>1430</v>
      </c>
      <c r="K21" s="59" t="s">
        <v>1431</v>
      </c>
      <c r="L21" s="59" t="s">
        <v>1436</v>
      </c>
      <c r="M21" s="59" t="s">
        <v>1488</v>
      </c>
      <c r="N21" s="59" t="s">
        <v>1436</v>
      </c>
      <c r="O21" s="59" t="s">
        <v>1521</v>
      </c>
      <c r="P21" s="59" t="s">
        <v>1436</v>
      </c>
      <c r="Q21" s="75" t="s">
        <v>1436</v>
      </c>
      <c r="R21" s="75" t="s">
        <v>1436</v>
      </c>
      <c r="S21" s="75" t="s">
        <v>1436</v>
      </c>
      <c r="T21" s="75" t="s">
        <v>1436</v>
      </c>
      <c r="U21" s="75" t="s">
        <v>1436</v>
      </c>
      <c r="V21" s="75" t="s">
        <v>1436</v>
      </c>
      <c r="W21" s="60"/>
      <c r="X21" s="73" t="str">
        <f t="shared" si="0"/>
        <v>Belum Dinilai</v>
      </c>
      <c r="Y21" s="73" t="str">
        <f t="shared" si="1"/>
        <v>Belum Dinilai</v>
      </c>
      <c r="Z21" s="74" t="str">
        <f t="shared" si="2"/>
        <v/>
      </c>
      <c r="AA21" s="74" t="str">
        <f t="shared" si="3"/>
        <v/>
      </c>
      <c r="AB21" s="74" t="str">
        <f t="shared" si="4"/>
        <v/>
      </c>
      <c r="AC21" s="61" t="s">
        <v>1436</v>
      </c>
      <c r="AD21" s="61" t="s">
        <v>1436</v>
      </c>
      <c r="AE21" s="61" t="s">
        <v>1436</v>
      </c>
      <c r="AF21" s="61" t="s">
        <v>1436</v>
      </c>
      <c r="AG21" s="61" t="s">
        <v>1436</v>
      </c>
      <c r="AH21" s="61" t="s">
        <v>1436</v>
      </c>
      <c r="AI21" s="61" t="s">
        <v>1436</v>
      </c>
      <c r="AJ21" s="61" t="s">
        <v>1436</v>
      </c>
      <c r="AK21" s="61" t="s">
        <v>1436</v>
      </c>
      <c r="AL21" s="61"/>
      <c r="AM21" s="61" t="s">
        <v>1436</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1407</v>
      </c>
      <c r="AV21" s="59" t="s">
        <v>1424</v>
      </c>
      <c r="AW21" s="59" t="s">
        <v>1409</v>
      </c>
      <c r="AX21" s="59" t="s">
        <v>1410</v>
      </c>
      <c r="AY21" s="59"/>
      <c r="AZ21" s="59" t="s">
        <v>1408</v>
      </c>
      <c r="BA21" s="59"/>
      <c r="BB21" s="167"/>
      <c r="BC21" s="65">
        <v>2026</v>
      </c>
      <c r="BD21" s="59"/>
      <c r="BE21" s="167"/>
      <c r="BF21" s="59" t="s">
        <v>1500</v>
      </c>
    </row>
    <row r="22" spans="1:58" ht="56">
      <c r="A22" s="59" t="s">
        <v>1591</v>
      </c>
      <c r="B22" s="59" t="s">
        <v>1592</v>
      </c>
      <c r="C22" s="59"/>
      <c r="D22" s="59"/>
      <c r="E22" s="59" t="s">
        <v>1593</v>
      </c>
      <c r="F22" s="59" t="s">
        <v>1542</v>
      </c>
      <c r="G22" s="59" t="s">
        <v>1511</v>
      </c>
      <c r="H22" s="59" t="s">
        <v>1398</v>
      </c>
      <c r="I22" s="59" t="s">
        <v>1594</v>
      </c>
      <c r="J22" s="59" t="s">
        <v>1430</v>
      </c>
      <c r="K22" s="59" t="s">
        <v>1515</v>
      </c>
      <c r="L22" s="59" t="s">
        <v>1436</v>
      </c>
      <c r="M22" s="59" t="s">
        <v>1488</v>
      </c>
      <c r="N22" s="59" t="s">
        <v>1486</v>
      </c>
      <c r="O22" s="59" t="s">
        <v>1434</v>
      </c>
      <c r="P22" s="59" t="s">
        <v>1486</v>
      </c>
      <c r="Q22" s="75" t="s">
        <v>1436</v>
      </c>
      <c r="R22" s="75" t="s">
        <v>1436</v>
      </c>
      <c r="S22" s="75" t="s">
        <v>1436</v>
      </c>
      <c r="T22" s="75" t="s">
        <v>1436</v>
      </c>
      <c r="U22" s="75" t="s">
        <v>1436</v>
      </c>
      <c r="V22" s="75" t="s">
        <v>1436</v>
      </c>
      <c r="W22" s="60"/>
      <c r="X22" s="73" t="str">
        <f t="shared" si="0"/>
        <v>Belum Dinilai</v>
      </c>
      <c r="Y22" s="73" t="str">
        <f t="shared" si="1"/>
        <v>Belum Dinilai</v>
      </c>
      <c r="Z22" s="74" t="str">
        <f t="shared" si="2"/>
        <v/>
      </c>
      <c r="AA22" s="74" t="str">
        <f t="shared" si="3"/>
        <v/>
      </c>
      <c r="AB22" s="74" t="str">
        <f t="shared" si="4"/>
        <v/>
      </c>
      <c r="AC22" s="61" t="s">
        <v>1436</v>
      </c>
      <c r="AD22" s="61" t="s">
        <v>1436</v>
      </c>
      <c r="AE22" s="61" t="s">
        <v>1436</v>
      </c>
      <c r="AF22" s="61" t="s">
        <v>1436</v>
      </c>
      <c r="AG22" s="61" t="s">
        <v>1436</v>
      </c>
      <c r="AH22" s="61" t="s">
        <v>1436</v>
      </c>
      <c r="AI22" s="61" t="s">
        <v>1436</v>
      </c>
      <c r="AJ22" s="61" t="s">
        <v>1436</v>
      </c>
      <c r="AK22" s="61" t="s">
        <v>1436</v>
      </c>
      <c r="AL22" s="61"/>
      <c r="AM22" s="61" t="s">
        <v>1436</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1407</v>
      </c>
      <c r="AV22" s="59" t="s">
        <v>1424</v>
      </c>
      <c r="AW22" s="59" t="s">
        <v>1409</v>
      </c>
      <c r="AX22" s="59" t="s">
        <v>1410</v>
      </c>
      <c r="AY22" s="59"/>
      <c r="AZ22" s="59" t="s">
        <v>1408</v>
      </c>
      <c r="BA22" s="59"/>
      <c r="BB22" s="167"/>
      <c r="BC22" s="65">
        <v>2026</v>
      </c>
      <c r="BD22" s="59"/>
      <c r="BE22" s="167"/>
      <c r="BF22" s="59" t="s">
        <v>1500</v>
      </c>
    </row>
    <row r="23" spans="1:58" ht="28">
      <c r="A23" s="59" t="s">
        <v>1595</v>
      </c>
      <c r="B23" s="59" t="s">
        <v>1596</v>
      </c>
      <c r="C23" s="59"/>
      <c r="D23" s="59"/>
      <c r="E23" s="59" t="s">
        <v>1597</v>
      </c>
      <c r="F23" s="59" t="s">
        <v>1579</v>
      </c>
      <c r="G23" s="59" t="s">
        <v>1511</v>
      </c>
      <c r="H23" s="59" t="s">
        <v>1398</v>
      </c>
      <c r="I23" s="59" t="s">
        <v>1598</v>
      </c>
      <c r="J23" s="59" t="s">
        <v>1430</v>
      </c>
      <c r="K23" s="59" t="s">
        <v>1416</v>
      </c>
      <c r="L23" s="59" t="s">
        <v>1432</v>
      </c>
      <c r="M23" s="59" t="s">
        <v>1488</v>
      </c>
      <c r="N23" s="59" t="s">
        <v>1432</v>
      </c>
      <c r="O23" s="59" t="s">
        <v>1434</v>
      </c>
      <c r="P23" s="59" t="s">
        <v>1432</v>
      </c>
      <c r="Q23" s="75" t="s">
        <v>1436</v>
      </c>
      <c r="R23" s="75" t="s">
        <v>1436</v>
      </c>
      <c r="S23" s="75" t="s">
        <v>1436</v>
      </c>
      <c r="T23" s="75" t="s">
        <v>1436</v>
      </c>
      <c r="U23" s="75" t="s">
        <v>1436</v>
      </c>
      <c r="V23" s="75" t="s">
        <v>1436</v>
      </c>
      <c r="W23" s="60"/>
      <c r="X23" s="73" t="str">
        <f t="shared" si="0"/>
        <v>Belum Dinilai</v>
      </c>
      <c r="Y23" s="73" t="str">
        <f t="shared" si="1"/>
        <v>Belum Dinilai</v>
      </c>
      <c r="Z23" s="74" t="str">
        <f t="shared" si="2"/>
        <v/>
      </c>
      <c r="AA23" s="74" t="str">
        <f t="shared" si="3"/>
        <v/>
      </c>
      <c r="AB23" s="74" t="str">
        <f t="shared" si="4"/>
        <v/>
      </c>
      <c r="AC23" s="61" t="s">
        <v>1436</v>
      </c>
      <c r="AD23" s="61" t="s">
        <v>1436</v>
      </c>
      <c r="AE23" s="61" t="s">
        <v>1436</v>
      </c>
      <c r="AF23" s="61" t="s">
        <v>1436</v>
      </c>
      <c r="AG23" s="61" t="s">
        <v>1436</v>
      </c>
      <c r="AH23" s="61" t="s">
        <v>1436</v>
      </c>
      <c r="AI23" s="61" t="s">
        <v>1436</v>
      </c>
      <c r="AJ23" s="61" t="s">
        <v>1436</v>
      </c>
      <c r="AK23" s="61" t="s">
        <v>1436</v>
      </c>
      <c r="AL23" s="61"/>
      <c r="AM23" s="61" t="s">
        <v>1436</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1407</v>
      </c>
      <c r="AV23" s="59" t="s">
        <v>1424</v>
      </c>
      <c r="AW23" s="59" t="s">
        <v>1409</v>
      </c>
      <c r="AX23" s="59" t="s">
        <v>1410</v>
      </c>
      <c r="AY23" s="59"/>
      <c r="AZ23" s="59" t="s">
        <v>1408</v>
      </c>
      <c r="BA23" s="59"/>
      <c r="BB23" s="167"/>
      <c r="BC23" s="65">
        <v>2026</v>
      </c>
      <c r="BD23" s="59"/>
      <c r="BE23" s="167"/>
      <c r="BF23" s="59" t="s">
        <v>1500</v>
      </c>
    </row>
    <row r="24" spans="1:58" ht="42">
      <c r="A24" s="59" t="s">
        <v>1599</v>
      </c>
      <c r="B24" s="59" t="s">
        <v>1600</v>
      </c>
      <c r="C24" s="59"/>
      <c r="D24" s="59"/>
      <c r="E24" s="59" t="s">
        <v>1601</v>
      </c>
      <c r="F24" s="59" t="s">
        <v>1602</v>
      </c>
      <c r="G24" s="59" t="s">
        <v>1511</v>
      </c>
      <c r="H24" s="59" t="s">
        <v>1414</v>
      </c>
      <c r="I24" s="59" t="s">
        <v>1603</v>
      </c>
      <c r="J24" s="59" t="s">
        <v>1415</v>
      </c>
      <c r="K24" s="59" t="s">
        <v>1416</v>
      </c>
      <c r="L24" s="59" t="s">
        <v>1436</v>
      </c>
      <c r="M24" s="59" t="s">
        <v>1488</v>
      </c>
      <c r="N24" s="59" t="s">
        <v>1436</v>
      </c>
      <c r="O24" s="59" t="s">
        <v>1521</v>
      </c>
      <c r="P24" s="59" t="s">
        <v>1436</v>
      </c>
      <c r="Q24" s="75" t="s">
        <v>1436</v>
      </c>
      <c r="R24" s="75" t="s">
        <v>1436</v>
      </c>
      <c r="S24" s="75" t="s">
        <v>1436</v>
      </c>
      <c r="T24" s="75" t="s">
        <v>1436</v>
      </c>
      <c r="U24" s="75" t="s">
        <v>1436</v>
      </c>
      <c r="V24" s="75" t="s">
        <v>1436</v>
      </c>
      <c r="W24" s="60"/>
      <c r="X24" s="73" t="str">
        <f t="shared" si="0"/>
        <v>Belum Dinilai</v>
      </c>
      <c r="Y24" s="73" t="str">
        <f t="shared" si="1"/>
        <v>Belum Dinilai</v>
      </c>
      <c r="Z24" s="74" t="str">
        <f t="shared" si="2"/>
        <v/>
      </c>
      <c r="AA24" s="74" t="str">
        <f t="shared" si="3"/>
        <v/>
      </c>
      <c r="AB24" s="74" t="str">
        <f t="shared" si="4"/>
        <v/>
      </c>
      <c r="AC24" s="61" t="s">
        <v>1436</v>
      </c>
      <c r="AD24" s="61" t="s">
        <v>1436</v>
      </c>
      <c r="AE24" s="61" t="s">
        <v>1436</v>
      </c>
      <c r="AF24" s="61" t="s">
        <v>1436</v>
      </c>
      <c r="AG24" s="61" t="s">
        <v>1436</v>
      </c>
      <c r="AH24" s="61" t="s">
        <v>1436</v>
      </c>
      <c r="AI24" s="61" t="s">
        <v>1436</v>
      </c>
      <c r="AJ24" s="61" t="s">
        <v>1436</v>
      </c>
      <c r="AK24" s="61" t="s">
        <v>1436</v>
      </c>
      <c r="AL24" s="61"/>
      <c r="AM24" s="61" t="s">
        <v>1436</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1423</v>
      </c>
      <c r="AV24" s="59" t="s">
        <v>1424</v>
      </c>
      <c r="AW24" s="59" t="s">
        <v>1409</v>
      </c>
      <c r="AX24" s="59" t="s">
        <v>1410</v>
      </c>
      <c r="AY24" s="59"/>
      <c r="AZ24" s="59" t="s">
        <v>1408</v>
      </c>
      <c r="BA24" s="59"/>
      <c r="BB24" s="167"/>
      <c r="BC24" s="65">
        <v>2026</v>
      </c>
      <c r="BD24" s="59"/>
      <c r="BE24" s="167"/>
      <c r="BF24" s="59" t="s">
        <v>1500</v>
      </c>
    </row>
    <row r="25" spans="1:58" ht="28">
      <c r="A25" s="59" t="s">
        <v>1604</v>
      </c>
      <c r="B25" s="59" t="s">
        <v>1605</v>
      </c>
      <c r="C25" s="59"/>
      <c r="D25" s="59"/>
      <c r="E25" s="59" t="s">
        <v>1606</v>
      </c>
      <c r="F25" s="59" t="s">
        <v>1607</v>
      </c>
      <c r="G25" s="59" t="s">
        <v>1497</v>
      </c>
      <c r="H25" s="59" t="s">
        <v>1414</v>
      </c>
      <c r="I25" s="59" t="s">
        <v>1608</v>
      </c>
      <c r="J25" s="59" t="s">
        <v>1399</v>
      </c>
      <c r="K25" s="59" t="s">
        <v>1521</v>
      </c>
      <c r="L25" s="59" t="s">
        <v>1417</v>
      </c>
      <c r="M25" s="59" t="s">
        <v>1487</v>
      </c>
      <c r="N25" s="59" t="s">
        <v>1436</v>
      </c>
      <c r="O25" s="59" t="s">
        <v>1521</v>
      </c>
      <c r="P25" s="59" t="s">
        <v>1436</v>
      </c>
      <c r="Q25" s="75" t="s">
        <v>1436</v>
      </c>
      <c r="R25" s="75" t="s">
        <v>1436</v>
      </c>
      <c r="S25" s="75" t="s">
        <v>1436</v>
      </c>
      <c r="T25" s="75" t="s">
        <v>1436</v>
      </c>
      <c r="U25" s="75" t="s">
        <v>1436</v>
      </c>
      <c r="V25" s="75" t="s">
        <v>1436</v>
      </c>
      <c r="W25" s="60"/>
      <c r="X25" s="73" t="str">
        <f t="shared" si="0"/>
        <v>Belum Dinilai</v>
      </c>
      <c r="Y25" s="73" t="str">
        <f t="shared" si="1"/>
        <v>Belum Dinilai</v>
      </c>
      <c r="Z25" s="74" t="str">
        <f t="shared" si="2"/>
        <v/>
      </c>
      <c r="AA25" s="74" t="str">
        <f t="shared" si="3"/>
        <v/>
      </c>
      <c r="AB25" s="74" t="str">
        <f t="shared" si="4"/>
        <v/>
      </c>
      <c r="AC25" s="61" t="s">
        <v>1436</v>
      </c>
      <c r="AD25" s="61" t="s">
        <v>1436</v>
      </c>
      <c r="AE25" s="61" t="s">
        <v>1436</v>
      </c>
      <c r="AF25" s="61" t="s">
        <v>1436</v>
      </c>
      <c r="AG25" s="61" t="s">
        <v>1436</v>
      </c>
      <c r="AH25" s="61" t="s">
        <v>1436</v>
      </c>
      <c r="AI25" s="61" t="s">
        <v>1436</v>
      </c>
      <c r="AJ25" s="61" t="s">
        <v>1436</v>
      </c>
      <c r="AK25" s="61" t="s">
        <v>1436</v>
      </c>
      <c r="AL25" s="61"/>
      <c r="AM25" s="61" t="s">
        <v>1436</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1423</v>
      </c>
      <c r="AV25" s="59" t="s">
        <v>1424</v>
      </c>
      <c r="AW25" s="59" t="s">
        <v>1409</v>
      </c>
      <c r="AX25" s="59" t="s">
        <v>1410</v>
      </c>
      <c r="AY25" s="59"/>
      <c r="AZ25" s="59" t="s">
        <v>1408</v>
      </c>
      <c r="BA25" s="59"/>
      <c r="BB25" s="167"/>
      <c r="BC25" s="65">
        <v>2026</v>
      </c>
      <c r="BD25" s="59"/>
      <c r="BE25" s="167"/>
      <c r="BF25" s="59" t="s">
        <v>1500</v>
      </c>
    </row>
    <row r="26" spans="1:58" ht="28">
      <c r="A26" s="59" t="s">
        <v>1609</v>
      </c>
      <c r="B26" s="59" t="s">
        <v>1610</v>
      </c>
      <c r="C26" s="59"/>
      <c r="D26" s="59"/>
      <c r="E26" s="59" t="s">
        <v>1611</v>
      </c>
      <c r="F26" s="59" t="s">
        <v>1612</v>
      </c>
      <c r="G26" s="59" t="s">
        <v>1511</v>
      </c>
      <c r="H26" s="59" t="s">
        <v>1414</v>
      </c>
      <c r="I26" s="59" t="s">
        <v>1613</v>
      </c>
      <c r="J26" s="59" t="s">
        <v>1399</v>
      </c>
      <c r="K26" s="59" t="s">
        <v>1521</v>
      </c>
      <c r="L26" s="59" t="s">
        <v>1436</v>
      </c>
      <c r="M26" s="59" t="s">
        <v>1433</v>
      </c>
      <c r="N26" s="59" t="s">
        <v>1436</v>
      </c>
      <c r="O26" s="59" t="s">
        <v>1521</v>
      </c>
      <c r="P26" s="59" t="s">
        <v>1436</v>
      </c>
      <c r="Q26" s="75" t="s">
        <v>1436</v>
      </c>
      <c r="R26" s="75" t="s">
        <v>1436</v>
      </c>
      <c r="S26" s="75" t="s">
        <v>1436</v>
      </c>
      <c r="T26" s="75" t="s">
        <v>1436</v>
      </c>
      <c r="U26" s="75" t="s">
        <v>1436</v>
      </c>
      <c r="V26" s="75" t="s">
        <v>1436</v>
      </c>
      <c r="W26" s="60"/>
      <c r="X26" s="73" t="str">
        <f t="shared" si="0"/>
        <v>Belum Dinilai</v>
      </c>
      <c r="Y26" s="73" t="str">
        <f t="shared" si="1"/>
        <v>Belum Dinilai</v>
      </c>
      <c r="Z26" s="74" t="str">
        <f t="shared" si="2"/>
        <v/>
      </c>
      <c r="AA26" s="74" t="str">
        <f t="shared" si="3"/>
        <v/>
      </c>
      <c r="AB26" s="74" t="str">
        <f t="shared" si="4"/>
        <v/>
      </c>
      <c r="AC26" s="61" t="s">
        <v>1436</v>
      </c>
      <c r="AD26" s="61" t="s">
        <v>1436</v>
      </c>
      <c r="AE26" s="61" t="s">
        <v>1436</v>
      </c>
      <c r="AF26" s="61" t="s">
        <v>1436</v>
      </c>
      <c r="AG26" s="61" t="s">
        <v>1436</v>
      </c>
      <c r="AH26" s="61" t="s">
        <v>1436</v>
      </c>
      <c r="AI26" s="61" t="s">
        <v>1436</v>
      </c>
      <c r="AJ26" s="61" t="s">
        <v>1436</v>
      </c>
      <c r="AK26" s="61" t="s">
        <v>1436</v>
      </c>
      <c r="AL26" s="61"/>
      <c r="AM26" s="61" t="s">
        <v>1436</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1407</v>
      </c>
      <c r="AV26" s="59" t="s">
        <v>1424</v>
      </c>
      <c r="AW26" s="59" t="s">
        <v>1409</v>
      </c>
      <c r="AX26" s="59" t="s">
        <v>1410</v>
      </c>
      <c r="AY26" s="59"/>
      <c r="AZ26" s="59" t="s">
        <v>1408</v>
      </c>
      <c r="BA26" s="59"/>
      <c r="BB26" s="167"/>
      <c r="BC26" s="65">
        <v>2026</v>
      </c>
      <c r="BD26" s="59"/>
      <c r="BE26" s="167"/>
      <c r="BF26" s="59" t="s">
        <v>1500</v>
      </c>
    </row>
    <row r="27" spans="1:58" ht="42">
      <c r="A27" s="59" t="s">
        <v>1614</v>
      </c>
      <c r="B27" s="59" t="s">
        <v>1615</v>
      </c>
      <c r="C27" s="59"/>
      <c r="D27" s="59"/>
      <c r="E27" s="59" t="s">
        <v>1616</v>
      </c>
      <c r="F27" s="59" t="s">
        <v>1617</v>
      </c>
      <c r="G27" s="59" t="s">
        <v>1584</v>
      </c>
      <c r="H27" s="59" t="s">
        <v>1398</v>
      </c>
      <c r="I27" s="59" t="s">
        <v>1618</v>
      </c>
      <c r="J27" s="59" t="s">
        <v>1430</v>
      </c>
      <c r="K27" s="59" t="s">
        <v>1416</v>
      </c>
      <c r="L27" s="59" t="s">
        <v>1432</v>
      </c>
      <c r="M27" s="59" t="s">
        <v>1488</v>
      </c>
      <c r="N27" s="59" t="s">
        <v>1432</v>
      </c>
      <c r="O27" s="59" t="s">
        <v>1434</v>
      </c>
      <c r="P27" s="59" t="s">
        <v>1432</v>
      </c>
      <c r="Q27" s="75" t="s">
        <v>1436</v>
      </c>
      <c r="R27" s="75" t="s">
        <v>1436</v>
      </c>
      <c r="S27" s="75" t="s">
        <v>1436</v>
      </c>
      <c r="T27" s="75" t="s">
        <v>1436</v>
      </c>
      <c r="U27" s="75" t="s">
        <v>1436</v>
      </c>
      <c r="V27" s="75" t="s">
        <v>1436</v>
      </c>
      <c r="W27" s="60"/>
      <c r="X27" s="73" t="str">
        <f t="shared" si="0"/>
        <v>Belum Dinilai</v>
      </c>
      <c r="Y27" s="73" t="str">
        <f t="shared" si="1"/>
        <v>Belum Dinilai</v>
      </c>
      <c r="Z27" s="74" t="str">
        <f t="shared" si="2"/>
        <v/>
      </c>
      <c r="AA27" s="74" t="str">
        <f t="shared" si="3"/>
        <v/>
      </c>
      <c r="AB27" s="74" t="str">
        <f t="shared" si="4"/>
        <v/>
      </c>
      <c r="AC27" s="61" t="s">
        <v>1436</v>
      </c>
      <c r="AD27" s="61" t="s">
        <v>1436</v>
      </c>
      <c r="AE27" s="61" t="s">
        <v>1436</v>
      </c>
      <c r="AF27" s="61" t="s">
        <v>1436</v>
      </c>
      <c r="AG27" s="61" t="s">
        <v>1436</v>
      </c>
      <c r="AH27" s="61" t="s">
        <v>1436</v>
      </c>
      <c r="AI27" s="61" t="s">
        <v>1436</v>
      </c>
      <c r="AJ27" s="61" t="s">
        <v>1436</v>
      </c>
      <c r="AK27" s="61" t="s">
        <v>1436</v>
      </c>
      <c r="AL27" s="61"/>
      <c r="AM27" s="61" t="s">
        <v>1436</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1407</v>
      </c>
      <c r="AV27" s="59" t="s">
        <v>1424</v>
      </c>
      <c r="AW27" s="59" t="s">
        <v>1409</v>
      </c>
      <c r="AX27" s="59" t="s">
        <v>1410</v>
      </c>
      <c r="AY27" s="59"/>
      <c r="AZ27" s="59" t="s">
        <v>1408</v>
      </c>
      <c r="BA27" s="59"/>
      <c r="BB27" s="167"/>
      <c r="BC27" s="65">
        <v>2026</v>
      </c>
      <c r="BD27" s="59"/>
      <c r="BE27" s="167"/>
      <c r="BF27" s="59" t="s">
        <v>1500</v>
      </c>
    </row>
    <row r="28" spans="1:58" ht="28">
      <c r="A28" s="59" t="s">
        <v>1619</v>
      </c>
      <c r="B28" s="59" t="s">
        <v>1620</v>
      </c>
      <c r="C28" s="59"/>
      <c r="D28" s="59"/>
      <c r="E28" s="59" t="s">
        <v>1621</v>
      </c>
      <c r="F28" s="59" t="s">
        <v>1622</v>
      </c>
      <c r="G28" s="59" t="s">
        <v>1584</v>
      </c>
      <c r="H28" s="59" t="s">
        <v>1414</v>
      </c>
      <c r="I28" s="59" t="s">
        <v>1623</v>
      </c>
      <c r="J28" s="59" t="s">
        <v>1399</v>
      </c>
      <c r="K28" s="59" t="s">
        <v>1521</v>
      </c>
      <c r="L28" s="59" t="s">
        <v>1417</v>
      </c>
      <c r="M28" s="59" t="s">
        <v>1487</v>
      </c>
      <c r="N28" s="59" t="s">
        <v>1436</v>
      </c>
      <c r="O28" s="59" t="s">
        <v>1521</v>
      </c>
      <c r="P28" s="59" t="s">
        <v>1436</v>
      </c>
      <c r="Q28" s="75" t="s">
        <v>1436</v>
      </c>
      <c r="R28" s="75" t="s">
        <v>1436</v>
      </c>
      <c r="S28" s="75" t="s">
        <v>1436</v>
      </c>
      <c r="T28" s="75" t="s">
        <v>1436</v>
      </c>
      <c r="U28" s="75" t="s">
        <v>1436</v>
      </c>
      <c r="V28" s="75" t="s">
        <v>1436</v>
      </c>
      <c r="W28" s="60"/>
      <c r="X28" s="73" t="str">
        <f t="shared" si="0"/>
        <v>Belum Dinilai</v>
      </c>
      <c r="Y28" s="73" t="str">
        <f t="shared" si="1"/>
        <v>Belum Dinilai</v>
      </c>
      <c r="Z28" s="74" t="str">
        <f t="shared" si="2"/>
        <v/>
      </c>
      <c r="AA28" s="74" t="str">
        <f t="shared" si="3"/>
        <v/>
      </c>
      <c r="AB28" s="74" t="str">
        <f t="shared" si="4"/>
        <v/>
      </c>
      <c r="AC28" s="61" t="s">
        <v>1436</v>
      </c>
      <c r="AD28" s="61" t="s">
        <v>1436</v>
      </c>
      <c r="AE28" s="61" t="s">
        <v>1436</v>
      </c>
      <c r="AF28" s="61" t="s">
        <v>1436</v>
      </c>
      <c r="AG28" s="61" t="s">
        <v>1436</v>
      </c>
      <c r="AH28" s="61" t="s">
        <v>1436</v>
      </c>
      <c r="AI28" s="61" t="s">
        <v>1436</v>
      </c>
      <c r="AJ28" s="61" t="s">
        <v>1436</v>
      </c>
      <c r="AK28" s="61" t="s">
        <v>1436</v>
      </c>
      <c r="AL28" s="61"/>
      <c r="AM28" s="61" t="s">
        <v>1436</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1407</v>
      </c>
      <c r="AV28" s="59" t="s">
        <v>1424</v>
      </c>
      <c r="AW28" s="59" t="s">
        <v>1409</v>
      </c>
      <c r="AX28" s="59" t="s">
        <v>1410</v>
      </c>
      <c r="AY28" s="59"/>
      <c r="AZ28" s="59" t="s">
        <v>1408</v>
      </c>
      <c r="BA28" s="59"/>
      <c r="BB28" s="167"/>
      <c r="BC28" s="65">
        <v>2026</v>
      </c>
      <c r="BD28" s="59"/>
      <c r="BE28" s="167"/>
      <c r="BF28" s="59" t="s">
        <v>1500</v>
      </c>
    </row>
    <row r="29" spans="1:58" ht="42">
      <c r="A29" s="59" t="s">
        <v>1624</v>
      </c>
      <c r="B29" s="59" t="s">
        <v>1625</v>
      </c>
      <c r="C29" s="59"/>
      <c r="D29" s="59"/>
      <c r="E29" s="59" t="s">
        <v>1626</v>
      </c>
      <c r="F29" s="59" t="s">
        <v>1627</v>
      </c>
      <c r="G29" s="59" t="s">
        <v>1584</v>
      </c>
      <c r="H29" s="59" t="s">
        <v>1398</v>
      </c>
      <c r="I29" s="59" t="s">
        <v>1618</v>
      </c>
      <c r="J29" s="59" t="s">
        <v>1430</v>
      </c>
      <c r="K29" s="59" t="s">
        <v>1416</v>
      </c>
      <c r="L29" s="59" t="s">
        <v>1432</v>
      </c>
      <c r="M29" s="59" t="s">
        <v>1488</v>
      </c>
      <c r="N29" s="59" t="s">
        <v>1432</v>
      </c>
      <c r="O29" s="59" t="s">
        <v>1434</v>
      </c>
      <c r="P29" s="59" t="s">
        <v>1432</v>
      </c>
      <c r="Q29" s="75" t="s">
        <v>1436</v>
      </c>
      <c r="R29" s="75" t="s">
        <v>1436</v>
      </c>
      <c r="S29" s="75" t="s">
        <v>1436</v>
      </c>
      <c r="T29" s="75" t="s">
        <v>1436</v>
      </c>
      <c r="U29" s="75" t="s">
        <v>1436</v>
      </c>
      <c r="V29" s="75" t="s">
        <v>1436</v>
      </c>
      <c r="W29" s="60"/>
      <c r="X29" s="73" t="str">
        <f t="shared" si="0"/>
        <v>Belum Dinilai</v>
      </c>
      <c r="Y29" s="73" t="str">
        <f t="shared" si="1"/>
        <v>Belum Dinilai</v>
      </c>
      <c r="Z29" s="74" t="str">
        <f t="shared" si="2"/>
        <v/>
      </c>
      <c r="AA29" s="74" t="str">
        <f t="shared" si="3"/>
        <v/>
      </c>
      <c r="AB29" s="74" t="str">
        <f t="shared" si="4"/>
        <v/>
      </c>
      <c r="AC29" s="61" t="s">
        <v>1436</v>
      </c>
      <c r="AD29" s="61" t="s">
        <v>1436</v>
      </c>
      <c r="AE29" s="61" t="s">
        <v>1436</v>
      </c>
      <c r="AF29" s="61" t="s">
        <v>1436</v>
      </c>
      <c r="AG29" s="61" t="s">
        <v>1436</v>
      </c>
      <c r="AH29" s="61" t="s">
        <v>1436</v>
      </c>
      <c r="AI29" s="61" t="s">
        <v>1436</v>
      </c>
      <c r="AJ29" s="61" t="s">
        <v>1436</v>
      </c>
      <c r="AK29" s="61" t="s">
        <v>1436</v>
      </c>
      <c r="AL29" s="61"/>
      <c r="AM29" s="61" t="s">
        <v>1436</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1407</v>
      </c>
      <c r="AV29" s="59" t="s">
        <v>1424</v>
      </c>
      <c r="AW29" s="59" t="s">
        <v>1409</v>
      </c>
      <c r="AX29" s="59" t="s">
        <v>1410</v>
      </c>
      <c r="AY29" s="59"/>
      <c r="AZ29" s="59" t="s">
        <v>1408</v>
      </c>
      <c r="BA29" s="59"/>
      <c r="BB29" s="167"/>
      <c r="BC29" s="65">
        <v>2026</v>
      </c>
      <c r="BD29" s="59"/>
      <c r="BE29" s="167"/>
      <c r="BF29" s="59" t="s">
        <v>1500</v>
      </c>
    </row>
    <row r="30" spans="1:58" ht="42">
      <c r="A30" s="59" t="s">
        <v>1628</v>
      </c>
      <c r="B30" s="59" t="s">
        <v>1629</v>
      </c>
      <c r="C30" s="59"/>
      <c r="D30" s="59"/>
      <c r="E30" s="59" t="s">
        <v>1630</v>
      </c>
      <c r="F30" s="59" t="s">
        <v>1627</v>
      </c>
      <c r="G30" s="59" t="s">
        <v>1584</v>
      </c>
      <c r="H30" s="59" t="s">
        <v>1398</v>
      </c>
      <c r="I30" s="59" t="s">
        <v>1631</v>
      </c>
      <c r="J30" s="59" t="s">
        <v>1415</v>
      </c>
      <c r="K30" s="59" t="s">
        <v>1431</v>
      </c>
      <c r="L30" s="59" t="s">
        <v>1417</v>
      </c>
      <c r="M30" s="59" t="s">
        <v>1488</v>
      </c>
      <c r="N30" s="59" t="s">
        <v>1417</v>
      </c>
      <c r="O30" s="59" t="s">
        <v>1434</v>
      </c>
      <c r="P30" s="59" t="s">
        <v>1417</v>
      </c>
      <c r="Q30" s="75" t="s">
        <v>1436</v>
      </c>
      <c r="R30" s="75" t="s">
        <v>1436</v>
      </c>
      <c r="S30" s="75" t="s">
        <v>1436</v>
      </c>
      <c r="T30" s="75" t="s">
        <v>1436</v>
      </c>
      <c r="U30" s="75" t="s">
        <v>1436</v>
      </c>
      <c r="V30" s="75" t="s">
        <v>1436</v>
      </c>
      <c r="W30" s="60"/>
      <c r="X30" s="73" t="str">
        <f t="shared" si="0"/>
        <v>Belum Dinilai</v>
      </c>
      <c r="Y30" s="73" t="str">
        <f t="shared" si="1"/>
        <v>Belum Dinilai</v>
      </c>
      <c r="Z30" s="74" t="str">
        <f t="shared" si="2"/>
        <v/>
      </c>
      <c r="AA30" s="74" t="str">
        <f t="shared" si="3"/>
        <v/>
      </c>
      <c r="AB30" s="74" t="str">
        <f t="shared" si="4"/>
        <v/>
      </c>
      <c r="AC30" s="61" t="s">
        <v>1436</v>
      </c>
      <c r="AD30" s="61" t="s">
        <v>1436</v>
      </c>
      <c r="AE30" s="61" t="s">
        <v>1436</v>
      </c>
      <c r="AF30" s="61" t="s">
        <v>1436</v>
      </c>
      <c r="AG30" s="61" t="s">
        <v>1436</v>
      </c>
      <c r="AH30" s="61" t="s">
        <v>1436</v>
      </c>
      <c r="AI30" s="61" t="s">
        <v>1436</v>
      </c>
      <c r="AJ30" s="61" t="s">
        <v>1436</v>
      </c>
      <c r="AK30" s="61" t="s">
        <v>1436</v>
      </c>
      <c r="AL30" s="61"/>
      <c r="AM30" s="61" t="s">
        <v>1436</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1407</v>
      </c>
      <c r="AV30" s="59" t="s">
        <v>1424</v>
      </c>
      <c r="AW30" s="59" t="s">
        <v>1409</v>
      </c>
      <c r="AX30" s="59" t="s">
        <v>1410</v>
      </c>
      <c r="AY30" s="59"/>
      <c r="AZ30" s="59" t="s">
        <v>1408</v>
      </c>
      <c r="BA30" s="59"/>
      <c r="BB30" s="167"/>
      <c r="BC30" s="65">
        <v>2026</v>
      </c>
      <c r="BD30" s="59"/>
      <c r="BE30" s="167"/>
      <c r="BF30" s="59" t="s">
        <v>1500</v>
      </c>
    </row>
    <row r="31" spans="1:58" ht="28">
      <c r="A31" s="59" t="s">
        <v>1632</v>
      </c>
      <c r="B31" s="59" t="s">
        <v>1633</v>
      </c>
      <c r="C31" s="59"/>
      <c r="D31" s="59"/>
      <c r="E31" s="59" t="s">
        <v>1634</v>
      </c>
      <c r="F31" s="59" t="s">
        <v>1635</v>
      </c>
      <c r="G31" s="59" t="s">
        <v>1584</v>
      </c>
      <c r="H31" s="59" t="s">
        <v>1414</v>
      </c>
      <c r="I31" s="59" t="s">
        <v>1636</v>
      </c>
      <c r="J31" s="59" t="s">
        <v>1399</v>
      </c>
      <c r="K31" s="59" t="s">
        <v>1521</v>
      </c>
      <c r="L31" s="59" t="s">
        <v>1436</v>
      </c>
      <c r="M31" s="59" t="s">
        <v>1487</v>
      </c>
      <c r="N31" s="59" t="s">
        <v>1436</v>
      </c>
      <c r="O31" s="59" t="s">
        <v>1521</v>
      </c>
      <c r="P31" s="59" t="s">
        <v>1436</v>
      </c>
      <c r="Q31" s="75" t="s">
        <v>1436</v>
      </c>
      <c r="R31" s="75" t="s">
        <v>1436</v>
      </c>
      <c r="S31" s="75" t="s">
        <v>1436</v>
      </c>
      <c r="T31" s="75" t="s">
        <v>1436</v>
      </c>
      <c r="U31" s="75" t="s">
        <v>1436</v>
      </c>
      <c r="V31" s="75" t="s">
        <v>1436</v>
      </c>
      <c r="W31" s="60"/>
      <c r="X31" s="73" t="str">
        <f t="shared" si="0"/>
        <v>Belum Dinilai</v>
      </c>
      <c r="Y31" s="73" t="str">
        <f t="shared" si="1"/>
        <v>Belum Dinilai</v>
      </c>
      <c r="Z31" s="74" t="str">
        <f t="shared" si="2"/>
        <v/>
      </c>
      <c r="AA31" s="74" t="str">
        <f t="shared" si="3"/>
        <v/>
      </c>
      <c r="AB31" s="74" t="str">
        <f t="shared" si="4"/>
        <v/>
      </c>
      <c r="AC31" s="61" t="s">
        <v>1436</v>
      </c>
      <c r="AD31" s="61" t="s">
        <v>1436</v>
      </c>
      <c r="AE31" s="61" t="s">
        <v>1436</v>
      </c>
      <c r="AF31" s="61" t="s">
        <v>1436</v>
      </c>
      <c r="AG31" s="61" t="s">
        <v>1436</v>
      </c>
      <c r="AH31" s="61" t="s">
        <v>1436</v>
      </c>
      <c r="AI31" s="61" t="s">
        <v>1436</v>
      </c>
      <c r="AJ31" s="61" t="s">
        <v>1436</v>
      </c>
      <c r="AK31" s="61" t="s">
        <v>1436</v>
      </c>
      <c r="AL31" s="61"/>
      <c r="AM31" s="61" t="s">
        <v>1436</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1423</v>
      </c>
      <c r="AV31" s="59" t="s">
        <v>1424</v>
      </c>
      <c r="AW31" s="59" t="s">
        <v>1409</v>
      </c>
      <c r="AX31" s="59" t="s">
        <v>1410</v>
      </c>
      <c r="AY31" s="59"/>
      <c r="AZ31" s="59" t="s">
        <v>1408</v>
      </c>
      <c r="BA31" s="59"/>
      <c r="BB31" s="167"/>
      <c r="BC31" s="65">
        <v>2026</v>
      </c>
      <c r="BD31" s="59"/>
      <c r="BE31" s="167"/>
      <c r="BF31" s="59" t="s">
        <v>1500</v>
      </c>
    </row>
    <row r="32" spans="1:58" ht="28">
      <c r="A32" s="59" t="s">
        <v>1637</v>
      </c>
      <c r="B32" s="59" t="s">
        <v>1638</v>
      </c>
      <c r="C32" s="59"/>
      <c r="D32" s="59"/>
      <c r="E32" s="59" t="s">
        <v>1639</v>
      </c>
      <c r="F32" s="59" t="s">
        <v>1635</v>
      </c>
      <c r="G32" s="59" t="s">
        <v>1584</v>
      </c>
      <c r="H32" s="59" t="s">
        <v>1414</v>
      </c>
      <c r="I32" s="59" t="s">
        <v>1636</v>
      </c>
      <c r="J32" s="59" t="s">
        <v>1399</v>
      </c>
      <c r="K32" s="59" t="s">
        <v>1521</v>
      </c>
      <c r="L32" s="59" t="s">
        <v>1436</v>
      </c>
      <c r="M32" s="59" t="s">
        <v>1487</v>
      </c>
      <c r="N32" s="59" t="s">
        <v>1436</v>
      </c>
      <c r="O32" s="59" t="s">
        <v>1521</v>
      </c>
      <c r="P32" s="59" t="s">
        <v>1436</v>
      </c>
      <c r="Q32" s="75" t="s">
        <v>1436</v>
      </c>
      <c r="R32" s="75" t="s">
        <v>1436</v>
      </c>
      <c r="S32" s="75" t="s">
        <v>1436</v>
      </c>
      <c r="T32" s="75" t="s">
        <v>1436</v>
      </c>
      <c r="U32" s="75" t="s">
        <v>1436</v>
      </c>
      <c r="V32" s="75" t="s">
        <v>1436</v>
      </c>
      <c r="W32" s="60"/>
      <c r="X32" s="73" t="str">
        <f t="shared" si="0"/>
        <v>Belum Dinilai</v>
      </c>
      <c r="Y32" s="73" t="str">
        <f t="shared" si="1"/>
        <v>Belum Dinilai</v>
      </c>
      <c r="Z32" s="74" t="str">
        <f t="shared" si="2"/>
        <v/>
      </c>
      <c r="AA32" s="74" t="str">
        <f t="shared" si="3"/>
        <v/>
      </c>
      <c r="AB32" s="74" t="str">
        <f t="shared" si="4"/>
        <v/>
      </c>
      <c r="AC32" s="61" t="s">
        <v>1436</v>
      </c>
      <c r="AD32" s="61" t="s">
        <v>1436</v>
      </c>
      <c r="AE32" s="61" t="s">
        <v>1436</v>
      </c>
      <c r="AF32" s="61" t="s">
        <v>1436</v>
      </c>
      <c r="AG32" s="61" t="s">
        <v>1436</v>
      </c>
      <c r="AH32" s="61" t="s">
        <v>1436</v>
      </c>
      <c r="AI32" s="61" t="s">
        <v>1436</v>
      </c>
      <c r="AJ32" s="61" t="s">
        <v>1436</v>
      </c>
      <c r="AK32" s="61" t="s">
        <v>1436</v>
      </c>
      <c r="AL32" s="61"/>
      <c r="AM32" s="61" t="s">
        <v>1436</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1407</v>
      </c>
      <c r="AV32" s="59" t="s">
        <v>1424</v>
      </c>
      <c r="AW32" s="59" t="s">
        <v>1409</v>
      </c>
      <c r="AX32" s="59" t="s">
        <v>1410</v>
      </c>
      <c r="AY32" s="59"/>
      <c r="AZ32" s="59" t="s">
        <v>1408</v>
      </c>
      <c r="BA32" s="59"/>
      <c r="BB32" s="167"/>
      <c r="BC32" s="65">
        <v>2026</v>
      </c>
      <c r="BD32" s="59"/>
      <c r="BE32" s="167"/>
      <c r="BF32" s="59" t="s">
        <v>1500</v>
      </c>
    </row>
    <row r="33" spans="1:58" ht="42">
      <c r="A33" s="59" t="s">
        <v>1640</v>
      </c>
      <c r="B33" s="59" t="s">
        <v>1641</v>
      </c>
      <c r="C33" s="59"/>
      <c r="D33" s="59"/>
      <c r="E33" s="59" t="s">
        <v>1642</v>
      </c>
      <c r="F33" s="59" t="s">
        <v>1635</v>
      </c>
      <c r="G33" s="59" t="s">
        <v>1584</v>
      </c>
      <c r="H33" s="59" t="s">
        <v>1398</v>
      </c>
      <c r="I33" s="59" t="s">
        <v>1618</v>
      </c>
      <c r="J33" s="59" t="s">
        <v>1430</v>
      </c>
      <c r="K33" s="59" t="s">
        <v>1416</v>
      </c>
      <c r="L33" s="59" t="s">
        <v>1432</v>
      </c>
      <c r="M33" s="59" t="s">
        <v>1488</v>
      </c>
      <c r="N33" s="59" t="s">
        <v>1432</v>
      </c>
      <c r="O33" s="59" t="s">
        <v>1434</v>
      </c>
      <c r="P33" s="59" t="s">
        <v>1432</v>
      </c>
      <c r="Q33" s="75" t="s">
        <v>1436</v>
      </c>
      <c r="R33" s="75" t="s">
        <v>1436</v>
      </c>
      <c r="S33" s="75" t="s">
        <v>1436</v>
      </c>
      <c r="T33" s="75" t="s">
        <v>1436</v>
      </c>
      <c r="U33" s="75" t="s">
        <v>1436</v>
      </c>
      <c r="V33" s="75" t="s">
        <v>1436</v>
      </c>
      <c r="W33" s="60"/>
      <c r="X33" s="73" t="str">
        <f t="shared" si="0"/>
        <v>Belum Dinilai</v>
      </c>
      <c r="Y33" s="73" t="str">
        <f t="shared" si="1"/>
        <v>Belum Dinilai</v>
      </c>
      <c r="Z33" s="74" t="str">
        <f t="shared" si="2"/>
        <v/>
      </c>
      <c r="AA33" s="74" t="str">
        <f t="shared" si="3"/>
        <v/>
      </c>
      <c r="AB33" s="74" t="str">
        <f t="shared" si="4"/>
        <v/>
      </c>
      <c r="AC33" s="61" t="s">
        <v>1436</v>
      </c>
      <c r="AD33" s="61" t="s">
        <v>1436</v>
      </c>
      <c r="AE33" s="61" t="s">
        <v>1436</v>
      </c>
      <c r="AF33" s="61" t="s">
        <v>1436</v>
      </c>
      <c r="AG33" s="61" t="s">
        <v>1436</v>
      </c>
      <c r="AH33" s="61" t="s">
        <v>1436</v>
      </c>
      <c r="AI33" s="61" t="s">
        <v>1436</v>
      </c>
      <c r="AJ33" s="61" t="s">
        <v>1436</v>
      </c>
      <c r="AK33" s="61" t="s">
        <v>1436</v>
      </c>
      <c r="AL33" s="61"/>
      <c r="AM33" s="61" t="s">
        <v>1436</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1407</v>
      </c>
      <c r="AV33" s="59" t="s">
        <v>1424</v>
      </c>
      <c r="AW33" s="59" t="s">
        <v>1409</v>
      </c>
      <c r="AX33" s="59" t="s">
        <v>1410</v>
      </c>
      <c r="AY33" s="59"/>
      <c r="AZ33" s="59" t="s">
        <v>1408</v>
      </c>
      <c r="BA33" s="59"/>
      <c r="BB33" s="167"/>
      <c r="BC33" s="65">
        <v>2026</v>
      </c>
      <c r="BD33" s="59"/>
      <c r="BE33" s="167"/>
      <c r="BF33" s="59" t="s">
        <v>1500</v>
      </c>
    </row>
    <row r="34" spans="1:58" ht="42">
      <c r="A34" s="59" t="s">
        <v>1643</v>
      </c>
      <c r="B34" s="59" t="s">
        <v>1644</v>
      </c>
      <c r="C34" s="59"/>
      <c r="D34" s="59"/>
      <c r="E34" s="59" t="s">
        <v>1523</v>
      </c>
      <c r="F34" s="59" t="s">
        <v>1523</v>
      </c>
      <c r="G34" s="59" t="s">
        <v>1523</v>
      </c>
      <c r="H34" s="59" t="s">
        <v>1398</v>
      </c>
      <c r="I34" s="59" t="s">
        <v>1618</v>
      </c>
      <c r="J34" s="59" t="s">
        <v>1430</v>
      </c>
      <c r="K34" s="59" t="s">
        <v>1416</v>
      </c>
      <c r="L34" s="59" t="s">
        <v>1432</v>
      </c>
      <c r="M34" s="59" t="s">
        <v>1488</v>
      </c>
      <c r="N34" s="59" t="s">
        <v>1432</v>
      </c>
      <c r="O34" s="59" t="s">
        <v>1434</v>
      </c>
      <c r="P34" s="59" t="s">
        <v>1432</v>
      </c>
      <c r="Q34" s="75" t="s">
        <v>1436</v>
      </c>
      <c r="R34" s="75" t="s">
        <v>1436</v>
      </c>
      <c r="S34" s="75" t="s">
        <v>1436</v>
      </c>
      <c r="T34" s="75" t="s">
        <v>1436</v>
      </c>
      <c r="U34" s="75" t="s">
        <v>1436</v>
      </c>
      <c r="V34" s="75" t="s">
        <v>1436</v>
      </c>
      <c r="W34" s="60"/>
      <c r="X34" s="73" t="str">
        <f t="shared" si="0"/>
        <v>Belum Dinilai</v>
      </c>
      <c r="Y34" s="73" t="str">
        <f t="shared" si="1"/>
        <v>Belum Dinilai</v>
      </c>
      <c r="Z34" s="74" t="str">
        <f t="shared" si="2"/>
        <v/>
      </c>
      <c r="AA34" s="74" t="str">
        <f t="shared" si="3"/>
        <v/>
      </c>
      <c r="AB34" s="74" t="str">
        <f t="shared" si="4"/>
        <v/>
      </c>
      <c r="AC34" s="61" t="s">
        <v>1436</v>
      </c>
      <c r="AD34" s="61" t="s">
        <v>1436</v>
      </c>
      <c r="AE34" s="61" t="s">
        <v>1436</v>
      </c>
      <c r="AF34" s="61" t="s">
        <v>1436</v>
      </c>
      <c r="AG34" s="61" t="s">
        <v>1436</v>
      </c>
      <c r="AH34" s="61" t="s">
        <v>1436</v>
      </c>
      <c r="AI34" s="61" t="s">
        <v>1436</v>
      </c>
      <c r="AJ34" s="61" t="s">
        <v>1436</v>
      </c>
      <c r="AK34" s="61" t="s">
        <v>1436</v>
      </c>
      <c r="AL34" s="61"/>
      <c r="AM34" s="61" t="s">
        <v>1436</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1423</v>
      </c>
      <c r="AV34" s="59" t="s">
        <v>1424</v>
      </c>
      <c r="AW34" s="59" t="s">
        <v>1409</v>
      </c>
      <c r="AX34" s="59" t="s">
        <v>1410</v>
      </c>
      <c r="AY34" s="59"/>
      <c r="AZ34" s="59" t="s">
        <v>1408</v>
      </c>
      <c r="BA34" s="59"/>
      <c r="BB34" s="167"/>
      <c r="BC34" s="65">
        <v>2026</v>
      </c>
      <c r="BD34" s="59"/>
      <c r="BE34" s="167"/>
      <c r="BF34" s="59" t="s">
        <v>1500</v>
      </c>
    </row>
    <row r="35" spans="1:58" ht="28">
      <c r="A35" s="59" t="s">
        <v>1645</v>
      </c>
      <c r="B35" s="59" t="s">
        <v>1646</v>
      </c>
      <c r="C35" s="59" t="s">
        <v>1647</v>
      </c>
      <c r="D35" s="59" t="s">
        <v>1648</v>
      </c>
      <c r="E35" s="59" t="s">
        <v>1649</v>
      </c>
      <c r="F35" s="59" t="s">
        <v>1650</v>
      </c>
      <c r="G35" s="59" t="s">
        <v>1199</v>
      </c>
      <c r="H35" s="59" t="s">
        <v>1398</v>
      </c>
      <c r="I35" s="59"/>
      <c r="J35" s="59" t="s">
        <v>1430</v>
      </c>
      <c r="K35" s="59" t="s">
        <v>1416</v>
      </c>
      <c r="L35" s="59" t="s">
        <v>1486</v>
      </c>
      <c r="M35" s="59" t="s">
        <v>1488</v>
      </c>
      <c r="N35" s="59" t="s">
        <v>1432</v>
      </c>
      <c r="O35" s="59" t="s">
        <v>1488</v>
      </c>
      <c r="P35" s="59" t="s">
        <v>1486</v>
      </c>
      <c r="Q35" s="75" t="s">
        <v>1404</v>
      </c>
      <c r="R35" s="75" t="s">
        <v>1405</v>
      </c>
      <c r="S35" s="75" t="s">
        <v>1421</v>
      </c>
      <c r="T35" s="75" t="s">
        <v>1405</v>
      </c>
      <c r="U35" s="75" t="s">
        <v>1421</v>
      </c>
      <c r="V35" s="75" t="s">
        <v>1421</v>
      </c>
      <c r="W35" s="60"/>
      <c r="X35" s="73" t="str">
        <f t="shared" si="0"/>
        <v xml:space="preserve">Lansia; Kepala keluarga perempuan; </v>
      </c>
      <c r="Y35" s="73" t="str">
        <f t="shared" si="1"/>
        <v>2 atau Lebih Faktor Rentan</v>
      </c>
      <c r="Z35" s="74">
        <f t="shared" si="2"/>
        <v>10</v>
      </c>
      <c r="AA35" s="74">
        <f t="shared" si="3"/>
        <v>10</v>
      </c>
      <c r="AB35" s="74">
        <f t="shared" si="4"/>
        <v>20</v>
      </c>
      <c r="AC35" s="61" t="s">
        <v>1421</v>
      </c>
      <c r="AD35" s="61" t="s">
        <v>1421</v>
      </c>
      <c r="AE35" s="61" t="s">
        <v>1405</v>
      </c>
      <c r="AF35" s="61" t="s">
        <v>1421</v>
      </c>
      <c r="AG35" s="61" t="s">
        <v>1405</v>
      </c>
      <c r="AH35" s="61" t="s">
        <v>1405</v>
      </c>
      <c r="AI35" s="61" t="s">
        <v>1405</v>
      </c>
      <c r="AJ35" s="61" t="s">
        <v>1421</v>
      </c>
      <c r="AK35" s="61" t="s">
        <v>1421</v>
      </c>
      <c r="AL35" s="61"/>
      <c r="AM35" s="61" t="s">
        <v>1436</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1407</v>
      </c>
      <c r="AV35" s="59" t="s">
        <v>1424</v>
      </c>
      <c r="AW35" s="59" t="s">
        <v>1425</v>
      </c>
      <c r="AX35" s="59" t="s">
        <v>1505</v>
      </c>
      <c r="AY35" s="59">
        <v>2026</v>
      </c>
      <c r="AZ35" s="59" t="s">
        <v>1411</v>
      </c>
      <c r="BA35" s="59"/>
      <c r="BB35" s="167"/>
      <c r="BC35" s="65"/>
      <c r="BD35" s="59" t="s">
        <v>1428</v>
      </c>
      <c r="BE35" s="167"/>
      <c r="BF35" s="59" t="s">
        <v>1500</v>
      </c>
    </row>
    <row r="36" spans="1:58" ht="56">
      <c r="A36" s="59" t="s">
        <v>1651</v>
      </c>
      <c r="B36" s="59" t="s">
        <v>1652</v>
      </c>
      <c r="C36" s="59"/>
      <c r="D36" s="59"/>
      <c r="E36" s="59" t="s">
        <v>1653</v>
      </c>
      <c r="F36" s="59" t="s">
        <v>1654</v>
      </c>
      <c r="G36" s="59" t="s">
        <v>1533</v>
      </c>
      <c r="H36" s="59" t="s">
        <v>1398</v>
      </c>
      <c r="I36" s="59" t="s">
        <v>1655</v>
      </c>
      <c r="J36" s="59" t="s">
        <v>1430</v>
      </c>
      <c r="K36" s="59" t="s">
        <v>1416</v>
      </c>
      <c r="L36" s="59" t="s">
        <v>1486</v>
      </c>
      <c r="M36" s="59" t="s">
        <v>1488</v>
      </c>
      <c r="N36" s="59" t="s">
        <v>1486</v>
      </c>
      <c r="O36" s="59" t="s">
        <v>1488</v>
      </c>
      <c r="P36" s="59" t="s">
        <v>1486</v>
      </c>
      <c r="Q36" s="75" t="s">
        <v>1436</v>
      </c>
      <c r="R36" s="75" t="s">
        <v>1436</v>
      </c>
      <c r="S36" s="75" t="s">
        <v>1436</v>
      </c>
      <c r="T36" s="75" t="s">
        <v>1436</v>
      </c>
      <c r="U36" s="75" t="s">
        <v>1436</v>
      </c>
      <c r="V36" s="75" t="s">
        <v>1436</v>
      </c>
      <c r="W36" s="60"/>
      <c r="X36" s="73" t="str">
        <f t="shared" si="0"/>
        <v>Belum Dinilai</v>
      </c>
      <c r="Y36" s="73" t="str">
        <f t="shared" si="1"/>
        <v>Belum Dinilai</v>
      </c>
      <c r="Z36" s="74" t="str">
        <f t="shared" si="2"/>
        <v/>
      </c>
      <c r="AA36" s="74" t="str">
        <f t="shared" si="3"/>
        <v/>
      </c>
      <c r="AB36" s="74" t="str">
        <f t="shared" si="4"/>
        <v/>
      </c>
      <c r="AC36" s="61" t="s">
        <v>1436</v>
      </c>
      <c r="AD36" s="61" t="s">
        <v>1436</v>
      </c>
      <c r="AE36" s="61" t="s">
        <v>1436</v>
      </c>
      <c r="AF36" s="61" t="s">
        <v>1436</v>
      </c>
      <c r="AG36" s="61" t="s">
        <v>1436</v>
      </c>
      <c r="AH36" s="61" t="s">
        <v>1436</v>
      </c>
      <c r="AI36" s="61" t="s">
        <v>1436</v>
      </c>
      <c r="AJ36" s="61" t="s">
        <v>1436</v>
      </c>
      <c r="AK36" s="61" t="s">
        <v>1436</v>
      </c>
      <c r="AL36" s="61"/>
      <c r="AM36" s="61" t="s">
        <v>1436</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1407</v>
      </c>
      <c r="AV36" s="59" t="s">
        <v>1424</v>
      </c>
      <c r="AW36" s="59" t="s">
        <v>1522</v>
      </c>
      <c r="AX36" s="59" t="s">
        <v>1426</v>
      </c>
      <c r="AY36" s="59">
        <v>2023</v>
      </c>
      <c r="AZ36" s="59" t="s">
        <v>1408</v>
      </c>
      <c r="BA36" s="59"/>
      <c r="BB36" s="167"/>
      <c r="BC36" s="65">
        <v>2026</v>
      </c>
      <c r="BD36" s="59"/>
      <c r="BE36" s="167"/>
      <c r="BF36" s="59" t="s">
        <v>1500</v>
      </c>
    </row>
    <row r="37" spans="1:58" ht="28">
      <c r="A37" s="59" t="s">
        <v>1656</v>
      </c>
      <c r="B37" s="59" t="s">
        <v>1657</v>
      </c>
      <c r="C37" s="59"/>
      <c r="D37" s="59"/>
      <c r="E37" s="59" t="s">
        <v>1523</v>
      </c>
      <c r="F37" s="59" t="s">
        <v>1654</v>
      </c>
      <c r="G37" s="59" t="s">
        <v>1533</v>
      </c>
      <c r="H37" s="59" t="s">
        <v>1398</v>
      </c>
      <c r="I37" s="59" t="s">
        <v>1658</v>
      </c>
      <c r="J37" s="59" t="s">
        <v>1430</v>
      </c>
      <c r="K37" s="59" t="s">
        <v>1431</v>
      </c>
      <c r="L37" s="59" t="s">
        <v>1417</v>
      </c>
      <c r="M37" s="59" t="s">
        <v>1488</v>
      </c>
      <c r="N37" s="59" t="s">
        <v>1417</v>
      </c>
      <c r="O37" s="59" t="s">
        <v>1434</v>
      </c>
      <c r="P37" s="59" t="s">
        <v>1417</v>
      </c>
      <c r="Q37" s="75" t="s">
        <v>1436</v>
      </c>
      <c r="R37" s="75" t="s">
        <v>1436</v>
      </c>
      <c r="S37" s="75" t="s">
        <v>1436</v>
      </c>
      <c r="T37" s="75" t="s">
        <v>1436</v>
      </c>
      <c r="U37" s="75" t="s">
        <v>1436</v>
      </c>
      <c r="V37" s="75" t="s">
        <v>1436</v>
      </c>
      <c r="W37" s="60"/>
      <c r="X37" s="73" t="str">
        <f t="shared" si="0"/>
        <v>Belum Dinilai</v>
      </c>
      <c r="Y37" s="73" t="str">
        <f t="shared" si="1"/>
        <v>Belum Dinilai</v>
      </c>
      <c r="Z37" s="74" t="str">
        <f t="shared" si="2"/>
        <v/>
      </c>
      <c r="AA37" s="74" t="str">
        <f t="shared" si="3"/>
        <v/>
      </c>
      <c r="AB37" s="74" t="str">
        <f t="shared" si="4"/>
        <v/>
      </c>
      <c r="AC37" s="61" t="s">
        <v>1436</v>
      </c>
      <c r="AD37" s="61" t="s">
        <v>1436</v>
      </c>
      <c r="AE37" s="61" t="s">
        <v>1436</v>
      </c>
      <c r="AF37" s="61" t="s">
        <v>1436</v>
      </c>
      <c r="AG37" s="61" t="s">
        <v>1436</v>
      </c>
      <c r="AH37" s="61" t="s">
        <v>1436</v>
      </c>
      <c r="AI37" s="61" t="s">
        <v>1436</v>
      </c>
      <c r="AJ37" s="61" t="s">
        <v>1436</v>
      </c>
      <c r="AK37" s="61" t="s">
        <v>1436</v>
      </c>
      <c r="AL37" s="61"/>
      <c r="AM37" s="61" t="s">
        <v>1436</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1423</v>
      </c>
      <c r="AV37" s="59" t="s">
        <v>1424</v>
      </c>
      <c r="AW37" s="59" t="s">
        <v>1409</v>
      </c>
      <c r="AX37" s="59" t="s">
        <v>1410</v>
      </c>
      <c r="AY37" s="59"/>
      <c r="AZ37" s="59" t="s">
        <v>1408</v>
      </c>
      <c r="BA37" s="59"/>
      <c r="BB37" s="167"/>
      <c r="BC37" s="65">
        <v>2026</v>
      </c>
      <c r="BD37" s="59"/>
      <c r="BE37" s="167"/>
      <c r="BF37" s="59" t="s">
        <v>1500</v>
      </c>
    </row>
    <row r="38" spans="1:58" ht="56">
      <c r="A38" s="59" t="s">
        <v>1659</v>
      </c>
      <c r="B38" s="59" t="s">
        <v>1660</v>
      </c>
      <c r="C38" s="59"/>
      <c r="D38" s="59"/>
      <c r="E38" s="59" t="s">
        <v>1661</v>
      </c>
      <c r="F38" s="59" t="s">
        <v>1654</v>
      </c>
      <c r="G38" s="59" t="s">
        <v>1533</v>
      </c>
      <c r="H38" s="59" t="s">
        <v>1398</v>
      </c>
      <c r="I38" s="59" t="s">
        <v>1662</v>
      </c>
      <c r="J38" s="59" t="s">
        <v>1430</v>
      </c>
      <c r="K38" s="59" t="s">
        <v>1416</v>
      </c>
      <c r="L38" s="59" t="s">
        <v>1417</v>
      </c>
      <c r="M38" s="59" t="s">
        <v>1488</v>
      </c>
      <c r="N38" s="59" t="s">
        <v>1417</v>
      </c>
      <c r="O38" s="59" t="s">
        <v>1434</v>
      </c>
      <c r="P38" s="59" t="s">
        <v>1417</v>
      </c>
      <c r="Q38" s="75" t="s">
        <v>1436</v>
      </c>
      <c r="R38" s="75" t="s">
        <v>1436</v>
      </c>
      <c r="S38" s="75" t="s">
        <v>1436</v>
      </c>
      <c r="T38" s="75" t="s">
        <v>1436</v>
      </c>
      <c r="U38" s="75" t="s">
        <v>1436</v>
      </c>
      <c r="V38" s="75" t="s">
        <v>1436</v>
      </c>
      <c r="W38" s="60"/>
      <c r="X38" s="73" t="str">
        <f t="shared" si="0"/>
        <v>Belum Dinilai</v>
      </c>
      <c r="Y38" s="73" t="str">
        <f t="shared" si="1"/>
        <v>Belum Dinilai</v>
      </c>
      <c r="Z38" s="74" t="str">
        <f t="shared" si="2"/>
        <v/>
      </c>
      <c r="AA38" s="74" t="str">
        <f t="shared" si="3"/>
        <v/>
      </c>
      <c r="AB38" s="74" t="str">
        <f t="shared" si="4"/>
        <v/>
      </c>
      <c r="AC38" s="61" t="s">
        <v>1436</v>
      </c>
      <c r="AD38" s="61" t="s">
        <v>1436</v>
      </c>
      <c r="AE38" s="61" t="s">
        <v>1436</v>
      </c>
      <c r="AF38" s="61" t="s">
        <v>1436</v>
      </c>
      <c r="AG38" s="61" t="s">
        <v>1436</v>
      </c>
      <c r="AH38" s="61" t="s">
        <v>1436</v>
      </c>
      <c r="AI38" s="61" t="s">
        <v>1436</v>
      </c>
      <c r="AJ38" s="61" t="s">
        <v>1436</v>
      </c>
      <c r="AK38" s="61" t="s">
        <v>1436</v>
      </c>
      <c r="AL38" s="61"/>
      <c r="AM38" s="61" t="s">
        <v>1436</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1407</v>
      </c>
      <c r="AV38" s="59" t="s">
        <v>1424</v>
      </c>
      <c r="AW38" s="59" t="s">
        <v>1522</v>
      </c>
      <c r="AX38" s="59" t="s">
        <v>1490</v>
      </c>
      <c r="AY38" s="59">
        <v>2023</v>
      </c>
      <c r="AZ38" s="59" t="s">
        <v>1427</v>
      </c>
      <c r="BA38" s="59"/>
      <c r="BB38" s="167"/>
      <c r="BC38" s="65">
        <v>2026</v>
      </c>
      <c r="BD38" s="59"/>
      <c r="BE38" s="167"/>
      <c r="BF38" s="59" t="s">
        <v>1500</v>
      </c>
    </row>
    <row r="39" spans="1:58" ht="56">
      <c r="A39" s="59" t="s">
        <v>1663</v>
      </c>
      <c r="B39" s="59" t="s">
        <v>1664</v>
      </c>
      <c r="C39" s="59"/>
      <c r="D39" s="59"/>
      <c r="E39" s="59" t="s">
        <v>1661</v>
      </c>
      <c r="F39" s="59" t="s">
        <v>1654</v>
      </c>
      <c r="G39" s="59" t="s">
        <v>1533</v>
      </c>
      <c r="H39" s="59" t="s">
        <v>1398</v>
      </c>
      <c r="I39" s="59" t="s">
        <v>1662</v>
      </c>
      <c r="J39" s="59" t="s">
        <v>1430</v>
      </c>
      <c r="K39" s="59" t="s">
        <v>1416</v>
      </c>
      <c r="L39" s="59" t="s">
        <v>1417</v>
      </c>
      <c r="M39" s="59" t="s">
        <v>1488</v>
      </c>
      <c r="N39" s="59" t="s">
        <v>1417</v>
      </c>
      <c r="O39" s="59" t="s">
        <v>1434</v>
      </c>
      <c r="P39" s="59" t="s">
        <v>1417</v>
      </c>
      <c r="Q39" s="75" t="s">
        <v>1436</v>
      </c>
      <c r="R39" s="75" t="s">
        <v>1436</v>
      </c>
      <c r="S39" s="75" t="s">
        <v>1436</v>
      </c>
      <c r="T39" s="75" t="s">
        <v>1436</v>
      </c>
      <c r="U39" s="75" t="s">
        <v>1436</v>
      </c>
      <c r="V39" s="75" t="s">
        <v>1436</v>
      </c>
      <c r="W39" s="60"/>
      <c r="X39" s="73" t="str">
        <f t="shared" si="0"/>
        <v>Belum Dinilai</v>
      </c>
      <c r="Y39" s="73" t="str">
        <f t="shared" si="1"/>
        <v>Belum Dinilai</v>
      </c>
      <c r="Z39" s="74" t="str">
        <f t="shared" si="2"/>
        <v/>
      </c>
      <c r="AA39" s="74" t="str">
        <f t="shared" si="3"/>
        <v/>
      </c>
      <c r="AB39" s="74" t="str">
        <f t="shared" si="4"/>
        <v/>
      </c>
      <c r="AC39" s="61" t="s">
        <v>1436</v>
      </c>
      <c r="AD39" s="61" t="s">
        <v>1436</v>
      </c>
      <c r="AE39" s="61" t="s">
        <v>1436</v>
      </c>
      <c r="AF39" s="61" t="s">
        <v>1436</v>
      </c>
      <c r="AG39" s="61" t="s">
        <v>1436</v>
      </c>
      <c r="AH39" s="61" t="s">
        <v>1436</v>
      </c>
      <c r="AI39" s="61" t="s">
        <v>1436</v>
      </c>
      <c r="AJ39" s="61" t="s">
        <v>1436</v>
      </c>
      <c r="AK39" s="61" t="s">
        <v>1436</v>
      </c>
      <c r="AL39" s="61"/>
      <c r="AM39" s="61" t="s">
        <v>1436</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1407</v>
      </c>
      <c r="AV39" s="59" t="s">
        <v>1424</v>
      </c>
      <c r="AW39" s="59" t="s">
        <v>1522</v>
      </c>
      <c r="AX39" s="59" t="s">
        <v>1426</v>
      </c>
      <c r="AY39" s="59">
        <v>2024</v>
      </c>
      <c r="AZ39" s="59" t="s">
        <v>1427</v>
      </c>
      <c r="BA39" s="59"/>
      <c r="BB39" s="167"/>
      <c r="BC39" s="65">
        <v>2026</v>
      </c>
      <c r="BD39" s="59"/>
      <c r="BE39" s="167"/>
      <c r="BF39" s="59" t="s">
        <v>1500</v>
      </c>
    </row>
    <row r="40" spans="1:58" ht="42">
      <c r="A40" s="59" t="s">
        <v>1665</v>
      </c>
      <c r="B40" s="59" t="s">
        <v>1666</v>
      </c>
      <c r="C40" s="59"/>
      <c r="D40" s="59"/>
      <c r="E40" s="59" t="s">
        <v>1667</v>
      </c>
      <c r="F40" s="59" t="s">
        <v>1654</v>
      </c>
      <c r="G40" s="59" t="s">
        <v>1533</v>
      </c>
      <c r="H40" s="59" t="s">
        <v>1414</v>
      </c>
      <c r="I40" s="59" t="s">
        <v>1668</v>
      </c>
      <c r="J40" s="59" t="s">
        <v>1415</v>
      </c>
      <c r="K40" s="59" t="s">
        <v>1416</v>
      </c>
      <c r="L40" s="59" t="s">
        <v>1432</v>
      </c>
      <c r="M40" s="59" t="s">
        <v>1499</v>
      </c>
      <c r="N40" s="59" t="s">
        <v>1432</v>
      </c>
      <c r="O40" s="59" t="s">
        <v>1403</v>
      </c>
      <c r="P40" s="59" t="s">
        <v>1432</v>
      </c>
      <c r="Q40" s="75" t="s">
        <v>1436</v>
      </c>
      <c r="R40" s="75" t="s">
        <v>1436</v>
      </c>
      <c r="S40" s="75" t="s">
        <v>1436</v>
      </c>
      <c r="T40" s="75" t="s">
        <v>1436</v>
      </c>
      <c r="U40" s="75" t="s">
        <v>1436</v>
      </c>
      <c r="V40" s="75" t="s">
        <v>1436</v>
      </c>
      <c r="W40" s="60"/>
      <c r="X40" s="73" t="str">
        <f t="shared" si="0"/>
        <v>Belum Dinilai</v>
      </c>
      <c r="Y40" s="73" t="str">
        <f t="shared" si="1"/>
        <v>Belum Dinilai</v>
      </c>
      <c r="Z40" s="74" t="str">
        <f t="shared" si="2"/>
        <v/>
      </c>
      <c r="AA40" s="74" t="str">
        <f t="shared" si="3"/>
        <v/>
      </c>
      <c r="AB40" s="74" t="str">
        <f t="shared" si="4"/>
        <v/>
      </c>
      <c r="AC40" s="61" t="s">
        <v>1436</v>
      </c>
      <c r="AD40" s="61" t="s">
        <v>1436</v>
      </c>
      <c r="AE40" s="61" t="s">
        <v>1436</v>
      </c>
      <c r="AF40" s="61" t="s">
        <v>1436</v>
      </c>
      <c r="AG40" s="61" t="s">
        <v>1436</v>
      </c>
      <c r="AH40" s="61" t="s">
        <v>1436</v>
      </c>
      <c r="AI40" s="61" t="s">
        <v>1436</v>
      </c>
      <c r="AJ40" s="61" t="s">
        <v>1436</v>
      </c>
      <c r="AK40" s="61" t="s">
        <v>1436</v>
      </c>
      <c r="AL40" s="61"/>
      <c r="AM40" s="61" t="s">
        <v>1436</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1423</v>
      </c>
      <c r="AV40" s="59" t="s">
        <v>1424</v>
      </c>
      <c r="AW40" s="59" t="s">
        <v>1522</v>
      </c>
      <c r="AX40" s="59" t="s">
        <v>1490</v>
      </c>
      <c r="AY40" s="59">
        <v>2023</v>
      </c>
      <c r="AZ40" s="59" t="s">
        <v>1408</v>
      </c>
      <c r="BA40" s="59"/>
      <c r="BB40" s="167"/>
      <c r="BC40" s="65">
        <v>2026</v>
      </c>
      <c r="BD40" s="59"/>
      <c r="BE40" s="167"/>
      <c r="BF40" s="59" t="s">
        <v>1500</v>
      </c>
    </row>
    <row r="41" spans="1:58" ht="42">
      <c r="A41" s="59" t="s">
        <v>1669</v>
      </c>
      <c r="B41" s="59" t="s">
        <v>1670</v>
      </c>
      <c r="C41" s="59"/>
      <c r="D41" s="59"/>
      <c r="E41" s="59" t="s">
        <v>1671</v>
      </c>
      <c r="F41" s="59" t="s">
        <v>1654</v>
      </c>
      <c r="G41" s="59" t="s">
        <v>1533</v>
      </c>
      <c r="H41" s="59" t="s">
        <v>1398</v>
      </c>
      <c r="I41" s="59" t="s">
        <v>1672</v>
      </c>
      <c r="J41" s="59" t="s">
        <v>1415</v>
      </c>
      <c r="K41" s="59" t="s">
        <v>1400</v>
      </c>
      <c r="L41" s="59" t="s">
        <v>1486</v>
      </c>
      <c r="M41" s="59" t="s">
        <v>1488</v>
      </c>
      <c r="N41" s="59" t="s">
        <v>1486</v>
      </c>
      <c r="O41" s="59" t="s">
        <v>1434</v>
      </c>
      <c r="P41" s="59" t="s">
        <v>1486</v>
      </c>
      <c r="Q41" s="75" t="s">
        <v>1404</v>
      </c>
      <c r="R41" s="75" t="s">
        <v>1421</v>
      </c>
      <c r="S41" s="75" t="s">
        <v>1421</v>
      </c>
      <c r="T41" s="75" t="s">
        <v>1421</v>
      </c>
      <c r="U41" s="75" t="s">
        <v>1421</v>
      </c>
      <c r="V41" s="75" t="s">
        <v>1421</v>
      </c>
      <c r="W41" s="60"/>
      <c r="X41" s="73" t="str">
        <f t="shared" si="0"/>
        <v>Tidak ada faktor rentan</v>
      </c>
      <c r="Y41" s="73" t="str">
        <f t="shared" si="1"/>
        <v>Tidak Ada Faktor Rentan</v>
      </c>
      <c r="Z41" s="74">
        <f t="shared" si="2"/>
        <v>10</v>
      </c>
      <c r="AA41" s="74">
        <f t="shared" si="3"/>
        <v>0</v>
      </c>
      <c r="AB41" s="74">
        <f t="shared" si="4"/>
        <v>10</v>
      </c>
      <c r="AC41" s="61" t="s">
        <v>1405</v>
      </c>
      <c r="AD41" s="61" t="s">
        <v>1421</v>
      </c>
      <c r="AE41" s="61" t="s">
        <v>1436</v>
      </c>
      <c r="AF41" s="61" t="s">
        <v>1421</v>
      </c>
      <c r="AG41" s="61" t="s">
        <v>1405</v>
      </c>
      <c r="AH41" s="61" t="s">
        <v>1405</v>
      </c>
      <c r="AI41" s="61" t="s">
        <v>1405</v>
      </c>
      <c r="AJ41" s="61" t="s">
        <v>1405</v>
      </c>
      <c r="AK41" s="61" t="s">
        <v>1421</v>
      </c>
      <c r="AL41" s="61"/>
      <c r="AM41" s="61" t="s">
        <v>1436</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1423</v>
      </c>
      <c r="AV41" s="59" t="s">
        <v>1424</v>
      </c>
      <c r="AW41" s="59" t="s">
        <v>1522</v>
      </c>
      <c r="AX41" s="59" t="s">
        <v>1490</v>
      </c>
      <c r="AY41" s="59">
        <v>2023</v>
      </c>
      <c r="AZ41" s="59" t="s">
        <v>1408</v>
      </c>
      <c r="BA41" s="59"/>
      <c r="BB41" s="167"/>
      <c r="BC41" s="65">
        <v>2026</v>
      </c>
      <c r="BD41" s="59"/>
      <c r="BE41" s="167"/>
      <c r="BF41" s="59" t="s">
        <v>1500</v>
      </c>
    </row>
    <row r="42" spans="1:58" ht="42">
      <c r="A42" s="59" t="s">
        <v>1673</v>
      </c>
      <c r="B42" s="59" t="s">
        <v>1674</v>
      </c>
      <c r="C42" s="59"/>
      <c r="D42" s="59"/>
      <c r="E42" s="59" t="s">
        <v>1675</v>
      </c>
      <c r="F42" s="59" t="s">
        <v>1650</v>
      </c>
      <c r="G42" s="59" t="s">
        <v>1533</v>
      </c>
      <c r="H42" s="59" t="s">
        <v>1414</v>
      </c>
      <c r="I42" s="59" t="s">
        <v>1676</v>
      </c>
      <c r="J42" s="59" t="s">
        <v>1399</v>
      </c>
      <c r="K42" s="59" t="s">
        <v>1416</v>
      </c>
      <c r="L42" s="59" t="s">
        <v>1436</v>
      </c>
      <c r="M42" s="59" t="s">
        <v>1487</v>
      </c>
      <c r="N42" s="59" t="s">
        <v>1436</v>
      </c>
      <c r="O42" s="59" t="s">
        <v>1434</v>
      </c>
      <c r="P42" s="59" t="s">
        <v>1436</v>
      </c>
      <c r="Q42" s="75" t="s">
        <v>1436</v>
      </c>
      <c r="R42" s="75" t="s">
        <v>1436</v>
      </c>
      <c r="S42" s="75" t="s">
        <v>1436</v>
      </c>
      <c r="T42" s="75" t="s">
        <v>1436</v>
      </c>
      <c r="U42" s="75" t="s">
        <v>1436</v>
      </c>
      <c r="V42" s="75" t="s">
        <v>1436</v>
      </c>
      <c r="W42" s="60"/>
      <c r="X42" s="73" t="str">
        <f t="shared" si="0"/>
        <v>Belum Dinilai</v>
      </c>
      <c r="Y42" s="73" t="str">
        <f t="shared" si="1"/>
        <v>Belum Dinilai</v>
      </c>
      <c r="Z42" s="74" t="str">
        <f t="shared" si="2"/>
        <v/>
      </c>
      <c r="AA42" s="74" t="str">
        <f t="shared" si="3"/>
        <v/>
      </c>
      <c r="AB42" s="74" t="str">
        <f t="shared" si="4"/>
        <v/>
      </c>
      <c r="AC42" s="61" t="s">
        <v>1436</v>
      </c>
      <c r="AD42" s="61" t="s">
        <v>1436</v>
      </c>
      <c r="AE42" s="61" t="s">
        <v>1436</v>
      </c>
      <c r="AF42" s="61" t="s">
        <v>1436</v>
      </c>
      <c r="AG42" s="61" t="s">
        <v>1436</v>
      </c>
      <c r="AH42" s="61" t="s">
        <v>1436</v>
      </c>
      <c r="AI42" s="61" t="s">
        <v>1436</v>
      </c>
      <c r="AJ42" s="61" t="s">
        <v>1436</v>
      </c>
      <c r="AK42" s="61" t="s">
        <v>1436</v>
      </c>
      <c r="AL42" s="61"/>
      <c r="AM42" s="61" t="s">
        <v>1436</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1407</v>
      </c>
      <c r="AV42" s="59" t="s">
        <v>1424</v>
      </c>
      <c r="AW42" s="59" t="s">
        <v>1522</v>
      </c>
      <c r="AX42" s="59" t="s">
        <v>1490</v>
      </c>
      <c r="AY42" s="59">
        <v>2024</v>
      </c>
      <c r="AZ42" s="59" t="s">
        <v>1408</v>
      </c>
      <c r="BA42" s="59"/>
      <c r="BB42" s="167"/>
      <c r="BC42" s="65">
        <v>2026</v>
      </c>
      <c r="BD42" s="59"/>
      <c r="BE42" s="167"/>
      <c r="BF42" s="59" t="s">
        <v>1500</v>
      </c>
    </row>
    <row r="43" spans="1:58" ht="42">
      <c r="A43" s="59" t="s">
        <v>1677</v>
      </c>
      <c r="B43" s="59" t="s">
        <v>1678</v>
      </c>
      <c r="C43" s="59"/>
      <c r="D43" s="59"/>
      <c r="E43" s="59" t="s">
        <v>1679</v>
      </c>
      <c r="F43" s="59" t="s">
        <v>1680</v>
      </c>
      <c r="G43" s="59" t="s">
        <v>1533</v>
      </c>
      <c r="H43" s="59" t="s">
        <v>1398</v>
      </c>
      <c r="I43" s="59" t="s">
        <v>1681</v>
      </c>
      <c r="J43" s="59" t="s">
        <v>1430</v>
      </c>
      <c r="K43" s="59" t="s">
        <v>1400</v>
      </c>
      <c r="L43" s="59" t="s">
        <v>1432</v>
      </c>
      <c r="M43" s="59" t="s">
        <v>1488</v>
      </c>
      <c r="N43" s="59" t="s">
        <v>1432</v>
      </c>
      <c r="O43" s="59" t="s">
        <v>1521</v>
      </c>
      <c r="P43" s="59" t="s">
        <v>1436</v>
      </c>
      <c r="Q43" s="75" t="s">
        <v>1436</v>
      </c>
      <c r="R43" s="75" t="s">
        <v>1436</v>
      </c>
      <c r="S43" s="75" t="s">
        <v>1436</v>
      </c>
      <c r="T43" s="75" t="s">
        <v>1436</v>
      </c>
      <c r="U43" s="75" t="s">
        <v>1436</v>
      </c>
      <c r="V43" s="75" t="s">
        <v>1436</v>
      </c>
      <c r="W43" s="60"/>
      <c r="X43" s="73" t="str">
        <f t="shared" si="0"/>
        <v>Belum Dinilai</v>
      </c>
      <c r="Y43" s="73" t="str">
        <f t="shared" si="1"/>
        <v>Belum Dinilai</v>
      </c>
      <c r="Z43" s="74" t="str">
        <f t="shared" si="2"/>
        <v/>
      </c>
      <c r="AA43" s="74" t="str">
        <f t="shared" si="3"/>
        <v/>
      </c>
      <c r="AB43" s="74" t="str">
        <f t="shared" si="4"/>
        <v/>
      </c>
      <c r="AC43" s="61" t="s">
        <v>1436</v>
      </c>
      <c r="AD43" s="61" t="s">
        <v>1436</v>
      </c>
      <c r="AE43" s="61" t="s">
        <v>1436</v>
      </c>
      <c r="AF43" s="61" t="s">
        <v>1436</v>
      </c>
      <c r="AG43" s="61" t="s">
        <v>1436</v>
      </c>
      <c r="AH43" s="61" t="s">
        <v>1436</v>
      </c>
      <c r="AI43" s="61" t="s">
        <v>1436</v>
      </c>
      <c r="AJ43" s="61" t="s">
        <v>1436</v>
      </c>
      <c r="AK43" s="61" t="s">
        <v>1436</v>
      </c>
      <c r="AL43" s="61"/>
      <c r="AM43" s="61" t="s">
        <v>1436</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1407</v>
      </c>
      <c r="AV43" s="59" t="s">
        <v>1424</v>
      </c>
      <c r="AW43" s="59" t="s">
        <v>1522</v>
      </c>
      <c r="AX43" s="59" t="s">
        <v>1426</v>
      </c>
      <c r="AY43" s="59">
        <v>2023</v>
      </c>
      <c r="AZ43" s="59" t="s">
        <v>1408</v>
      </c>
      <c r="BA43" s="59"/>
      <c r="BB43" s="167"/>
      <c r="BC43" s="65">
        <v>2026</v>
      </c>
      <c r="BD43" s="59"/>
      <c r="BE43" s="167"/>
      <c r="BF43" s="59" t="s">
        <v>1500</v>
      </c>
    </row>
    <row r="44" spans="1:58" ht="42">
      <c r="A44" s="59" t="s">
        <v>1682</v>
      </c>
      <c r="B44" s="59" t="s">
        <v>1683</v>
      </c>
      <c r="C44" s="59"/>
      <c r="D44" s="59"/>
      <c r="E44" s="59" t="s">
        <v>1684</v>
      </c>
      <c r="F44" s="59" t="s">
        <v>1650</v>
      </c>
      <c r="G44" s="59" t="s">
        <v>1533</v>
      </c>
      <c r="H44" s="59" t="s">
        <v>1685</v>
      </c>
      <c r="I44" s="59" t="s">
        <v>1686</v>
      </c>
      <c r="J44" s="59" t="s">
        <v>1415</v>
      </c>
      <c r="K44" s="59" t="s">
        <v>1416</v>
      </c>
      <c r="L44" s="59" t="s">
        <v>1417</v>
      </c>
      <c r="M44" s="59" t="s">
        <v>1488</v>
      </c>
      <c r="N44" s="59" t="s">
        <v>1417</v>
      </c>
      <c r="O44" s="59" t="s">
        <v>1403</v>
      </c>
      <c r="P44" s="59" t="s">
        <v>1417</v>
      </c>
      <c r="Q44" s="75" t="s">
        <v>1436</v>
      </c>
      <c r="R44" s="75" t="s">
        <v>1436</v>
      </c>
      <c r="S44" s="75" t="s">
        <v>1436</v>
      </c>
      <c r="T44" s="75" t="s">
        <v>1436</v>
      </c>
      <c r="U44" s="75" t="s">
        <v>1436</v>
      </c>
      <c r="V44" s="75" t="s">
        <v>1436</v>
      </c>
      <c r="W44" s="60"/>
      <c r="X44" s="73" t="str">
        <f t="shared" si="0"/>
        <v>Belum Dinilai</v>
      </c>
      <c r="Y44" s="73" t="str">
        <f t="shared" si="1"/>
        <v>Belum Dinilai</v>
      </c>
      <c r="Z44" s="74" t="str">
        <f t="shared" si="2"/>
        <v/>
      </c>
      <c r="AA44" s="74" t="str">
        <f t="shared" si="3"/>
        <v/>
      </c>
      <c r="AB44" s="74" t="str">
        <f t="shared" si="4"/>
        <v/>
      </c>
      <c r="AC44" s="61" t="s">
        <v>1436</v>
      </c>
      <c r="AD44" s="61" t="s">
        <v>1436</v>
      </c>
      <c r="AE44" s="61" t="s">
        <v>1436</v>
      </c>
      <c r="AF44" s="61" t="s">
        <v>1436</v>
      </c>
      <c r="AG44" s="61" t="s">
        <v>1436</v>
      </c>
      <c r="AH44" s="61" t="s">
        <v>1436</v>
      </c>
      <c r="AI44" s="61" t="s">
        <v>1436</v>
      </c>
      <c r="AJ44" s="61" t="s">
        <v>1436</v>
      </c>
      <c r="AK44" s="61" t="s">
        <v>1436</v>
      </c>
      <c r="AL44" s="61"/>
      <c r="AM44" s="61" t="s">
        <v>1436</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1407</v>
      </c>
      <c r="AV44" s="59" t="s">
        <v>1424</v>
      </c>
      <c r="AW44" s="59" t="s">
        <v>1522</v>
      </c>
      <c r="AX44" s="59" t="s">
        <v>1490</v>
      </c>
      <c r="AY44" s="59">
        <v>2024</v>
      </c>
      <c r="AZ44" s="59" t="s">
        <v>1408</v>
      </c>
      <c r="BA44" s="59"/>
      <c r="BB44" s="167"/>
      <c r="BC44" s="65">
        <v>2026</v>
      </c>
      <c r="BD44" s="59"/>
      <c r="BE44" s="167"/>
      <c r="BF44" s="59" t="s">
        <v>1500</v>
      </c>
    </row>
    <row r="45" spans="1:58" ht="28">
      <c r="A45" s="59" t="s">
        <v>1687</v>
      </c>
      <c r="B45" s="59" t="s">
        <v>1688</v>
      </c>
      <c r="C45" s="59"/>
      <c r="D45" s="59"/>
      <c r="E45" s="59" t="s">
        <v>1684</v>
      </c>
      <c r="F45" s="59" t="s">
        <v>1650</v>
      </c>
      <c r="G45" s="59" t="s">
        <v>1533</v>
      </c>
      <c r="H45" s="59" t="s">
        <v>1685</v>
      </c>
      <c r="I45" s="59" t="s">
        <v>1689</v>
      </c>
      <c r="J45" s="59" t="s">
        <v>1399</v>
      </c>
      <c r="K45" s="59" t="s">
        <v>1416</v>
      </c>
      <c r="L45" s="59" t="s">
        <v>1436</v>
      </c>
      <c r="M45" s="59" t="s">
        <v>1487</v>
      </c>
      <c r="N45" s="59" t="s">
        <v>1436</v>
      </c>
      <c r="O45" s="59" t="s">
        <v>1434</v>
      </c>
      <c r="P45" s="59" t="s">
        <v>1436</v>
      </c>
      <c r="Q45" s="75" t="s">
        <v>1436</v>
      </c>
      <c r="R45" s="75" t="s">
        <v>1436</v>
      </c>
      <c r="S45" s="75" t="s">
        <v>1436</v>
      </c>
      <c r="T45" s="75" t="s">
        <v>1436</v>
      </c>
      <c r="U45" s="75" t="s">
        <v>1436</v>
      </c>
      <c r="V45" s="75" t="s">
        <v>1436</v>
      </c>
      <c r="W45" s="60"/>
      <c r="X45" s="73" t="str">
        <f t="shared" si="0"/>
        <v>Belum Dinilai</v>
      </c>
      <c r="Y45" s="73" t="str">
        <f t="shared" si="1"/>
        <v>Belum Dinilai</v>
      </c>
      <c r="Z45" s="74" t="str">
        <f t="shared" si="2"/>
        <v/>
      </c>
      <c r="AA45" s="74" t="str">
        <f t="shared" si="3"/>
        <v/>
      </c>
      <c r="AB45" s="74" t="str">
        <f t="shared" si="4"/>
        <v/>
      </c>
      <c r="AC45" s="61" t="s">
        <v>1436</v>
      </c>
      <c r="AD45" s="61" t="s">
        <v>1436</v>
      </c>
      <c r="AE45" s="61" t="s">
        <v>1436</v>
      </c>
      <c r="AF45" s="61" t="s">
        <v>1436</v>
      </c>
      <c r="AG45" s="61" t="s">
        <v>1436</v>
      </c>
      <c r="AH45" s="61" t="s">
        <v>1436</v>
      </c>
      <c r="AI45" s="61" t="s">
        <v>1436</v>
      </c>
      <c r="AJ45" s="61" t="s">
        <v>1436</v>
      </c>
      <c r="AK45" s="61" t="s">
        <v>1436</v>
      </c>
      <c r="AL45" s="61"/>
      <c r="AM45" s="61" t="s">
        <v>1436</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1407</v>
      </c>
      <c r="AV45" s="59" t="s">
        <v>1424</v>
      </c>
      <c r="AW45" s="59" t="s">
        <v>1409</v>
      </c>
      <c r="AX45" s="59" t="s">
        <v>1410</v>
      </c>
      <c r="AY45" s="59"/>
      <c r="AZ45" s="59" t="s">
        <v>1408</v>
      </c>
      <c r="BA45" s="59"/>
      <c r="BB45" s="167"/>
      <c r="BC45" s="65">
        <v>2026</v>
      </c>
      <c r="BD45" s="59"/>
      <c r="BE45" s="167"/>
      <c r="BF45" s="59" t="s">
        <v>1500</v>
      </c>
    </row>
    <row r="46" spans="1:58" ht="28">
      <c r="A46" s="59" t="s">
        <v>1690</v>
      </c>
      <c r="B46" s="59" t="s">
        <v>1691</v>
      </c>
      <c r="C46" s="59"/>
      <c r="D46" s="59"/>
      <c r="E46" s="59" t="s">
        <v>1523</v>
      </c>
      <c r="F46" s="59" t="s">
        <v>1650</v>
      </c>
      <c r="G46" s="59" t="s">
        <v>1533</v>
      </c>
      <c r="H46" s="59" t="s">
        <v>1398</v>
      </c>
      <c r="I46" s="59" t="s">
        <v>1512</v>
      </c>
      <c r="J46" s="59" t="s">
        <v>1430</v>
      </c>
      <c r="K46" s="59" t="s">
        <v>1521</v>
      </c>
      <c r="L46" s="59" t="s">
        <v>1436</v>
      </c>
      <c r="M46" s="59" t="s">
        <v>1488</v>
      </c>
      <c r="N46" s="59" t="s">
        <v>1436</v>
      </c>
      <c r="O46" s="59" t="s">
        <v>1521</v>
      </c>
      <c r="P46" s="59" t="s">
        <v>1436</v>
      </c>
      <c r="Q46" s="75" t="s">
        <v>1436</v>
      </c>
      <c r="R46" s="75" t="s">
        <v>1436</v>
      </c>
      <c r="S46" s="75" t="s">
        <v>1436</v>
      </c>
      <c r="T46" s="75" t="s">
        <v>1436</v>
      </c>
      <c r="U46" s="75" t="s">
        <v>1436</v>
      </c>
      <c r="V46" s="75" t="s">
        <v>1436</v>
      </c>
      <c r="W46" s="60"/>
      <c r="X46" s="73" t="str">
        <f t="shared" si="0"/>
        <v>Belum Dinilai</v>
      </c>
      <c r="Y46" s="73" t="str">
        <f t="shared" si="1"/>
        <v>Belum Dinilai</v>
      </c>
      <c r="Z46" s="74" t="str">
        <f t="shared" si="2"/>
        <v/>
      </c>
      <c r="AA46" s="74" t="str">
        <f t="shared" si="3"/>
        <v/>
      </c>
      <c r="AB46" s="74" t="str">
        <f t="shared" si="4"/>
        <v/>
      </c>
      <c r="AC46" s="61" t="s">
        <v>1436</v>
      </c>
      <c r="AD46" s="61" t="s">
        <v>1436</v>
      </c>
      <c r="AE46" s="61" t="s">
        <v>1436</v>
      </c>
      <c r="AF46" s="61" t="s">
        <v>1436</v>
      </c>
      <c r="AG46" s="61" t="s">
        <v>1436</v>
      </c>
      <c r="AH46" s="61" t="s">
        <v>1436</v>
      </c>
      <c r="AI46" s="61" t="s">
        <v>1436</v>
      </c>
      <c r="AJ46" s="61" t="s">
        <v>1436</v>
      </c>
      <c r="AK46" s="61" t="s">
        <v>1436</v>
      </c>
      <c r="AL46" s="61"/>
      <c r="AM46" s="61" t="s">
        <v>1436</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1407</v>
      </c>
      <c r="AV46" s="59" t="s">
        <v>1424</v>
      </c>
      <c r="AW46" s="59" t="s">
        <v>1522</v>
      </c>
      <c r="AX46" s="59" t="s">
        <v>1490</v>
      </c>
      <c r="AY46" s="59">
        <v>2024</v>
      </c>
      <c r="AZ46" s="59" t="s">
        <v>1408</v>
      </c>
      <c r="BA46" s="59"/>
      <c r="BB46" s="167"/>
      <c r="BC46" s="65">
        <v>2026</v>
      </c>
      <c r="BD46" s="59"/>
      <c r="BE46" s="167"/>
      <c r="BF46" s="59" t="s">
        <v>1500</v>
      </c>
    </row>
    <row r="47" spans="1:58" ht="42">
      <c r="A47" s="59" t="s">
        <v>1692</v>
      </c>
      <c r="B47" s="59" t="s">
        <v>1693</v>
      </c>
      <c r="C47" s="59"/>
      <c r="D47" s="59"/>
      <c r="E47" s="59" t="s">
        <v>1523</v>
      </c>
      <c r="F47" s="59" t="s">
        <v>1694</v>
      </c>
      <c r="G47" s="59" t="s">
        <v>1533</v>
      </c>
      <c r="H47" s="59" t="s">
        <v>1398</v>
      </c>
      <c r="I47" s="59" t="s">
        <v>1695</v>
      </c>
      <c r="J47" s="59" t="s">
        <v>1430</v>
      </c>
      <c r="K47" s="59" t="s">
        <v>1416</v>
      </c>
      <c r="L47" s="59" t="s">
        <v>1486</v>
      </c>
      <c r="M47" s="59" t="s">
        <v>1488</v>
      </c>
      <c r="N47" s="59" t="s">
        <v>1486</v>
      </c>
      <c r="O47" s="59" t="s">
        <v>1434</v>
      </c>
      <c r="P47" s="59" t="s">
        <v>1486</v>
      </c>
      <c r="Q47" s="75" t="s">
        <v>1436</v>
      </c>
      <c r="R47" s="75" t="s">
        <v>1436</v>
      </c>
      <c r="S47" s="75" t="s">
        <v>1436</v>
      </c>
      <c r="T47" s="75" t="s">
        <v>1436</v>
      </c>
      <c r="U47" s="75" t="s">
        <v>1436</v>
      </c>
      <c r="V47" s="75" t="s">
        <v>1436</v>
      </c>
      <c r="W47" s="60"/>
      <c r="X47" s="73" t="str">
        <f t="shared" si="0"/>
        <v>Belum Dinilai</v>
      </c>
      <c r="Y47" s="73" t="str">
        <f t="shared" si="1"/>
        <v>Belum Dinilai</v>
      </c>
      <c r="Z47" s="74" t="str">
        <f t="shared" si="2"/>
        <v/>
      </c>
      <c r="AA47" s="74" t="str">
        <f t="shared" si="3"/>
        <v/>
      </c>
      <c r="AB47" s="74" t="str">
        <f t="shared" si="4"/>
        <v/>
      </c>
      <c r="AC47" s="61" t="s">
        <v>1436</v>
      </c>
      <c r="AD47" s="61" t="s">
        <v>1436</v>
      </c>
      <c r="AE47" s="61" t="s">
        <v>1436</v>
      </c>
      <c r="AF47" s="61" t="s">
        <v>1436</v>
      </c>
      <c r="AG47" s="61" t="s">
        <v>1436</v>
      </c>
      <c r="AH47" s="61" t="s">
        <v>1436</v>
      </c>
      <c r="AI47" s="61" t="s">
        <v>1436</v>
      </c>
      <c r="AJ47" s="61" t="s">
        <v>1436</v>
      </c>
      <c r="AK47" s="61" t="s">
        <v>1436</v>
      </c>
      <c r="AL47" s="61"/>
      <c r="AM47" s="61" t="s">
        <v>1436</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1407</v>
      </c>
      <c r="AV47" s="59" t="s">
        <v>1424</v>
      </c>
      <c r="AW47" s="59" t="s">
        <v>1522</v>
      </c>
      <c r="AX47" s="59" t="s">
        <v>1490</v>
      </c>
      <c r="AY47" s="59">
        <v>2023</v>
      </c>
      <c r="AZ47" s="59" t="s">
        <v>1408</v>
      </c>
      <c r="BA47" s="59"/>
      <c r="BB47" s="167"/>
      <c r="BC47" s="65">
        <v>2026</v>
      </c>
      <c r="BD47" s="59"/>
      <c r="BE47" s="167"/>
      <c r="BF47" s="59" t="s">
        <v>1500</v>
      </c>
    </row>
    <row r="48" spans="1:58" ht="56">
      <c r="A48" s="59" t="s">
        <v>1696</v>
      </c>
      <c r="B48" s="59" t="s">
        <v>1697</v>
      </c>
      <c r="C48" s="59"/>
      <c r="D48" s="59"/>
      <c r="E48" s="59" t="s">
        <v>1698</v>
      </c>
      <c r="F48" s="59" t="s">
        <v>1694</v>
      </c>
      <c r="G48" s="59" t="s">
        <v>1533</v>
      </c>
      <c r="H48" s="59" t="s">
        <v>1685</v>
      </c>
      <c r="I48" s="59" t="s">
        <v>1699</v>
      </c>
      <c r="J48" s="59" t="s">
        <v>1415</v>
      </c>
      <c r="K48" s="59" t="s">
        <v>1400</v>
      </c>
      <c r="L48" s="59" t="s">
        <v>1436</v>
      </c>
      <c r="M48" s="59" t="s">
        <v>1499</v>
      </c>
      <c r="N48" s="59" t="s">
        <v>1436</v>
      </c>
      <c r="O48" s="59" t="s">
        <v>1434</v>
      </c>
      <c r="P48" s="59" t="s">
        <v>1436</v>
      </c>
      <c r="Q48" s="75" t="s">
        <v>1436</v>
      </c>
      <c r="R48" s="75" t="s">
        <v>1436</v>
      </c>
      <c r="S48" s="75" t="s">
        <v>1436</v>
      </c>
      <c r="T48" s="75" t="s">
        <v>1436</v>
      </c>
      <c r="U48" s="75" t="s">
        <v>1436</v>
      </c>
      <c r="V48" s="75" t="s">
        <v>1436</v>
      </c>
      <c r="W48" s="60"/>
      <c r="X48" s="73" t="str">
        <f t="shared" si="0"/>
        <v>Belum Dinilai</v>
      </c>
      <c r="Y48" s="73" t="str">
        <f t="shared" si="1"/>
        <v>Belum Dinilai</v>
      </c>
      <c r="Z48" s="74" t="str">
        <f t="shared" si="2"/>
        <v/>
      </c>
      <c r="AA48" s="74" t="str">
        <f t="shared" si="3"/>
        <v/>
      </c>
      <c r="AB48" s="74" t="str">
        <f t="shared" si="4"/>
        <v/>
      </c>
      <c r="AC48" s="61" t="s">
        <v>1436</v>
      </c>
      <c r="AD48" s="61" t="s">
        <v>1436</v>
      </c>
      <c r="AE48" s="61" t="s">
        <v>1436</v>
      </c>
      <c r="AF48" s="61" t="s">
        <v>1436</v>
      </c>
      <c r="AG48" s="61" t="s">
        <v>1436</v>
      </c>
      <c r="AH48" s="61" t="s">
        <v>1436</v>
      </c>
      <c r="AI48" s="61" t="s">
        <v>1436</v>
      </c>
      <c r="AJ48" s="61" t="s">
        <v>1436</v>
      </c>
      <c r="AK48" s="61" t="s">
        <v>1436</v>
      </c>
      <c r="AL48" s="61"/>
      <c r="AM48" s="61" t="s">
        <v>1436</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1407</v>
      </c>
      <c r="AV48" s="59" t="s">
        <v>1424</v>
      </c>
      <c r="AW48" s="59" t="s">
        <v>1522</v>
      </c>
      <c r="AX48" s="59" t="s">
        <v>1438</v>
      </c>
      <c r="AY48" s="59">
        <v>2023</v>
      </c>
      <c r="AZ48" s="59" t="s">
        <v>1408</v>
      </c>
      <c r="BA48" s="59"/>
      <c r="BB48" s="167"/>
      <c r="BC48" s="65">
        <v>2026</v>
      </c>
      <c r="BD48" s="59"/>
      <c r="BE48" s="167"/>
      <c r="BF48" s="59" t="s">
        <v>1500</v>
      </c>
    </row>
    <row r="49" spans="1:58" ht="56">
      <c r="A49" s="59" t="s">
        <v>1700</v>
      </c>
      <c r="B49" s="59" t="s">
        <v>1701</v>
      </c>
      <c r="C49" s="59"/>
      <c r="D49" s="59"/>
      <c r="E49" s="59" t="s">
        <v>1702</v>
      </c>
      <c r="F49" s="59" t="s">
        <v>1694</v>
      </c>
      <c r="G49" s="59" t="s">
        <v>1533</v>
      </c>
      <c r="H49" s="59" t="s">
        <v>1398</v>
      </c>
      <c r="I49" s="59" t="s">
        <v>1703</v>
      </c>
      <c r="J49" s="59" t="s">
        <v>1415</v>
      </c>
      <c r="K49" s="59" t="s">
        <v>1431</v>
      </c>
      <c r="L49" s="59" t="s">
        <v>1417</v>
      </c>
      <c r="M49" s="59" t="s">
        <v>1488</v>
      </c>
      <c r="N49" s="59" t="s">
        <v>1417</v>
      </c>
      <c r="O49" s="59" t="s">
        <v>1434</v>
      </c>
      <c r="P49" s="59" t="s">
        <v>1417</v>
      </c>
      <c r="Q49" s="75" t="s">
        <v>1436</v>
      </c>
      <c r="R49" s="75" t="s">
        <v>1436</v>
      </c>
      <c r="S49" s="75" t="s">
        <v>1436</v>
      </c>
      <c r="T49" s="75" t="s">
        <v>1436</v>
      </c>
      <c r="U49" s="75" t="s">
        <v>1436</v>
      </c>
      <c r="V49" s="75" t="s">
        <v>1436</v>
      </c>
      <c r="W49" s="60"/>
      <c r="X49" s="73" t="str">
        <f t="shared" si="0"/>
        <v>Belum Dinilai</v>
      </c>
      <c r="Y49" s="73" t="str">
        <f t="shared" si="1"/>
        <v>Belum Dinilai</v>
      </c>
      <c r="Z49" s="74" t="str">
        <f t="shared" si="2"/>
        <v/>
      </c>
      <c r="AA49" s="74" t="str">
        <f t="shared" si="3"/>
        <v/>
      </c>
      <c r="AB49" s="74" t="str">
        <f t="shared" si="4"/>
        <v/>
      </c>
      <c r="AC49" s="61" t="s">
        <v>1436</v>
      </c>
      <c r="AD49" s="61" t="s">
        <v>1436</v>
      </c>
      <c r="AE49" s="61" t="s">
        <v>1436</v>
      </c>
      <c r="AF49" s="61" t="s">
        <v>1436</v>
      </c>
      <c r="AG49" s="61" t="s">
        <v>1436</v>
      </c>
      <c r="AH49" s="61" t="s">
        <v>1436</v>
      </c>
      <c r="AI49" s="61" t="s">
        <v>1436</v>
      </c>
      <c r="AJ49" s="61" t="s">
        <v>1436</v>
      </c>
      <c r="AK49" s="61" t="s">
        <v>1436</v>
      </c>
      <c r="AL49" s="61"/>
      <c r="AM49" s="61" t="s">
        <v>1436</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1407</v>
      </c>
      <c r="AV49" s="59" t="s">
        <v>1424</v>
      </c>
      <c r="AW49" s="59" t="s">
        <v>1522</v>
      </c>
      <c r="AX49" s="59" t="s">
        <v>1426</v>
      </c>
      <c r="AY49" s="59">
        <v>2023</v>
      </c>
      <c r="AZ49" s="59" t="s">
        <v>1408</v>
      </c>
      <c r="BA49" s="59"/>
      <c r="BB49" s="167"/>
      <c r="BC49" s="65">
        <v>2026</v>
      </c>
      <c r="BD49" s="59"/>
      <c r="BE49" s="167"/>
      <c r="BF49" s="59" t="s">
        <v>1500</v>
      </c>
    </row>
    <row r="50" spans="1:58" ht="42">
      <c r="A50" s="59" t="s">
        <v>1704</v>
      </c>
      <c r="B50" s="59" t="s">
        <v>1705</v>
      </c>
      <c r="C50" s="59"/>
      <c r="D50" s="59"/>
      <c r="E50" s="59" t="s">
        <v>1706</v>
      </c>
      <c r="F50" s="59" t="s">
        <v>1538</v>
      </c>
      <c r="G50" s="59" t="s">
        <v>1511</v>
      </c>
      <c r="H50" s="59" t="s">
        <v>1398</v>
      </c>
      <c r="I50" s="59" t="s">
        <v>1707</v>
      </c>
      <c r="J50" s="59" t="s">
        <v>1430</v>
      </c>
      <c r="K50" s="59" t="s">
        <v>1400</v>
      </c>
      <c r="L50" s="59" t="s">
        <v>1486</v>
      </c>
      <c r="M50" s="59" t="s">
        <v>1488</v>
      </c>
      <c r="N50" s="59" t="s">
        <v>1486</v>
      </c>
      <c r="O50" s="59" t="s">
        <v>1434</v>
      </c>
      <c r="P50" s="59" t="s">
        <v>1486</v>
      </c>
      <c r="Q50" s="75" t="s">
        <v>1436</v>
      </c>
      <c r="R50" s="75" t="s">
        <v>1436</v>
      </c>
      <c r="S50" s="75" t="s">
        <v>1436</v>
      </c>
      <c r="T50" s="75" t="s">
        <v>1436</v>
      </c>
      <c r="U50" s="75" t="s">
        <v>1436</v>
      </c>
      <c r="V50" s="75" t="s">
        <v>1436</v>
      </c>
      <c r="W50" s="60"/>
      <c r="X50" s="73" t="str">
        <f t="shared" si="0"/>
        <v>Belum Dinilai</v>
      </c>
      <c r="Y50" s="73" t="str">
        <f t="shared" si="1"/>
        <v>Belum Dinilai</v>
      </c>
      <c r="Z50" s="74" t="str">
        <f t="shared" si="2"/>
        <v/>
      </c>
      <c r="AA50" s="74" t="str">
        <f t="shared" si="3"/>
        <v/>
      </c>
      <c r="AB50" s="74" t="str">
        <f t="shared" si="4"/>
        <v/>
      </c>
      <c r="AC50" s="61" t="s">
        <v>1436</v>
      </c>
      <c r="AD50" s="61" t="s">
        <v>1436</v>
      </c>
      <c r="AE50" s="61" t="s">
        <v>1436</v>
      </c>
      <c r="AF50" s="61" t="s">
        <v>1436</v>
      </c>
      <c r="AG50" s="61" t="s">
        <v>1436</v>
      </c>
      <c r="AH50" s="61" t="s">
        <v>1436</v>
      </c>
      <c r="AI50" s="61" t="s">
        <v>1436</v>
      </c>
      <c r="AJ50" s="61" t="s">
        <v>1436</v>
      </c>
      <c r="AK50" s="61" t="s">
        <v>1436</v>
      </c>
      <c r="AL50" s="61"/>
      <c r="AM50" s="61" t="s">
        <v>1436</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1407</v>
      </c>
      <c r="AV50" s="59" t="s">
        <v>1424</v>
      </c>
      <c r="AW50" s="59" t="s">
        <v>1522</v>
      </c>
      <c r="AX50" s="59" t="s">
        <v>1438</v>
      </c>
      <c r="AY50" s="59"/>
      <c r="AZ50" s="59" t="s">
        <v>1408</v>
      </c>
      <c r="BA50" s="59"/>
      <c r="BB50" s="167"/>
      <c r="BC50" s="65">
        <v>2026</v>
      </c>
      <c r="BD50" s="59"/>
      <c r="BE50" s="167"/>
      <c r="BF50" s="59" t="s">
        <v>1500</v>
      </c>
    </row>
    <row r="51" spans="1:58" ht="28">
      <c r="A51" s="59" t="s">
        <v>1708</v>
      </c>
      <c r="B51" s="59" t="s">
        <v>1709</v>
      </c>
      <c r="C51" s="59"/>
      <c r="D51" s="59"/>
      <c r="E51" s="59" t="s">
        <v>1710</v>
      </c>
      <c r="F51" s="59" t="s">
        <v>1510</v>
      </c>
      <c r="G51" s="59" t="s">
        <v>1511</v>
      </c>
      <c r="H51" s="59" t="s">
        <v>1398</v>
      </c>
      <c r="I51" s="59" t="s">
        <v>1512</v>
      </c>
      <c r="J51" s="59" t="s">
        <v>1430</v>
      </c>
      <c r="K51" s="59" t="s">
        <v>1521</v>
      </c>
      <c r="L51" s="59" t="s">
        <v>1436</v>
      </c>
      <c r="M51" s="59" t="s">
        <v>1488</v>
      </c>
      <c r="N51" s="59" t="s">
        <v>1436</v>
      </c>
      <c r="O51" s="59" t="s">
        <v>1521</v>
      </c>
      <c r="P51" s="59" t="s">
        <v>1436</v>
      </c>
      <c r="Q51" s="75" t="s">
        <v>1436</v>
      </c>
      <c r="R51" s="75" t="s">
        <v>1436</v>
      </c>
      <c r="S51" s="75" t="s">
        <v>1436</v>
      </c>
      <c r="T51" s="75" t="s">
        <v>1436</v>
      </c>
      <c r="U51" s="75" t="s">
        <v>1436</v>
      </c>
      <c r="V51" s="75" t="s">
        <v>1436</v>
      </c>
      <c r="W51" s="60"/>
      <c r="X51" s="73" t="str">
        <f t="shared" si="0"/>
        <v>Belum Dinilai</v>
      </c>
      <c r="Y51" s="73" t="str">
        <f t="shared" si="1"/>
        <v>Belum Dinilai</v>
      </c>
      <c r="Z51" s="74" t="str">
        <f t="shared" si="2"/>
        <v/>
      </c>
      <c r="AA51" s="74" t="str">
        <f t="shared" si="3"/>
        <v/>
      </c>
      <c r="AB51" s="74" t="str">
        <f t="shared" si="4"/>
        <v/>
      </c>
      <c r="AC51" s="61" t="s">
        <v>1436</v>
      </c>
      <c r="AD51" s="61" t="s">
        <v>1436</v>
      </c>
      <c r="AE51" s="61" t="s">
        <v>1436</v>
      </c>
      <c r="AF51" s="61" t="s">
        <v>1436</v>
      </c>
      <c r="AG51" s="61" t="s">
        <v>1436</v>
      </c>
      <c r="AH51" s="61" t="s">
        <v>1436</v>
      </c>
      <c r="AI51" s="61" t="s">
        <v>1436</v>
      </c>
      <c r="AJ51" s="61" t="s">
        <v>1436</v>
      </c>
      <c r="AK51" s="61" t="s">
        <v>1436</v>
      </c>
      <c r="AL51" s="61"/>
      <c r="AM51" s="61" t="s">
        <v>1436</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1407</v>
      </c>
      <c r="AV51" s="59" t="s">
        <v>1424</v>
      </c>
      <c r="AW51" s="59" t="s">
        <v>1522</v>
      </c>
      <c r="AX51" s="59" t="s">
        <v>1426</v>
      </c>
      <c r="AY51" s="59">
        <v>2023</v>
      </c>
      <c r="AZ51" s="59" t="s">
        <v>1408</v>
      </c>
      <c r="BA51" s="59"/>
      <c r="BB51" s="167"/>
      <c r="BC51" s="65">
        <v>2026</v>
      </c>
      <c r="BD51" s="59"/>
      <c r="BE51" s="167"/>
      <c r="BF51" s="59" t="s">
        <v>1500</v>
      </c>
    </row>
    <row r="52" spans="1:58" ht="42">
      <c r="A52" s="59" t="s">
        <v>1711</v>
      </c>
      <c r="B52" s="59" t="s">
        <v>1712</v>
      </c>
      <c r="C52" s="59"/>
      <c r="D52" s="59"/>
      <c r="E52" s="59" t="s">
        <v>1713</v>
      </c>
      <c r="F52" s="59" t="s">
        <v>1579</v>
      </c>
      <c r="G52" s="59" t="s">
        <v>1511</v>
      </c>
      <c r="H52" s="59" t="s">
        <v>1398</v>
      </c>
      <c r="I52" s="59" t="s">
        <v>1714</v>
      </c>
      <c r="J52" s="59" t="s">
        <v>1415</v>
      </c>
      <c r="K52" s="59" t="s">
        <v>1431</v>
      </c>
      <c r="L52" s="59" t="s">
        <v>1436</v>
      </c>
      <c r="M52" s="59" t="s">
        <v>1488</v>
      </c>
      <c r="N52" s="59" t="s">
        <v>1436</v>
      </c>
      <c r="O52" s="59" t="s">
        <v>1434</v>
      </c>
      <c r="P52" s="59" t="s">
        <v>1436</v>
      </c>
      <c r="Q52" s="75" t="s">
        <v>1436</v>
      </c>
      <c r="R52" s="75" t="s">
        <v>1436</v>
      </c>
      <c r="S52" s="75" t="s">
        <v>1436</v>
      </c>
      <c r="T52" s="75" t="s">
        <v>1436</v>
      </c>
      <c r="U52" s="75" t="s">
        <v>1436</v>
      </c>
      <c r="V52" s="75" t="s">
        <v>1436</v>
      </c>
      <c r="W52" s="60"/>
      <c r="X52" s="73" t="str">
        <f t="shared" si="0"/>
        <v>Belum Dinilai</v>
      </c>
      <c r="Y52" s="73" t="str">
        <f t="shared" si="1"/>
        <v>Belum Dinilai</v>
      </c>
      <c r="Z52" s="74" t="str">
        <f t="shared" si="2"/>
        <v/>
      </c>
      <c r="AA52" s="74" t="str">
        <f t="shared" si="3"/>
        <v/>
      </c>
      <c r="AB52" s="74" t="str">
        <f t="shared" si="4"/>
        <v/>
      </c>
      <c r="AC52" s="61" t="s">
        <v>1436</v>
      </c>
      <c r="AD52" s="61" t="s">
        <v>1436</v>
      </c>
      <c r="AE52" s="61" t="s">
        <v>1436</v>
      </c>
      <c r="AF52" s="61" t="s">
        <v>1436</v>
      </c>
      <c r="AG52" s="61" t="s">
        <v>1436</v>
      </c>
      <c r="AH52" s="61" t="s">
        <v>1436</v>
      </c>
      <c r="AI52" s="61" t="s">
        <v>1436</v>
      </c>
      <c r="AJ52" s="61" t="s">
        <v>1436</v>
      </c>
      <c r="AK52" s="61" t="s">
        <v>1436</v>
      </c>
      <c r="AL52" s="61"/>
      <c r="AM52" s="61" t="s">
        <v>1436</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1423</v>
      </c>
      <c r="AV52" s="59" t="s">
        <v>1424</v>
      </c>
      <c r="AW52" s="59" t="s">
        <v>1409</v>
      </c>
      <c r="AX52" s="59" t="s">
        <v>1410</v>
      </c>
      <c r="AY52" s="59"/>
      <c r="AZ52" s="59" t="s">
        <v>1408</v>
      </c>
      <c r="BA52" s="59"/>
      <c r="BB52" s="167"/>
      <c r="BC52" s="65">
        <v>2026</v>
      </c>
      <c r="BD52" s="59"/>
      <c r="BE52" s="167"/>
      <c r="BF52" s="59" t="s">
        <v>1500</v>
      </c>
    </row>
    <row r="53" spans="1:58" ht="28">
      <c r="A53" s="59" t="s">
        <v>1715</v>
      </c>
      <c r="B53" s="59" t="s">
        <v>1716</v>
      </c>
      <c r="C53" s="59"/>
      <c r="D53" s="59"/>
      <c r="E53" s="59" t="s">
        <v>1717</v>
      </c>
      <c r="F53" s="59" t="s">
        <v>1579</v>
      </c>
      <c r="G53" s="59" t="s">
        <v>1511</v>
      </c>
      <c r="H53" s="59" t="s">
        <v>1414</v>
      </c>
      <c r="I53" s="59" t="s">
        <v>1718</v>
      </c>
      <c r="J53" s="59" t="s">
        <v>1484</v>
      </c>
      <c r="K53" s="59" t="s">
        <v>1521</v>
      </c>
      <c r="L53" s="59" t="s">
        <v>1436</v>
      </c>
      <c r="M53" s="59" t="s">
        <v>1521</v>
      </c>
      <c r="N53" s="59" t="s">
        <v>1436</v>
      </c>
      <c r="O53" s="59" t="s">
        <v>1521</v>
      </c>
      <c r="P53" s="59" t="s">
        <v>1436</v>
      </c>
      <c r="Q53" s="75" t="s">
        <v>1436</v>
      </c>
      <c r="R53" s="75" t="s">
        <v>1436</v>
      </c>
      <c r="S53" s="75" t="s">
        <v>1436</v>
      </c>
      <c r="T53" s="75" t="s">
        <v>1436</v>
      </c>
      <c r="U53" s="75" t="s">
        <v>1436</v>
      </c>
      <c r="V53" s="75" t="s">
        <v>1436</v>
      </c>
      <c r="W53" s="60"/>
      <c r="X53" s="73" t="str">
        <f t="shared" si="0"/>
        <v>Belum Dinilai</v>
      </c>
      <c r="Y53" s="73" t="str">
        <f t="shared" si="1"/>
        <v>Belum Dinilai</v>
      </c>
      <c r="Z53" s="74" t="str">
        <f t="shared" si="2"/>
        <v/>
      </c>
      <c r="AA53" s="74" t="str">
        <f t="shared" si="3"/>
        <v/>
      </c>
      <c r="AB53" s="74" t="str">
        <f t="shared" si="4"/>
        <v/>
      </c>
      <c r="AC53" s="61" t="s">
        <v>1436</v>
      </c>
      <c r="AD53" s="61" t="s">
        <v>1436</v>
      </c>
      <c r="AE53" s="61" t="s">
        <v>1436</v>
      </c>
      <c r="AF53" s="61" t="s">
        <v>1436</v>
      </c>
      <c r="AG53" s="61" t="s">
        <v>1436</v>
      </c>
      <c r="AH53" s="61" t="s">
        <v>1436</v>
      </c>
      <c r="AI53" s="61" t="s">
        <v>1436</v>
      </c>
      <c r="AJ53" s="61" t="s">
        <v>1436</v>
      </c>
      <c r="AK53" s="61" t="s">
        <v>1436</v>
      </c>
      <c r="AL53" s="61"/>
      <c r="AM53" s="61" t="s">
        <v>1436</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1423</v>
      </c>
      <c r="AV53" s="59" t="s">
        <v>1424</v>
      </c>
      <c r="AW53" s="59" t="s">
        <v>1409</v>
      </c>
      <c r="AX53" s="59" t="s">
        <v>1410</v>
      </c>
      <c r="AY53" s="59"/>
      <c r="AZ53" s="59" t="s">
        <v>1408</v>
      </c>
      <c r="BA53" s="59"/>
      <c r="BB53" s="167"/>
      <c r="BC53" s="65">
        <v>2026</v>
      </c>
      <c r="BD53" s="59"/>
      <c r="BE53" s="167"/>
      <c r="BF53" s="59" t="s">
        <v>1500</v>
      </c>
    </row>
    <row r="54" spans="1:58" ht="28">
      <c r="A54" s="59" t="s">
        <v>1719</v>
      </c>
      <c r="B54" s="59" t="s">
        <v>1720</v>
      </c>
      <c r="C54" s="59"/>
      <c r="D54" s="59"/>
      <c r="E54" s="59" t="s">
        <v>1721</v>
      </c>
      <c r="F54" s="59" t="s">
        <v>1602</v>
      </c>
      <c r="G54" s="59" t="s">
        <v>1511</v>
      </c>
      <c r="H54" s="59" t="s">
        <v>1398</v>
      </c>
      <c r="I54" s="59" t="s">
        <v>1722</v>
      </c>
      <c r="J54" s="59" t="s">
        <v>1484</v>
      </c>
      <c r="K54" s="59" t="s">
        <v>1515</v>
      </c>
      <c r="L54" s="59" t="s">
        <v>1436</v>
      </c>
      <c r="M54" s="59" t="s">
        <v>1521</v>
      </c>
      <c r="N54" s="59" t="s">
        <v>1436</v>
      </c>
      <c r="O54" s="59" t="s">
        <v>1434</v>
      </c>
      <c r="P54" s="59" t="s">
        <v>1436</v>
      </c>
      <c r="Q54" s="75" t="s">
        <v>1436</v>
      </c>
      <c r="R54" s="75" t="s">
        <v>1436</v>
      </c>
      <c r="S54" s="75" t="s">
        <v>1436</v>
      </c>
      <c r="T54" s="75" t="s">
        <v>1436</v>
      </c>
      <c r="U54" s="75" t="s">
        <v>1436</v>
      </c>
      <c r="V54" s="75" t="s">
        <v>1436</v>
      </c>
      <c r="W54" s="60"/>
      <c r="X54" s="73" t="str">
        <f t="shared" si="0"/>
        <v>Belum Dinilai</v>
      </c>
      <c r="Y54" s="73" t="str">
        <f t="shared" si="1"/>
        <v>Belum Dinilai</v>
      </c>
      <c r="Z54" s="74" t="str">
        <f t="shared" si="2"/>
        <v/>
      </c>
      <c r="AA54" s="74" t="str">
        <f t="shared" si="3"/>
        <v/>
      </c>
      <c r="AB54" s="74" t="str">
        <f t="shared" si="4"/>
        <v/>
      </c>
      <c r="AC54" s="61" t="s">
        <v>1436</v>
      </c>
      <c r="AD54" s="61" t="s">
        <v>1436</v>
      </c>
      <c r="AE54" s="61" t="s">
        <v>1436</v>
      </c>
      <c r="AF54" s="61" t="s">
        <v>1436</v>
      </c>
      <c r="AG54" s="61" t="s">
        <v>1436</v>
      </c>
      <c r="AH54" s="61" t="s">
        <v>1436</v>
      </c>
      <c r="AI54" s="61" t="s">
        <v>1436</v>
      </c>
      <c r="AJ54" s="61" t="s">
        <v>1436</v>
      </c>
      <c r="AK54" s="61" t="s">
        <v>1436</v>
      </c>
      <c r="AL54" s="61"/>
      <c r="AM54" s="61" t="s">
        <v>1436</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1423</v>
      </c>
      <c r="AV54" s="59" t="s">
        <v>1424</v>
      </c>
      <c r="AW54" s="59" t="s">
        <v>1409</v>
      </c>
      <c r="AX54" s="59" t="s">
        <v>1410</v>
      </c>
      <c r="AY54" s="59"/>
      <c r="AZ54" s="59" t="s">
        <v>1408</v>
      </c>
      <c r="BA54" s="59"/>
      <c r="BB54" s="167"/>
      <c r="BC54" s="65">
        <v>2026</v>
      </c>
      <c r="BD54" s="59"/>
      <c r="BE54" s="167"/>
      <c r="BF54" s="59" t="s">
        <v>1500</v>
      </c>
    </row>
    <row r="55" spans="1:58" ht="28">
      <c r="A55" s="59" t="s">
        <v>1723</v>
      </c>
      <c r="B55" s="59" t="s">
        <v>1724</v>
      </c>
      <c r="C55" s="59"/>
      <c r="D55" s="59"/>
      <c r="E55" s="59" t="s">
        <v>1725</v>
      </c>
      <c r="F55" s="59" t="s">
        <v>1726</v>
      </c>
      <c r="G55" s="59" t="s">
        <v>1511</v>
      </c>
      <c r="H55" s="59" t="s">
        <v>1414</v>
      </c>
      <c r="I55" s="59" t="s">
        <v>1727</v>
      </c>
      <c r="J55" s="59" t="s">
        <v>1399</v>
      </c>
      <c r="K55" s="59" t="s">
        <v>1521</v>
      </c>
      <c r="L55" s="59" t="s">
        <v>1436</v>
      </c>
      <c r="M55" s="59" t="s">
        <v>1487</v>
      </c>
      <c r="N55" s="59" t="s">
        <v>1436</v>
      </c>
      <c r="O55" s="59" t="s">
        <v>1521</v>
      </c>
      <c r="P55" s="59" t="s">
        <v>1436</v>
      </c>
      <c r="Q55" s="75" t="s">
        <v>1436</v>
      </c>
      <c r="R55" s="75" t="s">
        <v>1436</v>
      </c>
      <c r="S55" s="75" t="s">
        <v>1436</v>
      </c>
      <c r="T55" s="75" t="s">
        <v>1436</v>
      </c>
      <c r="U55" s="75" t="s">
        <v>1436</v>
      </c>
      <c r="V55" s="75" t="s">
        <v>1436</v>
      </c>
      <c r="W55" s="60"/>
      <c r="X55" s="73" t="str">
        <f t="shared" si="0"/>
        <v>Belum Dinilai</v>
      </c>
      <c r="Y55" s="73" t="str">
        <f t="shared" si="1"/>
        <v>Belum Dinilai</v>
      </c>
      <c r="Z55" s="74" t="str">
        <f t="shared" si="2"/>
        <v/>
      </c>
      <c r="AA55" s="74" t="str">
        <f t="shared" si="3"/>
        <v/>
      </c>
      <c r="AB55" s="74" t="str">
        <f t="shared" si="4"/>
        <v/>
      </c>
      <c r="AC55" s="61" t="s">
        <v>1436</v>
      </c>
      <c r="AD55" s="61" t="s">
        <v>1436</v>
      </c>
      <c r="AE55" s="61" t="s">
        <v>1436</v>
      </c>
      <c r="AF55" s="61" t="s">
        <v>1436</v>
      </c>
      <c r="AG55" s="61" t="s">
        <v>1436</v>
      </c>
      <c r="AH55" s="61" t="s">
        <v>1436</v>
      </c>
      <c r="AI55" s="61" t="s">
        <v>1436</v>
      </c>
      <c r="AJ55" s="61" t="s">
        <v>1436</v>
      </c>
      <c r="AK55" s="61" t="s">
        <v>1436</v>
      </c>
      <c r="AL55" s="61"/>
      <c r="AM55" s="61" t="s">
        <v>1436</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1423</v>
      </c>
      <c r="AV55" s="59" t="s">
        <v>1424</v>
      </c>
      <c r="AW55" s="59" t="s">
        <v>1409</v>
      </c>
      <c r="AX55" s="59" t="s">
        <v>1410</v>
      </c>
      <c r="AY55" s="59"/>
      <c r="AZ55" s="59" t="s">
        <v>1408</v>
      </c>
      <c r="BA55" s="59"/>
      <c r="BB55" s="167"/>
      <c r="BC55" s="65">
        <v>2026</v>
      </c>
      <c r="BD55" s="59"/>
      <c r="BE55" s="167"/>
      <c r="BF55" s="59" t="s">
        <v>1500</v>
      </c>
    </row>
    <row r="56" spans="1:58" ht="42">
      <c r="A56" s="59" t="s">
        <v>1728</v>
      </c>
      <c r="B56" s="59" t="s">
        <v>1729</v>
      </c>
      <c r="C56" s="59"/>
      <c r="D56" s="59"/>
      <c r="E56" s="59" t="s">
        <v>1730</v>
      </c>
      <c r="F56" s="59" t="s">
        <v>1726</v>
      </c>
      <c r="G56" s="59" t="s">
        <v>1511</v>
      </c>
      <c r="H56" s="59" t="s">
        <v>1414</v>
      </c>
      <c r="I56" s="59" t="s">
        <v>1731</v>
      </c>
      <c r="J56" s="59" t="s">
        <v>1415</v>
      </c>
      <c r="K56" s="59" t="s">
        <v>1400</v>
      </c>
      <c r="L56" s="59" t="s">
        <v>1432</v>
      </c>
      <c r="M56" s="59" t="s">
        <v>1488</v>
      </c>
      <c r="N56" s="59" t="s">
        <v>1432</v>
      </c>
      <c r="O56" s="59" t="s">
        <v>1434</v>
      </c>
      <c r="P56" s="59" t="s">
        <v>1417</v>
      </c>
      <c r="Q56" s="75" t="s">
        <v>1436</v>
      </c>
      <c r="R56" s="75" t="s">
        <v>1436</v>
      </c>
      <c r="S56" s="75" t="s">
        <v>1436</v>
      </c>
      <c r="T56" s="75" t="s">
        <v>1436</v>
      </c>
      <c r="U56" s="75" t="s">
        <v>1436</v>
      </c>
      <c r="V56" s="75" t="s">
        <v>1436</v>
      </c>
      <c r="W56" s="60"/>
      <c r="X56" s="73" t="str">
        <f t="shared" si="0"/>
        <v>Belum Dinilai</v>
      </c>
      <c r="Y56" s="73" t="str">
        <f t="shared" si="1"/>
        <v>Belum Dinilai</v>
      </c>
      <c r="Z56" s="74" t="str">
        <f t="shared" si="2"/>
        <v/>
      </c>
      <c r="AA56" s="74" t="str">
        <f t="shared" si="3"/>
        <v/>
      </c>
      <c r="AB56" s="74" t="str">
        <f t="shared" si="4"/>
        <v/>
      </c>
      <c r="AC56" s="61" t="s">
        <v>1436</v>
      </c>
      <c r="AD56" s="61" t="s">
        <v>1436</v>
      </c>
      <c r="AE56" s="61" t="s">
        <v>1436</v>
      </c>
      <c r="AF56" s="61" t="s">
        <v>1436</v>
      </c>
      <c r="AG56" s="61" t="s">
        <v>1436</v>
      </c>
      <c r="AH56" s="61" t="s">
        <v>1436</v>
      </c>
      <c r="AI56" s="61" t="s">
        <v>1436</v>
      </c>
      <c r="AJ56" s="61" t="s">
        <v>1436</v>
      </c>
      <c r="AK56" s="61" t="s">
        <v>1436</v>
      </c>
      <c r="AL56" s="61"/>
      <c r="AM56" s="61" t="s">
        <v>1436</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1407</v>
      </c>
      <c r="AV56" s="59" t="s">
        <v>1424</v>
      </c>
      <c r="AW56" s="59" t="s">
        <v>1409</v>
      </c>
      <c r="AX56" s="59" t="s">
        <v>1410</v>
      </c>
      <c r="AY56" s="59"/>
      <c r="AZ56" s="59" t="s">
        <v>1408</v>
      </c>
      <c r="BA56" s="59"/>
      <c r="BB56" s="167"/>
      <c r="BC56" s="65">
        <v>2026</v>
      </c>
      <c r="BD56" s="59"/>
      <c r="BE56" s="167"/>
      <c r="BF56" s="59" t="s">
        <v>1500</v>
      </c>
    </row>
    <row r="57" spans="1:58" ht="56">
      <c r="A57" s="59" t="s">
        <v>1732</v>
      </c>
      <c r="B57" s="59" t="s">
        <v>1733</v>
      </c>
      <c r="C57" s="59"/>
      <c r="D57" s="59"/>
      <c r="E57" s="59" t="s">
        <v>1725</v>
      </c>
      <c r="F57" s="59" t="s">
        <v>1726</v>
      </c>
      <c r="G57" s="59" t="s">
        <v>1511</v>
      </c>
      <c r="H57" s="59" t="s">
        <v>1398</v>
      </c>
      <c r="I57" s="59" t="s">
        <v>1734</v>
      </c>
      <c r="J57" s="59" t="s">
        <v>1415</v>
      </c>
      <c r="K57" s="59" t="s">
        <v>1416</v>
      </c>
      <c r="L57" s="59" t="s">
        <v>1432</v>
      </c>
      <c r="M57" s="59" t="s">
        <v>1488</v>
      </c>
      <c r="N57" s="59" t="s">
        <v>1432</v>
      </c>
      <c r="O57" s="59" t="s">
        <v>1515</v>
      </c>
      <c r="P57" s="59" t="s">
        <v>1432</v>
      </c>
      <c r="Q57" s="75" t="s">
        <v>1436</v>
      </c>
      <c r="R57" s="75" t="s">
        <v>1436</v>
      </c>
      <c r="S57" s="75" t="s">
        <v>1436</v>
      </c>
      <c r="T57" s="75" t="s">
        <v>1436</v>
      </c>
      <c r="U57" s="75" t="s">
        <v>1436</v>
      </c>
      <c r="V57" s="75" t="s">
        <v>1436</v>
      </c>
      <c r="W57" s="60"/>
      <c r="X57" s="73" t="str">
        <f t="shared" si="0"/>
        <v>Belum Dinilai</v>
      </c>
      <c r="Y57" s="73" t="str">
        <f t="shared" si="1"/>
        <v>Belum Dinilai</v>
      </c>
      <c r="Z57" s="74" t="str">
        <f t="shared" si="2"/>
        <v/>
      </c>
      <c r="AA57" s="74" t="str">
        <f t="shared" si="3"/>
        <v/>
      </c>
      <c r="AB57" s="74" t="str">
        <f t="shared" si="4"/>
        <v/>
      </c>
      <c r="AC57" s="61" t="s">
        <v>1436</v>
      </c>
      <c r="AD57" s="61" t="s">
        <v>1436</v>
      </c>
      <c r="AE57" s="61" t="s">
        <v>1436</v>
      </c>
      <c r="AF57" s="61" t="s">
        <v>1436</v>
      </c>
      <c r="AG57" s="61" t="s">
        <v>1436</v>
      </c>
      <c r="AH57" s="61" t="s">
        <v>1436</v>
      </c>
      <c r="AI57" s="61" t="s">
        <v>1436</v>
      </c>
      <c r="AJ57" s="61" t="s">
        <v>1436</v>
      </c>
      <c r="AK57" s="61" t="s">
        <v>1436</v>
      </c>
      <c r="AL57" s="61"/>
      <c r="AM57" s="61" t="s">
        <v>1436</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1423</v>
      </c>
      <c r="AV57" s="59" t="s">
        <v>1424</v>
      </c>
      <c r="AW57" s="59" t="s">
        <v>1409</v>
      </c>
      <c r="AX57" s="59" t="s">
        <v>1410</v>
      </c>
      <c r="AY57" s="59"/>
      <c r="AZ57" s="59" t="s">
        <v>1408</v>
      </c>
      <c r="BA57" s="59"/>
      <c r="BB57" s="167"/>
      <c r="BC57" s="65">
        <v>2026</v>
      </c>
      <c r="BD57" s="59"/>
      <c r="BE57" s="167"/>
      <c r="BF57" s="59" t="s">
        <v>1500</v>
      </c>
    </row>
    <row r="58" spans="1:58" ht="42">
      <c r="A58" s="59" t="s">
        <v>1735</v>
      </c>
      <c r="B58" s="59" t="s">
        <v>1736</v>
      </c>
      <c r="C58" s="59"/>
      <c r="D58" s="59"/>
      <c r="E58" s="59" t="s">
        <v>1523</v>
      </c>
      <c r="F58" s="59" t="s">
        <v>1726</v>
      </c>
      <c r="G58" s="59" t="s">
        <v>1511</v>
      </c>
      <c r="H58" s="59" t="s">
        <v>1398</v>
      </c>
      <c r="I58" s="59" t="s">
        <v>1737</v>
      </c>
      <c r="J58" s="59" t="s">
        <v>1415</v>
      </c>
      <c r="K58" s="59" t="s">
        <v>1431</v>
      </c>
      <c r="L58" s="59" t="s">
        <v>1432</v>
      </c>
      <c r="M58" s="59" t="s">
        <v>1488</v>
      </c>
      <c r="N58" s="59" t="s">
        <v>1432</v>
      </c>
      <c r="O58" s="59" t="s">
        <v>1521</v>
      </c>
      <c r="P58" s="59" t="s">
        <v>1436</v>
      </c>
      <c r="Q58" s="75" t="s">
        <v>1436</v>
      </c>
      <c r="R58" s="75" t="s">
        <v>1436</v>
      </c>
      <c r="S58" s="75" t="s">
        <v>1436</v>
      </c>
      <c r="T58" s="75" t="s">
        <v>1436</v>
      </c>
      <c r="U58" s="75" t="s">
        <v>1436</v>
      </c>
      <c r="V58" s="75" t="s">
        <v>1436</v>
      </c>
      <c r="W58" s="60"/>
      <c r="X58" s="73" t="str">
        <f t="shared" si="0"/>
        <v>Belum Dinilai</v>
      </c>
      <c r="Y58" s="73" t="str">
        <f t="shared" si="1"/>
        <v>Belum Dinilai</v>
      </c>
      <c r="Z58" s="74" t="str">
        <f t="shared" si="2"/>
        <v/>
      </c>
      <c r="AA58" s="74" t="str">
        <f t="shared" si="3"/>
        <v/>
      </c>
      <c r="AB58" s="74" t="str">
        <f t="shared" si="4"/>
        <v/>
      </c>
      <c r="AC58" s="61" t="s">
        <v>1436</v>
      </c>
      <c r="AD58" s="61" t="s">
        <v>1436</v>
      </c>
      <c r="AE58" s="61" t="s">
        <v>1436</v>
      </c>
      <c r="AF58" s="61" t="s">
        <v>1436</v>
      </c>
      <c r="AG58" s="61" t="s">
        <v>1436</v>
      </c>
      <c r="AH58" s="61" t="s">
        <v>1436</v>
      </c>
      <c r="AI58" s="61" t="s">
        <v>1436</v>
      </c>
      <c r="AJ58" s="61" t="s">
        <v>1436</v>
      </c>
      <c r="AK58" s="61" t="s">
        <v>1436</v>
      </c>
      <c r="AL58" s="61"/>
      <c r="AM58" s="61" t="s">
        <v>1436</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1423</v>
      </c>
      <c r="AV58" s="59" t="s">
        <v>1424</v>
      </c>
      <c r="AW58" s="59" t="s">
        <v>1409</v>
      </c>
      <c r="AX58" s="59" t="s">
        <v>1410</v>
      </c>
      <c r="AY58" s="59"/>
      <c r="AZ58" s="59" t="s">
        <v>1408</v>
      </c>
      <c r="BA58" s="59"/>
      <c r="BB58" s="167"/>
      <c r="BC58" s="65">
        <v>2026</v>
      </c>
      <c r="BD58" s="59"/>
      <c r="BE58" s="167"/>
      <c r="BF58" s="59" t="s">
        <v>1500</v>
      </c>
    </row>
    <row r="59" spans="1:58" ht="28">
      <c r="A59" s="59" t="s">
        <v>1738</v>
      </c>
      <c r="B59" s="59" t="s">
        <v>1739</v>
      </c>
      <c r="C59" s="59"/>
      <c r="D59" s="59"/>
      <c r="E59" s="59" t="s">
        <v>1740</v>
      </c>
      <c r="F59" s="59" t="s">
        <v>1741</v>
      </c>
      <c r="G59" s="59" t="s">
        <v>1548</v>
      </c>
      <c r="H59" s="59" t="s">
        <v>1414</v>
      </c>
      <c r="I59" s="59" t="s">
        <v>1742</v>
      </c>
      <c r="J59" s="59" t="s">
        <v>1484</v>
      </c>
      <c r="K59" s="59" t="s">
        <v>1431</v>
      </c>
      <c r="L59" s="59" t="s">
        <v>1436</v>
      </c>
      <c r="M59" s="59" t="s">
        <v>1521</v>
      </c>
      <c r="N59" s="59" t="s">
        <v>1436</v>
      </c>
      <c r="O59" s="59" t="s">
        <v>1521</v>
      </c>
      <c r="P59" s="59" t="s">
        <v>1436</v>
      </c>
      <c r="Q59" s="75" t="s">
        <v>1436</v>
      </c>
      <c r="R59" s="75" t="s">
        <v>1436</v>
      </c>
      <c r="S59" s="75" t="s">
        <v>1436</v>
      </c>
      <c r="T59" s="75" t="s">
        <v>1436</v>
      </c>
      <c r="U59" s="75" t="s">
        <v>1436</v>
      </c>
      <c r="V59" s="75" t="s">
        <v>1436</v>
      </c>
      <c r="W59" s="60"/>
      <c r="X59" s="73" t="str">
        <f t="shared" si="0"/>
        <v>Belum Dinilai</v>
      </c>
      <c r="Y59" s="73" t="str">
        <f t="shared" si="1"/>
        <v>Belum Dinilai</v>
      </c>
      <c r="Z59" s="74" t="str">
        <f t="shared" si="2"/>
        <v/>
      </c>
      <c r="AA59" s="74" t="str">
        <f t="shared" si="3"/>
        <v/>
      </c>
      <c r="AB59" s="74" t="str">
        <f t="shared" si="4"/>
        <v/>
      </c>
      <c r="AC59" s="61" t="s">
        <v>1436</v>
      </c>
      <c r="AD59" s="61" t="s">
        <v>1436</v>
      </c>
      <c r="AE59" s="61" t="s">
        <v>1436</v>
      </c>
      <c r="AF59" s="61" t="s">
        <v>1436</v>
      </c>
      <c r="AG59" s="61" t="s">
        <v>1436</v>
      </c>
      <c r="AH59" s="61" t="s">
        <v>1436</v>
      </c>
      <c r="AI59" s="61" t="s">
        <v>1436</v>
      </c>
      <c r="AJ59" s="61" t="s">
        <v>1436</v>
      </c>
      <c r="AK59" s="61" t="s">
        <v>1436</v>
      </c>
      <c r="AL59" s="61"/>
      <c r="AM59" s="61" t="s">
        <v>1436</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1423</v>
      </c>
      <c r="AV59" s="59" t="s">
        <v>1424</v>
      </c>
      <c r="AW59" s="59" t="s">
        <v>1409</v>
      </c>
      <c r="AX59" s="59" t="s">
        <v>1410</v>
      </c>
      <c r="AY59" s="59"/>
      <c r="AZ59" s="59" t="s">
        <v>1408</v>
      </c>
      <c r="BA59" s="59"/>
      <c r="BB59" s="167"/>
      <c r="BC59" s="65">
        <v>2026</v>
      </c>
      <c r="BD59" s="59"/>
      <c r="BE59" s="167"/>
      <c r="BF59" s="59" t="s">
        <v>1500</v>
      </c>
    </row>
    <row r="60" spans="1:58" ht="28">
      <c r="A60" s="59" t="s">
        <v>1743</v>
      </c>
      <c r="B60" s="59" t="s">
        <v>1744</v>
      </c>
      <c r="C60" s="59"/>
      <c r="D60" s="59"/>
      <c r="E60" s="59" t="s">
        <v>1745</v>
      </c>
      <c r="F60" s="59" t="s">
        <v>1635</v>
      </c>
      <c r="G60" s="59" t="s">
        <v>1584</v>
      </c>
      <c r="H60" s="59" t="s">
        <v>1414</v>
      </c>
      <c r="I60" s="59" t="s">
        <v>1746</v>
      </c>
      <c r="J60" s="59" t="s">
        <v>1484</v>
      </c>
      <c r="K60" s="59" t="s">
        <v>1431</v>
      </c>
      <c r="L60" s="59" t="s">
        <v>1486</v>
      </c>
      <c r="M60" s="59" t="s">
        <v>1521</v>
      </c>
      <c r="N60" s="59" t="s">
        <v>1486</v>
      </c>
      <c r="O60" s="59" t="s">
        <v>1521</v>
      </c>
      <c r="P60" s="59" t="s">
        <v>1436</v>
      </c>
      <c r="Q60" s="75" t="s">
        <v>1436</v>
      </c>
      <c r="R60" s="75" t="s">
        <v>1436</v>
      </c>
      <c r="S60" s="75" t="s">
        <v>1436</v>
      </c>
      <c r="T60" s="75" t="s">
        <v>1436</v>
      </c>
      <c r="U60" s="75" t="s">
        <v>1436</v>
      </c>
      <c r="V60" s="75" t="s">
        <v>1436</v>
      </c>
      <c r="W60" s="60"/>
      <c r="X60" s="73" t="str">
        <f t="shared" si="0"/>
        <v>Belum Dinilai</v>
      </c>
      <c r="Y60" s="73" t="str">
        <f t="shared" si="1"/>
        <v>Belum Dinilai</v>
      </c>
      <c r="Z60" s="74" t="str">
        <f t="shared" si="2"/>
        <v/>
      </c>
      <c r="AA60" s="74" t="str">
        <f t="shared" si="3"/>
        <v/>
      </c>
      <c r="AB60" s="74" t="str">
        <f t="shared" si="4"/>
        <v/>
      </c>
      <c r="AC60" s="61" t="s">
        <v>1436</v>
      </c>
      <c r="AD60" s="61" t="s">
        <v>1436</v>
      </c>
      <c r="AE60" s="61" t="s">
        <v>1436</v>
      </c>
      <c r="AF60" s="61" t="s">
        <v>1436</v>
      </c>
      <c r="AG60" s="61" t="s">
        <v>1436</v>
      </c>
      <c r="AH60" s="61" t="s">
        <v>1436</v>
      </c>
      <c r="AI60" s="61" t="s">
        <v>1436</v>
      </c>
      <c r="AJ60" s="61" t="s">
        <v>1436</v>
      </c>
      <c r="AK60" s="61" t="s">
        <v>1436</v>
      </c>
      <c r="AL60" s="61"/>
      <c r="AM60" s="61" t="s">
        <v>1436</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1423</v>
      </c>
      <c r="AV60" s="59" t="s">
        <v>1424</v>
      </c>
      <c r="AW60" s="59" t="s">
        <v>1522</v>
      </c>
      <c r="AX60" s="59" t="s">
        <v>1426</v>
      </c>
      <c r="AY60" s="59">
        <v>2024</v>
      </c>
      <c r="AZ60" s="59" t="s">
        <v>1408</v>
      </c>
      <c r="BA60" s="59"/>
      <c r="BB60" s="167"/>
      <c r="BC60" s="65">
        <v>2026</v>
      </c>
      <c r="BD60" s="59"/>
      <c r="BE60" s="167"/>
      <c r="BF60" s="59" t="s">
        <v>1500</v>
      </c>
    </row>
    <row r="61" spans="1:58" ht="28">
      <c r="A61" s="59" t="s">
        <v>1747</v>
      </c>
      <c r="B61" s="59" t="s">
        <v>1748</v>
      </c>
      <c r="C61" s="59"/>
      <c r="D61" s="59"/>
      <c r="E61" s="59" t="s">
        <v>1749</v>
      </c>
      <c r="F61" s="59" t="s">
        <v>1694</v>
      </c>
      <c r="G61" s="59" t="s">
        <v>1533</v>
      </c>
      <c r="H61" s="59" t="s">
        <v>1398</v>
      </c>
      <c r="I61" s="59" t="s">
        <v>1750</v>
      </c>
      <c r="J61" s="59" t="s">
        <v>1484</v>
      </c>
      <c r="K61" s="59" t="s">
        <v>1515</v>
      </c>
      <c r="L61" s="59" t="s">
        <v>1436</v>
      </c>
      <c r="M61" s="59" t="s">
        <v>1416</v>
      </c>
      <c r="N61" s="59" t="s">
        <v>1436</v>
      </c>
      <c r="O61" s="59" t="s">
        <v>1521</v>
      </c>
      <c r="P61" s="59" t="s">
        <v>1436</v>
      </c>
      <c r="Q61" s="75" t="s">
        <v>1436</v>
      </c>
      <c r="R61" s="75" t="s">
        <v>1436</v>
      </c>
      <c r="S61" s="75" t="s">
        <v>1436</v>
      </c>
      <c r="T61" s="75" t="s">
        <v>1436</v>
      </c>
      <c r="U61" s="75" t="s">
        <v>1436</v>
      </c>
      <c r="V61" s="75" t="s">
        <v>1436</v>
      </c>
      <c r="W61" s="60"/>
      <c r="X61" s="73" t="str">
        <f t="shared" si="0"/>
        <v>Belum Dinilai</v>
      </c>
      <c r="Y61" s="73" t="str">
        <f t="shared" si="1"/>
        <v>Belum Dinilai</v>
      </c>
      <c r="Z61" s="74" t="str">
        <f t="shared" si="2"/>
        <v/>
      </c>
      <c r="AA61" s="74" t="str">
        <f t="shared" si="3"/>
        <v/>
      </c>
      <c r="AB61" s="74" t="str">
        <f t="shared" si="4"/>
        <v/>
      </c>
      <c r="AC61" s="61" t="s">
        <v>1436</v>
      </c>
      <c r="AD61" s="61" t="s">
        <v>1436</v>
      </c>
      <c r="AE61" s="61" t="s">
        <v>1436</v>
      </c>
      <c r="AF61" s="61" t="s">
        <v>1436</v>
      </c>
      <c r="AG61" s="61" t="s">
        <v>1436</v>
      </c>
      <c r="AH61" s="61" t="s">
        <v>1436</v>
      </c>
      <c r="AI61" s="61" t="s">
        <v>1436</v>
      </c>
      <c r="AJ61" s="61" t="s">
        <v>1436</v>
      </c>
      <c r="AK61" s="61" t="s">
        <v>1436</v>
      </c>
      <c r="AL61" s="61"/>
      <c r="AM61" s="61" t="s">
        <v>1436</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1423</v>
      </c>
      <c r="AV61" s="59" t="s">
        <v>1424</v>
      </c>
      <c r="AW61" s="59" t="s">
        <v>1409</v>
      </c>
      <c r="AX61" s="59" t="s">
        <v>1410</v>
      </c>
      <c r="AY61" s="59"/>
      <c r="AZ61" s="59" t="s">
        <v>1408</v>
      </c>
      <c r="BA61" s="59"/>
      <c r="BB61" s="167"/>
      <c r="BC61" s="65">
        <v>2026</v>
      </c>
      <c r="BD61" s="59"/>
      <c r="BE61" s="167"/>
      <c r="BF61" s="59" t="s">
        <v>1500</v>
      </c>
    </row>
    <row r="62" spans="1:58" ht="28">
      <c r="A62" s="59" t="s">
        <v>1751</v>
      </c>
      <c r="B62" s="59" t="s">
        <v>1752</v>
      </c>
      <c r="C62" s="59"/>
      <c r="D62" s="59"/>
      <c r="E62" s="59" t="s">
        <v>1753</v>
      </c>
      <c r="F62" s="59" t="s">
        <v>1754</v>
      </c>
      <c r="G62" s="59" t="s">
        <v>1574</v>
      </c>
      <c r="H62" s="59" t="s">
        <v>1414</v>
      </c>
      <c r="I62" s="59" t="s">
        <v>1755</v>
      </c>
      <c r="J62" s="59" t="s">
        <v>1484</v>
      </c>
      <c r="K62" s="59" t="s">
        <v>1521</v>
      </c>
      <c r="L62" s="59" t="s">
        <v>1436</v>
      </c>
      <c r="M62" s="59" t="s">
        <v>1521</v>
      </c>
      <c r="N62" s="59" t="s">
        <v>1436</v>
      </c>
      <c r="O62" s="59" t="s">
        <v>1521</v>
      </c>
      <c r="P62" s="59" t="s">
        <v>1436</v>
      </c>
      <c r="Q62" s="75" t="s">
        <v>1436</v>
      </c>
      <c r="R62" s="75" t="s">
        <v>1436</v>
      </c>
      <c r="S62" s="75" t="s">
        <v>1436</v>
      </c>
      <c r="T62" s="75" t="s">
        <v>1436</v>
      </c>
      <c r="U62" s="75" t="s">
        <v>1436</v>
      </c>
      <c r="V62" s="75" t="s">
        <v>1436</v>
      </c>
      <c r="W62" s="60"/>
      <c r="X62" s="73" t="str">
        <f t="shared" si="0"/>
        <v>Belum Dinilai</v>
      </c>
      <c r="Y62" s="73" t="str">
        <f t="shared" si="1"/>
        <v>Belum Dinilai</v>
      </c>
      <c r="Z62" s="74" t="str">
        <f t="shared" si="2"/>
        <v/>
      </c>
      <c r="AA62" s="74" t="str">
        <f t="shared" si="3"/>
        <v/>
      </c>
      <c r="AB62" s="74" t="str">
        <f t="shared" si="4"/>
        <v/>
      </c>
      <c r="AC62" s="61" t="s">
        <v>1436</v>
      </c>
      <c r="AD62" s="61" t="s">
        <v>1436</v>
      </c>
      <c r="AE62" s="61" t="s">
        <v>1436</v>
      </c>
      <c r="AF62" s="61" t="s">
        <v>1436</v>
      </c>
      <c r="AG62" s="61" t="s">
        <v>1436</v>
      </c>
      <c r="AH62" s="61" t="s">
        <v>1436</v>
      </c>
      <c r="AI62" s="61" t="s">
        <v>1436</v>
      </c>
      <c r="AJ62" s="61" t="s">
        <v>1436</v>
      </c>
      <c r="AK62" s="61" t="s">
        <v>1436</v>
      </c>
      <c r="AL62" s="61"/>
      <c r="AM62" s="61" t="s">
        <v>1436</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1423</v>
      </c>
      <c r="AV62" s="59" t="s">
        <v>1424</v>
      </c>
      <c r="AW62" s="59" t="s">
        <v>1409</v>
      </c>
      <c r="AX62" s="59" t="s">
        <v>1410</v>
      </c>
      <c r="AY62" s="59"/>
      <c r="AZ62" s="59" t="s">
        <v>1408</v>
      </c>
      <c r="BA62" s="59"/>
      <c r="BB62" s="167"/>
      <c r="BC62" s="65">
        <v>2026</v>
      </c>
      <c r="BD62" s="59"/>
      <c r="BE62" s="167"/>
      <c r="BF62" s="59" t="s">
        <v>1500</v>
      </c>
    </row>
    <row r="63" spans="1:58" ht="28">
      <c r="A63" s="59" t="s">
        <v>1756</v>
      </c>
      <c r="B63" s="59" t="s">
        <v>1757</v>
      </c>
      <c r="C63" s="59"/>
      <c r="D63" s="59"/>
      <c r="E63" s="59" t="s">
        <v>1758</v>
      </c>
      <c r="F63" s="59" t="s">
        <v>1759</v>
      </c>
      <c r="G63" s="59" t="s">
        <v>1574</v>
      </c>
      <c r="H63" s="59" t="s">
        <v>1414</v>
      </c>
      <c r="I63" s="59" t="s">
        <v>1755</v>
      </c>
      <c r="J63" s="59" t="s">
        <v>1484</v>
      </c>
      <c r="K63" s="59" t="s">
        <v>1521</v>
      </c>
      <c r="L63" s="59" t="s">
        <v>1436</v>
      </c>
      <c r="M63" s="59" t="s">
        <v>1521</v>
      </c>
      <c r="N63" s="59" t="s">
        <v>1436</v>
      </c>
      <c r="O63" s="59" t="s">
        <v>1521</v>
      </c>
      <c r="P63" s="59" t="s">
        <v>1436</v>
      </c>
      <c r="Q63" s="75" t="s">
        <v>1436</v>
      </c>
      <c r="R63" s="75" t="s">
        <v>1436</v>
      </c>
      <c r="S63" s="75" t="s">
        <v>1436</v>
      </c>
      <c r="T63" s="75" t="s">
        <v>1436</v>
      </c>
      <c r="U63" s="75" t="s">
        <v>1436</v>
      </c>
      <c r="V63" s="75" t="s">
        <v>1436</v>
      </c>
      <c r="W63" s="60"/>
      <c r="X63" s="73" t="str">
        <f t="shared" si="0"/>
        <v>Belum Dinilai</v>
      </c>
      <c r="Y63" s="73" t="str">
        <f t="shared" si="1"/>
        <v>Belum Dinilai</v>
      </c>
      <c r="Z63" s="74" t="str">
        <f t="shared" si="2"/>
        <v/>
      </c>
      <c r="AA63" s="74" t="str">
        <f t="shared" si="3"/>
        <v/>
      </c>
      <c r="AB63" s="74" t="str">
        <f t="shared" si="4"/>
        <v/>
      </c>
      <c r="AC63" s="61" t="s">
        <v>1436</v>
      </c>
      <c r="AD63" s="61" t="s">
        <v>1436</v>
      </c>
      <c r="AE63" s="61" t="s">
        <v>1436</v>
      </c>
      <c r="AF63" s="61" t="s">
        <v>1436</v>
      </c>
      <c r="AG63" s="61" t="s">
        <v>1436</v>
      </c>
      <c r="AH63" s="61" t="s">
        <v>1436</v>
      </c>
      <c r="AI63" s="61" t="s">
        <v>1436</v>
      </c>
      <c r="AJ63" s="61" t="s">
        <v>1436</v>
      </c>
      <c r="AK63" s="61" t="s">
        <v>1436</v>
      </c>
      <c r="AL63" s="61"/>
      <c r="AM63" s="61" t="s">
        <v>1436</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1423</v>
      </c>
      <c r="AV63" s="59" t="s">
        <v>1424</v>
      </c>
      <c r="AW63" s="59" t="s">
        <v>1409</v>
      </c>
      <c r="AX63" s="59" t="s">
        <v>1410</v>
      </c>
      <c r="AY63" s="59"/>
      <c r="AZ63" s="59" t="s">
        <v>1408</v>
      </c>
      <c r="BA63" s="59"/>
      <c r="BB63" s="167"/>
      <c r="BC63" s="65">
        <v>2026</v>
      </c>
      <c r="BD63" s="59"/>
      <c r="BE63" s="167"/>
      <c r="BF63" s="59" t="s">
        <v>1500</v>
      </c>
    </row>
    <row r="64" spans="1:58" ht="28">
      <c r="A64" s="59" t="s">
        <v>1760</v>
      </c>
      <c r="B64" s="59" t="s">
        <v>1761</v>
      </c>
      <c r="C64" s="59"/>
      <c r="D64" s="59"/>
      <c r="E64" s="59" t="s">
        <v>1758</v>
      </c>
      <c r="F64" s="59" t="s">
        <v>1759</v>
      </c>
      <c r="G64" s="59" t="s">
        <v>1574</v>
      </c>
      <c r="H64" s="59" t="s">
        <v>1414</v>
      </c>
      <c r="I64" s="59" t="s">
        <v>1755</v>
      </c>
      <c r="J64" s="59" t="s">
        <v>1484</v>
      </c>
      <c r="K64" s="59" t="s">
        <v>1521</v>
      </c>
      <c r="L64" s="59" t="s">
        <v>1436</v>
      </c>
      <c r="M64" s="59" t="s">
        <v>1521</v>
      </c>
      <c r="N64" s="59" t="s">
        <v>1436</v>
      </c>
      <c r="O64" s="59" t="s">
        <v>1521</v>
      </c>
      <c r="P64" s="59" t="s">
        <v>1436</v>
      </c>
      <c r="Q64" s="75" t="s">
        <v>1436</v>
      </c>
      <c r="R64" s="75" t="s">
        <v>1436</v>
      </c>
      <c r="S64" s="75" t="s">
        <v>1436</v>
      </c>
      <c r="T64" s="75" t="s">
        <v>1436</v>
      </c>
      <c r="U64" s="75" t="s">
        <v>1436</v>
      </c>
      <c r="V64" s="75" t="s">
        <v>1436</v>
      </c>
      <c r="W64" s="60"/>
      <c r="X64" s="73" t="str">
        <f t="shared" si="0"/>
        <v>Belum Dinilai</v>
      </c>
      <c r="Y64" s="73" t="str">
        <f t="shared" si="1"/>
        <v>Belum Dinilai</v>
      </c>
      <c r="Z64" s="74" t="str">
        <f t="shared" si="2"/>
        <v/>
      </c>
      <c r="AA64" s="74" t="str">
        <f t="shared" si="3"/>
        <v/>
      </c>
      <c r="AB64" s="74" t="str">
        <f t="shared" si="4"/>
        <v/>
      </c>
      <c r="AC64" s="61" t="s">
        <v>1436</v>
      </c>
      <c r="AD64" s="61" t="s">
        <v>1436</v>
      </c>
      <c r="AE64" s="61" t="s">
        <v>1436</v>
      </c>
      <c r="AF64" s="61" t="s">
        <v>1436</v>
      </c>
      <c r="AG64" s="61" t="s">
        <v>1436</v>
      </c>
      <c r="AH64" s="61" t="s">
        <v>1436</v>
      </c>
      <c r="AI64" s="61" t="s">
        <v>1436</v>
      </c>
      <c r="AJ64" s="61" t="s">
        <v>1436</v>
      </c>
      <c r="AK64" s="61" t="s">
        <v>1436</v>
      </c>
      <c r="AL64" s="61"/>
      <c r="AM64" s="61" t="s">
        <v>1436</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1423</v>
      </c>
      <c r="AV64" s="59" t="s">
        <v>1424</v>
      </c>
      <c r="AW64" s="59" t="s">
        <v>1409</v>
      </c>
      <c r="AX64" s="59" t="s">
        <v>1410</v>
      </c>
      <c r="AY64" s="59"/>
      <c r="AZ64" s="59" t="s">
        <v>1408</v>
      </c>
      <c r="BA64" s="59"/>
      <c r="BB64" s="167"/>
      <c r="BC64" s="65">
        <v>2026</v>
      </c>
      <c r="BD64" s="59"/>
      <c r="BE64" s="167"/>
      <c r="BF64" s="59" t="s">
        <v>1500</v>
      </c>
    </row>
    <row r="65" spans="1:58" ht="42">
      <c r="A65" s="59" t="s">
        <v>1762</v>
      </c>
      <c r="B65" s="59" t="s">
        <v>1763</v>
      </c>
      <c r="C65" s="59"/>
      <c r="D65" s="59"/>
      <c r="E65" s="59" t="s">
        <v>1764</v>
      </c>
      <c r="F65" s="59" t="s">
        <v>1547</v>
      </c>
      <c r="G65" s="59" t="s">
        <v>1548</v>
      </c>
      <c r="H65" s="59" t="s">
        <v>1414</v>
      </c>
      <c r="I65" s="59" t="s">
        <v>1765</v>
      </c>
      <c r="J65" s="59" t="s">
        <v>1399</v>
      </c>
      <c r="K65" s="59" t="s">
        <v>1400</v>
      </c>
      <c r="L65" s="59" t="s">
        <v>1436</v>
      </c>
      <c r="M65" s="59" t="s">
        <v>1402</v>
      </c>
      <c r="N65" s="59" t="s">
        <v>1436</v>
      </c>
      <c r="O65" s="59" t="s">
        <v>1521</v>
      </c>
      <c r="P65" s="59" t="s">
        <v>1436</v>
      </c>
      <c r="Q65" s="75" t="s">
        <v>1436</v>
      </c>
      <c r="R65" s="75" t="s">
        <v>1436</v>
      </c>
      <c r="S65" s="75" t="s">
        <v>1436</v>
      </c>
      <c r="T65" s="75" t="s">
        <v>1436</v>
      </c>
      <c r="U65" s="75" t="s">
        <v>1436</v>
      </c>
      <c r="V65" s="75" t="s">
        <v>1436</v>
      </c>
      <c r="W65" s="60"/>
      <c r="X65" s="73" t="str">
        <f t="shared" si="0"/>
        <v>Belum Dinilai</v>
      </c>
      <c r="Y65" s="73" t="str">
        <f t="shared" si="1"/>
        <v>Belum Dinilai</v>
      </c>
      <c r="Z65" s="74" t="str">
        <f t="shared" si="2"/>
        <v/>
      </c>
      <c r="AA65" s="74" t="str">
        <f t="shared" si="3"/>
        <v/>
      </c>
      <c r="AB65" s="74" t="str">
        <f t="shared" si="4"/>
        <v/>
      </c>
      <c r="AC65" s="61" t="s">
        <v>1436</v>
      </c>
      <c r="AD65" s="61" t="s">
        <v>1436</v>
      </c>
      <c r="AE65" s="61" t="s">
        <v>1436</v>
      </c>
      <c r="AF65" s="61" t="s">
        <v>1436</v>
      </c>
      <c r="AG65" s="61" t="s">
        <v>1436</v>
      </c>
      <c r="AH65" s="61" t="s">
        <v>1436</v>
      </c>
      <c r="AI65" s="61" t="s">
        <v>1436</v>
      </c>
      <c r="AJ65" s="61" t="s">
        <v>1436</v>
      </c>
      <c r="AK65" s="61" t="s">
        <v>1436</v>
      </c>
      <c r="AL65" s="61"/>
      <c r="AM65" s="61" t="s">
        <v>1436</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1407</v>
      </c>
      <c r="AV65" s="59" t="s">
        <v>1424</v>
      </c>
      <c r="AW65" s="59" t="s">
        <v>1409</v>
      </c>
      <c r="AX65" s="59" t="s">
        <v>1410</v>
      </c>
      <c r="AY65" s="59"/>
      <c r="AZ65" s="59" t="s">
        <v>1408</v>
      </c>
      <c r="BA65" s="59"/>
      <c r="BB65" s="167"/>
      <c r="BC65" s="65">
        <v>2026</v>
      </c>
      <c r="BD65" s="59"/>
      <c r="BE65" s="167"/>
      <c r="BF65" s="59" t="s">
        <v>1500</v>
      </c>
    </row>
    <row r="66" spans="1:58" ht="28">
      <c r="A66" s="59" t="s">
        <v>1766</v>
      </c>
      <c r="B66" s="59" t="s">
        <v>1767</v>
      </c>
      <c r="C66" s="59"/>
      <c r="D66" s="59"/>
      <c r="E66" s="59" t="s">
        <v>1768</v>
      </c>
      <c r="F66" s="59" t="s">
        <v>1547</v>
      </c>
      <c r="G66" s="59" t="s">
        <v>1548</v>
      </c>
      <c r="H66" s="59" t="s">
        <v>1414</v>
      </c>
      <c r="I66" s="59" t="s">
        <v>1769</v>
      </c>
      <c r="J66" s="59" t="s">
        <v>1399</v>
      </c>
      <c r="K66" s="59" t="s">
        <v>1400</v>
      </c>
      <c r="L66" s="59" t="s">
        <v>1436</v>
      </c>
      <c r="M66" s="59" t="s">
        <v>1402</v>
      </c>
      <c r="N66" s="59" t="s">
        <v>1436</v>
      </c>
      <c r="O66" s="59" t="s">
        <v>1521</v>
      </c>
      <c r="P66" s="59" t="s">
        <v>1436</v>
      </c>
      <c r="Q66" s="75" t="s">
        <v>1436</v>
      </c>
      <c r="R66" s="75" t="s">
        <v>1436</v>
      </c>
      <c r="S66" s="75" t="s">
        <v>1436</v>
      </c>
      <c r="T66" s="75" t="s">
        <v>1436</v>
      </c>
      <c r="U66" s="75" t="s">
        <v>1436</v>
      </c>
      <c r="V66" s="75" t="s">
        <v>1436</v>
      </c>
      <c r="W66" s="60"/>
      <c r="X66" s="73" t="str">
        <f t="shared" si="0"/>
        <v>Belum Dinilai</v>
      </c>
      <c r="Y66" s="73" t="str">
        <f t="shared" si="1"/>
        <v>Belum Dinilai</v>
      </c>
      <c r="Z66" s="74" t="str">
        <f t="shared" si="2"/>
        <v/>
      </c>
      <c r="AA66" s="74" t="str">
        <f t="shared" si="3"/>
        <v/>
      </c>
      <c r="AB66" s="74" t="str">
        <f t="shared" si="4"/>
        <v/>
      </c>
      <c r="AC66" s="61" t="s">
        <v>1436</v>
      </c>
      <c r="AD66" s="61" t="s">
        <v>1436</v>
      </c>
      <c r="AE66" s="61" t="s">
        <v>1436</v>
      </c>
      <c r="AF66" s="61" t="s">
        <v>1436</v>
      </c>
      <c r="AG66" s="61" t="s">
        <v>1436</v>
      </c>
      <c r="AH66" s="61" t="s">
        <v>1436</v>
      </c>
      <c r="AI66" s="61" t="s">
        <v>1436</v>
      </c>
      <c r="AJ66" s="61" t="s">
        <v>1436</v>
      </c>
      <c r="AK66" s="61" t="s">
        <v>1436</v>
      </c>
      <c r="AL66" s="61"/>
      <c r="AM66" s="61" t="s">
        <v>1436</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1407</v>
      </c>
      <c r="AV66" s="59" t="s">
        <v>1424</v>
      </c>
      <c r="AW66" s="59" t="s">
        <v>1409</v>
      </c>
      <c r="AX66" s="59" t="s">
        <v>1410</v>
      </c>
      <c r="AY66" s="59"/>
      <c r="AZ66" s="59" t="s">
        <v>1408</v>
      </c>
      <c r="BA66" s="59"/>
      <c r="BB66" s="167"/>
      <c r="BC66" s="65">
        <v>2026</v>
      </c>
      <c r="BD66" s="59"/>
      <c r="BE66" s="167"/>
      <c r="BF66" s="59" t="s">
        <v>1500</v>
      </c>
    </row>
    <row r="67" spans="1:58" ht="28">
      <c r="A67" s="59" t="s">
        <v>1770</v>
      </c>
      <c r="B67" s="59" t="s">
        <v>1771</v>
      </c>
      <c r="C67" s="59"/>
      <c r="D67" s="59"/>
      <c r="E67" s="59" t="s">
        <v>1772</v>
      </c>
      <c r="F67" s="59" t="s">
        <v>1773</v>
      </c>
      <c r="G67" s="59" t="s">
        <v>1548</v>
      </c>
      <c r="H67" s="59" t="s">
        <v>1414</v>
      </c>
      <c r="I67" s="59" t="s">
        <v>1774</v>
      </c>
      <c r="J67" s="59" t="s">
        <v>1430</v>
      </c>
      <c r="K67" s="59" t="s">
        <v>1416</v>
      </c>
      <c r="L67" s="59" t="s">
        <v>1436</v>
      </c>
      <c r="M67" s="59" t="s">
        <v>1488</v>
      </c>
      <c r="N67" s="59" t="s">
        <v>1432</v>
      </c>
      <c r="O67" s="59" t="s">
        <v>1521</v>
      </c>
      <c r="P67" s="59" t="s">
        <v>1432</v>
      </c>
      <c r="Q67" s="75" t="s">
        <v>1436</v>
      </c>
      <c r="R67" s="75" t="s">
        <v>1436</v>
      </c>
      <c r="S67" s="75" t="s">
        <v>1436</v>
      </c>
      <c r="T67" s="75" t="s">
        <v>1436</v>
      </c>
      <c r="U67" s="75" t="s">
        <v>1436</v>
      </c>
      <c r="V67" s="75" t="s">
        <v>1436</v>
      </c>
      <c r="W67" s="60"/>
      <c r="X67" s="73" t="str">
        <f t="shared" si="0"/>
        <v>Belum Dinilai</v>
      </c>
      <c r="Y67" s="73" t="str">
        <f t="shared" si="1"/>
        <v>Belum Dinilai</v>
      </c>
      <c r="Z67" s="74" t="str">
        <f t="shared" si="2"/>
        <v/>
      </c>
      <c r="AA67" s="74" t="str">
        <f t="shared" si="3"/>
        <v/>
      </c>
      <c r="AB67" s="74" t="str">
        <f t="shared" si="4"/>
        <v/>
      </c>
      <c r="AC67" s="61" t="s">
        <v>1436</v>
      </c>
      <c r="AD67" s="61" t="s">
        <v>1436</v>
      </c>
      <c r="AE67" s="61" t="s">
        <v>1436</v>
      </c>
      <c r="AF67" s="61" t="s">
        <v>1436</v>
      </c>
      <c r="AG67" s="61" t="s">
        <v>1436</v>
      </c>
      <c r="AH67" s="61" t="s">
        <v>1436</v>
      </c>
      <c r="AI67" s="61" t="s">
        <v>1436</v>
      </c>
      <c r="AJ67" s="61" t="s">
        <v>1436</v>
      </c>
      <c r="AK67" s="61" t="s">
        <v>1436</v>
      </c>
      <c r="AL67" s="61"/>
      <c r="AM67" s="61" t="s">
        <v>1436</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1407</v>
      </c>
      <c r="AV67" s="59" t="s">
        <v>1424</v>
      </c>
      <c r="AW67" s="59" t="s">
        <v>1522</v>
      </c>
      <c r="AX67" s="59" t="s">
        <v>1426</v>
      </c>
      <c r="AY67" s="59">
        <v>2024</v>
      </c>
      <c r="AZ67" s="59" t="s">
        <v>1408</v>
      </c>
      <c r="BA67" s="59"/>
      <c r="BB67" s="167"/>
      <c r="BC67" s="65">
        <v>2026</v>
      </c>
      <c r="BD67" s="59"/>
      <c r="BE67" s="167"/>
      <c r="BF67" s="59" t="s">
        <v>1500</v>
      </c>
    </row>
    <row r="68" spans="1:58" ht="28">
      <c r="A68" s="59" t="s">
        <v>1775</v>
      </c>
      <c r="B68" s="59" t="s">
        <v>1776</v>
      </c>
      <c r="C68" s="59"/>
      <c r="D68" s="59"/>
      <c r="E68" s="59" t="s">
        <v>1777</v>
      </c>
      <c r="F68" s="59" t="s">
        <v>1573</v>
      </c>
      <c r="G68" s="59" t="s">
        <v>1574</v>
      </c>
      <c r="H68" s="59" t="s">
        <v>1414</v>
      </c>
      <c r="I68" s="59" t="s">
        <v>1778</v>
      </c>
      <c r="J68" s="59" t="s">
        <v>1399</v>
      </c>
      <c r="K68" s="59" t="s">
        <v>1416</v>
      </c>
      <c r="L68" s="59" t="s">
        <v>1432</v>
      </c>
      <c r="M68" s="59" t="s">
        <v>1433</v>
      </c>
      <c r="N68" s="59" t="s">
        <v>1432</v>
      </c>
      <c r="O68" s="59" t="s">
        <v>1521</v>
      </c>
      <c r="P68" s="59" t="s">
        <v>1432</v>
      </c>
      <c r="Q68" s="75" t="s">
        <v>1436</v>
      </c>
      <c r="R68" s="75" t="s">
        <v>1436</v>
      </c>
      <c r="S68" s="75" t="s">
        <v>1436</v>
      </c>
      <c r="T68" s="75" t="s">
        <v>1436</v>
      </c>
      <c r="U68" s="75" t="s">
        <v>1436</v>
      </c>
      <c r="V68" s="75" t="s">
        <v>1436</v>
      </c>
      <c r="W68" s="60"/>
      <c r="X68" s="73" t="str">
        <f t="shared" si="0"/>
        <v>Belum Dinilai</v>
      </c>
      <c r="Y68" s="73" t="str">
        <f t="shared" si="1"/>
        <v>Belum Dinilai</v>
      </c>
      <c r="Z68" s="74" t="str">
        <f t="shared" si="2"/>
        <v/>
      </c>
      <c r="AA68" s="74" t="str">
        <f t="shared" si="3"/>
        <v/>
      </c>
      <c r="AB68" s="74" t="str">
        <f t="shared" si="4"/>
        <v/>
      </c>
      <c r="AC68" s="61" t="s">
        <v>1436</v>
      </c>
      <c r="AD68" s="61" t="s">
        <v>1436</v>
      </c>
      <c r="AE68" s="61" t="s">
        <v>1436</v>
      </c>
      <c r="AF68" s="61" t="s">
        <v>1436</v>
      </c>
      <c r="AG68" s="61" t="s">
        <v>1436</v>
      </c>
      <c r="AH68" s="61" t="s">
        <v>1436</v>
      </c>
      <c r="AI68" s="61" t="s">
        <v>1436</v>
      </c>
      <c r="AJ68" s="61" t="s">
        <v>1436</v>
      </c>
      <c r="AK68" s="61" t="s">
        <v>1436</v>
      </c>
      <c r="AL68" s="61"/>
      <c r="AM68" s="61" t="s">
        <v>1436</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1407</v>
      </c>
      <c r="AV68" s="59" t="s">
        <v>1424</v>
      </c>
      <c r="AW68" s="59" t="s">
        <v>1409</v>
      </c>
      <c r="AX68" s="59" t="s">
        <v>1410</v>
      </c>
      <c r="AY68" s="59"/>
      <c r="AZ68" s="59" t="s">
        <v>1408</v>
      </c>
      <c r="BA68" s="59"/>
      <c r="BB68" s="167"/>
      <c r="BC68" s="65">
        <v>2026</v>
      </c>
      <c r="BD68" s="59"/>
      <c r="BE68" s="167"/>
      <c r="BF68" s="59" t="s">
        <v>1500</v>
      </c>
    </row>
    <row r="69" spans="1:58" ht="56">
      <c r="A69" s="59" t="s">
        <v>1779</v>
      </c>
      <c r="B69" s="59" t="s">
        <v>1780</v>
      </c>
      <c r="C69" s="59"/>
      <c r="D69" s="59"/>
      <c r="E69" s="59" t="s">
        <v>1781</v>
      </c>
      <c r="F69" s="59" t="s">
        <v>1782</v>
      </c>
      <c r="G69" s="59" t="s">
        <v>1497</v>
      </c>
      <c r="H69" s="59" t="s">
        <v>1414</v>
      </c>
      <c r="I69" s="59" t="s">
        <v>1783</v>
      </c>
      <c r="J69" s="59" t="s">
        <v>1484</v>
      </c>
      <c r="K69" s="59" t="s">
        <v>1521</v>
      </c>
      <c r="L69" s="59" t="s">
        <v>1417</v>
      </c>
      <c r="M69" s="59" t="s">
        <v>1521</v>
      </c>
      <c r="N69" s="59" t="s">
        <v>1436</v>
      </c>
      <c r="O69" s="59" t="s">
        <v>1434</v>
      </c>
      <c r="P69" s="59" t="s">
        <v>1436</v>
      </c>
      <c r="Q69" s="75" t="s">
        <v>1436</v>
      </c>
      <c r="R69" s="75" t="s">
        <v>1436</v>
      </c>
      <c r="S69" s="75" t="s">
        <v>1436</v>
      </c>
      <c r="T69" s="75" t="s">
        <v>1436</v>
      </c>
      <c r="U69" s="75" t="s">
        <v>1436</v>
      </c>
      <c r="V69" s="75" t="s">
        <v>1436</v>
      </c>
      <c r="W69" s="60"/>
      <c r="X69" s="73" t="str">
        <f t="shared" si="0"/>
        <v>Belum Dinilai</v>
      </c>
      <c r="Y69" s="73" t="str">
        <f t="shared" si="1"/>
        <v>Belum Dinilai</v>
      </c>
      <c r="Z69" s="74" t="str">
        <f t="shared" si="2"/>
        <v/>
      </c>
      <c r="AA69" s="74" t="str">
        <f t="shared" si="3"/>
        <v/>
      </c>
      <c r="AB69" s="74" t="str">
        <f t="shared" si="4"/>
        <v/>
      </c>
      <c r="AC69" s="61" t="s">
        <v>1436</v>
      </c>
      <c r="AD69" s="61" t="s">
        <v>1436</v>
      </c>
      <c r="AE69" s="61" t="s">
        <v>1436</v>
      </c>
      <c r="AF69" s="61" t="s">
        <v>1436</v>
      </c>
      <c r="AG69" s="61" t="s">
        <v>1436</v>
      </c>
      <c r="AH69" s="61" t="s">
        <v>1436</v>
      </c>
      <c r="AI69" s="61" t="s">
        <v>1436</v>
      </c>
      <c r="AJ69" s="61" t="s">
        <v>1436</v>
      </c>
      <c r="AK69" s="61" t="s">
        <v>1436</v>
      </c>
      <c r="AL69" s="61"/>
      <c r="AM69" s="61" t="s">
        <v>1436</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1407</v>
      </c>
      <c r="AV69" s="59" t="s">
        <v>1424</v>
      </c>
      <c r="AW69" s="59" t="s">
        <v>1409</v>
      </c>
      <c r="AX69" s="59" t="s">
        <v>1410</v>
      </c>
      <c r="AY69" s="59"/>
      <c r="AZ69" s="59" t="s">
        <v>1427</v>
      </c>
      <c r="BA69" s="59"/>
      <c r="BB69" s="167"/>
      <c r="BC69" s="65">
        <v>2026</v>
      </c>
      <c r="BD69" s="59"/>
      <c r="BE69" s="167"/>
      <c r="BF69" s="59" t="s">
        <v>1500</v>
      </c>
    </row>
    <row r="70" spans="1:58" ht="42">
      <c r="A70" s="59" t="s">
        <v>1784</v>
      </c>
      <c r="B70" s="59" t="s">
        <v>1785</v>
      </c>
      <c r="C70" s="59"/>
      <c r="D70" s="59"/>
      <c r="E70" s="59" t="s">
        <v>1786</v>
      </c>
      <c r="F70" s="59" t="s">
        <v>1496</v>
      </c>
      <c r="G70" s="59" t="s">
        <v>1497</v>
      </c>
      <c r="H70" s="59" t="s">
        <v>1398</v>
      </c>
      <c r="I70" s="59" t="s">
        <v>1787</v>
      </c>
      <c r="J70" s="59" t="s">
        <v>1430</v>
      </c>
      <c r="K70" s="59" t="s">
        <v>1416</v>
      </c>
      <c r="L70" s="59" t="s">
        <v>1486</v>
      </c>
      <c r="M70" s="59" t="s">
        <v>1488</v>
      </c>
      <c r="N70" s="59" t="s">
        <v>1486</v>
      </c>
      <c r="O70" s="59" t="s">
        <v>1521</v>
      </c>
      <c r="P70" s="59" t="s">
        <v>1436</v>
      </c>
      <c r="Q70" s="75" t="s">
        <v>1436</v>
      </c>
      <c r="R70" s="75" t="s">
        <v>1436</v>
      </c>
      <c r="S70" s="75" t="s">
        <v>1436</v>
      </c>
      <c r="T70" s="75" t="s">
        <v>1436</v>
      </c>
      <c r="U70" s="75" t="s">
        <v>1436</v>
      </c>
      <c r="V70" s="75" t="s">
        <v>1436</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1436</v>
      </c>
      <c r="AD70" s="61" t="s">
        <v>1436</v>
      </c>
      <c r="AE70" s="61" t="s">
        <v>1436</v>
      </c>
      <c r="AF70" s="61" t="s">
        <v>1436</v>
      </c>
      <c r="AG70" s="61" t="s">
        <v>1436</v>
      </c>
      <c r="AH70" s="61" t="s">
        <v>1436</v>
      </c>
      <c r="AI70" s="61" t="s">
        <v>1436</v>
      </c>
      <c r="AJ70" s="61" t="s">
        <v>1436</v>
      </c>
      <c r="AK70" s="61" t="s">
        <v>1436</v>
      </c>
      <c r="AL70" s="61"/>
      <c r="AM70" s="61" t="s">
        <v>1436</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1407</v>
      </c>
      <c r="AV70" s="59" t="s">
        <v>1424</v>
      </c>
      <c r="AW70" s="59" t="s">
        <v>1409</v>
      </c>
      <c r="AX70" s="59" t="s">
        <v>1410</v>
      </c>
      <c r="AY70" s="59"/>
      <c r="AZ70" s="59" t="s">
        <v>1427</v>
      </c>
      <c r="BA70" s="59"/>
      <c r="BB70" s="167"/>
      <c r="BC70" s="65">
        <v>2026</v>
      </c>
      <c r="BD70" s="59"/>
      <c r="BE70" s="167"/>
      <c r="BF70" s="59" t="s">
        <v>1500</v>
      </c>
    </row>
    <row r="71" spans="1:58" ht="56">
      <c r="A71" s="59" t="s">
        <v>1788</v>
      </c>
      <c r="B71" s="59" t="s">
        <v>1789</v>
      </c>
      <c r="C71" s="59"/>
      <c r="D71" s="59"/>
      <c r="E71" s="59" t="s">
        <v>1790</v>
      </c>
      <c r="F71" s="59" t="s">
        <v>1607</v>
      </c>
      <c r="G71" s="59" t="s">
        <v>1497</v>
      </c>
      <c r="H71" s="59" t="s">
        <v>1398</v>
      </c>
      <c r="I71" s="59" t="s">
        <v>1791</v>
      </c>
      <c r="J71" s="59" t="s">
        <v>1415</v>
      </c>
      <c r="K71" s="59" t="s">
        <v>1400</v>
      </c>
      <c r="L71" s="59" t="s">
        <v>1432</v>
      </c>
      <c r="M71" s="59" t="s">
        <v>1499</v>
      </c>
      <c r="N71" s="59" t="s">
        <v>1436</v>
      </c>
      <c r="O71" s="59" t="s">
        <v>1434</v>
      </c>
      <c r="P71" s="59" t="s">
        <v>1432</v>
      </c>
      <c r="Q71" s="75" t="s">
        <v>1436</v>
      </c>
      <c r="R71" s="75" t="s">
        <v>1436</v>
      </c>
      <c r="S71" s="75" t="s">
        <v>1436</v>
      </c>
      <c r="T71" s="75" t="s">
        <v>1436</v>
      </c>
      <c r="U71" s="75" t="s">
        <v>1436</v>
      </c>
      <c r="V71" s="75" t="s">
        <v>1436</v>
      </c>
      <c r="W71" s="60"/>
      <c r="X71" s="73" t="str">
        <f t="shared" si="11"/>
        <v>Belum Dinilai</v>
      </c>
      <c r="Y71" s="73" t="str">
        <f t="shared" si="12"/>
        <v>Belum Dinilai</v>
      </c>
      <c r="Z71" s="74" t="str">
        <f t="shared" si="13"/>
        <v/>
      </c>
      <c r="AA71" s="74" t="str">
        <f t="shared" si="14"/>
        <v/>
      </c>
      <c r="AB71" s="74" t="str">
        <f t="shared" si="15"/>
        <v/>
      </c>
      <c r="AC71" s="61" t="s">
        <v>1436</v>
      </c>
      <c r="AD71" s="61" t="s">
        <v>1436</v>
      </c>
      <c r="AE71" s="61" t="s">
        <v>1436</v>
      </c>
      <c r="AF71" s="61" t="s">
        <v>1436</v>
      </c>
      <c r="AG71" s="61" t="s">
        <v>1436</v>
      </c>
      <c r="AH71" s="61" t="s">
        <v>1436</v>
      </c>
      <c r="AI71" s="61" t="s">
        <v>1436</v>
      </c>
      <c r="AJ71" s="61" t="s">
        <v>1436</v>
      </c>
      <c r="AK71" s="61" t="s">
        <v>1436</v>
      </c>
      <c r="AL71" s="61"/>
      <c r="AM71" s="61" t="s">
        <v>1436</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1407</v>
      </c>
      <c r="AV71" s="59" t="s">
        <v>1424</v>
      </c>
      <c r="AW71" s="59" t="s">
        <v>1409</v>
      </c>
      <c r="AX71" s="59" t="s">
        <v>1410</v>
      </c>
      <c r="AY71" s="59"/>
      <c r="AZ71" s="59" t="s">
        <v>1427</v>
      </c>
      <c r="BA71" s="59"/>
      <c r="BB71" s="167"/>
      <c r="BC71" s="65">
        <v>2026</v>
      </c>
      <c r="BD71" s="59"/>
      <c r="BE71" s="167"/>
      <c r="BF71" s="59" t="s">
        <v>1500</v>
      </c>
    </row>
    <row r="72" spans="1:58" ht="56">
      <c r="A72" s="59" t="s">
        <v>1792</v>
      </c>
      <c r="B72" s="59" t="s">
        <v>1793</v>
      </c>
      <c r="C72" s="59"/>
      <c r="D72" s="59"/>
      <c r="E72" s="59" t="s">
        <v>1794</v>
      </c>
      <c r="F72" s="59" t="s">
        <v>1607</v>
      </c>
      <c r="G72" s="59" t="s">
        <v>1497</v>
      </c>
      <c r="H72" s="59" t="s">
        <v>1398</v>
      </c>
      <c r="I72" s="59" t="s">
        <v>1791</v>
      </c>
      <c r="J72" s="59" t="s">
        <v>1415</v>
      </c>
      <c r="K72" s="59" t="s">
        <v>1400</v>
      </c>
      <c r="L72" s="59" t="s">
        <v>1432</v>
      </c>
      <c r="M72" s="59" t="s">
        <v>1499</v>
      </c>
      <c r="N72" s="59" t="s">
        <v>1436</v>
      </c>
      <c r="O72" s="59" t="s">
        <v>1434</v>
      </c>
      <c r="P72" s="59" t="s">
        <v>1432</v>
      </c>
      <c r="Q72" s="75" t="s">
        <v>1436</v>
      </c>
      <c r="R72" s="75" t="s">
        <v>1436</v>
      </c>
      <c r="S72" s="75" t="s">
        <v>1436</v>
      </c>
      <c r="T72" s="75" t="s">
        <v>1436</v>
      </c>
      <c r="U72" s="75" t="s">
        <v>1436</v>
      </c>
      <c r="V72" s="75" t="s">
        <v>1436</v>
      </c>
      <c r="W72" s="60"/>
      <c r="X72" s="73" t="str">
        <f t="shared" si="11"/>
        <v>Belum Dinilai</v>
      </c>
      <c r="Y72" s="73" t="str">
        <f t="shared" si="12"/>
        <v>Belum Dinilai</v>
      </c>
      <c r="Z72" s="74" t="str">
        <f t="shared" si="13"/>
        <v/>
      </c>
      <c r="AA72" s="74" t="str">
        <f t="shared" si="14"/>
        <v/>
      </c>
      <c r="AB72" s="74" t="str">
        <f t="shared" si="15"/>
        <v/>
      </c>
      <c r="AC72" s="61" t="s">
        <v>1436</v>
      </c>
      <c r="AD72" s="61" t="s">
        <v>1436</v>
      </c>
      <c r="AE72" s="61" t="s">
        <v>1436</v>
      </c>
      <c r="AF72" s="61" t="s">
        <v>1436</v>
      </c>
      <c r="AG72" s="61" t="s">
        <v>1436</v>
      </c>
      <c r="AH72" s="61" t="s">
        <v>1436</v>
      </c>
      <c r="AI72" s="61" t="s">
        <v>1436</v>
      </c>
      <c r="AJ72" s="61" t="s">
        <v>1436</v>
      </c>
      <c r="AK72" s="61" t="s">
        <v>1436</v>
      </c>
      <c r="AL72" s="61"/>
      <c r="AM72" s="61" t="s">
        <v>1436</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1407</v>
      </c>
      <c r="AV72" s="59" t="s">
        <v>1424</v>
      </c>
      <c r="AW72" s="59" t="s">
        <v>1522</v>
      </c>
      <c r="AX72" s="59" t="s">
        <v>1426</v>
      </c>
      <c r="AY72" s="59">
        <v>2024</v>
      </c>
      <c r="AZ72" s="59" t="s">
        <v>1427</v>
      </c>
      <c r="BA72" s="59"/>
      <c r="BB72" s="167"/>
      <c r="BC72" s="65">
        <v>2026</v>
      </c>
      <c r="BD72" s="59"/>
      <c r="BE72" s="167"/>
      <c r="BF72" s="59" t="s">
        <v>1500</v>
      </c>
    </row>
    <row r="73" spans="1:58" ht="42">
      <c r="A73" s="59" t="s">
        <v>1795</v>
      </c>
      <c r="B73" s="59" t="s">
        <v>1796</v>
      </c>
      <c r="C73" s="59"/>
      <c r="D73" s="59"/>
      <c r="E73" s="59" t="s">
        <v>1797</v>
      </c>
      <c r="F73" s="59" t="s">
        <v>1496</v>
      </c>
      <c r="G73" s="59" t="s">
        <v>1497</v>
      </c>
      <c r="H73" s="59" t="s">
        <v>1414</v>
      </c>
      <c r="I73" s="59" t="s">
        <v>1798</v>
      </c>
      <c r="J73" s="59" t="s">
        <v>1399</v>
      </c>
      <c r="K73" s="59" t="s">
        <v>1416</v>
      </c>
      <c r="L73" s="59" t="s">
        <v>1432</v>
      </c>
      <c r="M73" s="59" t="s">
        <v>1487</v>
      </c>
      <c r="N73" s="59" t="s">
        <v>1436</v>
      </c>
      <c r="O73" s="59" t="s">
        <v>1521</v>
      </c>
      <c r="P73" s="59" t="s">
        <v>1432</v>
      </c>
      <c r="Q73" s="75" t="s">
        <v>1436</v>
      </c>
      <c r="R73" s="75" t="s">
        <v>1436</v>
      </c>
      <c r="S73" s="75" t="s">
        <v>1436</v>
      </c>
      <c r="T73" s="75" t="s">
        <v>1436</v>
      </c>
      <c r="U73" s="75" t="s">
        <v>1436</v>
      </c>
      <c r="V73" s="75" t="s">
        <v>1436</v>
      </c>
      <c r="W73" s="60"/>
      <c r="X73" s="73" t="str">
        <f t="shared" si="11"/>
        <v>Belum Dinilai</v>
      </c>
      <c r="Y73" s="73" t="str">
        <f t="shared" si="12"/>
        <v>Belum Dinilai</v>
      </c>
      <c r="Z73" s="74" t="str">
        <f t="shared" si="13"/>
        <v/>
      </c>
      <c r="AA73" s="74" t="str">
        <f t="shared" si="14"/>
        <v/>
      </c>
      <c r="AB73" s="74" t="str">
        <f t="shared" si="15"/>
        <v/>
      </c>
      <c r="AC73" s="61" t="s">
        <v>1436</v>
      </c>
      <c r="AD73" s="61" t="s">
        <v>1436</v>
      </c>
      <c r="AE73" s="61" t="s">
        <v>1436</v>
      </c>
      <c r="AF73" s="61" t="s">
        <v>1436</v>
      </c>
      <c r="AG73" s="61" t="s">
        <v>1436</v>
      </c>
      <c r="AH73" s="61" t="s">
        <v>1436</v>
      </c>
      <c r="AI73" s="61" t="s">
        <v>1436</v>
      </c>
      <c r="AJ73" s="61" t="s">
        <v>1436</v>
      </c>
      <c r="AK73" s="61" t="s">
        <v>1436</v>
      </c>
      <c r="AL73" s="61"/>
      <c r="AM73" s="61" t="s">
        <v>1436</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1407</v>
      </c>
      <c r="AV73" s="59" t="s">
        <v>1424</v>
      </c>
      <c r="AW73" s="59" t="s">
        <v>1409</v>
      </c>
      <c r="AX73" s="59" t="s">
        <v>1410</v>
      </c>
      <c r="AY73" s="59"/>
      <c r="AZ73" s="59" t="s">
        <v>1408</v>
      </c>
      <c r="BA73" s="59"/>
      <c r="BB73" s="167"/>
      <c r="BC73" s="65">
        <v>2026</v>
      </c>
      <c r="BD73" s="59"/>
      <c r="BE73" s="167"/>
      <c r="BF73" s="59" t="s">
        <v>1500</v>
      </c>
    </row>
    <row r="74" spans="1:58" ht="28">
      <c r="A74" s="59" t="s">
        <v>1799</v>
      </c>
      <c r="B74" s="59" t="s">
        <v>1800</v>
      </c>
      <c r="C74" s="59"/>
      <c r="D74" s="59"/>
      <c r="E74" s="59" t="s">
        <v>1801</v>
      </c>
      <c r="F74" s="59" t="s">
        <v>1579</v>
      </c>
      <c r="G74" s="59" t="s">
        <v>1511</v>
      </c>
      <c r="H74" s="59" t="s">
        <v>1414</v>
      </c>
      <c r="I74" s="59" t="s">
        <v>1802</v>
      </c>
      <c r="J74" s="59" t="s">
        <v>1399</v>
      </c>
      <c r="K74" s="59" t="s">
        <v>1521</v>
      </c>
      <c r="L74" s="59" t="s">
        <v>1436</v>
      </c>
      <c r="M74" s="59" t="s">
        <v>1487</v>
      </c>
      <c r="N74" s="59" t="s">
        <v>1436</v>
      </c>
      <c r="O74" s="59" t="s">
        <v>1521</v>
      </c>
      <c r="P74" s="59" t="s">
        <v>1436</v>
      </c>
      <c r="Q74" s="75" t="s">
        <v>1436</v>
      </c>
      <c r="R74" s="75" t="s">
        <v>1436</v>
      </c>
      <c r="S74" s="75" t="s">
        <v>1436</v>
      </c>
      <c r="T74" s="75" t="s">
        <v>1436</v>
      </c>
      <c r="U74" s="75" t="s">
        <v>1436</v>
      </c>
      <c r="V74" s="75" t="s">
        <v>1436</v>
      </c>
      <c r="W74" s="60"/>
      <c r="X74" s="73" t="str">
        <f t="shared" si="11"/>
        <v>Belum Dinilai</v>
      </c>
      <c r="Y74" s="73" t="str">
        <f t="shared" si="12"/>
        <v>Belum Dinilai</v>
      </c>
      <c r="Z74" s="74" t="str">
        <f t="shared" si="13"/>
        <v/>
      </c>
      <c r="AA74" s="74" t="str">
        <f t="shared" si="14"/>
        <v/>
      </c>
      <c r="AB74" s="74" t="str">
        <f t="shared" si="15"/>
        <v/>
      </c>
      <c r="AC74" s="61" t="s">
        <v>1436</v>
      </c>
      <c r="AD74" s="61" t="s">
        <v>1436</v>
      </c>
      <c r="AE74" s="61" t="s">
        <v>1436</v>
      </c>
      <c r="AF74" s="61" t="s">
        <v>1436</v>
      </c>
      <c r="AG74" s="61" t="s">
        <v>1436</v>
      </c>
      <c r="AH74" s="61" t="s">
        <v>1436</v>
      </c>
      <c r="AI74" s="61" t="s">
        <v>1436</v>
      </c>
      <c r="AJ74" s="61" t="s">
        <v>1436</v>
      </c>
      <c r="AK74" s="61" t="s">
        <v>1436</v>
      </c>
      <c r="AL74" s="61"/>
      <c r="AM74" s="61" t="s">
        <v>1436</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1407</v>
      </c>
      <c r="AV74" s="59" t="s">
        <v>1424</v>
      </c>
      <c r="AW74" s="59" t="s">
        <v>1409</v>
      </c>
      <c r="AX74" s="59" t="s">
        <v>1410</v>
      </c>
      <c r="AY74" s="59"/>
      <c r="AZ74" s="59" t="s">
        <v>1408</v>
      </c>
      <c r="BA74" s="59"/>
      <c r="BB74" s="167"/>
      <c r="BC74" s="65">
        <v>2026</v>
      </c>
      <c r="BD74" s="59"/>
      <c r="BE74" s="167"/>
      <c r="BF74" s="59" t="s">
        <v>1500</v>
      </c>
    </row>
    <row r="75" spans="1:58" ht="28">
      <c r="A75" s="59" t="s">
        <v>1803</v>
      </c>
      <c r="B75" s="59" t="s">
        <v>1804</v>
      </c>
      <c r="C75" s="59"/>
      <c r="D75" s="59"/>
      <c r="E75" s="59" t="s">
        <v>1805</v>
      </c>
      <c r="F75" s="59" t="s">
        <v>1579</v>
      </c>
      <c r="G75" s="59" t="s">
        <v>1511</v>
      </c>
      <c r="H75" s="59" t="s">
        <v>1398</v>
      </c>
      <c r="I75" s="59" t="s">
        <v>1806</v>
      </c>
      <c r="J75" s="59" t="s">
        <v>1430</v>
      </c>
      <c r="K75" s="59" t="s">
        <v>1431</v>
      </c>
      <c r="L75" s="59" t="s">
        <v>1486</v>
      </c>
      <c r="M75" s="59" t="s">
        <v>1488</v>
      </c>
      <c r="N75" s="59" t="s">
        <v>1486</v>
      </c>
      <c r="O75" s="59" t="s">
        <v>1521</v>
      </c>
      <c r="P75" s="59" t="s">
        <v>1436</v>
      </c>
      <c r="Q75" s="75" t="s">
        <v>1436</v>
      </c>
      <c r="R75" s="75" t="s">
        <v>1436</v>
      </c>
      <c r="S75" s="75" t="s">
        <v>1436</v>
      </c>
      <c r="T75" s="75" t="s">
        <v>1436</v>
      </c>
      <c r="U75" s="75" t="s">
        <v>1436</v>
      </c>
      <c r="V75" s="75" t="s">
        <v>1436</v>
      </c>
      <c r="W75" s="60"/>
      <c r="X75" s="73" t="str">
        <f t="shared" si="11"/>
        <v>Belum Dinilai</v>
      </c>
      <c r="Y75" s="73" t="str">
        <f t="shared" si="12"/>
        <v>Belum Dinilai</v>
      </c>
      <c r="Z75" s="74" t="str">
        <f t="shared" si="13"/>
        <v/>
      </c>
      <c r="AA75" s="74" t="str">
        <f t="shared" si="14"/>
        <v/>
      </c>
      <c r="AB75" s="74" t="str">
        <f t="shared" si="15"/>
        <v/>
      </c>
      <c r="AC75" s="61" t="s">
        <v>1436</v>
      </c>
      <c r="AD75" s="61" t="s">
        <v>1436</v>
      </c>
      <c r="AE75" s="61" t="s">
        <v>1436</v>
      </c>
      <c r="AF75" s="61" t="s">
        <v>1436</v>
      </c>
      <c r="AG75" s="61" t="s">
        <v>1436</v>
      </c>
      <c r="AH75" s="61" t="s">
        <v>1436</v>
      </c>
      <c r="AI75" s="61" t="s">
        <v>1436</v>
      </c>
      <c r="AJ75" s="61" t="s">
        <v>1436</v>
      </c>
      <c r="AK75" s="61" t="s">
        <v>1436</v>
      </c>
      <c r="AL75" s="61"/>
      <c r="AM75" s="61" t="s">
        <v>1436</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1407</v>
      </c>
      <c r="AV75" s="59" t="s">
        <v>1424</v>
      </c>
      <c r="AW75" s="59" t="s">
        <v>1409</v>
      </c>
      <c r="AX75" s="59" t="s">
        <v>1410</v>
      </c>
      <c r="AY75" s="59"/>
      <c r="AZ75" s="59" t="s">
        <v>1408</v>
      </c>
      <c r="BA75" s="59"/>
      <c r="BB75" s="167"/>
      <c r="BC75" s="65">
        <v>2026</v>
      </c>
      <c r="BD75" s="59"/>
      <c r="BE75" s="167"/>
      <c r="BF75" s="59" t="s">
        <v>1500</v>
      </c>
    </row>
    <row r="76" spans="1:58" ht="28">
      <c r="A76" s="59" t="s">
        <v>1807</v>
      </c>
      <c r="B76" s="59" t="s">
        <v>1808</v>
      </c>
      <c r="C76" s="59" t="s">
        <v>1809</v>
      </c>
      <c r="D76" s="59" t="s">
        <v>1810</v>
      </c>
      <c r="E76" s="59" t="s">
        <v>1811</v>
      </c>
      <c r="F76" s="59" t="s">
        <v>1579</v>
      </c>
      <c r="G76" s="59" t="s">
        <v>102</v>
      </c>
      <c r="H76" s="59" t="s">
        <v>1398</v>
      </c>
      <c r="I76" s="59"/>
      <c r="J76" s="59" t="s">
        <v>1430</v>
      </c>
      <c r="K76" s="59" t="s">
        <v>1431</v>
      </c>
      <c r="L76" s="59" t="s">
        <v>1417</v>
      </c>
      <c r="M76" s="59" t="s">
        <v>1488</v>
      </c>
      <c r="N76" s="59" t="s">
        <v>1417</v>
      </c>
      <c r="O76" s="59" t="s">
        <v>1434</v>
      </c>
      <c r="P76" s="59" t="s">
        <v>1417</v>
      </c>
      <c r="Q76" s="75" t="s">
        <v>1404</v>
      </c>
      <c r="R76" s="75" t="s">
        <v>1421</v>
      </c>
      <c r="S76" s="75" t="s">
        <v>1421</v>
      </c>
      <c r="T76" s="75" t="s">
        <v>1421</v>
      </c>
      <c r="U76" s="75" t="s">
        <v>1421</v>
      </c>
      <c r="V76" s="75" t="s">
        <v>1436</v>
      </c>
      <c r="W76" s="60"/>
      <c r="X76" s="73" t="str">
        <f t="shared" si="11"/>
        <v>Belum Dinilai</v>
      </c>
      <c r="Y76" s="73" t="str">
        <f t="shared" si="12"/>
        <v>Belum Dinilai</v>
      </c>
      <c r="Z76" s="74">
        <f t="shared" si="13"/>
        <v>10</v>
      </c>
      <c r="AA76" s="74" t="str">
        <f t="shared" si="14"/>
        <v/>
      </c>
      <c r="AB76" s="74" t="str">
        <f t="shared" si="15"/>
        <v/>
      </c>
      <c r="AC76" s="61" t="s">
        <v>1436</v>
      </c>
      <c r="AD76" s="61" t="s">
        <v>1421</v>
      </c>
      <c r="AE76" s="61" t="s">
        <v>1436</v>
      </c>
      <c r="AF76" s="61" t="s">
        <v>1436</v>
      </c>
      <c r="AG76" s="61" t="s">
        <v>1436</v>
      </c>
      <c r="AH76" s="61" t="s">
        <v>1405</v>
      </c>
      <c r="AI76" s="61" t="s">
        <v>1405</v>
      </c>
      <c r="AJ76" s="61" t="s">
        <v>1436</v>
      </c>
      <c r="AK76" s="61" t="s">
        <v>1436</v>
      </c>
      <c r="AL76" s="61"/>
      <c r="AM76" s="61" t="s">
        <v>1436</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1409</v>
      </c>
      <c r="AX76" s="59" t="s">
        <v>1410</v>
      </c>
      <c r="AY76" s="59"/>
      <c r="AZ76" s="59" t="s">
        <v>1411</v>
      </c>
      <c r="BA76" s="59"/>
      <c r="BB76" s="167"/>
      <c r="BC76" s="65"/>
      <c r="BD76" s="59"/>
      <c r="BE76" s="167"/>
      <c r="BF76" s="59"/>
    </row>
    <row r="77" spans="1:58" ht="42">
      <c r="A77" s="59" t="s">
        <v>1812</v>
      </c>
      <c r="B77" s="59" t="s">
        <v>1813</v>
      </c>
      <c r="C77" s="59"/>
      <c r="D77" s="59"/>
      <c r="E77" s="59" t="s">
        <v>1814</v>
      </c>
      <c r="F77" s="59" t="s">
        <v>1754</v>
      </c>
      <c r="G77" s="59" t="s">
        <v>1574</v>
      </c>
      <c r="H77" s="59" t="s">
        <v>1398</v>
      </c>
      <c r="I77" s="59" t="s">
        <v>1815</v>
      </c>
      <c r="J77" s="59" t="s">
        <v>1430</v>
      </c>
      <c r="K77" s="59" t="s">
        <v>1400</v>
      </c>
      <c r="L77" s="59" t="s">
        <v>1436</v>
      </c>
      <c r="M77" s="59" t="s">
        <v>1488</v>
      </c>
      <c r="N77" s="59" t="s">
        <v>1436</v>
      </c>
      <c r="O77" s="59" t="s">
        <v>1434</v>
      </c>
      <c r="P77" s="59" t="s">
        <v>1432</v>
      </c>
      <c r="Q77" s="75" t="s">
        <v>1436</v>
      </c>
      <c r="R77" s="75" t="s">
        <v>1436</v>
      </c>
      <c r="S77" s="75" t="s">
        <v>1436</v>
      </c>
      <c r="T77" s="75" t="s">
        <v>1436</v>
      </c>
      <c r="U77" s="75" t="s">
        <v>1436</v>
      </c>
      <c r="V77" s="75" t="s">
        <v>1436</v>
      </c>
      <c r="W77" s="60"/>
      <c r="X77" s="73" t="str">
        <f t="shared" si="11"/>
        <v>Belum Dinilai</v>
      </c>
      <c r="Y77" s="73" t="str">
        <f t="shared" si="12"/>
        <v>Belum Dinilai</v>
      </c>
      <c r="Z77" s="74" t="str">
        <f t="shared" si="13"/>
        <v/>
      </c>
      <c r="AA77" s="74" t="str">
        <f t="shared" si="14"/>
        <v/>
      </c>
      <c r="AB77" s="74" t="str">
        <f t="shared" si="15"/>
        <v/>
      </c>
      <c r="AC77" s="61" t="s">
        <v>1436</v>
      </c>
      <c r="AD77" s="61" t="s">
        <v>1436</v>
      </c>
      <c r="AE77" s="61" t="s">
        <v>1436</v>
      </c>
      <c r="AF77" s="61" t="s">
        <v>1436</v>
      </c>
      <c r="AG77" s="61" t="s">
        <v>1436</v>
      </c>
      <c r="AH77" s="61" t="s">
        <v>1436</v>
      </c>
      <c r="AI77" s="61" t="s">
        <v>1436</v>
      </c>
      <c r="AJ77" s="61" t="s">
        <v>1436</v>
      </c>
      <c r="AK77" s="61" t="s">
        <v>1436</v>
      </c>
      <c r="AL77" s="61"/>
      <c r="AM77" s="61" t="s">
        <v>1436</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1407</v>
      </c>
      <c r="AV77" s="59" t="s">
        <v>1424</v>
      </c>
      <c r="AW77" s="59" t="s">
        <v>1409</v>
      </c>
      <c r="AX77" s="59" t="s">
        <v>1410</v>
      </c>
      <c r="AY77" s="59"/>
      <c r="AZ77" s="59" t="s">
        <v>1408</v>
      </c>
      <c r="BA77" s="59"/>
      <c r="BB77" s="167"/>
      <c r="BC77" s="65">
        <v>2026</v>
      </c>
      <c r="BD77" s="59"/>
      <c r="BE77" s="167"/>
      <c r="BF77" s="59" t="s">
        <v>1500</v>
      </c>
    </row>
    <row r="78" spans="1:58" ht="28">
      <c r="A78" s="59" t="s">
        <v>1816</v>
      </c>
      <c r="B78" s="59" t="s">
        <v>1817</v>
      </c>
      <c r="C78" s="59" t="s">
        <v>1818</v>
      </c>
      <c r="D78" s="59" t="s">
        <v>1819</v>
      </c>
      <c r="E78" s="59" t="s">
        <v>1820</v>
      </c>
      <c r="F78" s="59" t="s">
        <v>1821</v>
      </c>
      <c r="G78" s="59" t="s">
        <v>1548</v>
      </c>
      <c r="H78" s="59" t="s">
        <v>1398</v>
      </c>
      <c r="I78" s="59" t="s">
        <v>1822</v>
      </c>
      <c r="J78" s="59" t="s">
        <v>1430</v>
      </c>
      <c r="K78" s="59" t="s">
        <v>1431</v>
      </c>
      <c r="L78" s="59" t="s">
        <v>1432</v>
      </c>
      <c r="M78" s="59" t="s">
        <v>1488</v>
      </c>
      <c r="N78" s="59" t="s">
        <v>1417</v>
      </c>
      <c r="O78" s="59" t="s">
        <v>1434</v>
      </c>
      <c r="P78" s="59" t="s">
        <v>1417</v>
      </c>
      <c r="Q78" s="75" t="s">
        <v>1404</v>
      </c>
      <c r="R78" s="75" t="s">
        <v>1405</v>
      </c>
      <c r="S78" s="75" t="s">
        <v>1421</v>
      </c>
      <c r="T78" s="75" t="s">
        <v>1421</v>
      </c>
      <c r="U78" s="75" t="s">
        <v>1421</v>
      </c>
      <c r="V78" s="75" t="s">
        <v>1421</v>
      </c>
      <c r="W78" s="60"/>
      <c r="X78" s="73" t="str">
        <f t="shared" si="11"/>
        <v xml:space="preserve">Lansia; </v>
      </c>
      <c r="Y78" s="73" t="str">
        <f t="shared" si="12"/>
        <v>1 Faktor Rentan</v>
      </c>
      <c r="Z78" s="74">
        <f t="shared" si="13"/>
        <v>10</v>
      </c>
      <c r="AA78" s="74">
        <f t="shared" si="14"/>
        <v>5</v>
      </c>
      <c r="AB78" s="74">
        <f t="shared" si="15"/>
        <v>15</v>
      </c>
      <c r="AC78" s="61" t="s">
        <v>1421</v>
      </c>
      <c r="AD78" s="61" t="s">
        <v>1421</v>
      </c>
      <c r="AE78" s="61" t="s">
        <v>1405</v>
      </c>
      <c r="AF78" s="61" t="s">
        <v>1421</v>
      </c>
      <c r="AG78" s="61" t="s">
        <v>1405</v>
      </c>
      <c r="AH78" s="61" t="s">
        <v>1405</v>
      </c>
      <c r="AI78" s="61" t="s">
        <v>1405</v>
      </c>
      <c r="AJ78" s="61" t="s">
        <v>1421</v>
      </c>
      <c r="AK78" s="61" t="s">
        <v>1421</v>
      </c>
      <c r="AL78" s="61"/>
      <c r="AM78" s="61" t="s">
        <v>1436</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1407</v>
      </c>
      <c r="AV78" s="59" t="s">
        <v>1424</v>
      </c>
      <c r="AW78" s="59" t="s">
        <v>1425</v>
      </c>
      <c r="AX78" s="59" t="s">
        <v>1505</v>
      </c>
      <c r="AY78" s="59">
        <v>2026</v>
      </c>
      <c r="AZ78" s="59" t="s">
        <v>1408</v>
      </c>
      <c r="BA78" s="59"/>
      <c r="BB78" s="167"/>
      <c r="BC78" s="65">
        <v>2026</v>
      </c>
      <c r="BD78" s="59"/>
      <c r="BE78" s="167"/>
      <c r="BF78" s="59" t="s">
        <v>1500</v>
      </c>
    </row>
    <row r="79" spans="1:58" ht="28">
      <c r="A79" s="59" t="s">
        <v>1823</v>
      </c>
      <c r="B79" s="59" t="s">
        <v>1824</v>
      </c>
      <c r="C79" s="59"/>
      <c r="D79" s="59"/>
      <c r="E79" s="59" t="s">
        <v>1825</v>
      </c>
      <c r="F79" s="59" t="s">
        <v>1821</v>
      </c>
      <c r="G79" s="59" t="s">
        <v>1548</v>
      </c>
      <c r="H79" s="59" t="s">
        <v>1414</v>
      </c>
      <c r="I79" s="59" t="s">
        <v>1826</v>
      </c>
      <c r="J79" s="59" t="s">
        <v>1484</v>
      </c>
      <c r="K79" s="59" t="s">
        <v>1521</v>
      </c>
      <c r="L79" s="59" t="s">
        <v>1436</v>
      </c>
      <c r="M79" s="59" t="s">
        <v>1521</v>
      </c>
      <c r="N79" s="59" t="s">
        <v>1436</v>
      </c>
      <c r="O79" s="59" t="s">
        <v>1521</v>
      </c>
      <c r="P79" s="59" t="s">
        <v>1436</v>
      </c>
      <c r="Q79" s="75" t="s">
        <v>1436</v>
      </c>
      <c r="R79" s="75" t="s">
        <v>1436</v>
      </c>
      <c r="S79" s="75" t="s">
        <v>1436</v>
      </c>
      <c r="T79" s="75" t="s">
        <v>1436</v>
      </c>
      <c r="U79" s="75" t="s">
        <v>1436</v>
      </c>
      <c r="V79" s="75" t="s">
        <v>1436</v>
      </c>
      <c r="W79" s="60"/>
      <c r="X79" s="73" t="str">
        <f t="shared" si="11"/>
        <v>Belum Dinilai</v>
      </c>
      <c r="Y79" s="73" t="str">
        <f t="shared" si="12"/>
        <v>Belum Dinilai</v>
      </c>
      <c r="Z79" s="74" t="str">
        <f t="shared" si="13"/>
        <v/>
      </c>
      <c r="AA79" s="74" t="str">
        <f t="shared" si="14"/>
        <v/>
      </c>
      <c r="AB79" s="74" t="str">
        <f t="shared" si="15"/>
        <v/>
      </c>
      <c r="AC79" s="61" t="s">
        <v>1436</v>
      </c>
      <c r="AD79" s="61" t="s">
        <v>1436</v>
      </c>
      <c r="AE79" s="61" t="s">
        <v>1436</v>
      </c>
      <c r="AF79" s="61" t="s">
        <v>1436</v>
      </c>
      <c r="AG79" s="61" t="s">
        <v>1436</v>
      </c>
      <c r="AH79" s="61" t="s">
        <v>1436</v>
      </c>
      <c r="AI79" s="61" t="s">
        <v>1436</v>
      </c>
      <c r="AJ79" s="61" t="s">
        <v>1436</v>
      </c>
      <c r="AK79" s="61" t="s">
        <v>1436</v>
      </c>
      <c r="AL79" s="61"/>
      <c r="AM79" s="61" t="s">
        <v>1436</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1407</v>
      </c>
      <c r="AV79" s="59" t="s">
        <v>1424</v>
      </c>
      <c r="AW79" s="59" t="s">
        <v>1409</v>
      </c>
      <c r="AX79" s="59" t="s">
        <v>1410</v>
      </c>
      <c r="AY79" s="59"/>
      <c r="AZ79" s="59" t="s">
        <v>1408</v>
      </c>
      <c r="BA79" s="59"/>
      <c r="BB79" s="167"/>
      <c r="BC79" s="65">
        <v>2026</v>
      </c>
      <c r="BD79" s="59"/>
      <c r="BE79" s="167"/>
      <c r="BF79" s="59" t="s">
        <v>1500</v>
      </c>
    </row>
    <row r="80" spans="1:58" ht="28">
      <c r="A80" s="59" t="s">
        <v>1827</v>
      </c>
      <c r="B80" s="59" t="s">
        <v>1828</v>
      </c>
      <c r="C80" s="59"/>
      <c r="D80" s="59"/>
      <c r="E80" s="59" t="s">
        <v>1829</v>
      </c>
      <c r="F80" s="59" t="s">
        <v>1830</v>
      </c>
      <c r="G80" s="59" t="s">
        <v>1548</v>
      </c>
      <c r="H80" s="59" t="s">
        <v>1398</v>
      </c>
      <c r="I80" s="59" t="s">
        <v>1831</v>
      </c>
      <c r="J80" s="59" t="s">
        <v>1484</v>
      </c>
      <c r="K80" s="59" t="s">
        <v>1515</v>
      </c>
      <c r="L80" s="59" t="s">
        <v>1436</v>
      </c>
      <c r="M80" s="59" t="s">
        <v>1521</v>
      </c>
      <c r="N80" s="59" t="s">
        <v>1436</v>
      </c>
      <c r="O80" s="59" t="s">
        <v>1521</v>
      </c>
      <c r="P80" s="59" t="s">
        <v>1436</v>
      </c>
      <c r="Q80" s="75" t="s">
        <v>1436</v>
      </c>
      <c r="R80" s="75" t="s">
        <v>1436</v>
      </c>
      <c r="S80" s="75" t="s">
        <v>1436</v>
      </c>
      <c r="T80" s="75" t="s">
        <v>1436</v>
      </c>
      <c r="U80" s="75" t="s">
        <v>1436</v>
      </c>
      <c r="V80" s="75" t="s">
        <v>1436</v>
      </c>
      <c r="W80" s="60"/>
      <c r="X80" s="73" t="str">
        <f t="shared" si="11"/>
        <v>Belum Dinilai</v>
      </c>
      <c r="Y80" s="73" t="str">
        <f t="shared" si="12"/>
        <v>Belum Dinilai</v>
      </c>
      <c r="Z80" s="74" t="str">
        <f t="shared" si="13"/>
        <v/>
      </c>
      <c r="AA80" s="74" t="str">
        <f t="shared" si="14"/>
        <v/>
      </c>
      <c r="AB80" s="74" t="str">
        <f t="shared" si="15"/>
        <v/>
      </c>
      <c r="AC80" s="61" t="s">
        <v>1436</v>
      </c>
      <c r="AD80" s="61" t="s">
        <v>1436</v>
      </c>
      <c r="AE80" s="61" t="s">
        <v>1436</v>
      </c>
      <c r="AF80" s="61" t="s">
        <v>1436</v>
      </c>
      <c r="AG80" s="61" t="s">
        <v>1436</v>
      </c>
      <c r="AH80" s="61" t="s">
        <v>1436</v>
      </c>
      <c r="AI80" s="61" t="s">
        <v>1436</v>
      </c>
      <c r="AJ80" s="61" t="s">
        <v>1436</v>
      </c>
      <c r="AK80" s="61" t="s">
        <v>1436</v>
      </c>
      <c r="AL80" s="61"/>
      <c r="AM80" s="61" t="s">
        <v>1436</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1423</v>
      </c>
      <c r="AV80" s="59" t="s">
        <v>1424</v>
      </c>
      <c r="AW80" s="59" t="s">
        <v>1522</v>
      </c>
      <c r="AX80" s="59" t="s">
        <v>1505</v>
      </c>
      <c r="AY80" s="59">
        <v>2024</v>
      </c>
      <c r="AZ80" s="59" t="s">
        <v>1408</v>
      </c>
      <c r="BA80" s="59"/>
      <c r="BB80" s="167"/>
      <c r="BC80" s="65">
        <v>2026</v>
      </c>
      <c r="BD80" s="59"/>
      <c r="BE80" s="167"/>
      <c r="BF80" s="59" t="s">
        <v>1500</v>
      </c>
    </row>
    <row r="81" spans="1:58" ht="28">
      <c r="A81" s="59" t="s">
        <v>1832</v>
      </c>
      <c r="B81" s="59" t="s">
        <v>1833</v>
      </c>
      <c r="C81" s="59"/>
      <c r="D81" s="59"/>
      <c r="E81" s="59" t="s">
        <v>1749</v>
      </c>
      <c r="F81" s="59" t="s">
        <v>1694</v>
      </c>
      <c r="G81" s="59" t="s">
        <v>1533</v>
      </c>
      <c r="H81" s="59" t="s">
        <v>1414</v>
      </c>
      <c r="I81" s="59" t="s">
        <v>1834</v>
      </c>
      <c r="J81" s="59" t="s">
        <v>1484</v>
      </c>
      <c r="K81" s="59" t="s">
        <v>1521</v>
      </c>
      <c r="L81" s="59" t="s">
        <v>1436</v>
      </c>
      <c r="M81" s="59" t="s">
        <v>1521</v>
      </c>
      <c r="N81" s="59" t="s">
        <v>1436</v>
      </c>
      <c r="O81" s="59" t="s">
        <v>1403</v>
      </c>
      <c r="P81" s="59" t="s">
        <v>1436</v>
      </c>
      <c r="Q81" s="75" t="s">
        <v>1436</v>
      </c>
      <c r="R81" s="75" t="s">
        <v>1436</v>
      </c>
      <c r="S81" s="75" t="s">
        <v>1436</v>
      </c>
      <c r="T81" s="75" t="s">
        <v>1436</v>
      </c>
      <c r="U81" s="75" t="s">
        <v>1436</v>
      </c>
      <c r="V81" s="75" t="s">
        <v>1436</v>
      </c>
      <c r="W81" s="60"/>
      <c r="X81" s="73" t="str">
        <f t="shared" si="11"/>
        <v>Belum Dinilai</v>
      </c>
      <c r="Y81" s="73" t="str">
        <f t="shared" si="12"/>
        <v>Belum Dinilai</v>
      </c>
      <c r="Z81" s="74" t="str">
        <f t="shared" si="13"/>
        <v/>
      </c>
      <c r="AA81" s="74" t="str">
        <f t="shared" si="14"/>
        <v/>
      </c>
      <c r="AB81" s="74" t="str">
        <f t="shared" si="15"/>
        <v/>
      </c>
      <c r="AC81" s="61" t="s">
        <v>1436</v>
      </c>
      <c r="AD81" s="61" t="s">
        <v>1436</v>
      </c>
      <c r="AE81" s="61" t="s">
        <v>1436</v>
      </c>
      <c r="AF81" s="61" t="s">
        <v>1436</v>
      </c>
      <c r="AG81" s="61" t="s">
        <v>1436</v>
      </c>
      <c r="AH81" s="61" t="s">
        <v>1436</v>
      </c>
      <c r="AI81" s="61" t="s">
        <v>1436</v>
      </c>
      <c r="AJ81" s="61" t="s">
        <v>1436</v>
      </c>
      <c r="AK81" s="61" t="s">
        <v>1436</v>
      </c>
      <c r="AL81" s="61"/>
      <c r="AM81" s="61" t="s">
        <v>1436</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1407</v>
      </c>
      <c r="AV81" s="59" t="s">
        <v>1424</v>
      </c>
      <c r="AW81" s="59" t="s">
        <v>1409</v>
      </c>
      <c r="AX81" s="59" t="s">
        <v>1410</v>
      </c>
      <c r="AY81" s="59"/>
      <c r="AZ81" s="59" t="s">
        <v>1408</v>
      </c>
      <c r="BA81" s="59"/>
      <c r="BB81" s="167"/>
      <c r="BC81" s="65">
        <v>2026</v>
      </c>
      <c r="BD81" s="59"/>
      <c r="BE81" s="167"/>
      <c r="BF81" s="59" t="s">
        <v>1500</v>
      </c>
    </row>
    <row r="82" spans="1:58" ht="28">
      <c r="A82" s="59" t="s">
        <v>1835</v>
      </c>
      <c r="B82" s="59" t="s">
        <v>1836</v>
      </c>
      <c r="C82" s="59"/>
      <c r="D82" s="59"/>
      <c r="E82" s="59" t="s">
        <v>1837</v>
      </c>
      <c r="F82" s="59" t="s">
        <v>1694</v>
      </c>
      <c r="G82" s="59" t="s">
        <v>1533</v>
      </c>
      <c r="H82" s="59" t="s">
        <v>1414</v>
      </c>
      <c r="I82" s="59" t="s">
        <v>1838</v>
      </c>
      <c r="J82" s="59" t="s">
        <v>1399</v>
      </c>
      <c r="K82" s="59" t="s">
        <v>1521</v>
      </c>
      <c r="L82" s="59" t="s">
        <v>1436</v>
      </c>
      <c r="M82" s="59" t="s">
        <v>1433</v>
      </c>
      <c r="N82" s="59" t="s">
        <v>1436</v>
      </c>
      <c r="O82" s="59" t="s">
        <v>1434</v>
      </c>
      <c r="P82" s="59" t="s">
        <v>1436</v>
      </c>
      <c r="Q82" s="75" t="s">
        <v>1436</v>
      </c>
      <c r="R82" s="75" t="s">
        <v>1436</v>
      </c>
      <c r="S82" s="75" t="s">
        <v>1436</v>
      </c>
      <c r="T82" s="75" t="s">
        <v>1436</v>
      </c>
      <c r="U82" s="75" t="s">
        <v>1436</v>
      </c>
      <c r="V82" s="75" t="s">
        <v>1436</v>
      </c>
      <c r="W82" s="60"/>
      <c r="X82" s="73" t="str">
        <f t="shared" si="11"/>
        <v>Belum Dinilai</v>
      </c>
      <c r="Y82" s="73" t="str">
        <f t="shared" si="12"/>
        <v>Belum Dinilai</v>
      </c>
      <c r="Z82" s="74" t="str">
        <f t="shared" si="13"/>
        <v/>
      </c>
      <c r="AA82" s="74" t="str">
        <f t="shared" si="14"/>
        <v/>
      </c>
      <c r="AB82" s="74" t="str">
        <f t="shared" si="15"/>
        <v/>
      </c>
      <c r="AC82" s="61" t="s">
        <v>1436</v>
      </c>
      <c r="AD82" s="61" t="s">
        <v>1436</v>
      </c>
      <c r="AE82" s="61" t="s">
        <v>1436</v>
      </c>
      <c r="AF82" s="61" t="s">
        <v>1436</v>
      </c>
      <c r="AG82" s="61" t="s">
        <v>1436</v>
      </c>
      <c r="AH82" s="61" t="s">
        <v>1436</v>
      </c>
      <c r="AI82" s="61" t="s">
        <v>1436</v>
      </c>
      <c r="AJ82" s="61" t="s">
        <v>1436</v>
      </c>
      <c r="AK82" s="61" t="s">
        <v>1436</v>
      </c>
      <c r="AL82" s="61"/>
      <c r="AM82" s="61" t="s">
        <v>1436</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1407</v>
      </c>
      <c r="AV82" s="59" t="s">
        <v>1424</v>
      </c>
      <c r="AW82" s="59" t="s">
        <v>1409</v>
      </c>
      <c r="AX82" s="59" t="s">
        <v>1410</v>
      </c>
      <c r="AY82" s="59"/>
      <c r="AZ82" s="59" t="s">
        <v>1408</v>
      </c>
      <c r="BA82" s="59"/>
      <c r="BB82" s="167"/>
      <c r="BC82" s="65">
        <v>2026</v>
      </c>
      <c r="BD82" s="59"/>
      <c r="BE82" s="167"/>
      <c r="BF82" s="59" t="s">
        <v>1500</v>
      </c>
    </row>
    <row r="83" spans="1:58" ht="28">
      <c r="A83" s="59" t="s">
        <v>1839</v>
      </c>
      <c r="B83" s="59" t="s">
        <v>1587</v>
      </c>
      <c r="C83" s="59"/>
      <c r="D83" s="59"/>
      <c r="E83" s="59" t="s">
        <v>1837</v>
      </c>
      <c r="F83" s="59" t="s">
        <v>1694</v>
      </c>
      <c r="G83" s="59" t="s">
        <v>1533</v>
      </c>
      <c r="H83" s="59" t="s">
        <v>1398</v>
      </c>
      <c r="I83" s="59" t="s">
        <v>1840</v>
      </c>
      <c r="J83" s="59" t="s">
        <v>1430</v>
      </c>
      <c r="K83" s="59" t="s">
        <v>1521</v>
      </c>
      <c r="L83" s="59" t="s">
        <v>1486</v>
      </c>
      <c r="M83" s="59" t="s">
        <v>1488</v>
      </c>
      <c r="N83" s="59" t="s">
        <v>1486</v>
      </c>
      <c r="O83" s="59" t="s">
        <v>1434</v>
      </c>
      <c r="P83" s="59" t="s">
        <v>1486</v>
      </c>
      <c r="Q83" s="75" t="s">
        <v>1436</v>
      </c>
      <c r="R83" s="75" t="s">
        <v>1436</v>
      </c>
      <c r="S83" s="75" t="s">
        <v>1436</v>
      </c>
      <c r="T83" s="75" t="s">
        <v>1436</v>
      </c>
      <c r="U83" s="75" t="s">
        <v>1436</v>
      </c>
      <c r="V83" s="75" t="s">
        <v>1436</v>
      </c>
      <c r="W83" s="60"/>
      <c r="X83" s="73" t="str">
        <f t="shared" si="11"/>
        <v>Belum Dinilai</v>
      </c>
      <c r="Y83" s="73" t="str">
        <f t="shared" si="12"/>
        <v>Belum Dinilai</v>
      </c>
      <c r="Z83" s="74" t="str">
        <f t="shared" si="13"/>
        <v/>
      </c>
      <c r="AA83" s="74" t="str">
        <f t="shared" si="14"/>
        <v/>
      </c>
      <c r="AB83" s="74" t="str">
        <f t="shared" si="15"/>
        <v/>
      </c>
      <c r="AC83" s="61" t="s">
        <v>1436</v>
      </c>
      <c r="AD83" s="61" t="s">
        <v>1436</v>
      </c>
      <c r="AE83" s="61" t="s">
        <v>1436</v>
      </c>
      <c r="AF83" s="61" t="s">
        <v>1436</v>
      </c>
      <c r="AG83" s="61" t="s">
        <v>1436</v>
      </c>
      <c r="AH83" s="61" t="s">
        <v>1436</v>
      </c>
      <c r="AI83" s="61" t="s">
        <v>1436</v>
      </c>
      <c r="AJ83" s="61" t="s">
        <v>1436</v>
      </c>
      <c r="AK83" s="61" t="s">
        <v>1436</v>
      </c>
      <c r="AL83" s="61"/>
      <c r="AM83" s="61" t="s">
        <v>1436</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1407</v>
      </c>
      <c r="AV83" s="59" t="s">
        <v>1424</v>
      </c>
      <c r="AW83" s="59" t="s">
        <v>1522</v>
      </c>
      <c r="AX83" s="59" t="s">
        <v>1438</v>
      </c>
      <c r="AY83" s="59">
        <v>2023</v>
      </c>
      <c r="AZ83" s="59" t="s">
        <v>1408</v>
      </c>
      <c r="BA83" s="59"/>
      <c r="BB83" s="167"/>
      <c r="BC83" s="65">
        <v>2026</v>
      </c>
      <c r="BD83" s="59"/>
      <c r="BE83" s="167"/>
      <c r="BF83" s="59" t="s">
        <v>1500</v>
      </c>
    </row>
    <row r="84" spans="1:58" ht="28">
      <c r="A84" s="59" t="s">
        <v>1841</v>
      </c>
      <c r="B84" s="59" t="s">
        <v>1842</v>
      </c>
      <c r="C84" s="59"/>
      <c r="D84" s="59"/>
      <c r="E84" s="59" t="s">
        <v>1843</v>
      </c>
      <c r="F84" s="59" t="s">
        <v>1694</v>
      </c>
      <c r="G84" s="59" t="s">
        <v>1533</v>
      </c>
      <c r="H84" s="59" t="s">
        <v>1398</v>
      </c>
      <c r="I84" s="59" t="s">
        <v>1844</v>
      </c>
      <c r="J84" s="59" t="s">
        <v>1430</v>
      </c>
      <c r="K84" s="59" t="s">
        <v>1521</v>
      </c>
      <c r="L84" s="59" t="s">
        <v>1436</v>
      </c>
      <c r="M84" s="59" t="s">
        <v>1488</v>
      </c>
      <c r="N84" s="59" t="s">
        <v>1486</v>
      </c>
      <c r="O84" s="59" t="s">
        <v>1434</v>
      </c>
      <c r="P84" s="59" t="s">
        <v>1486</v>
      </c>
      <c r="Q84" s="75" t="s">
        <v>1436</v>
      </c>
      <c r="R84" s="75" t="s">
        <v>1436</v>
      </c>
      <c r="S84" s="75" t="s">
        <v>1436</v>
      </c>
      <c r="T84" s="75" t="s">
        <v>1436</v>
      </c>
      <c r="U84" s="75" t="s">
        <v>1436</v>
      </c>
      <c r="V84" s="75" t="s">
        <v>1436</v>
      </c>
      <c r="W84" s="60"/>
      <c r="X84" s="73" t="str">
        <f t="shared" si="11"/>
        <v>Belum Dinilai</v>
      </c>
      <c r="Y84" s="73" t="str">
        <f t="shared" si="12"/>
        <v>Belum Dinilai</v>
      </c>
      <c r="Z84" s="74" t="str">
        <f t="shared" si="13"/>
        <v/>
      </c>
      <c r="AA84" s="74" t="str">
        <f t="shared" si="14"/>
        <v/>
      </c>
      <c r="AB84" s="74" t="str">
        <f t="shared" si="15"/>
        <v/>
      </c>
      <c r="AC84" s="61" t="s">
        <v>1436</v>
      </c>
      <c r="AD84" s="61" t="s">
        <v>1436</v>
      </c>
      <c r="AE84" s="61" t="s">
        <v>1436</v>
      </c>
      <c r="AF84" s="61" t="s">
        <v>1436</v>
      </c>
      <c r="AG84" s="61" t="s">
        <v>1436</v>
      </c>
      <c r="AH84" s="61" t="s">
        <v>1436</v>
      </c>
      <c r="AI84" s="61" t="s">
        <v>1436</v>
      </c>
      <c r="AJ84" s="61" t="s">
        <v>1436</v>
      </c>
      <c r="AK84" s="61" t="s">
        <v>1436</v>
      </c>
      <c r="AL84" s="61"/>
      <c r="AM84" s="61" t="s">
        <v>1436</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1407</v>
      </c>
      <c r="AV84" s="59" t="s">
        <v>1424</v>
      </c>
      <c r="AW84" s="59" t="s">
        <v>1409</v>
      </c>
      <c r="AX84" s="59" t="s">
        <v>1410</v>
      </c>
      <c r="AY84" s="59"/>
      <c r="AZ84" s="59" t="s">
        <v>1408</v>
      </c>
      <c r="BA84" s="59"/>
      <c r="BB84" s="167"/>
      <c r="BC84" s="65">
        <v>2026</v>
      </c>
      <c r="BD84" s="59"/>
      <c r="BE84" s="167"/>
      <c r="BF84" s="59" t="s">
        <v>1500</v>
      </c>
    </row>
    <row r="85" spans="1:58" ht="28">
      <c r="A85" s="59" t="s">
        <v>1845</v>
      </c>
      <c r="B85" s="59" t="s">
        <v>1846</v>
      </c>
      <c r="C85" s="59"/>
      <c r="D85" s="59"/>
      <c r="E85" s="59" t="s">
        <v>1847</v>
      </c>
      <c r="F85" s="59" t="s">
        <v>1848</v>
      </c>
      <c r="G85" s="59" t="s">
        <v>1533</v>
      </c>
      <c r="H85" s="59" t="s">
        <v>1398</v>
      </c>
      <c r="I85" s="59" t="s">
        <v>1844</v>
      </c>
      <c r="J85" s="59" t="s">
        <v>1430</v>
      </c>
      <c r="K85" s="59" t="s">
        <v>1521</v>
      </c>
      <c r="L85" s="59" t="s">
        <v>1436</v>
      </c>
      <c r="M85" s="59" t="s">
        <v>1488</v>
      </c>
      <c r="N85" s="59" t="s">
        <v>1486</v>
      </c>
      <c r="O85" s="59" t="s">
        <v>1434</v>
      </c>
      <c r="P85" s="59" t="s">
        <v>1486</v>
      </c>
      <c r="Q85" s="75" t="s">
        <v>1436</v>
      </c>
      <c r="R85" s="75" t="s">
        <v>1436</v>
      </c>
      <c r="S85" s="75" t="s">
        <v>1436</v>
      </c>
      <c r="T85" s="75" t="s">
        <v>1436</v>
      </c>
      <c r="U85" s="75" t="s">
        <v>1436</v>
      </c>
      <c r="V85" s="75" t="s">
        <v>1436</v>
      </c>
      <c r="W85" s="60"/>
      <c r="X85" s="73" t="str">
        <f t="shared" si="11"/>
        <v>Belum Dinilai</v>
      </c>
      <c r="Y85" s="73" t="str">
        <f t="shared" si="12"/>
        <v>Belum Dinilai</v>
      </c>
      <c r="Z85" s="74" t="str">
        <f t="shared" si="13"/>
        <v/>
      </c>
      <c r="AA85" s="74" t="str">
        <f t="shared" si="14"/>
        <v/>
      </c>
      <c r="AB85" s="74" t="str">
        <f t="shared" si="15"/>
        <v/>
      </c>
      <c r="AC85" s="61" t="s">
        <v>1436</v>
      </c>
      <c r="AD85" s="61" t="s">
        <v>1436</v>
      </c>
      <c r="AE85" s="61" t="s">
        <v>1436</v>
      </c>
      <c r="AF85" s="61" t="s">
        <v>1436</v>
      </c>
      <c r="AG85" s="61" t="s">
        <v>1436</v>
      </c>
      <c r="AH85" s="61" t="s">
        <v>1436</v>
      </c>
      <c r="AI85" s="61" t="s">
        <v>1436</v>
      </c>
      <c r="AJ85" s="61" t="s">
        <v>1436</v>
      </c>
      <c r="AK85" s="61" t="s">
        <v>1436</v>
      </c>
      <c r="AL85" s="61"/>
      <c r="AM85" s="61" t="s">
        <v>1436</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1407</v>
      </c>
      <c r="AV85" s="59" t="s">
        <v>1424</v>
      </c>
      <c r="AW85" s="59" t="s">
        <v>1522</v>
      </c>
      <c r="AX85" s="59" t="s">
        <v>1426</v>
      </c>
      <c r="AY85" s="59">
        <v>2021</v>
      </c>
      <c r="AZ85" s="59" t="s">
        <v>1408</v>
      </c>
      <c r="BA85" s="59"/>
      <c r="BB85" s="167"/>
      <c r="BC85" s="65">
        <v>2026</v>
      </c>
      <c r="BD85" s="59"/>
      <c r="BE85" s="167"/>
      <c r="BF85" s="59" t="s">
        <v>1500</v>
      </c>
    </row>
    <row r="86" spans="1:58" ht="28">
      <c r="A86" s="59" t="s">
        <v>1849</v>
      </c>
      <c r="B86" s="59" t="s">
        <v>1850</v>
      </c>
      <c r="C86" s="59"/>
      <c r="D86" s="59"/>
      <c r="E86" s="59" t="s">
        <v>1851</v>
      </c>
      <c r="F86" s="59" t="s">
        <v>1848</v>
      </c>
      <c r="G86" s="59" t="s">
        <v>1533</v>
      </c>
      <c r="H86" s="59" t="s">
        <v>1398</v>
      </c>
      <c r="I86" s="59" t="s">
        <v>1844</v>
      </c>
      <c r="J86" s="59" t="s">
        <v>1430</v>
      </c>
      <c r="K86" s="59" t="s">
        <v>1521</v>
      </c>
      <c r="L86" s="59" t="s">
        <v>1436</v>
      </c>
      <c r="M86" s="59" t="s">
        <v>1488</v>
      </c>
      <c r="N86" s="59" t="s">
        <v>1486</v>
      </c>
      <c r="O86" s="59" t="s">
        <v>1434</v>
      </c>
      <c r="P86" s="59" t="s">
        <v>1486</v>
      </c>
      <c r="Q86" s="75" t="s">
        <v>1436</v>
      </c>
      <c r="R86" s="75" t="s">
        <v>1436</v>
      </c>
      <c r="S86" s="75" t="s">
        <v>1436</v>
      </c>
      <c r="T86" s="75" t="s">
        <v>1436</v>
      </c>
      <c r="U86" s="75" t="s">
        <v>1436</v>
      </c>
      <c r="V86" s="75" t="s">
        <v>1436</v>
      </c>
      <c r="W86" s="60"/>
      <c r="X86" s="73" t="str">
        <f t="shared" si="11"/>
        <v>Belum Dinilai</v>
      </c>
      <c r="Y86" s="73" t="str">
        <f t="shared" si="12"/>
        <v>Belum Dinilai</v>
      </c>
      <c r="Z86" s="74" t="str">
        <f t="shared" si="13"/>
        <v/>
      </c>
      <c r="AA86" s="74" t="str">
        <f t="shared" si="14"/>
        <v/>
      </c>
      <c r="AB86" s="74" t="str">
        <f t="shared" si="15"/>
        <v/>
      </c>
      <c r="AC86" s="61" t="s">
        <v>1436</v>
      </c>
      <c r="AD86" s="61" t="s">
        <v>1436</v>
      </c>
      <c r="AE86" s="61" t="s">
        <v>1436</v>
      </c>
      <c r="AF86" s="61" t="s">
        <v>1436</v>
      </c>
      <c r="AG86" s="61" t="s">
        <v>1436</v>
      </c>
      <c r="AH86" s="61" t="s">
        <v>1436</v>
      </c>
      <c r="AI86" s="61" t="s">
        <v>1436</v>
      </c>
      <c r="AJ86" s="61" t="s">
        <v>1436</v>
      </c>
      <c r="AK86" s="61" t="s">
        <v>1436</v>
      </c>
      <c r="AL86" s="61"/>
      <c r="AM86" s="61" t="s">
        <v>1436</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1407</v>
      </c>
      <c r="AV86" s="59" t="s">
        <v>1424</v>
      </c>
      <c r="AW86" s="59" t="s">
        <v>1522</v>
      </c>
      <c r="AX86" s="59" t="s">
        <v>1426</v>
      </c>
      <c r="AY86" s="59">
        <v>2022</v>
      </c>
      <c r="AZ86" s="59" t="s">
        <v>1408</v>
      </c>
      <c r="BA86" s="59"/>
      <c r="BB86" s="167"/>
      <c r="BC86" s="65">
        <v>2026</v>
      </c>
      <c r="BD86" s="59"/>
      <c r="BE86" s="167"/>
      <c r="BF86" s="59" t="s">
        <v>1500</v>
      </c>
    </row>
    <row r="87" spans="1:58" ht="28">
      <c r="A87" s="59" t="s">
        <v>1852</v>
      </c>
      <c r="B87" s="59" t="s">
        <v>1853</v>
      </c>
      <c r="C87" s="59"/>
      <c r="D87" s="59"/>
      <c r="E87" s="59" t="s">
        <v>1854</v>
      </c>
      <c r="F87" s="59" t="s">
        <v>1848</v>
      </c>
      <c r="G87" s="59" t="s">
        <v>1533</v>
      </c>
      <c r="H87" s="59" t="s">
        <v>1398</v>
      </c>
      <c r="I87" s="59" t="s">
        <v>1855</v>
      </c>
      <c r="J87" s="59" t="s">
        <v>1430</v>
      </c>
      <c r="K87" s="59" t="s">
        <v>1521</v>
      </c>
      <c r="L87" s="59" t="s">
        <v>1436</v>
      </c>
      <c r="M87" s="59" t="s">
        <v>1488</v>
      </c>
      <c r="N87" s="59" t="s">
        <v>1436</v>
      </c>
      <c r="O87" s="59" t="s">
        <v>1503</v>
      </c>
      <c r="P87" s="59" t="s">
        <v>1504</v>
      </c>
      <c r="Q87" s="75" t="s">
        <v>1436</v>
      </c>
      <c r="R87" s="75" t="s">
        <v>1436</v>
      </c>
      <c r="S87" s="75" t="s">
        <v>1436</v>
      </c>
      <c r="T87" s="75" t="s">
        <v>1436</v>
      </c>
      <c r="U87" s="75" t="s">
        <v>1436</v>
      </c>
      <c r="V87" s="75" t="s">
        <v>1436</v>
      </c>
      <c r="W87" s="60"/>
      <c r="X87" s="73" t="str">
        <f t="shared" si="11"/>
        <v>Belum Dinilai</v>
      </c>
      <c r="Y87" s="73" t="str">
        <f t="shared" si="12"/>
        <v>Belum Dinilai</v>
      </c>
      <c r="Z87" s="74" t="str">
        <f t="shared" si="13"/>
        <v/>
      </c>
      <c r="AA87" s="74" t="str">
        <f t="shared" si="14"/>
        <v/>
      </c>
      <c r="AB87" s="74" t="str">
        <f t="shared" si="15"/>
        <v/>
      </c>
      <c r="AC87" s="61" t="s">
        <v>1436</v>
      </c>
      <c r="AD87" s="61" t="s">
        <v>1436</v>
      </c>
      <c r="AE87" s="61" t="s">
        <v>1436</v>
      </c>
      <c r="AF87" s="61" t="s">
        <v>1436</v>
      </c>
      <c r="AG87" s="61" t="s">
        <v>1436</v>
      </c>
      <c r="AH87" s="61" t="s">
        <v>1436</v>
      </c>
      <c r="AI87" s="61" t="s">
        <v>1436</v>
      </c>
      <c r="AJ87" s="61" t="s">
        <v>1436</v>
      </c>
      <c r="AK87" s="61" t="s">
        <v>1436</v>
      </c>
      <c r="AL87" s="61"/>
      <c r="AM87" s="61" t="s">
        <v>1436</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1407</v>
      </c>
      <c r="AV87" s="59" t="s">
        <v>1424</v>
      </c>
      <c r="AW87" s="59" t="s">
        <v>1522</v>
      </c>
      <c r="AX87" s="59" t="s">
        <v>1426</v>
      </c>
      <c r="AY87" s="59">
        <v>2022</v>
      </c>
      <c r="AZ87" s="59" t="s">
        <v>1408</v>
      </c>
      <c r="BA87" s="59"/>
      <c r="BB87" s="167"/>
      <c r="BC87" s="65">
        <v>2026</v>
      </c>
      <c r="BD87" s="59"/>
      <c r="BE87" s="167"/>
      <c r="BF87" s="59" t="s">
        <v>1500</v>
      </c>
    </row>
    <row r="88" spans="1:58" ht="28">
      <c r="A88" s="59" t="s">
        <v>1856</v>
      </c>
      <c r="B88" s="59" t="s">
        <v>1857</v>
      </c>
      <c r="C88" s="59"/>
      <c r="D88" s="59"/>
      <c r="E88" s="59" t="s">
        <v>1858</v>
      </c>
      <c r="F88" s="59" t="s">
        <v>1848</v>
      </c>
      <c r="G88" s="59" t="s">
        <v>1533</v>
      </c>
      <c r="H88" s="59" t="s">
        <v>1398</v>
      </c>
      <c r="I88" s="59" t="s">
        <v>1512</v>
      </c>
      <c r="J88" s="59" t="s">
        <v>1430</v>
      </c>
      <c r="K88" s="59" t="s">
        <v>1521</v>
      </c>
      <c r="L88" s="59" t="s">
        <v>1436</v>
      </c>
      <c r="M88" s="59" t="s">
        <v>1488</v>
      </c>
      <c r="N88" s="59" t="s">
        <v>1436</v>
      </c>
      <c r="O88" s="59" t="s">
        <v>1521</v>
      </c>
      <c r="P88" s="59" t="s">
        <v>1436</v>
      </c>
      <c r="Q88" s="75" t="s">
        <v>1436</v>
      </c>
      <c r="R88" s="75" t="s">
        <v>1436</v>
      </c>
      <c r="S88" s="75" t="s">
        <v>1436</v>
      </c>
      <c r="T88" s="75" t="s">
        <v>1436</v>
      </c>
      <c r="U88" s="75" t="s">
        <v>1436</v>
      </c>
      <c r="V88" s="75" t="s">
        <v>1436</v>
      </c>
      <c r="W88" s="60"/>
      <c r="X88" s="73" t="str">
        <f t="shared" si="11"/>
        <v>Belum Dinilai</v>
      </c>
      <c r="Y88" s="73" t="str">
        <f t="shared" si="12"/>
        <v>Belum Dinilai</v>
      </c>
      <c r="Z88" s="74" t="str">
        <f t="shared" si="13"/>
        <v/>
      </c>
      <c r="AA88" s="74" t="str">
        <f t="shared" si="14"/>
        <v/>
      </c>
      <c r="AB88" s="74" t="str">
        <f t="shared" si="15"/>
        <v/>
      </c>
      <c r="AC88" s="61" t="s">
        <v>1436</v>
      </c>
      <c r="AD88" s="61" t="s">
        <v>1436</v>
      </c>
      <c r="AE88" s="61" t="s">
        <v>1436</v>
      </c>
      <c r="AF88" s="61" t="s">
        <v>1436</v>
      </c>
      <c r="AG88" s="61" t="s">
        <v>1436</v>
      </c>
      <c r="AH88" s="61" t="s">
        <v>1436</v>
      </c>
      <c r="AI88" s="61" t="s">
        <v>1436</v>
      </c>
      <c r="AJ88" s="61" t="s">
        <v>1436</v>
      </c>
      <c r="AK88" s="61" t="s">
        <v>1436</v>
      </c>
      <c r="AL88" s="61"/>
      <c r="AM88" s="61" t="s">
        <v>1436</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1407</v>
      </c>
      <c r="AV88" s="59" t="s">
        <v>1424</v>
      </c>
      <c r="AW88" s="59" t="s">
        <v>1409</v>
      </c>
      <c r="AX88" s="59" t="s">
        <v>1410</v>
      </c>
      <c r="AY88" s="59"/>
      <c r="AZ88" s="59" t="s">
        <v>1408</v>
      </c>
      <c r="BA88" s="59"/>
      <c r="BB88" s="167"/>
      <c r="BC88" s="65">
        <v>2026</v>
      </c>
      <c r="BD88" s="59"/>
      <c r="BE88" s="167"/>
      <c r="BF88" s="59" t="s">
        <v>1500</v>
      </c>
    </row>
    <row r="89" spans="1:58" ht="28">
      <c r="A89" s="59" t="s">
        <v>1859</v>
      </c>
      <c r="B89" s="59" t="s">
        <v>1860</v>
      </c>
      <c r="C89" s="59"/>
      <c r="D89" s="59"/>
      <c r="E89" s="59" t="s">
        <v>1861</v>
      </c>
      <c r="F89" s="59" t="s">
        <v>1650</v>
      </c>
      <c r="G89" s="59" t="s">
        <v>1533</v>
      </c>
      <c r="H89" s="59" t="s">
        <v>1414</v>
      </c>
      <c r="I89" s="59" t="s">
        <v>1862</v>
      </c>
      <c r="J89" s="59" t="s">
        <v>1399</v>
      </c>
      <c r="K89" s="59" t="s">
        <v>1521</v>
      </c>
      <c r="L89" s="59" t="s">
        <v>1436</v>
      </c>
      <c r="M89" s="59" t="s">
        <v>1433</v>
      </c>
      <c r="N89" s="59" t="s">
        <v>1436</v>
      </c>
      <c r="O89" s="59" t="s">
        <v>1521</v>
      </c>
      <c r="P89" s="59" t="s">
        <v>1436</v>
      </c>
      <c r="Q89" s="75" t="s">
        <v>1436</v>
      </c>
      <c r="R89" s="75" t="s">
        <v>1436</v>
      </c>
      <c r="S89" s="75" t="s">
        <v>1436</v>
      </c>
      <c r="T89" s="75" t="s">
        <v>1436</v>
      </c>
      <c r="U89" s="75" t="s">
        <v>1436</v>
      </c>
      <c r="V89" s="75" t="s">
        <v>1436</v>
      </c>
      <c r="W89" s="60"/>
      <c r="X89" s="73" t="str">
        <f t="shared" si="11"/>
        <v>Belum Dinilai</v>
      </c>
      <c r="Y89" s="73" t="str">
        <f t="shared" si="12"/>
        <v>Belum Dinilai</v>
      </c>
      <c r="Z89" s="74" t="str">
        <f t="shared" si="13"/>
        <v/>
      </c>
      <c r="AA89" s="74" t="str">
        <f t="shared" si="14"/>
        <v/>
      </c>
      <c r="AB89" s="74" t="str">
        <f t="shared" si="15"/>
        <v/>
      </c>
      <c r="AC89" s="61" t="s">
        <v>1436</v>
      </c>
      <c r="AD89" s="61" t="s">
        <v>1436</v>
      </c>
      <c r="AE89" s="61" t="s">
        <v>1436</v>
      </c>
      <c r="AF89" s="61" t="s">
        <v>1436</v>
      </c>
      <c r="AG89" s="61" t="s">
        <v>1436</v>
      </c>
      <c r="AH89" s="61" t="s">
        <v>1436</v>
      </c>
      <c r="AI89" s="61" t="s">
        <v>1436</v>
      </c>
      <c r="AJ89" s="61" t="s">
        <v>1436</v>
      </c>
      <c r="AK89" s="61" t="s">
        <v>1436</v>
      </c>
      <c r="AL89" s="61"/>
      <c r="AM89" s="61" t="s">
        <v>1436</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1407</v>
      </c>
      <c r="AV89" s="59" t="s">
        <v>1424</v>
      </c>
      <c r="AW89" s="59" t="s">
        <v>1409</v>
      </c>
      <c r="AX89" s="59" t="s">
        <v>1490</v>
      </c>
      <c r="AY89" s="59"/>
      <c r="AZ89" s="59" t="s">
        <v>1408</v>
      </c>
      <c r="BA89" s="59"/>
      <c r="BB89" s="167"/>
      <c r="BC89" s="65">
        <v>2026</v>
      </c>
      <c r="BD89" s="59"/>
      <c r="BE89" s="167"/>
      <c r="BF89" s="59" t="s">
        <v>1500</v>
      </c>
    </row>
    <row r="90" spans="1:58" ht="42">
      <c r="A90" s="59" t="s">
        <v>1863</v>
      </c>
      <c r="B90" s="59" t="s">
        <v>1864</v>
      </c>
      <c r="C90" s="59"/>
      <c r="D90" s="59"/>
      <c r="E90" s="59" t="s">
        <v>1865</v>
      </c>
      <c r="F90" s="59" t="s">
        <v>1866</v>
      </c>
      <c r="G90" s="59" t="s">
        <v>1497</v>
      </c>
      <c r="H90" s="59" t="s">
        <v>1483</v>
      </c>
      <c r="I90" s="59" t="s">
        <v>1867</v>
      </c>
      <c r="J90" s="59" t="s">
        <v>1484</v>
      </c>
      <c r="K90" s="59" t="s">
        <v>1521</v>
      </c>
      <c r="L90" s="59" t="s">
        <v>1436</v>
      </c>
      <c r="M90" s="59" t="s">
        <v>1521</v>
      </c>
      <c r="N90" s="59" t="s">
        <v>1436</v>
      </c>
      <c r="O90" s="59" t="s">
        <v>1521</v>
      </c>
      <c r="P90" s="59" t="s">
        <v>1436</v>
      </c>
      <c r="Q90" s="75" t="s">
        <v>1436</v>
      </c>
      <c r="R90" s="75" t="s">
        <v>1436</v>
      </c>
      <c r="S90" s="75" t="s">
        <v>1436</v>
      </c>
      <c r="T90" s="75" t="s">
        <v>1436</v>
      </c>
      <c r="U90" s="75" t="s">
        <v>1436</v>
      </c>
      <c r="V90" s="75" t="s">
        <v>1436</v>
      </c>
      <c r="W90" s="60"/>
      <c r="X90" s="73" t="str">
        <f t="shared" si="11"/>
        <v>Belum Dinilai</v>
      </c>
      <c r="Y90" s="73" t="str">
        <f t="shared" si="12"/>
        <v>Belum Dinilai</v>
      </c>
      <c r="Z90" s="74" t="str">
        <f t="shared" si="13"/>
        <v/>
      </c>
      <c r="AA90" s="74" t="str">
        <f t="shared" si="14"/>
        <v/>
      </c>
      <c r="AB90" s="74" t="str">
        <f t="shared" si="15"/>
        <v/>
      </c>
      <c r="AC90" s="61" t="s">
        <v>1436</v>
      </c>
      <c r="AD90" s="61" t="s">
        <v>1436</v>
      </c>
      <c r="AE90" s="61" t="s">
        <v>1436</v>
      </c>
      <c r="AF90" s="61" t="s">
        <v>1436</v>
      </c>
      <c r="AG90" s="61" t="s">
        <v>1436</v>
      </c>
      <c r="AH90" s="61" t="s">
        <v>1436</v>
      </c>
      <c r="AI90" s="61" t="s">
        <v>1436</v>
      </c>
      <c r="AJ90" s="61" t="s">
        <v>1436</v>
      </c>
      <c r="AK90" s="61" t="s">
        <v>1436</v>
      </c>
      <c r="AL90" s="61"/>
      <c r="AM90" s="61" t="s">
        <v>1436</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1407</v>
      </c>
      <c r="AV90" s="59" t="s">
        <v>1424</v>
      </c>
      <c r="AW90" s="59" t="s">
        <v>1409</v>
      </c>
      <c r="AX90" s="59" t="s">
        <v>1410</v>
      </c>
      <c r="AY90" s="59"/>
      <c r="AZ90" s="59" t="s">
        <v>1439</v>
      </c>
      <c r="BA90" s="59"/>
      <c r="BB90" s="167"/>
      <c r="BC90" s="65">
        <v>2026</v>
      </c>
      <c r="BD90" s="59"/>
      <c r="BE90" s="167"/>
      <c r="BF90" s="59" t="s">
        <v>1500</v>
      </c>
    </row>
    <row r="91" spans="1:58" ht="42">
      <c r="A91" s="59" t="s">
        <v>1868</v>
      </c>
      <c r="B91" s="59" t="s">
        <v>1869</v>
      </c>
      <c r="C91" s="59"/>
      <c r="D91" s="59"/>
      <c r="E91" s="59" t="s">
        <v>1865</v>
      </c>
      <c r="F91" s="59" t="s">
        <v>1866</v>
      </c>
      <c r="G91" s="59" t="s">
        <v>1497</v>
      </c>
      <c r="H91" s="59" t="s">
        <v>1483</v>
      </c>
      <c r="I91" s="59" t="s">
        <v>1870</v>
      </c>
      <c r="J91" s="59" t="s">
        <v>1484</v>
      </c>
      <c r="K91" s="59" t="s">
        <v>1521</v>
      </c>
      <c r="L91" s="59" t="s">
        <v>1436</v>
      </c>
      <c r="M91" s="59" t="s">
        <v>1521</v>
      </c>
      <c r="N91" s="59" t="s">
        <v>1436</v>
      </c>
      <c r="O91" s="59" t="s">
        <v>1521</v>
      </c>
      <c r="P91" s="59" t="s">
        <v>1436</v>
      </c>
      <c r="Q91" s="75" t="s">
        <v>1436</v>
      </c>
      <c r="R91" s="75" t="s">
        <v>1436</v>
      </c>
      <c r="S91" s="75" t="s">
        <v>1436</v>
      </c>
      <c r="T91" s="75" t="s">
        <v>1436</v>
      </c>
      <c r="U91" s="75" t="s">
        <v>1436</v>
      </c>
      <c r="V91" s="75" t="s">
        <v>1436</v>
      </c>
      <c r="W91" s="60"/>
      <c r="X91" s="73" t="str">
        <f t="shared" si="11"/>
        <v>Belum Dinilai</v>
      </c>
      <c r="Y91" s="73" t="str">
        <f t="shared" si="12"/>
        <v>Belum Dinilai</v>
      </c>
      <c r="Z91" s="74" t="str">
        <f t="shared" si="13"/>
        <v/>
      </c>
      <c r="AA91" s="74" t="str">
        <f t="shared" si="14"/>
        <v/>
      </c>
      <c r="AB91" s="74" t="str">
        <f t="shared" si="15"/>
        <v/>
      </c>
      <c r="AC91" s="61" t="s">
        <v>1436</v>
      </c>
      <c r="AD91" s="61" t="s">
        <v>1436</v>
      </c>
      <c r="AE91" s="61" t="s">
        <v>1436</v>
      </c>
      <c r="AF91" s="61" t="s">
        <v>1436</v>
      </c>
      <c r="AG91" s="61" t="s">
        <v>1436</v>
      </c>
      <c r="AH91" s="61" t="s">
        <v>1436</v>
      </c>
      <c r="AI91" s="61" t="s">
        <v>1436</v>
      </c>
      <c r="AJ91" s="61" t="s">
        <v>1436</v>
      </c>
      <c r="AK91" s="61" t="s">
        <v>1436</v>
      </c>
      <c r="AL91" s="61"/>
      <c r="AM91" s="61" t="s">
        <v>1436</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1407</v>
      </c>
      <c r="AV91" s="59" t="s">
        <v>1424</v>
      </c>
      <c r="AW91" s="59" t="s">
        <v>1409</v>
      </c>
      <c r="AX91" s="59" t="s">
        <v>1410</v>
      </c>
      <c r="AY91" s="59"/>
      <c r="AZ91" s="59" t="s">
        <v>1408</v>
      </c>
      <c r="BA91" s="59"/>
      <c r="BB91" s="167"/>
      <c r="BC91" s="65">
        <v>2026</v>
      </c>
      <c r="BD91" s="59"/>
      <c r="BE91" s="167"/>
      <c r="BF91" s="59" t="s">
        <v>1500</v>
      </c>
    </row>
    <row r="92" spans="1:58" ht="28">
      <c r="A92" s="59" t="s">
        <v>1871</v>
      </c>
      <c r="B92" s="59" t="s">
        <v>1872</v>
      </c>
      <c r="C92" s="59"/>
      <c r="D92" s="59"/>
      <c r="E92" s="59" t="s">
        <v>1523</v>
      </c>
      <c r="F92" s="59" t="s">
        <v>1542</v>
      </c>
      <c r="G92" s="59" t="s">
        <v>1511</v>
      </c>
      <c r="H92" s="59" t="s">
        <v>1483</v>
      </c>
      <c r="I92" s="59" t="s">
        <v>1873</v>
      </c>
      <c r="J92" s="59" t="s">
        <v>1484</v>
      </c>
      <c r="K92" s="59" t="s">
        <v>1521</v>
      </c>
      <c r="L92" s="59" t="s">
        <v>1436</v>
      </c>
      <c r="M92" s="59" t="s">
        <v>1521</v>
      </c>
      <c r="N92" s="59" t="s">
        <v>1436</v>
      </c>
      <c r="O92" s="59" t="s">
        <v>1521</v>
      </c>
      <c r="P92" s="59" t="s">
        <v>1436</v>
      </c>
      <c r="Q92" s="75" t="s">
        <v>1436</v>
      </c>
      <c r="R92" s="75" t="s">
        <v>1436</v>
      </c>
      <c r="S92" s="75" t="s">
        <v>1436</v>
      </c>
      <c r="T92" s="75" t="s">
        <v>1436</v>
      </c>
      <c r="U92" s="75" t="s">
        <v>1436</v>
      </c>
      <c r="V92" s="75" t="s">
        <v>1436</v>
      </c>
      <c r="W92" s="60"/>
      <c r="X92" s="73" t="str">
        <f t="shared" si="11"/>
        <v>Belum Dinilai</v>
      </c>
      <c r="Y92" s="73" t="str">
        <f t="shared" si="12"/>
        <v>Belum Dinilai</v>
      </c>
      <c r="Z92" s="74" t="str">
        <f t="shared" si="13"/>
        <v/>
      </c>
      <c r="AA92" s="74" t="str">
        <f t="shared" si="14"/>
        <v/>
      </c>
      <c r="AB92" s="74" t="str">
        <f t="shared" si="15"/>
        <v/>
      </c>
      <c r="AC92" s="61" t="s">
        <v>1436</v>
      </c>
      <c r="AD92" s="61" t="s">
        <v>1436</v>
      </c>
      <c r="AE92" s="61" t="s">
        <v>1436</v>
      </c>
      <c r="AF92" s="61" t="s">
        <v>1436</v>
      </c>
      <c r="AG92" s="61" t="s">
        <v>1436</v>
      </c>
      <c r="AH92" s="61" t="s">
        <v>1436</v>
      </c>
      <c r="AI92" s="61" t="s">
        <v>1436</v>
      </c>
      <c r="AJ92" s="61" t="s">
        <v>1436</v>
      </c>
      <c r="AK92" s="61" t="s">
        <v>1436</v>
      </c>
      <c r="AL92" s="61"/>
      <c r="AM92" s="61" t="s">
        <v>1436</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1407</v>
      </c>
      <c r="AV92" s="59" t="s">
        <v>1424</v>
      </c>
      <c r="AW92" s="59" t="s">
        <v>1409</v>
      </c>
      <c r="AX92" s="59" t="s">
        <v>1410</v>
      </c>
      <c r="AY92" s="59"/>
      <c r="AZ92" s="59" t="s">
        <v>1408</v>
      </c>
      <c r="BA92" s="59"/>
      <c r="BB92" s="167"/>
      <c r="BC92" s="65">
        <v>2026</v>
      </c>
      <c r="BD92" s="59"/>
      <c r="BE92" s="167"/>
      <c r="BF92" s="59" t="s">
        <v>1500</v>
      </c>
    </row>
    <row r="93" spans="1:58" ht="28">
      <c r="A93" s="59" t="s">
        <v>1874</v>
      </c>
      <c r="B93" s="59" t="s">
        <v>1875</v>
      </c>
      <c r="C93" s="59"/>
      <c r="D93" s="59"/>
      <c r="E93" s="59" t="s">
        <v>1876</v>
      </c>
      <c r="F93" s="59" t="s">
        <v>1694</v>
      </c>
      <c r="G93" s="59" t="s">
        <v>1533</v>
      </c>
      <c r="H93" s="59" t="s">
        <v>1483</v>
      </c>
      <c r="I93" s="59" t="s">
        <v>1877</v>
      </c>
      <c r="J93" s="59" t="s">
        <v>1484</v>
      </c>
      <c r="K93" s="59" t="s">
        <v>1521</v>
      </c>
      <c r="L93" s="59" t="s">
        <v>1436</v>
      </c>
      <c r="M93" s="59" t="s">
        <v>1521</v>
      </c>
      <c r="N93" s="59" t="s">
        <v>1436</v>
      </c>
      <c r="O93" s="59" t="s">
        <v>1521</v>
      </c>
      <c r="P93" s="59" t="s">
        <v>1436</v>
      </c>
      <c r="Q93" s="75" t="s">
        <v>1436</v>
      </c>
      <c r="R93" s="75" t="s">
        <v>1436</v>
      </c>
      <c r="S93" s="75" t="s">
        <v>1436</v>
      </c>
      <c r="T93" s="75" t="s">
        <v>1436</v>
      </c>
      <c r="U93" s="75" t="s">
        <v>1436</v>
      </c>
      <c r="V93" s="75" t="s">
        <v>1436</v>
      </c>
      <c r="W93" s="60"/>
      <c r="X93" s="73" t="str">
        <f t="shared" si="11"/>
        <v>Belum Dinilai</v>
      </c>
      <c r="Y93" s="73" t="str">
        <f t="shared" si="12"/>
        <v>Belum Dinilai</v>
      </c>
      <c r="Z93" s="74" t="str">
        <f t="shared" si="13"/>
        <v/>
      </c>
      <c r="AA93" s="74" t="str">
        <f t="shared" si="14"/>
        <v/>
      </c>
      <c r="AB93" s="74" t="str">
        <f t="shared" si="15"/>
        <v/>
      </c>
      <c r="AC93" s="61" t="s">
        <v>1436</v>
      </c>
      <c r="AD93" s="61" t="s">
        <v>1436</v>
      </c>
      <c r="AE93" s="61" t="s">
        <v>1436</v>
      </c>
      <c r="AF93" s="61" t="s">
        <v>1436</v>
      </c>
      <c r="AG93" s="61" t="s">
        <v>1436</v>
      </c>
      <c r="AH93" s="61" t="s">
        <v>1436</v>
      </c>
      <c r="AI93" s="61" t="s">
        <v>1436</v>
      </c>
      <c r="AJ93" s="61" t="s">
        <v>1436</v>
      </c>
      <c r="AK93" s="61" t="s">
        <v>1436</v>
      </c>
      <c r="AL93" s="61"/>
      <c r="AM93" s="61" t="s">
        <v>1436</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1407</v>
      </c>
      <c r="AV93" s="59" t="s">
        <v>1424</v>
      </c>
      <c r="AW93" s="59" t="s">
        <v>1409</v>
      </c>
      <c r="AX93" s="59" t="s">
        <v>1410</v>
      </c>
      <c r="AY93" s="59"/>
      <c r="AZ93" s="59" t="s">
        <v>1439</v>
      </c>
      <c r="BA93" s="59"/>
      <c r="BB93" s="167"/>
      <c r="BC93" s="65">
        <v>2026</v>
      </c>
      <c r="BD93" s="59"/>
      <c r="BE93" s="167"/>
      <c r="BF93" s="59" t="s">
        <v>1500</v>
      </c>
    </row>
    <row r="94" spans="1:58" ht="42">
      <c r="A94" s="59" t="s">
        <v>1878</v>
      </c>
      <c r="B94" s="59" t="s">
        <v>1879</v>
      </c>
      <c r="C94" s="59"/>
      <c r="D94" s="59"/>
      <c r="E94" s="59" t="s">
        <v>1523</v>
      </c>
      <c r="F94" s="59" t="s">
        <v>1694</v>
      </c>
      <c r="G94" s="59" t="s">
        <v>1533</v>
      </c>
      <c r="H94" s="59" t="s">
        <v>1483</v>
      </c>
      <c r="I94" s="59" t="s">
        <v>1880</v>
      </c>
      <c r="J94" s="59" t="s">
        <v>1430</v>
      </c>
      <c r="K94" s="59" t="s">
        <v>1521</v>
      </c>
      <c r="L94" s="59" t="s">
        <v>1486</v>
      </c>
      <c r="M94" s="59" t="s">
        <v>1488</v>
      </c>
      <c r="N94" s="59" t="s">
        <v>1486</v>
      </c>
      <c r="O94" s="59" t="s">
        <v>1434</v>
      </c>
      <c r="P94" s="59" t="s">
        <v>1486</v>
      </c>
      <c r="Q94" s="75" t="s">
        <v>1436</v>
      </c>
      <c r="R94" s="75" t="s">
        <v>1436</v>
      </c>
      <c r="S94" s="75" t="s">
        <v>1436</v>
      </c>
      <c r="T94" s="75" t="s">
        <v>1436</v>
      </c>
      <c r="U94" s="75" t="s">
        <v>1436</v>
      </c>
      <c r="V94" s="75" t="s">
        <v>1436</v>
      </c>
      <c r="W94" s="60"/>
      <c r="X94" s="73" t="str">
        <f t="shared" si="11"/>
        <v>Belum Dinilai</v>
      </c>
      <c r="Y94" s="73" t="str">
        <f t="shared" si="12"/>
        <v>Belum Dinilai</v>
      </c>
      <c r="Z94" s="74" t="str">
        <f t="shared" si="13"/>
        <v/>
      </c>
      <c r="AA94" s="74" t="str">
        <f t="shared" si="14"/>
        <v/>
      </c>
      <c r="AB94" s="74" t="str">
        <f t="shared" si="15"/>
        <v/>
      </c>
      <c r="AC94" s="61" t="s">
        <v>1436</v>
      </c>
      <c r="AD94" s="61" t="s">
        <v>1436</v>
      </c>
      <c r="AE94" s="61" t="s">
        <v>1436</v>
      </c>
      <c r="AF94" s="61" t="s">
        <v>1436</v>
      </c>
      <c r="AG94" s="61" t="s">
        <v>1436</v>
      </c>
      <c r="AH94" s="61" t="s">
        <v>1436</v>
      </c>
      <c r="AI94" s="61" t="s">
        <v>1436</v>
      </c>
      <c r="AJ94" s="61" t="s">
        <v>1436</v>
      </c>
      <c r="AK94" s="61" t="s">
        <v>1436</v>
      </c>
      <c r="AL94" s="61"/>
      <c r="AM94" s="61" t="s">
        <v>1436</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1407</v>
      </c>
      <c r="AV94" s="59" t="s">
        <v>1424</v>
      </c>
      <c r="AW94" s="59" t="s">
        <v>1409</v>
      </c>
      <c r="AX94" s="59" t="s">
        <v>1410</v>
      </c>
      <c r="AY94" s="59"/>
      <c r="AZ94" s="59" t="s">
        <v>1427</v>
      </c>
      <c r="BA94" s="59"/>
      <c r="BB94" s="167"/>
      <c r="BC94" s="65">
        <v>2026</v>
      </c>
      <c r="BD94" s="59"/>
      <c r="BE94" s="167"/>
      <c r="BF94" s="59" t="s">
        <v>1500</v>
      </c>
    </row>
    <row r="95" spans="1:58" ht="28">
      <c r="A95" s="59" t="s">
        <v>1881</v>
      </c>
      <c r="B95" s="59" t="s">
        <v>1882</v>
      </c>
      <c r="C95" s="59"/>
      <c r="D95" s="59"/>
      <c r="E95" s="59" t="s">
        <v>1883</v>
      </c>
      <c r="F95" s="59" t="s">
        <v>1694</v>
      </c>
      <c r="G95" s="59" t="s">
        <v>1533</v>
      </c>
      <c r="H95" s="59" t="s">
        <v>1398</v>
      </c>
      <c r="I95" s="59" t="s">
        <v>1884</v>
      </c>
      <c r="J95" s="59" t="s">
        <v>1430</v>
      </c>
      <c r="K95" s="59" t="s">
        <v>1521</v>
      </c>
      <c r="L95" s="59" t="s">
        <v>1436</v>
      </c>
      <c r="M95" s="59" t="s">
        <v>1488</v>
      </c>
      <c r="N95" s="59" t="s">
        <v>1436</v>
      </c>
      <c r="O95" s="59" t="s">
        <v>1434</v>
      </c>
      <c r="P95" s="59" t="s">
        <v>1436</v>
      </c>
      <c r="Q95" s="75" t="s">
        <v>1436</v>
      </c>
      <c r="R95" s="75" t="s">
        <v>1436</v>
      </c>
      <c r="S95" s="75" t="s">
        <v>1436</v>
      </c>
      <c r="T95" s="75" t="s">
        <v>1436</v>
      </c>
      <c r="U95" s="75" t="s">
        <v>1436</v>
      </c>
      <c r="V95" s="75" t="s">
        <v>1436</v>
      </c>
      <c r="W95" s="60"/>
      <c r="X95" s="73" t="str">
        <f t="shared" si="11"/>
        <v>Belum Dinilai</v>
      </c>
      <c r="Y95" s="73" t="str">
        <f t="shared" si="12"/>
        <v>Belum Dinilai</v>
      </c>
      <c r="Z95" s="74" t="str">
        <f t="shared" si="13"/>
        <v/>
      </c>
      <c r="AA95" s="74" t="str">
        <f t="shared" si="14"/>
        <v/>
      </c>
      <c r="AB95" s="74" t="str">
        <f t="shared" si="15"/>
        <v/>
      </c>
      <c r="AC95" s="61" t="s">
        <v>1436</v>
      </c>
      <c r="AD95" s="61" t="s">
        <v>1436</v>
      </c>
      <c r="AE95" s="61" t="s">
        <v>1436</v>
      </c>
      <c r="AF95" s="61" t="s">
        <v>1436</v>
      </c>
      <c r="AG95" s="61" t="s">
        <v>1436</v>
      </c>
      <c r="AH95" s="61" t="s">
        <v>1436</v>
      </c>
      <c r="AI95" s="61" t="s">
        <v>1436</v>
      </c>
      <c r="AJ95" s="61" t="s">
        <v>1436</v>
      </c>
      <c r="AK95" s="61" t="s">
        <v>1436</v>
      </c>
      <c r="AL95" s="61"/>
      <c r="AM95" s="61" t="s">
        <v>1436</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1423</v>
      </c>
      <c r="AV95" s="59" t="s">
        <v>1424</v>
      </c>
      <c r="AW95" s="59" t="s">
        <v>1522</v>
      </c>
      <c r="AX95" s="59" t="s">
        <v>1438</v>
      </c>
      <c r="AY95" s="59">
        <v>2023</v>
      </c>
      <c r="AZ95" s="59" t="s">
        <v>1408</v>
      </c>
      <c r="BA95" s="59"/>
      <c r="BB95" s="167"/>
      <c r="BC95" s="65">
        <v>2026</v>
      </c>
      <c r="BD95" s="59"/>
      <c r="BE95" s="167"/>
      <c r="BF95" s="59" t="s">
        <v>1500</v>
      </c>
    </row>
    <row r="96" spans="1:58" ht="28">
      <c r="A96" s="59" t="s">
        <v>1885</v>
      </c>
      <c r="B96" s="59" t="s">
        <v>1886</v>
      </c>
      <c r="C96" s="59"/>
      <c r="D96" s="59"/>
      <c r="E96" s="59" t="s">
        <v>1523</v>
      </c>
      <c r="F96" s="59" t="s">
        <v>1694</v>
      </c>
      <c r="G96" s="59" t="s">
        <v>1533</v>
      </c>
      <c r="H96" s="59" t="s">
        <v>1398</v>
      </c>
      <c r="I96" s="59" t="s">
        <v>1887</v>
      </c>
      <c r="J96" s="59" t="s">
        <v>1430</v>
      </c>
      <c r="K96" s="59" t="s">
        <v>1521</v>
      </c>
      <c r="L96" s="59" t="s">
        <v>1486</v>
      </c>
      <c r="M96" s="59" t="s">
        <v>1488</v>
      </c>
      <c r="N96" s="59" t="s">
        <v>1486</v>
      </c>
      <c r="O96" s="59" t="s">
        <v>1434</v>
      </c>
      <c r="P96" s="59" t="s">
        <v>1486</v>
      </c>
      <c r="Q96" s="75" t="s">
        <v>1436</v>
      </c>
      <c r="R96" s="75" t="s">
        <v>1436</v>
      </c>
      <c r="S96" s="75" t="s">
        <v>1436</v>
      </c>
      <c r="T96" s="75" t="s">
        <v>1436</v>
      </c>
      <c r="U96" s="75" t="s">
        <v>1436</v>
      </c>
      <c r="V96" s="75" t="s">
        <v>1436</v>
      </c>
      <c r="W96" s="60"/>
      <c r="X96" s="73" t="str">
        <f t="shared" si="11"/>
        <v>Belum Dinilai</v>
      </c>
      <c r="Y96" s="73" t="str">
        <f t="shared" si="12"/>
        <v>Belum Dinilai</v>
      </c>
      <c r="Z96" s="74" t="str">
        <f t="shared" si="13"/>
        <v/>
      </c>
      <c r="AA96" s="74" t="str">
        <f t="shared" si="14"/>
        <v/>
      </c>
      <c r="AB96" s="74" t="str">
        <f t="shared" si="15"/>
        <v/>
      </c>
      <c r="AC96" s="61" t="s">
        <v>1436</v>
      </c>
      <c r="AD96" s="61" t="s">
        <v>1436</v>
      </c>
      <c r="AE96" s="61" t="s">
        <v>1436</v>
      </c>
      <c r="AF96" s="61" t="s">
        <v>1436</v>
      </c>
      <c r="AG96" s="61" t="s">
        <v>1436</v>
      </c>
      <c r="AH96" s="61" t="s">
        <v>1436</v>
      </c>
      <c r="AI96" s="61" t="s">
        <v>1436</v>
      </c>
      <c r="AJ96" s="61" t="s">
        <v>1436</v>
      </c>
      <c r="AK96" s="61" t="s">
        <v>1436</v>
      </c>
      <c r="AL96" s="61"/>
      <c r="AM96" s="61" t="s">
        <v>1436</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1423</v>
      </c>
      <c r="AV96" s="59" t="s">
        <v>1424</v>
      </c>
      <c r="AW96" s="59" t="s">
        <v>1409</v>
      </c>
      <c r="AX96" s="59" t="s">
        <v>1410</v>
      </c>
      <c r="AY96" s="59"/>
      <c r="AZ96" s="59" t="s">
        <v>1408</v>
      </c>
      <c r="BA96" s="59"/>
      <c r="BB96" s="167"/>
      <c r="BC96" s="65">
        <v>2026</v>
      </c>
      <c r="BD96" s="59"/>
      <c r="BE96" s="167"/>
      <c r="BF96" s="59" t="s">
        <v>1500</v>
      </c>
    </row>
    <row r="97" spans="1:58" ht="28">
      <c r="A97" s="59" t="s">
        <v>1888</v>
      </c>
      <c r="B97" s="59" t="s">
        <v>1785</v>
      </c>
      <c r="C97" s="59"/>
      <c r="D97" s="59"/>
      <c r="E97" s="59" t="s">
        <v>1889</v>
      </c>
      <c r="F97" s="59" t="s">
        <v>1579</v>
      </c>
      <c r="G97" s="59" t="s">
        <v>1511</v>
      </c>
      <c r="H97" s="59" t="s">
        <v>1414</v>
      </c>
      <c r="I97" s="59" t="s">
        <v>1890</v>
      </c>
      <c r="J97" s="59" t="s">
        <v>1399</v>
      </c>
      <c r="K97" s="59" t="s">
        <v>1521</v>
      </c>
      <c r="L97" s="59" t="s">
        <v>1436</v>
      </c>
      <c r="M97" s="59" t="s">
        <v>1433</v>
      </c>
      <c r="N97" s="59" t="s">
        <v>1436</v>
      </c>
      <c r="O97" s="59" t="s">
        <v>1434</v>
      </c>
      <c r="P97" s="59" t="s">
        <v>1436</v>
      </c>
      <c r="Q97" s="75" t="s">
        <v>1436</v>
      </c>
      <c r="R97" s="75" t="s">
        <v>1436</v>
      </c>
      <c r="S97" s="75" t="s">
        <v>1436</v>
      </c>
      <c r="T97" s="75" t="s">
        <v>1436</v>
      </c>
      <c r="U97" s="75" t="s">
        <v>1436</v>
      </c>
      <c r="V97" s="75" t="s">
        <v>1436</v>
      </c>
      <c r="W97" s="60"/>
      <c r="X97" s="73" t="str">
        <f t="shared" si="11"/>
        <v>Belum Dinilai</v>
      </c>
      <c r="Y97" s="73" t="str">
        <f t="shared" si="12"/>
        <v>Belum Dinilai</v>
      </c>
      <c r="Z97" s="74" t="str">
        <f t="shared" si="13"/>
        <v/>
      </c>
      <c r="AA97" s="74" t="str">
        <f t="shared" si="14"/>
        <v/>
      </c>
      <c r="AB97" s="74" t="str">
        <f t="shared" si="15"/>
        <v/>
      </c>
      <c r="AC97" s="61" t="s">
        <v>1436</v>
      </c>
      <c r="AD97" s="61" t="s">
        <v>1436</v>
      </c>
      <c r="AE97" s="61" t="s">
        <v>1436</v>
      </c>
      <c r="AF97" s="61" t="s">
        <v>1436</v>
      </c>
      <c r="AG97" s="61" t="s">
        <v>1436</v>
      </c>
      <c r="AH97" s="61" t="s">
        <v>1436</v>
      </c>
      <c r="AI97" s="61" t="s">
        <v>1436</v>
      </c>
      <c r="AJ97" s="61" t="s">
        <v>1436</v>
      </c>
      <c r="AK97" s="61" t="s">
        <v>1436</v>
      </c>
      <c r="AL97" s="61"/>
      <c r="AM97" s="61" t="s">
        <v>1436</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1407</v>
      </c>
      <c r="AV97" s="59" t="s">
        <v>1424</v>
      </c>
      <c r="AW97" s="59" t="s">
        <v>1522</v>
      </c>
      <c r="AX97" s="59" t="s">
        <v>1426</v>
      </c>
      <c r="AY97" s="59">
        <v>2021</v>
      </c>
      <c r="AZ97" s="59" t="s">
        <v>1408</v>
      </c>
      <c r="BA97" s="59"/>
      <c r="BB97" s="167"/>
      <c r="BC97" s="65">
        <v>2026</v>
      </c>
      <c r="BD97" s="59"/>
      <c r="BE97" s="167"/>
      <c r="BF97" s="59" t="s">
        <v>1500</v>
      </c>
    </row>
    <row r="98" spans="1:58" ht="28">
      <c r="A98" s="59" t="s">
        <v>1891</v>
      </c>
      <c r="B98" s="59" t="s">
        <v>1892</v>
      </c>
      <c r="C98" s="59"/>
      <c r="D98" s="59"/>
      <c r="E98" s="59" t="s">
        <v>1893</v>
      </c>
      <c r="F98" s="59" t="s">
        <v>1579</v>
      </c>
      <c r="G98" s="59" t="s">
        <v>1511</v>
      </c>
      <c r="H98" s="59" t="s">
        <v>1483</v>
      </c>
      <c r="I98" s="59" t="s">
        <v>1894</v>
      </c>
      <c r="J98" s="59" t="s">
        <v>1430</v>
      </c>
      <c r="K98" s="59" t="s">
        <v>1521</v>
      </c>
      <c r="L98" s="59" t="s">
        <v>1436</v>
      </c>
      <c r="M98" s="59" t="s">
        <v>1488</v>
      </c>
      <c r="N98" s="59" t="s">
        <v>1436</v>
      </c>
      <c r="O98" s="59" t="s">
        <v>1521</v>
      </c>
      <c r="P98" s="59" t="s">
        <v>1436</v>
      </c>
      <c r="Q98" s="75" t="s">
        <v>1436</v>
      </c>
      <c r="R98" s="75" t="s">
        <v>1436</v>
      </c>
      <c r="S98" s="75" t="s">
        <v>1436</v>
      </c>
      <c r="T98" s="75" t="s">
        <v>1436</v>
      </c>
      <c r="U98" s="75" t="s">
        <v>1436</v>
      </c>
      <c r="V98" s="75" t="s">
        <v>1436</v>
      </c>
      <c r="W98" s="60"/>
      <c r="X98" s="73" t="str">
        <f t="shared" si="11"/>
        <v>Belum Dinilai</v>
      </c>
      <c r="Y98" s="73" t="str">
        <f t="shared" si="12"/>
        <v>Belum Dinilai</v>
      </c>
      <c r="Z98" s="74" t="str">
        <f t="shared" si="13"/>
        <v/>
      </c>
      <c r="AA98" s="74" t="str">
        <f t="shared" si="14"/>
        <v/>
      </c>
      <c r="AB98" s="74" t="str">
        <f t="shared" si="15"/>
        <v/>
      </c>
      <c r="AC98" s="61" t="s">
        <v>1436</v>
      </c>
      <c r="AD98" s="61" t="s">
        <v>1436</v>
      </c>
      <c r="AE98" s="61" t="s">
        <v>1436</v>
      </c>
      <c r="AF98" s="61" t="s">
        <v>1436</v>
      </c>
      <c r="AG98" s="61" t="s">
        <v>1436</v>
      </c>
      <c r="AH98" s="61" t="s">
        <v>1436</v>
      </c>
      <c r="AI98" s="61" t="s">
        <v>1436</v>
      </c>
      <c r="AJ98" s="61" t="s">
        <v>1436</v>
      </c>
      <c r="AK98" s="61" t="s">
        <v>1436</v>
      </c>
      <c r="AL98" s="61"/>
      <c r="AM98" s="61" t="s">
        <v>1436</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1423</v>
      </c>
      <c r="AV98" s="59" t="s">
        <v>1424</v>
      </c>
      <c r="AW98" s="59" t="s">
        <v>1409</v>
      </c>
      <c r="AX98" s="59" t="s">
        <v>1410</v>
      </c>
      <c r="AY98" s="59"/>
      <c r="AZ98" s="59" t="s">
        <v>1408</v>
      </c>
      <c r="BA98" s="59"/>
      <c r="BB98" s="167"/>
      <c r="BC98" s="65">
        <v>2026</v>
      </c>
      <c r="BD98" s="59"/>
      <c r="BE98" s="167"/>
      <c r="BF98" s="59" t="s">
        <v>1500</v>
      </c>
    </row>
    <row r="99" spans="1:58" ht="28">
      <c r="A99" s="59" t="s">
        <v>1895</v>
      </c>
      <c r="B99" s="59" t="s">
        <v>1896</v>
      </c>
      <c r="C99" s="59"/>
      <c r="D99" s="59"/>
      <c r="E99" s="59" t="s">
        <v>1889</v>
      </c>
      <c r="F99" s="59" t="s">
        <v>1579</v>
      </c>
      <c r="G99" s="59" t="s">
        <v>1511</v>
      </c>
      <c r="H99" s="59" t="s">
        <v>1398</v>
      </c>
      <c r="I99" s="59" t="s">
        <v>1897</v>
      </c>
      <c r="J99" s="59" t="s">
        <v>1399</v>
      </c>
      <c r="K99" s="59" t="s">
        <v>1521</v>
      </c>
      <c r="L99" s="59" t="s">
        <v>1436</v>
      </c>
      <c r="M99" s="59" t="s">
        <v>1433</v>
      </c>
      <c r="N99" s="59" t="s">
        <v>1436</v>
      </c>
      <c r="O99" s="59" t="s">
        <v>1521</v>
      </c>
      <c r="P99" s="59" t="s">
        <v>1436</v>
      </c>
      <c r="Q99" s="75" t="s">
        <v>1436</v>
      </c>
      <c r="R99" s="75" t="s">
        <v>1436</v>
      </c>
      <c r="S99" s="75" t="s">
        <v>1436</v>
      </c>
      <c r="T99" s="75" t="s">
        <v>1436</v>
      </c>
      <c r="U99" s="75" t="s">
        <v>1436</v>
      </c>
      <c r="V99" s="75" t="s">
        <v>1436</v>
      </c>
      <c r="W99" s="60"/>
      <c r="X99" s="73" t="str">
        <f t="shared" si="11"/>
        <v>Belum Dinilai</v>
      </c>
      <c r="Y99" s="73" t="str">
        <f t="shared" si="12"/>
        <v>Belum Dinilai</v>
      </c>
      <c r="Z99" s="74" t="str">
        <f t="shared" si="13"/>
        <v/>
      </c>
      <c r="AA99" s="74" t="str">
        <f t="shared" si="14"/>
        <v/>
      </c>
      <c r="AB99" s="74" t="str">
        <f t="shared" si="15"/>
        <v/>
      </c>
      <c r="AC99" s="61" t="s">
        <v>1436</v>
      </c>
      <c r="AD99" s="61" t="s">
        <v>1436</v>
      </c>
      <c r="AE99" s="61" t="s">
        <v>1436</v>
      </c>
      <c r="AF99" s="61" t="s">
        <v>1436</v>
      </c>
      <c r="AG99" s="61" t="s">
        <v>1436</v>
      </c>
      <c r="AH99" s="61" t="s">
        <v>1436</v>
      </c>
      <c r="AI99" s="61" t="s">
        <v>1436</v>
      </c>
      <c r="AJ99" s="61" t="s">
        <v>1436</v>
      </c>
      <c r="AK99" s="61" t="s">
        <v>1436</v>
      </c>
      <c r="AL99" s="61"/>
      <c r="AM99" s="61" t="s">
        <v>1436</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1407</v>
      </c>
      <c r="AV99" s="59" t="s">
        <v>1424</v>
      </c>
      <c r="AW99" s="59" t="s">
        <v>1522</v>
      </c>
      <c r="AX99" s="59" t="s">
        <v>1426</v>
      </c>
      <c r="AY99" s="59">
        <v>2021</v>
      </c>
      <c r="AZ99" s="59" t="s">
        <v>1408</v>
      </c>
      <c r="BA99" s="59"/>
      <c r="BB99" s="167"/>
      <c r="BC99" s="65">
        <v>2026</v>
      </c>
      <c r="BD99" s="59"/>
      <c r="BE99" s="167"/>
      <c r="BF99" s="59" t="s">
        <v>1500</v>
      </c>
    </row>
    <row r="100" spans="1:58" ht="28">
      <c r="A100" s="59" t="s">
        <v>1898</v>
      </c>
      <c r="B100" s="59" t="s">
        <v>1899</v>
      </c>
      <c r="C100" s="59"/>
      <c r="D100" s="59"/>
      <c r="E100" s="59" t="s">
        <v>1900</v>
      </c>
      <c r="F100" s="59" t="s">
        <v>1579</v>
      </c>
      <c r="G100" s="59" t="s">
        <v>1511</v>
      </c>
      <c r="H100" s="59" t="s">
        <v>1414</v>
      </c>
      <c r="I100" s="59" t="s">
        <v>1894</v>
      </c>
      <c r="J100" s="59" t="s">
        <v>1430</v>
      </c>
      <c r="K100" s="59" t="s">
        <v>1521</v>
      </c>
      <c r="L100" s="59" t="s">
        <v>1436</v>
      </c>
      <c r="M100" s="59" t="s">
        <v>1488</v>
      </c>
      <c r="N100" s="59" t="s">
        <v>1436</v>
      </c>
      <c r="O100" s="59" t="s">
        <v>1521</v>
      </c>
      <c r="P100" s="59" t="s">
        <v>1436</v>
      </c>
      <c r="Q100" s="75" t="s">
        <v>1436</v>
      </c>
      <c r="R100" s="75" t="s">
        <v>1436</v>
      </c>
      <c r="S100" s="75" t="s">
        <v>1436</v>
      </c>
      <c r="T100" s="75" t="s">
        <v>1436</v>
      </c>
      <c r="U100" s="75" t="s">
        <v>1436</v>
      </c>
      <c r="V100" s="75" t="s">
        <v>1436</v>
      </c>
      <c r="W100" s="60"/>
      <c r="X100" s="73" t="str">
        <f t="shared" si="11"/>
        <v>Belum Dinilai</v>
      </c>
      <c r="Y100" s="73" t="str">
        <f t="shared" si="12"/>
        <v>Belum Dinilai</v>
      </c>
      <c r="Z100" s="74" t="str">
        <f t="shared" si="13"/>
        <v/>
      </c>
      <c r="AA100" s="74" t="str">
        <f t="shared" si="14"/>
        <v/>
      </c>
      <c r="AB100" s="74" t="str">
        <f t="shared" si="15"/>
        <v/>
      </c>
      <c r="AC100" s="61" t="s">
        <v>1436</v>
      </c>
      <c r="AD100" s="61" t="s">
        <v>1436</v>
      </c>
      <c r="AE100" s="61" t="s">
        <v>1436</v>
      </c>
      <c r="AF100" s="61" t="s">
        <v>1436</v>
      </c>
      <c r="AG100" s="61" t="s">
        <v>1436</v>
      </c>
      <c r="AH100" s="61" t="s">
        <v>1436</v>
      </c>
      <c r="AI100" s="61" t="s">
        <v>1436</v>
      </c>
      <c r="AJ100" s="61" t="s">
        <v>1436</v>
      </c>
      <c r="AK100" s="61" t="s">
        <v>1436</v>
      </c>
      <c r="AL100" s="61"/>
      <c r="AM100" s="61" t="s">
        <v>1436</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1407</v>
      </c>
      <c r="AV100" s="59" t="s">
        <v>1424</v>
      </c>
      <c r="AW100" s="59" t="s">
        <v>1522</v>
      </c>
      <c r="AX100" s="59" t="s">
        <v>1426</v>
      </c>
      <c r="AY100" s="59">
        <v>2022</v>
      </c>
      <c r="AZ100" s="59" t="s">
        <v>1408</v>
      </c>
      <c r="BA100" s="59"/>
      <c r="BB100" s="167"/>
      <c r="BC100" s="65">
        <v>2026</v>
      </c>
      <c r="BD100" s="59"/>
      <c r="BE100" s="167"/>
      <c r="BF100" s="59" t="s">
        <v>1500</v>
      </c>
    </row>
    <row r="101" spans="1:58" ht="28">
      <c r="A101" s="59" t="s">
        <v>1901</v>
      </c>
      <c r="B101" s="59" t="s">
        <v>1902</v>
      </c>
      <c r="C101" s="59"/>
      <c r="D101" s="59"/>
      <c r="E101" s="59" t="s">
        <v>1903</v>
      </c>
      <c r="F101" s="59" t="s">
        <v>1612</v>
      </c>
      <c r="G101" s="59" t="s">
        <v>1511</v>
      </c>
      <c r="H101" s="59" t="s">
        <v>1398</v>
      </c>
      <c r="I101" s="59" t="s">
        <v>1894</v>
      </c>
      <c r="J101" s="59" t="s">
        <v>1430</v>
      </c>
      <c r="K101" s="59" t="s">
        <v>1521</v>
      </c>
      <c r="L101" s="59" t="s">
        <v>1436</v>
      </c>
      <c r="M101" s="59" t="s">
        <v>1488</v>
      </c>
      <c r="N101" s="59" t="s">
        <v>1436</v>
      </c>
      <c r="O101" s="59" t="s">
        <v>1521</v>
      </c>
      <c r="P101" s="59" t="s">
        <v>1436</v>
      </c>
      <c r="Q101" s="75" t="s">
        <v>1436</v>
      </c>
      <c r="R101" s="75" t="s">
        <v>1436</v>
      </c>
      <c r="S101" s="75" t="s">
        <v>1436</v>
      </c>
      <c r="T101" s="75" t="s">
        <v>1436</v>
      </c>
      <c r="U101" s="75" t="s">
        <v>1436</v>
      </c>
      <c r="V101" s="75" t="s">
        <v>1436</v>
      </c>
      <c r="W101" s="60"/>
      <c r="X101" s="73" t="str">
        <f t="shared" si="11"/>
        <v>Belum Dinilai</v>
      </c>
      <c r="Y101" s="73" t="str">
        <f t="shared" si="12"/>
        <v>Belum Dinilai</v>
      </c>
      <c r="Z101" s="74" t="str">
        <f t="shared" si="13"/>
        <v/>
      </c>
      <c r="AA101" s="74" t="str">
        <f t="shared" si="14"/>
        <v/>
      </c>
      <c r="AB101" s="74" t="str">
        <f t="shared" si="15"/>
        <v/>
      </c>
      <c r="AC101" s="61" t="s">
        <v>1436</v>
      </c>
      <c r="AD101" s="61" t="s">
        <v>1436</v>
      </c>
      <c r="AE101" s="61" t="s">
        <v>1436</v>
      </c>
      <c r="AF101" s="61" t="s">
        <v>1436</v>
      </c>
      <c r="AG101" s="61" t="s">
        <v>1436</v>
      </c>
      <c r="AH101" s="61" t="s">
        <v>1436</v>
      </c>
      <c r="AI101" s="61" t="s">
        <v>1436</v>
      </c>
      <c r="AJ101" s="61" t="s">
        <v>1436</v>
      </c>
      <c r="AK101" s="61" t="s">
        <v>1436</v>
      </c>
      <c r="AL101" s="61"/>
      <c r="AM101" s="61" t="s">
        <v>1436</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1407</v>
      </c>
      <c r="AV101" s="59" t="s">
        <v>1424</v>
      </c>
      <c r="AW101" s="59" t="s">
        <v>1522</v>
      </c>
      <c r="AX101" s="59" t="s">
        <v>1426</v>
      </c>
      <c r="AY101" s="59">
        <v>2023</v>
      </c>
      <c r="AZ101" s="59" t="s">
        <v>1408</v>
      </c>
      <c r="BA101" s="59"/>
      <c r="BB101" s="167"/>
      <c r="BC101" s="65">
        <v>2026</v>
      </c>
      <c r="BD101" s="59"/>
      <c r="BE101" s="167"/>
      <c r="BF101" s="59" t="s">
        <v>1500</v>
      </c>
    </row>
    <row r="102" spans="1:58" ht="28">
      <c r="A102" s="59" t="s">
        <v>1904</v>
      </c>
      <c r="B102" s="59" t="s">
        <v>1905</v>
      </c>
      <c r="C102" s="59"/>
      <c r="D102" s="59"/>
      <c r="E102" s="59" t="s">
        <v>1906</v>
      </c>
      <c r="F102" s="59" t="s">
        <v>1612</v>
      </c>
      <c r="G102" s="59" t="s">
        <v>1511</v>
      </c>
      <c r="H102" s="59" t="s">
        <v>1414</v>
      </c>
      <c r="I102" s="59" t="s">
        <v>1907</v>
      </c>
      <c r="J102" s="59" t="s">
        <v>1484</v>
      </c>
      <c r="K102" s="59" t="s">
        <v>1521</v>
      </c>
      <c r="L102" s="59" t="s">
        <v>1486</v>
      </c>
      <c r="M102" s="59" t="s">
        <v>1521</v>
      </c>
      <c r="N102" s="59" t="s">
        <v>1436</v>
      </c>
      <c r="O102" s="59" t="s">
        <v>1521</v>
      </c>
      <c r="P102" s="59" t="s">
        <v>1436</v>
      </c>
      <c r="Q102" s="75" t="s">
        <v>1436</v>
      </c>
      <c r="R102" s="75" t="s">
        <v>1436</v>
      </c>
      <c r="S102" s="75" t="s">
        <v>1436</v>
      </c>
      <c r="T102" s="75" t="s">
        <v>1436</v>
      </c>
      <c r="U102" s="75" t="s">
        <v>1436</v>
      </c>
      <c r="V102" s="75" t="s">
        <v>1436</v>
      </c>
      <c r="W102" s="60"/>
      <c r="X102" s="73" t="str">
        <f t="shared" si="11"/>
        <v>Belum Dinilai</v>
      </c>
      <c r="Y102" s="73" t="str">
        <f t="shared" si="12"/>
        <v>Belum Dinilai</v>
      </c>
      <c r="Z102" s="74" t="str">
        <f t="shared" si="13"/>
        <v/>
      </c>
      <c r="AA102" s="74" t="str">
        <f t="shared" si="14"/>
        <v/>
      </c>
      <c r="AB102" s="74" t="str">
        <f t="shared" si="15"/>
        <v/>
      </c>
      <c r="AC102" s="61" t="s">
        <v>1436</v>
      </c>
      <c r="AD102" s="61" t="s">
        <v>1436</v>
      </c>
      <c r="AE102" s="61" t="s">
        <v>1436</v>
      </c>
      <c r="AF102" s="61" t="s">
        <v>1436</v>
      </c>
      <c r="AG102" s="61" t="s">
        <v>1436</v>
      </c>
      <c r="AH102" s="61" t="s">
        <v>1436</v>
      </c>
      <c r="AI102" s="61" t="s">
        <v>1436</v>
      </c>
      <c r="AJ102" s="61" t="s">
        <v>1436</v>
      </c>
      <c r="AK102" s="61" t="s">
        <v>1436</v>
      </c>
      <c r="AL102" s="61"/>
      <c r="AM102" s="61" t="s">
        <v>1436</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1423</v>
      </c>
      <c r="AV102" s="59" t="s">
        <v>1424</v>
      </c>
      <c r="AW102" s="59" t="s">
        <v>1409</v>
      </c>
      <c r="AX102" s="59" t="s">
        <v>1410</v>
      </c>
      <c r="AY102" s="59"/>
      <c r="AZ102" s="59" t="s">
        <v>1408</v>
      </c>
      <c r="BA102" s="59"/>
      <c r="BB102" s="167"/>
      <c r="BC102" s="65">
        <v>2026</v>
      </c>
      <c r="BD102" s="59"/>
      <c r="BE102" s="167"/>
      <c r="BF102" s="59" t="s">
        <v>1500</v>
      </c>
    </row>
    <row r="103" spans="1:58" ht="28">
      <c r="A103" s="59" t="s">
        <v>1908</v>
      </c>
      <c r="B103" s="59" t="s">
        <v>1909</v>
      </c>
      <c r="C103" s="59"/>
      <c r="D103" s="59"/>
      <c r="E103" s="59" t="s">
        <v>1523</v>
      </c>
      <c r="F103" s="59" t="s">
        <v>1612</v>
      </c>
      <c r="G103" s="59" t="s">
        <v>1511</v>
      </c>
      <c r="H103" s="59" t="s">
        <v>1483</v>
      </c>
      <c r="I103" s="59" t="s">
        <v>1636</v>
      </c>
      <c r="J103" s="59" t="s">
        <v>1399</v>
      </c>
      <c r="K103" s="59" t="s">
        <v>1521</v>
      </c>
      <c r="L103" s="59" t="s">
        <v>1436</v>
      </c>
      <c r="M103" s="59" t="s">
        <v>1487</v>
      </c>
      <c r="N103" s="59" t="s">
        <v>1436</v>
      </c>
      <c r="O103" s="59" t="s">
        <v>1521</v>
      </c>
      <c r="P103" s="59" t="s">
        <v>1436</v>
      </c>
      <c r="Q103" s="75" t="s">
        <v>1436</v>
      </c>
      <c r="R103" s="75" t="s">
        <v>1436</v>
      </c>
      <c r="S103" s="75" t="s">
        <v>1436</v>
      </c>
      <c r="T103" s="75" t="s">
        <v>1436</v>
      </c>
      <c r="U103" s="75" t="s">
        <v>1436</v>
      </c>
      <c r="V103" s="75" t="s">
        <v>1436</v>
      </c>
      <c r="W103" s="60"/>
      <c r="X103" s="73" t="str">
        <f t="shared" si="11"/>
        <v>Belum Dinilai</v>
      </c>
      <c r="Y103" s="73" t="str">
        <f t="shared" si="12"/>
        <v>Belum Dinilai</v>
      </c>
      <c r="Z103" s="74" t="str">
        <f t="shared" si="13"/>
        <v/>
      </c>
      <c r="AA103" s="74" t="str">
        <f t="shared" si="14"/>
        <v/>
      </c>
      <c r="AB103" s="74" t="str">
        <f t="shared" si="15"/>
        <v/>
      </c>
      <c r="AC103" s="61" t="s">
        <v>1436</v>
      </c>
      <c r="AD103" s="61" t="s">
        <v>1436</v>
      </c>
      <c r="AE103" s="61" t="s">
        <v>1436</v>
      </c>
      <c r="AF103" s="61" t="s">
        <v>1436</v>
      </c>
      <c r="AG103" s="61" t="s">
        <v>1436</v>
      </c>
      <c r="AH103" s="61" t="s">
        <v>1436</v>
      </c>
      <c r="AI103" s="61" t="s">
        <v>1436</v>
      </c>
      <c r="AJ103" s="61" t="s">
        <v>1436</v>
      </c>
      <c r="AK103" s="61" t="s">
        <v>1436</v>
      </c>
      <c r="AL103" s="61"/>
      <c r="AM103" s="61" t="s">
        <v>1436</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1423</v>
      </c>
      <c r="AV103" s="59" t="s">
        <v>1424</v>
      </c>
      <c r="AW103" s="59" t="s">
        <v>1409</v>
      </c>
      <c r="AX103" s="59" t="s">
        <v>1410</v>
      </c>
      <c r="AY103" s="59"/>
      <c r="AZ103" s="59" t="s">
        <v>1408</v>
      </c>
      <c r="BA103" s="59"/>
      <c r="BB103" s="167"/>
      <c r="BC103" s="65">
        <v>2026</v>
      </c>
      <c r="BD103" s="59"/>
      <c r="BE103" s="167"/>
      <c r="BF103" s="59" t="s">
        <v>1500</v>
      </c>
    </row>
    <row r="104" spans="1:58" ht="28">
      <c r="A104" s="59" t="s">
        <v>1910</v>
      </c>
      <c r="B104" s="59" t="s">
        <v>1911</v>
      </c>
      <c r="C104" s="59"/>
      <c r="D104" s="59"/>
      <c r="E104" s="59" t="s">
        <v>1523</v>
      </c>
      <c r="F104" s="59" t="s">
        <v>1538</v>
      </c>
      <c r="G104" s="59" t="s">
        <v>1511</v>
      </c>
      <c r="H104" s="59" t="s">
        <v>1483</v>
      </c>
      <c r="I104" s="59" t="s">
        <v>1912</v>
      </c>
      <c r="J104" s="59" t="s">
        <v>1430</v>
      </c>
      <c r="K104" s="59" t="s">
        <v>1521</v>
      </c>
      <c r="L104" s="59" t="s">
        <v>1436</v>
      </c>
      <c r="M104" s="59" t="s">
        <v>1488</v>
      </c>
      <c r="N104" s="59" t="s">
        <v>1436</v>
      </c>
      <c r="O104" s="59" t="s">
        <v>1503</v>
      </c>
      <c r="P104" s="59" t="s">
        <v>1504</v>
      </c>
      <c r="Q104" s="75" t="s">
        <v>1436</v>
      </c>
      <c r="R104" s="75" t="s">
        <v>1436</v>
      </c>
      <c r="S104" s="75" t="s">
        <v>1436</v>
      </c>
      <c r="T104" s="75" t="s">
        <v>1436</v>
      </c>
      <c r="U104" s="75" t="s">
        <v>1436</v>
      </c>
      <c r="V104" s="75" t="s">
        <v>1436</v>
      </c>
      <c r="W104" s="60"/>
      <c r="X104" s="73" t="str">
        <f t="shared" si="11"/>
        <v>Belum Dinilai</v>
      </c>
      <c r="Y104" s="73" t="str">
        <f t="shared" si="12"/>
        <v>Belum Dinilai</v>
      </c>
      <c r="Z104" s="74" t="str">
        <f t="shared" si="13"/>
        <v/>
      </c>
      <c r="AA104" s="74" t="str">
        <f t="shared" si="14"/>
        <v/>
      </c>
      <c r="AB104" s="74" t="str">
        <f t="shared" si="15"/>
        <v/>
      </c>
      <c r="AC104" s="61" t="s">
        <v>1436</v>
      </c>
      <c r="AD104" s="61" t="s">
        <v>1436</v>
      </c>
      <c r="AE104" s="61" t="s">
        <v>1436</v>
      </c>
      <c r="AF104" s="61" t="s">
        <v>1436</v>
      </c>
      <c r="AG104" s="61" t="s">
        <v>1436</v>
      </c>
      <c r="AH104" s="61" t="s">
        <v>1436</v>
      </c>
      <c r="AI104" s="61" t="s">
        <v>1436</v>
      </c>
      <c r="AJ104" s="61" t="s">
        <v>1436</v>
      </c>
      <c r="AK104" s="61" t="s">
        <v>1436</v>
      </c>
      <c r="AL104" s="61"/>
      <c r="AM104" s="61" t="s">
        <v>1436</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1407</v>
      </c>
      <c r="AV104" s="59" t="s">
        <v>1424</v>
      </c>
      <c r="AW104" s="59" t="s">
        <v>1409</v>
      </c>
      <c r="AX104" s="59" t="s">
        <v>1410</v>
      </c>
      <c r="AY104" s="59"/>
      <c r="AZ104" s="59" t="s">
        <v>1408</v>
      </c>
      <c r="BA104" s="59"/>
      <c r="BB104" s="167"/>
      <c r="BC104" s="65">
        <v>2026</v>
      </c>
      <c r="BD104" s="59"/>
      <c r="BE104" s="167"/>
      <c r="BF104" s="59" t="s">
        <v>1500</v>
      </c>
    </row>
    <row r="105" spans="1:58" ht="28">
      <c r="A105" s="59" t="s">
        <v>1913</v>
      </c>
      <c r="B105" s="59" t="s">
        <v>1911</v>
      </c>
      <c r="C105" s="59"/>
      <c r="D105" s="59"/>
      <c r="E105" s="59" t="s">
        <v>1523</v>
      </c>
      <c r="F105" s="59" t="s">
        <v>1538</v>
      </c>
      <c r="G105" s="59" t="s">
        <v>1511</v>
      </c>
      <c r="H105" s="59" t="s">
        <v>1483</v>
      </c>
      <c r="I105" s="59" t="s">
        <v>1914</v>
      </c>
      <c r="J105" s="59" t="s">
        <v>1484</v>
      </c>
      <c r="K105" s="59" t="s">
        <v>1521</v>
      </c>
      <c r="L105" s="59" t="s">
        <v>1436</v>
      </c>
      <c r="M105" s="59" t="s">
        <v>1521</v>
      </c>
      <c r="N105" s="59" t="s">
        <v>1436</v>
      </c>
      <c r="O105" s="59" t="s">
        <v>1521</v>
      </c>
      <c r="P105" s="59" t="s">
        <v>1436</v>
      </c>
      <c r="Q105" s="75" t="s">
        <v>1436</v>
      </c>
      <c r="R105" s="75" t="s">
        <v>1436</v>
      </c>
      <c r="S105" s="75" t="s">
        <v>1436</v>
      </c>
      <c r="T105" s="75" t="s">
        <v>1436</v>
      </c>
      <c r="U105" s="75" t="s">
        <v>1436</v>
      </c>
      <c r="V105" s="75" t="s">
        <v>1436</v>
      </c>
      <c r="W105" s="60"/>
      <c r="X105" s="73" t="str">
        <f t="shared" si="11"/>
        <v>Belum Dinilai</v>
      </c>
      <c r="Y105" s="73" t="str">
        <f t="shared" si="12"/>
        <v>Belum Dinilai</v>
      </c>
      <c r="Z105" s="74" t="str">
        <f t="shared" si="13"/>
        <v/>
      </c>
      <c r="AA105" s="74" t="str">
        <f t="shared" si="14"/>
        <v/>
      </c>
      <c r="AB105" s="74" t="str">
        <f t="shared" si="15"/>
        <v/>
      </c>
      <c r="AC105" s="61" t="s">
        <v>1436</v>
      </c>
      <c r="AD105" s="61" t="s">
        <v>1436</v>
      </c>
      <c r="AE105" s="61" t="s">
        <v>1436</v>
      </c>
      <c r="AF105" s="61" t="s">
        <v>1436</v>
      </c>
      <c r="AG105" s="61" t="s">
        <v>1436</v>
      </c>
      <c r="AH105" s="61" t="s">
        <v>1436</v>
      </c>
      <c r="AI105" s="61" t="s">
        <v>1436</v>
      </c>
      <c r="AJ105" s="61" t="s">
        <v>1436</v>
      </c>
      <c r="AK105" s="61" t="s">
        <v>1436</v>
      </c>
      <c r="AL105" s="61"/>
      <c r="AM105" s="61" t="s">
        <v>1436</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1423</v>
      </c>
      <c r="AV105" s="59" t="s">
        <v>1424</v>
      </c>
      <c r="AW105" s="59" t="s">
        <v>1409</v>
      </c>
      <c r="AX105" s="59" t="s">
        <v>1410</v>
      </c>
      <c r="AY105" s="59"/>
      <c r="AZ105" s="59" t="s">
        <v>1408</v>
      </c>
      <c r="BA105" s="59"/>
      <c r="BB105" s="167"/>
      <c r="BC105" s="65">
        <v>2026</v>
      </c>
      <c r="BD105" s="59"/>
      <c r="BE105" s="167"/>
      <c r="BF105" s="59" t="s">
        <v>1500</v>
      </c>
    </row>
    <row r="106" spans="1:58" ht="28">
      <c r="A106" s="59" t="s">
        <v>1915</v>
      </c>
      <c r="B106" s="59" t="s">
        <v>1916</v>
      </c>
      <c r="C106" s="59"/>
      <c r="D106" s="59"/>
      <c r="E106" s="59" t="s">
        <v>1917</v>
      </c>
      <c r="F106" s="59" t="s">
        <v>1694</v>
      </c>
      <c r="G106" s="59" t="s">
        <v>1533</v>
      </c>
      <c r="H106" s="59" t="s">
        <v>1414</v>
      </c>
      <c r="I106" s="59" t="s">
        <v>1918</v>
      </c>
      <c r="J106" s="59" t="s">
        <v>1399</v>
      </c>
      <c r="K106" s="59" t="s">
        <v>1521</v>
      </c>
      <c r="L106" s="59" t="s">
        <v>1436</v>
      </c>
      <c r="M106" s="59" t="s">
        <v>1433</v>
      </c>
      <c r="N106" s="59" t="s">
        <v>1436</v>
      </c>
      <c r="O106" s="59" t="s">
        <v>1434</v>
      </c>
      <c r="P106" s="59" t="s">
        <v>1436</v>
      </c>
      <c r="Q106" s="75" t="s">
        <v>1436</v>
      </c>
      <c r="R106" s="75" t="s">
        <v>1436</v>
      </c>
      <c r="S106" s="75" t="s">
        <v>1436</v>
      </c>
      <c r="T106" s="75" t="s">
        <v>1436</v>
      </c>
      <c r="U106" s="75" t="s">
        <v>1436</v>
      </c>
      <c r="V106" s="75" t="s">
        <v>1436</v>
      </c>
      <c r="W106" s="60"/>
      <c r="X106" s="73" t="str">
        <f t="shared" si="11"/>
        <v>Belum Dinilai</v>
      </c>
      <c r="Y106" s="73" t="str">
        <f t="shared" si="12"/>
        <v>Belum Dinilai</v>
      </c>
      <c r="Z106" s="74" t="str">
        <f t="shared" si="13"/>
        <v/>
      </c>
      <c r="AA106" s="74" t="str">
        <f t="shared" si="14"/>
        <v/>
      </c>
      <c r="AB106" s="74" t="str">
        <f t="shared" si="15"/>
        <v/>
      </c>
      <c r="AC106" s="61" t="s">
        <v>1436</v>
      </c>
      <c r="AD106" s="61" t="s">
        <v>1436</v>
      </c>
      <c r="AE106" s="61" t="s">
        <v>1436</v>
      </c>
      <c r="AF106" s="61" t="s">
        <v>1436</v>
      </c>
      <c r="AG106" s="61" t="s">
        <v>1436</v>
      </c>
      <c r="AH106" s="61" t="s">
        <v>1436</v>
      </c>
      <c r="AI106" s="61" t="s">
        <v>1436</v>
      </c>
      <c r="AJ106" s="61" t="s">
        <v>1436</v>
      </c>
      <c r="AK106" s="61" t="s">
        <v>1436</v>
      </c>
      <c r="AL106" s="61"/>
      <c r="AM106" s="61" t="s">
        <v>1436</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1423</v>
      </c>
      <c r="AV106" s="59" t="s">
        <v>1424</v>
      </c>
      <c r="AW106" s="59" t="s">
        <v>1522</v>
      </c>
      <c r="AX106" s="59" t="s">
        <v>1438</v>
      </c>
      <c r="AY106" s="59">
        <v>2023</v>
      </c>
      <c r="AZ106" s="59" t="s">
        <v>1408</v>
      </c>
      <c r="BA106" s="59"/>
      <c r="BB106" s="167"/>
      <c r="BC106" s="65">
        <v>2026</v>
      </c>
      <c r="BD106" s="59"/>
      <c r="BE106" s="167"/>
      <c r="BF106" s="59" t="s">
        <v>1500</v>
      </c>
    </row>
    <row r="107" spans="1:58" ht="28">
      <c r="A107" s="59" t="s">
        <v>1919</v>
      </c>
      <c r="B107" s="59" t="s">
        <v>1920</v>
      </c>
      <c r="C107" s="59"/>
      <c r="D107" s="59"/>
      <c r="E107" s="59" t="s">
        <v>1523</v>
      </c>
      <c r="F107" s="59" t="s">
        <v>1694</v>
      </c>
      <c r="G107" s="59" t="s">
        <v>1533</v>
      </c>
      <c r="H107" s="59" t="s">
        <v>1414</v>
      </c>
      <c r="I107" s="59" t="s">
        <v>1921</v>
      </c>
      <c r="J107" s="59" t="s">
        <v>1399</v>
      </c>
      <c r="K107" s="59" t="s">
        <v>1521</v>
      </c>
      <c r="L107" s="59" t="s">
        <v>1436</v>
      </c>
      <c r="M107" s="59" t="s">
        <v>1433</v>
      </c>
      <c r="N107" s="59" t="s">
        <v>1436</v>
      </c>
      <c r="O107" s="59" t="s">
        <v>1521</v>
      </c>
      <c r="P107" s="59" t="s">
        <v>1436</v>
      </c>
      <c r="Q107" s="75" t="s">
        <v>1436</v>
      </c>
      <c r="R107" s="75" t="s">
        <v>1436</v>
      </c>
      <c r="S107" s="75" t="s">
        <v>1436</v>
      </c>
      <c r="T107" s="75" t="s">
        <v>1436</v>
      </c>
      <c r="U107" s="75" t="s">
        <v>1436</v>
      </c>
      <c r="V107" s="75" t="s">
        <v>1436</v>
      </c>
      <c r="W107" s="60"/>
      <c r="X107" s="73" t="str">
        <f t="shared" si="11"/>
        <v>Belum Dinilai</v>
      </c>
      <c r="Y107" s="73" t="str">
        <f t="shared" si="12"/>
        <v>Belum Dinilai</v>
      </c>
      <c r="Z107" s="74" t="str">
        <f t="shared" si="13"/>
        <v/>
      </c>
      <c r="AA107" s="74" t="str">
        <f t="shared" si="14"/>
        <v/>
      </c>
      <c r="AB107" s="74" t="str">
        <f t="shared" si="15"/>
        <v/>
      </c>
      <c r="AC107" s="61" t="s">
        <v>1436</v>
      </c>
      <c r="AD107" s="61" t="s">
        <v>1436</v>
      </c>
      <c r="AE107" s="61" t="s">
        <v>1436</v>
      </c>
      <c r="AF107" s="61" t="s">
        <v>1436</v>
      </c>
      <c r="AG107" s="61" t="s">
        <v>1436</v>
      </c>
      <c r="AH107" s="61" t="s">
        <v>1436</v>
      </c>
      <c r="AI107" s="61" t="s">
        <v>1436</v>
      </c>
      <c r="AJ107" s="61" t="s">
        <v>1436</v>
      </c>
      <c r="AK107" s="61" t="s">
        <v>1436</v>
      </c>
      <c r="AL107" s="61"/>
      <c r="AM107" s="61" t="s">
        <v>1436</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1407</v>
      </c>
      <c r="AV107" s="59" t="s">
        <v>1424</v>
      </c>
      <c r="AW107" s="59" t="s">
        <v>1409</v>
      </c>
      <c r="AX107" s="59" t="s">
        <v>1410</v>
      </c>
      <c r="AY107" s="59"/>
      <c r="AZ107" s="59" t="s">
        <v>1408</v>
      </c>
      <c r="BA107" s="59"/>
      <c r="BB107" s="167"/>
      <c r="BC107" s="65">
        <v>2026</v>
      </c>
      <c r="BD107" s="59"/>
      <c r="BE107" s="167"/>
      <c r="BF107" s="59" t="s">
        <v>1500</v>
      </c>
    </row>
    <row r="108" spans="1:58" ht="28">
      <c r="A108" s="59" t="s">
        <v>1922</v>
      </c>
      <c r="B108" s="59" t="s">
        <v>1923</v>
      </c>
      <c r="C108" s="59"/>
      <c r="D108" s="59"/>
      <c r="E108" s="59" t="s">
        <v>1924</v>
      </c>
      <c r="F108" s="59" t="s">
        <v>1694</v>
      </c>
      <c r="G108" s="59" t="s">
        <v>1533</v>
      </c>
      <c r="H108" s="59" t="s">
        <v>1414</v>
      </c>
      <c r="I108" s="59" t="s">
        <v>1921</v>
      </c>
      <c r="J108" s="59" t="s">
        <v>1399</v>
      </c>
      <c r="K108" s="59" t="s">
        <v>1521</v>
      </c>
      <c r="L108" s="59" t="s">
        <v>1436</v>
      </c>
      <c r="M108" s="59" t="s">
        <v>1433</v>
      </c>
      <c r="N108" s="59" t="s">
        <v>1436</v>
      </c>
      <c r="O108" s="59" t="s">
        <v>1521</v>
      </c>
      <c r="P108" s="59" t="s">
        <v>1436</v>
      </c>
      <c r="Q108" s="75" t="s">
        <v>1436</v>
      </c>
      <c r="R108" s="75" t="s">
        <v>1436</v>
      </c>
      <c r="S108" s="75" t="s">
        <v>1436</v>
      </c>
      <c r="T108" s="75" t="s">
        <v>1436</v>
      </c>
      <c r="U108" s="75" t="s">
        <v>1436</v>
      </c>
      <c r="V108" s="75" t="s">
        <v>1436</v>
      </c>
      <c r="W108" s="60"/>
      <c r="X108" s="73" t="str">
        <f t="shared" si="11"/>
        <v>Belum Dinilai</v>
      </c>
      <c r="Y108" s="73" t="str">
        <f t="shared" si="12"/>
        <v>Belum Dinilai</v>
      </c>
      <c r="Z108" s="74" t="str">
        <f t="shared" si="13"/>
        <v/>
      </c>
      <c r="AA108" s="74" t="str">
        <f t="shared" si="14"/>
        <v/>
      </c>
      <c r="AB108" s="74" t="str">
        <f t="shared" si="15"/>
        <v/>
      </c>
      <c r="AC108" s="61" t="s">
        <v>1436</v>
      </c>
      <c r="AD108" s="61" t="s">
        <v>1436</v>
      </c>
      <c r="AE108" s="61" t="s">
        <v>1436</v>
      </c>
      <c r="AF108" s="61" t="s">
        <v>1436</v>
      </c>
      <c r="AG108" s="61" t="s">
        <v>1436</v>
      </c>
      <c r="AH108" s="61" t="s">
        <v>1436</v>
      </c>
      <c r="AI108" s="61" t="s">
        <v>1436</v>
      </c>
      <c r="AJ108" s="61" t="s">
        <v>1436</v>
      </c>
      <c r="AK108" s="61" t="s">
        <v>1436</v>
      </c>
      <c r="AL108" s="61"/>
      <c r="AM108" s="61" t="s">
        <v>1436</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1423</v>
      </c>
      <c r="AV108" s="59" t="s">
        <v>1424</v>
      </c>
      <c r="AW108" s="59" t="s">
        <v>1409</v>
      </c>
      <c r="AX108" s="59" t="s">
        <v>1410</v>
      </c>
      <c r="AY108" s="59"/>
      <c r="AZ108" s="59" t="s">
        <v>1408</v>
      </c>
      <c r="BA108" s="59"/>
      <c r="BB108" s="167"/>
      <c r="BC108" s="65">
        <v>2026</v>
      </c>
      <c r="BD108" s="59"/>
      <c r="BE108" s="167"/>
      <c r="BF108" s="59" t="s">
        <v>1500</v>
      </c>
    </row>
    <row r="109" spans="1:58" ht="28">
      <c r="A109" s="59" t="s">
        <v>1925</v>
      </c>
      <c r="B109" s="59" t="s">
        <v>1926</v>
      </c>
      <c r="C109" s="59"/>
      <c r="D109" s="59"/>
      <c r="E109" s="59" t="s">
        <v>1927</v>
      </c>
      <c r="F109" s="59" t="s">
        <v>1866</v>
      </c>
      <c r="G109" s="59" t="s">
        <v>1497</v>
      </c>
      <c r="H109" s="59" t="s">
        <v>1398</v>
      </c>
      <c r="I109" s="59" t="s">
        <v>1512</v>
      </c>
      <c r="J109" s="59" t="s">
        <v>1430</v>
      </c>
      <c r="K109" s="59" t="s">
        <v>1521</v>
      </c>
      <c r="L109" s="59" t="s">
        <v>1436</v>
      </c>
      <c r="M109" s="59" t="s">
        <v>1488</v>
      </c>
      <c r="N109" s="59" t="s">
        <v>1436</v>
      </c>
      <c r="O109" s="59" t="s">
        <v>1521</v>
      </c>
      <c r="P109" s="59" t="s">
        <v>1436</v>
      </c>
      <c r="Q109" s="75" t="s">
        <v>1436</v>
      </c>
      <c r="R109" s="75" t="s">
        <v>1436</v>
      </c>
      <c r="S109" s="75" t="s">
        <v>1436</v>
      </c>
      <c r="T109" s="75" t="s">
        <v>1436</v>
      </c>
      <c r="U109" s="75" t="s">
        <v>1436</v>
      </c>
      <c r="V109" s="75" t="s">
        <v>1436</v>
      </c>
      <c r="W109" s="60"/>
      <c r="X109" s="73" t="str">
        <f t="shared" si="11"/>
        <v>Belum Dinilai</v>
      </c>
      <c r="Y109" s="73" t="str">
        <f t="shared" si="12"/>
        <v>Belum Dinilai</v>
      </c>
      <c r="Z109" s="74" t="str">
        <f t="shared" si="13"/>
        <v/>
      </c>
      <c r="AA109" s="74" t="str">
        <f t="shared" si="14"/>
        <v/>
      </c>
      <c r="AB109" s="74" t="str">
        <f t="shared" si="15"/>
        <v/>
      </c>
      <c r="AC109" s="61" t="s">
        <v>1436</v>
      </c>
      <c r="AD109" s="61" t="s">
        <v>1436</v>
      </c>
      <c r="AE109" s="61" t="s">
        <v>1436</v>
      </c>
      <c r="AF109" s="61" t="s">
        <v>1436</v>
      </c>
      <c r="AG109" s="61" t="s">
        <v>1436</v>
      </c>
      <c r="AH109" s="61" t="s">
        <v>1436</v>
      </c>
      <c r="AI109" s="61" t="s">
        <v>1436</v>
      </c>
      <c r="AJ109" s="61" t="s">
        <v>1436</v>
      </c>
      <c r="AK109" s="61" t="s">
        <v>1436</v>
      </c>
      <c r="AL109" s="61"/>
      <c r="AM109" s="61" t="s">
        <v>1436</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1423</v>
      </c>
      <c r="AV109" s="59" t="s">
        <v>1424</v>
      </c>
      <c r="AW109" s="59" t="s">
        <v>1409</v>
      </c>
      <c r="AX109" s="59" t="s">
        <v>1410</v>
      </c>
      <c r="AY109" s="59"/>
      <c r="AZ109" s="59" t="s">
        <v>1408</v>
      </c>
      <c r="BA109" s="59"/>
      <c r="BB109" s="167"/>
      <c r="BC109" s="65">
        <v>2026</v>
      </c>
      <c r="BD109" s="59"/>
      <c r="BE109" s="167"/>
      <c r="BF109" s="59" t="s">
        <v>1500</v>
      </c>
    </row>
    <row r="110" spans="1:58" ht="28">
      <c r="A110" s="59" t="s">
        <v>1928</v>
      </c>
      <c r="B110" s="59" t="s">
        <v>1929</v>
      </c>
      <c r="C110" s="59"/>
      <c r="D110" s="59"/>
      <c r="E110" s="59" t="s">
        <v>1927</v>
      </c>
      <c r="F110" s="59" t="s">
        <v>1866</v>
      </c>
      <c r="G110" s="59" t="s">
        <v>1497</v>
      </c>
      <c r="H110" s="59" t="s">
        <v>1398</v>
      </c>
      <c r="I110" s="59" t="s">
        <v>1930</v>
      </c>
      <c r="J110" s="59" t="s">
        <v>1430</v>
      </c>
      <c r="K110" s="59" t="s">
        <v>1521</v>
      </c>
      <c r="L110" s="59" t="s">
        <v>1436</v>
      </c>
      <c r="M110" s="59" t="s">
        <v>1488</v>
      </c>
      <c r="N110" s="59" t="s">
        <v>1436</v>
      </c>
      <c r="O110" s="59" t="s">
        <v>1521</v>
      </c>
      <c r="P110" s="59" t="s">
        <v>1436</v>
      </c>
      <c r="Q110" s="75" t="s">
        <v>1436</v>
      </c>
      <c r="R110" s="75" t="s">
        <v>1436</v>
      </c>
      <c r="S110" s="75" t="s">
        <v>1436</v>
      </c>
      <c r="T110" s="75" t="s">
        <v>1436</v>
      </c>
      <c r="U110" s="75" t="s">
        <v>1436</v>
      </c>
      <c r="V110" s="75" t="s">
        <v>1436</v>
      </c>
      <c r="W110" s="60"/>
      <c r="X110" s="73" t="str">
        <f t="shared" si="11"/>
        <v>Belum Dinilai</v>
      </c>
      <c r="Y110" s="73" t="str">
        <f t="shared" si="12"/>
        <v>Belum Dinilai</v>
      </c>
      <c r="Z110" s="74" t="str">
        <f t="shared" si="13"/>
        <v/>
      </c>
      <c r="AA110" s="74" t="str">
        <f t="shared" si="14"/>
        <v/>
      </c>
      <c r="AB110" s="74" t="str">
        <f t="shared" si="15"/>
        <v/>
      </c>
      <c r="AC110" s="61" t="s">
        <v>1436</v>
      </c>
      <c r="AD110" s="61" t="s">
        <v>1436</v>
      </c>
      <c r="AE110" s="61" t="s">
        <v>1436</v>
      </c>
      <c r="AF110" s="61" t="s">
        <v>1436</v>
      </c>
      <c r="AG110" s="61" t="s">
        <v>1436</v>
      </c>
      <c r="AH110" s="61" t="s">
        <v>1436</v>
      </c>
      <c r="AI110" s="61" t="s">
        <v>1436</v>
      </c>
      <c r="AJ110" s="61" t="s">
        <v>1436</v>
      </c>
      <c r="AK110" s="61" t="s">
        <v>1436</v>
      </c>
      <c r="AL110" s="61"/>
      <c r="AM110" s="61" t="s">
        <v>1436</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1423</v>
      </c>
      <c r="AV110" s="59" t="s">
        <v>1424</v>
      </c>
      <c r="AW110" s="59" t="s">
        <v>1409</v>
      </c>
      <c r="AX110" s="59" t="s">
        <v>1410</v>
      </c>
      <c r="AY110" s="59"/>
      <c r="AZ110" s="59" t="s">
        <v>1408</v>
      </c>
      <c r="BA110" s="59"/>
      <c r="BB110" s="167"/>
      <c r="BC110" s="65">
        <v>2026</v>
      </c>
      <c r="BD110" s="59"/>
      <c r="BE110" s="167"/>
      <c r="BF110" s="59" t="s">
        <v>1500</v>
      </c>
    </row>
    <row r="111" spans="1:58" ht="28">
      <c r="A111" s="59" t="s">
        <v>1931</v>
      </c>
      <c r="B111" s="59" t="s">
        <v>1932</v>
      </c>
      <c r="C111" s="59"/>
      <c r="D111" s="59"/>
      <c r="E111" s="59" t="s">
        <v>1927</v>
      </c>
      <c r="F111" s="59" t="s">
        <v>1866</v>
      </c>
      <c r="G111" s="59" t="s">
        <v>1497</v>
      </c>
      <c r="H111" s="59" t="s">
        <v>1398</v>
      </c>
      <c r="I111" s="59" t="s">
        <v>1933</v>
      </c>
      <c r="J111" s="59" t="s">
        <v>1430</v>
      </c>
      <c r="K111" s="59" t="s">
        <v>1521</v>
      </c>
      <c r="L111" s="59" t="s">
        <v>1436</v>
      </c>
      <c r="M111" s="59" t="s">
        <v>1488</v>
      </c>
      <c r="N111" s="59" t="s">
        <v>1436</v>
      </c>
      <c r="O111" s="59" t="s">
        <v>1434</v>
      </c>
      <c r="P111" s="59" t="s">
        <v>1436</v>
      </c>
      <c r="Q111" s="75" t="s">
        <v>1436</v>
      </c>
      <c r="R111" s="75" t="s">
        <v>1436</v>
      </c>
      <c r="S111" s="75" t="s">
        <v>1436</v>
      </c>
      <c r="T111" s="75" t="s">
        <v>1436</v>
      </c>
      <c r="U111" s="75" t="s">
        <v>1436</v>
      </c>
      <c r="V111" s="75" t="s">
        <v>1436</v>
      </c>
      <c r="W111" s="60"/>
      <c r="X111" s="73" t="str">
        <f t="shared" si="11"/>
        <v>Belum Dinilai</v>
      </c>
      <c r="Y111" s="73" t="str">
        <f t="shared" si="12"/>
        <v>Belum Dinilai</v>
      </c>
      <c r="Z111" s="74" t="str">
        <f t="shared" si="13"/>
        <v/>
      </c>
      <c r="AA111" s="74" t="str">
        <f t="shared" si="14"/>
        <v/>
      </c>
      <c r="AB111" s="74" t="str">
        <f t="shared" si="15"/>
        <v/>
      </c>
      <c r="AC111" s="61" t="s">
        <v>1436</v>
      </c>
      <c r="AD111" s="61" t="s">
        <v>1436</v>
      </c>
      <c r="AE111" s="61" t="s">
        <v>1436</v>
      </c>
      <c r="AF111" s="61" t="s">
        <v>1436</v>
      </c>
      <c r="AG111" s="61" t="s">
        <v>1436</v>
      </c>
      <c r="AH111" s="61" t="s">
        <v>1436</v>
      </c>
      <c r="AI111" s="61" t="s">
        <v>1436</v>
      </c>
      <c r="AJ111" s="61" t="s">
        <v>1436</v>
      </c>
      <c r="AK111" s="61" t="s">
        <v>1436</v>
      </c>
      <c r="AL111" s="61"/>
      <c r="AM111" s="61" t="s">
        <v>1436</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1407</v>
      </c>
      <c r="AV111" s="59" t="s">
        <v>1424</v>
      </c>
      <c r="AW111" s="59" t="s">
        <v>1522</v>
      </c>
      <c r="AX111" s="59" t="s">
        <v>1426</v>
      </c>
      <c r="AY111" s="59">
        <v>2021</v>
      </c>
      <c r="AZ111" s="59" t="s">
        <v>1408</v>
      </c>
      <c r="BA111" s="59"/>
      <c r="BB111" s="167"/>
      <c r="BC111" s="65">
        <v>2026</v>
      </c>
      <c r="BD111" s="59"/>
      <c r="BE111" s="167"/>
      <c r="BF111" s="59" t="s">
        <v>1500</v>
      </c>
    </row>
    <row r="112" spans="1:58" ht="28">
      <c r="A112" s="59" t="s">
        <v>1934</v>
      </c>
      <c r="B112" s="59" t="s">
        <v>1935</v>
      </c>
      <c r="C112" s="59"/>
      <c r="D112" s="59"/>
      <c r="E112" s="59" t="s">
        <v>1927</v>
      </c>
      <c r="F112" s="59" t="s">
        <v>1866</v>
      </c>
      <c r="G112" s="59" t="s">
        <v>1497</v>
      </c>
      <c r="H112" s="59" t="s">
        <v>1398</v>
      </c>
      <c r="I112" s="59" t="s">
        <v>1933</v>
      </c>
      <c r="J112" s="59" t="s">
        <v>1430</v>
      </c>
      <c r="K112" s="59" t="s">
        <v>1521</v>
      </c>
      <c r="L112" s="59" t="s">
        <v>1436</v>
      </c>
      <c r="M112" s="59" t="s">
        <v>1488</v>
      </c>
      <c r="N112" s="59" t="s">
        <v>1436</v>
      </c>
      <c r="O112" s="59" t="s">
        <v>1434</v>
      </c>
      <c r="P112" s="59" t="s">
        <v>1436</v>
      </c>
      <c r="Q112" s="75" t="s">
        <v>1436</v>
      </c>
      <c r="R112" s="75" t="s">
        <v>1436</v>
      </c>
      <c r="S112" s="75" t="s">
        <v>1436</v>
      </c>
      <c r="T112" s="75" t="s">
        <v>1436</v>
      </c>
      <c r="U112" s="75" t="s">
        <v>1436</v>
      </c>
      <c r="V112" s="75" t="s">
        <v>1436</v>
      </c>
      <c r="W112" s="60"/>
      <c r="X112" s="73" t="str">
        <f t="shared" si="11"/>
        <v>Belum Dinilai</v>
      </c>
      <c r="Y112" s="73" t="str">
        <f t="shared" si="12"/>
        <v>Belum Dinilai</v>
      </c>
      <c r="Z112" s="74" t="str">
        <f t="shared" si="13"/>
        <v/>
      </c>
      <c r="AA112" s="74" t="str">
        <f t="shared" si="14"/>
        <v/>
      </c>
      <c r="AB112" s="74" t="str">
        <f t="shared" si="15"/>
        <v/>
      </c>
      <c r="AC112" s="61" t="s">
        <v>1436</v>
      </c>
      <c r="AD112" s="61" t="s">
        <v>1436</v>
      </c>
      <c r="AE112" s="61" t="s">
        <v>1436</v>
      </c>
      <c r="AF112" s="61" t="s">
        <v>1436</v>
      </c>
      <c r="AG112" s="61" t="s">
        <v>1436</v>
      </c>
      <c r="AH112" s="61" t="s">
        <v>1436</v>
      </c>
      <c r="AI112" s="61" t="s">
        <v>1436</v>
      </c>
      <c r="AJ112" s="61" t="s">
        <v>1436</v>
      </c>
      <c r="AK112" s="61" t="s">
        <v>1436</v>
      </c>
      <c r="AL112" s="61"/>
      <c r="AM112" s="61" t="s">
        <v>1436</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1407</v>
      </c>
      <c r="AV112" s="59" t="s">
        <v>1424</v>
      </c>
      <c r="AW112" s="59" t="s">
        <v>1409</v>
      </c>
      <c r="AX112" s="59" t="s">
        <v>1410</v>
      </c>
      <c r="AY112" s="59"/>
      <c r="AZ112" s="59" t="s">
        <v>1408</v>
      </c>
      <c r="BA112" s="59"/>
      <c r="BB112" s="167"/>
      <c r="BC112" s="65">
        <v>2026</v>
      </c>
      <c r="BD112" s="59"/>
      <c r="BE112" s="167"/>
      <c r="BF112" s="59" t="s">
        <v>1500</v>
      </c>
    </row>
    <row r="113" spans="1:58" ht="28">
      <c r="A113" s="59" t="s">
        <v>1936</v>
      </c>
      <c r="B113" s="59" t="s">
        <v>1937</v>
      </c>
      <c r="C113" s="59"/>
      <c r="D113" s="59"/>
      <c r="E113" s="59" t="s">
        <v>1927</v>
      </c>
      <c r="F113" s="59" t="s">
        <v>1866</v>
      </c>
      <c r="G113" s="59" t="s">
        <v>1497</v>
      </c>
      <c r="H113" s="59" t="s">
        <v>1398</v>
      </c>
      <c r="I113" s="59" t="s">
        <v>1938</v>
      </c>
      <c r="J113" s="59" t="s">
        <v>1430</v>
      </c>
      <c r="K113" s="59" t="s">
        <v>1521</v>
      </c>
      <c r="L113" s="59" t="s">
        <v>1436</v>
      </c>
      <c r="M113" s="59" t="s">
        <v>1488</v>
      </c>
      <c r="N113" s="59" t="s">
        <v>1436</v>
      </c>
      <c r="O113" s="59" t="s">
        <v>1488</v>
      </c>
      <c r="P113" s="59" t="s">
        <v>1436</v>
      </c>
      <c r="Q113" s="75" t="s">
        <v>1436</v>
      </c>
      <c r="R113" s="75" t="s">
        <v>1436</v>
      </c>
      <c r="S113" s="75" t="s">
        <v>1436</v>
      </c>
      <c r="T113" s="75" t="s">
        <v>1436</v>
      </c>
      <c r="U113" s="75" t="s">
        <v>1436</v>
      </c>
      <c r="V113" s="75" t="s">
        <v>1436</v>
      </c>
      <c r="W113" s="60"/>
      <c r="X113" s="73" t="str">
        <f t="shared" si="11"/>
        <v>Belum Dinilai</v>
      </c>
      <c r="Y113" s="73" t="str">
        <f t="shared" si="12"/>
        <v>Belum Dinilai</v>
      </c>
      <c r="Z113" s="74" t="str">
        <f t="shared" si="13"/>
        <v/>
      </c>
      <c r="AA113" s="74" t="str">
        <f t="shared" si="14"/>
        <v/>
      </c>
      <c r="AB113" s="74" t="str">
        <f t="shared" si="15"/>
        <v/>
      </c>
      <c r="AC113" s="61" t="s">
        <v>1436</v>
      </c>
      <c r="AD113" s="61" t="s">
        <v>1436</v>
      </c>
      <c r="AE113" s="61" t="s">
        <v>1436</v>
      </c>
      <c r="AF113" s="61" t="s">
        <v>1436</v>
      </c>
      <c r="AG113" s="61" t="s">
        <v>1436</v>
      </c>
      <c r="AH113" s="61" t="s">
        <v>1436</v>
      </c>
      <c r="AI113" s="61" t="s">
        <v>1436</v>
      </c>
      <c r="AJ113" s="61" t="s">
        <v>1436</v>
      </c>
      <c r="AK113" s="61" t="s">
        <v>1436</v>
      </c>
      <c r="AL113" s="61"/>
      <c r="AM113" s="61" t="s">
        <v>1436</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1407</v>
      </c>
      <c r="AV113" s="59" t="s">
        <v>1424</v>
      </c>
      <c r="AW113" s="59" t="s">
        <v>1409</v>
      </c>
      <c r="AX113" s="59" t="s">
        <v>1410</v>
      </c>
      <c r="AY113" s="59"/>
      <c r="AZ113" s="59" t="s">
        <v>1408</v>
      </c>
      <c r="BA113" s="59"/>
      <c r="BB113" s="167"/>
      <c r="BC113" s="65">
        <v>2026</v>
      </c>
      <c r="BD113" s="59"/>
      <c r="BE113" s="167"/>
      <c r="BF113" s="59" t="s">
        <v>1500</v>
      </c>
    </row>
    <row r="114" spans="1:58" ht="28">
      <c r="A114" s="59" t="s">
        <v>1939</v>
      </c>
      <c r="B114" s="59" t="s">
        <v>1940</v>
      </c>
      <c r="C114" s="59"/>
      <c r="D114" s="59"/>
      <c r="E114" s="59" t="s">
        <v>1941</v>
      </c>
      <c r="F114" s="59" t="s">
        <v>1496</v>
      </c>
      <c r="G114" s="59" t="s">
        <v>1497</v>
      </c>
      <c r="H114" s="59" t="s">
        <v>1398</v>
      </c>
      <c r="I114" s="59" t="s">
        <v>1942</v>
      </c>
      <c r="J114" s="59" t="s">
        <v>1484</v>
      </c>
      <c r="K114" s="59" t="s">
        <v>1521</v>
      </c>
      <c r="L114" s="59" t="s">
        <v>1436</v>
      </c>
      <c r="M114" s="59" t="s">
        <v>1521</v>
      </c>
      <c r="N114" s="59" t="s">
        <v>1436</v>
      </c>
      <c r="O114" s="59" t="s">
        <v>1434</v>
      </c>
      <c r="P114" s="59" t="s">
        <v>1436</v>
      </c>
      <c r="Q114" s="75" t="s">
        <v>1436</v>
      </c>
      <c r="R114" s="75" t="s">
        <v>1436</v>
      </c>
      <c r="S114" s="75" t="s">
        <v>1436</v>
      </c>
      <c r="T114" s="75" t="s">
        <v>1436</v>
      </c>
      <c r="U114" s="75" t="s">
        <v>1436</v>
      </c>
      <c r="V114" s="75" t="s">
        <v>1436</v>
      </c>
      <c r="W114" s="60"/>
      <c r="X114" s="73" t="str">
        <f t="shared" si="11"/>
        <v>Belum Dinilai</v>
      </c>
      <c r="Y114" s="73" t="str">
        <f t="shared" si="12"/>
        <v>Belum Dinilai</v>
      </c>
      <c r="Z114" s="74" t="str">
        <f t="shared" si="13"/>
        <v/>
      </c>
      <c r="AA114" s="74" t="str">
        <f t="shared" si="14"/>
        <v/>
      </c>
      <c r="AB114" s="74" t="str">
        <f t="shared" si="15"/>
        <v/>
      </c>
      <c r="AC114" s="61" t="s">
        <v>1436</v>
      </c>
      <c r="AD114" s="61" t="s">
        <v>1436</v>
      </c>
      <c r="AE114" s="61" t="s">
        <v>1436</v>
      </c>
      <c r="AF114" s="61" t="s">
        <v>1436</v>
      </c>
      <c r="AG114" s="61" t="s">
        <v>1436</v>
      </c>
      <c r="AH114" s="61" t="s">
        <v>1436</v>
      </c>
      <c r="AI114" s="61" t="s">
        <v>1436</v>
      </c>
      <c r="AJ114" s="61" t="s">
        <v>1436</v>
      </c>
      <c r="AK114" s="61" t="s">
        <v>1436</v>
      </c>
      <c r="AL114" s="61"/>
      <c r="AM114" s="61" t="s">
        <v>1436</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1407</v>
      </c>
      <c r="AV114" s="59" t="s">
        <v>1424</v>
      </c>
      <c r="AW114" s="59" t="s">
        <v>1522</v>
      </c>
      <c r="AX114" s="59" t="s">
        <v>1426</v>
      </c>
      <c r="AY114" s="59">
        <v>2021</v>
      </c>
      <c r="AZ114" s="59" t="s">
        <v>1408</v>
      </c>
      <c r="BA114" s="59"/>
      <c r="BB114" s="167"/>
      <c r="BC114" s="65">
        <v>2026</v>
      </c>
      <c r="BD114" s="59"/>
      <c r="BE114" s="167"/>
      <c r="BF114" s="59" t="s">
        <v>1500</v>
      </c>
    </row>
    <row r="115" spans="1:58" ht="28">
      <c r="A115" s="59" t="s">
        <v>1943</v>
      </c>
      <c r="B115" s="59" t="s">
        <v>1944</v>
      </c>
      <c r="C115" s="59"/>
      <c r="D115" s="59"/>
      <c r="E115" s="59" t="s">
        <v>1945</v>
      </c>
      <c r="F115" s="59" t="s">
        <v>1496</v>
      </c>
      <c r="G115" s="59" t="s">
        <v>1497</v>
      </c>
      <c r="H115" s="59" t="s">
        <v>1414</v>
      </c>
      <c r="I115" s="59" t="s">
        <v>1946</v>
      </c>
      <c r="J115" s="59" t="s">
        <v>1415</v>
      </c>
      <c r="K115" s="59" t="s">
        <v>1521</v>
      </c>
      <c r="L115" s="59" t="s">
        <v>1436</v>
      </c>
      <c r="M115" s="59" t="s">
        <v>1499</v>
      </c>
      <c r="N115" s="59" t="s">
        <v>1436</v>
      </c>
      <c r="O115" s="59" t="s">
        <v>1434</v>
      </c>
      <c r="P115" s="59" t="s">
        <v>1436</v>
      </c>
      <c r="Q115" s="75" t="s">
        <v>1436</v>
      </c>
      <c r="R115" s="75" t="s">
        <v>1436</v>
      </c>
      <c r="S115" s="75" t="s">
        <v>1436</v>
      </c>
      <c r="T115" s="75" t="s">
        <v>1436</v>
      </c>
      <c r="U115" s="75" t="s">
        <v>1436</v>
      </c>
      <c r="V115" s="75" t="s">
        <v>1436</v>
      </c>
      <c r="W115" s="60"/>
      <c r="X115" s="73" t="str">
        <f t="shared" si="11"/>
        <v>Belum Dinilai</v>
      </c>
      <c r="Y115" s="73" t="str">
        <f t="shared" si="12"/>
        <v>Belum Dinilai</v>
      </c>
      <c r="Z115" s="74" t="str">
        <f t="shared" si="13"/>
        <v/>
      </c>
      <c r="AA115" s="74" t="str">
        <f t="shared" si="14"/>
        <v/>
      </c>
      <c r="AB115" s="74" t="str">
        <f t="shared" si="15"/>
        <v/>
      </c>
      <c r="AC115" s="61" t="s">
        <v>1436</v>
      </c>
      <c r="AD115" s="61" t="s">
        <v>1436</v>
      </c>
      <c r="AE115" s="61" t="s">
        <v>1436</v>
      </c>
      <c r="AF115" s="61" t="s">
        <v>1436</v>
      </c>
      <c r="AG115" s="61" t="s">
        <v>1436</v>
      </c>
      <c r="AH115" s="61" t="s">
        <v>1436</v>
      </c>
      <c r="AI115" s="61" t="s">
        <v>1436</v>
      </c>
      <c r="AJ115" s="61" t="s">
        <v>1436</v>
      </c>
      <c r="AK115" s="61" t="s">
        <v>1436</v>
      </c>
      <c r="AL115" s="61"/>
      <c r="AM115" s="61" t="s">
        <v>1436</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1407</v>
      </c>
      <c r="AV115" s="59" t="s">
        <v>1424</v>
      </c>
      <c r="AW115" s="59" t="s">
        <v>1522</v>
      </c>
      <c r="AX115" s="59" t="s">
        <v>1426</v>
      </c>
      <c r="AY115" s="59">
        <v>2021</v>
      </c>
      <c r="AZ115" s="59" t="s">
        <v>1408</v>
      </c>
      <c r="BA115" s="59"/>
      <c r="BB115" s="167"/>
      <c r="BC115" s="65">
        <v>2026</v>
      </c>
      <c r="BD115" s="59"/>
      <c r="BE115" s="167"/>
      <c r="BF115" s="59" t="s">
        <v>1500</v>
      </c>
    </row>
    <row r="116" spans="1:58" ht="28">
      <c r="A116" s="59" t="s">
        <v>1947</v>
      </c>
      <c r="B116" s="59" t="s">
        <v>1948</v>
      </c>
      <c r="C116" s="59"/>
      <c r="D116" s="59"/>
      <c r="E116" s="59" t="s">
        <v>1949</v>
      </c>
      <c r="F116" s="59" t="s">
        <v>1496</v>
      </c>
      <c r="G116" s="59" t="s">
        <v>1497</v>
      </c>
      <c r="H116" s="59" t="s">
        <v>1398</v>
      </c>
      <c r="I116" s="59" t="s">
        <v>1950</v>
      </c>
      <c r="J116" s="59" t="s">
        <v>1415</v>
      </c>
      <c r="K116" s="59" t="s">
        <v>1521</v>
      </c>
      <c r="L116" s="59" t="s">
        <v>1436</v>
      </c>
      <c r="M116" s="59" t="s">
        <v>1499</v>
      </c>
      <c r="N116" s="59" t="s">
        <v>1436</v>
      </c>
      <c r="O116" s="59" t="s">
        <v>1434</v>
      </c>
      <c r="P116" s="59" t="s">
        <v>1436</v>
      </c>
      <c r="Q116" s="75" t="s">
        <v>1436</v>
      </c>
      <c r="R116" s="75" t="s">
        <v>1436</v>
      </c>
      <c r="S116" s="75" t="s">
        <v>1436</v>
      </c>
      <c r="T116" s="75" t="s">
        <v>1436</v>
      </c>
      <c r="U116" s="75" t="s">
        <v>1436</v>
      </c>
      <c r="V116" s="75" t="s">
        <v>1436</v>
      </c>
      <c r="W116" s="60"/>
      <c r="X116" s="73" t="str">
        <f t="shared" si="11"/>
        <v>Belum Dinilai</v>
      </c>
      <c r="Y116" s="73" t="str">
        <f t="shared" si="12"/>
        <v>Belum Dinilai</v>
      </c>
      <c r="Z116" s="74" t="str">
        <f t="shared" si="13"/>
        <v/>
      </c>
      <c r="AA116" s="74" t="str">
        <f t="shared" si="14"/>
        <v/>
      </c>
      <c r="AB116" s="74" t="str">
        <f t="shared" si="15"/>
        <v/>
      </c>
      <c r="AC116" s="61" t="s">
        <v>1436</v>
      </c>
      <c r="AD116" s="61" t="s">
        <v>1436</v>
      </c>
      <c r="AE116" s="61" t="s">
        <v>1436</v>
      </c>
      <c r="AF116" s="61" t="s">
        <v>1436</v>
      </c>
      <c r="AG116" s="61" t="s">
        <v>1436</v>
      </c>
      <c r="AH116" s="61" t="s">
        <v>1436</v>
      </c>
      <c r="AI116" s="61" t="s">
        <v>1436</v>
      </c>
      <c r="AJ116" s="61" t="s">
        <v>1436</v>
      </c>
      <c r="AK116" s="61" t="s">
        <v>1436</v>
      </c>
      <c r="AL116" s="61"/>
      <c r="AM116" s="61" t="s">
        <v>1436</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1407</v>
      </c>
      <c r="AV116" s="59" t="s">
        <v>1424</v>
      </c>
      <c r="AW116" s="59" t="s">
        <v>1522</v>
      </c>
      <c r="AX116" s="59" t="s">
        <v>1426</v>
      </c>
      <c r="AY116" s="59">
        <v>2023</v>
      </c>
      <c r="AZ116" s="59" t="s">
        <v>1408</v>
      </c>
      <c r="BA116" s="59"/>
      <c r="BB116" s="167"/>
      <c r="BC116" s="65">
        <v>2026</v>
      </c>
      <c r="BD116" s="59"/>
      <c r="BE116" s="167"/>
      <c r="BF116" s="59" t="s">
        <v>1500</v>
      </c>
    </row>
    <row r="117" spans="1:58" ht="28">
      <c r="A117" s="59" t="s">
        <v>1951</v>
      </c>
      <c r="B117" s="59" t="s">
        <v>1952</v>
      </c>
      <c r="C117" s="59"/>
      <c r="D117" s="59"/>
      <c r="E117" s="59" t="s">
        <v>1949</v>
      </c>
      <c r="F117" s="59" t="s">
        <v>1496</v>
      </c>
      <c r="G117" s="59" t="s">
        <v>1497</v>
      </c>
      <c r="H117" s="59" t="s">
        <v>1398</v>
      </c>
      <c r="I117" s="59" t="s">
        <v>1950</v>
      </c>
      <c r="J117" s="59" t="s">
        <v>1415</v>
      </c>
      <c r="K117" s="59" t="s">
        <v>1521</v>
      </c>
      <c r="L117" s="59" t="s">
        <v>1436</v>
      </c>
      <c r="M117" s="59" t="s">
        <v>1499</v>
      </c>
      <c r="N117" s="59" t="s">
        <v>1436</v>
      </c>
      <c r="O117" s="59" t="s">
        <v>1434</v>
      </c>
      <c r="P117" s="59" t="s">
        <v>1436</v>
      </c>
      <c r="Q117" s="75" t="s">
        <v>1436</v>
      </c>
      <c r="R117" s="75" t="s">
        <v>1436</v>
      </c>
      <c r="S117" s="75" t="s">
        <v>1436</v>
      </c>
      <c r="T117" s="75" t="s">
        <v>1436</v>
      </c>
      <c r="U117" s="75" t="s">
        <v>1436</v>
      </c>
      <c r="V117" s="75" t="s">
        <v>1436</v>
      </c>
      <c r="W117" s="60"/>
      <c r="X117" s="73" t="str">
        <f t="shared" si="11"/>
        <v>Belum Dinilai</v>
      </c>
      <c r="Y117" s="73" t="str">
        <f t="shared" si="12"/>
        <v>Belum Dinilai</v>
      </c>
      <c r="Z117" s="74" t="str">
        <f t="shared" si="13"/>
        <v/>
      </c>
      <c r="AA117" s="74" t="str">
        <f t="shared" si="14"/>
        <v/>
      </c>
      <c r="AB117" s="74" t="str">
        <f t="shared" si="15"/>
        <v/>
      </c>
      <c r="AC117" s="61" t="s">
        <v>1436</v>
      </c>
      <c r="AD117" s="61" t="s">
        <v>1436</v>
      </c>
      <c r="AE117" s="61" t="s">
        <v>1436</v>
      </c>
      <c r="AF117" s="61" t="s">
        <v>1436</v>
      </c>
      <c r="AG117" s="61" t="s">
        <v>1436</v>
      </c>
      <c r="AH117" s="61" t="s">
        <v>1436</v>
      </c>
      <c r="AI117" s="61" t="s">
        <v>1436</v>
      </c>
      <c r="AJ117" s="61" t="s">
        <v>1436</v>
      </c>
      <c r="AK117" s="61" t="s">
        <v>1436</v>
      </c>
      <c r="AL117" s="61"/>
      <c r="AM117" s="61" t="s">
        <v>1436</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1407</v>
      </c>
      <c r="AV117" s="59" t="s">
        <v>1424</v>
      </c>
      <c r="AW117" s="59" t="s">
        <v>1522</v>
      </c>
      <c r="AX117" s="59" t="s">
        <v>1426</v>
      </c>
      <c r="AY117" s="59">
        <v>2023</v>
      </c>
      <c r="AZ117" s="59" t="s">
        <v>1408</v>
      </c>
      <c r="BA117" s="59"/>
      <c r="BB117" s="167"/>
      <c r="BC117" s="65">
        <v>2026</v>
      </c>
      <c r="BD117" s="59"/>
      <c r="BE117" s="167"/>
      <c r="BF117" s="59" t="s">
        <v>1500</v>
      </c>
    </row>
    <row r="118" spans="1:58" ht="28">
      <c r="A118" s="59" t="s">
        <v>1953</v>
      </c>
      <c r="B118" s="59" t="s">
        <v>1954</v>
      </c>
      <c r="C118" s="59"/>
      <c r="D118" s="59"/>
      <c r="E118" s="59" t="s">
        <v>1955</v>
      </c>
      <c r="F118" s="59" t="s">
        <v>1782</v>
      </c>
      <c r="G118" s="59" t="s">
        <v>1497</v>
      </c>
      <c r="H118" s="59" t="s">
        <v>1398</v>
      </c>
      <c r="I118" s="59" t="s">
        <v>1956</v>
      </c>
      <c r="J118" s="59" t="s">
        <v>1430</v>
      </c>
      <c r="K118" s="59" t="s">
        <v>1521</v>
      </c>
      <c r="L118" s="59" t="s">
        <v>1436</v>
      </c>
      <c r="M118" s="59" t="s">
        <v>1488</v>
      </c>
      <c r="N118" s="59" t="s">
        <v>1436</v>
      </c>
      <c r="O118" s="59" t="s">
        <v>1434</v>
      </c>
      <c r="P118" s="59" t="s">
        <v>1436</v>
      </c>
      <c r="Q118" s="75" t="s">
        <v>1436</v>
      </c>
      <c r="R118" s="75" t="s">
        <v>1436</v>
      </c>
      <c r="S118" s="75" t="s">
        <v>1436</v>
      </c>
      <c r="T118" s="75" t="s">
        <v>1436</v>
      </c>
      <c r="U118" s="75" t="s">
        <v>1436</v>
      </c>
      <c r="V118" s="75" t="s">
        <v>1436</v>
      </c>
      <c r="W118" s="60"/>
      <c r="X118" s="73" t="str">
        <f t="shared" si="11"/>
        <v>Belum Dinilai</v>
      </c>
      <c r="Y118" s="73" t="str">
        <f t="shared" si="12"/>
        <v>Belum Dinilai</v>
      </c>
      <c r="Z118" s="74" t="str">
        <f t="shared" si="13"/>
        <v/>
      </c>
      <c r="AA118" s="74" t="str">
        <f t="shared" si="14"/>
        <v/>
      </c>
      <c r="AB118" s="74" t="str">
        <f t="shared" si="15"/>
        <v/>
      </c>
      <c r="AC118" s="61" t="s">
        <v>1436</v>
      </c>
      <c r="AD118" s="61" t="s">
        <v>1436</v>
      </c>
      <c r="AE118" s="61" t="s">
        <v>1436</v>
      </c>
      <c r="AF118" s="61" t="s">
        <v>1436</v>
      </c>
      <c r="AG118" s="61" t="s">
        <v>1436</v>
      </c>
      <c r="AH118" s="61" t="s">
        <v>1436</v>
      </c>
      <c r="AI118" s="61" t="s">
        <v>1436</v>
      </c>
      <c r="AJ118" s="61" t="s">
        <v>1436</v>
      </c>
      <c r="AK118" s="61" t="s">
        <v>1436</v>
      </c>
      <c r="AL118" s="61"/>
      <c r="AM118" s="61" t="s">
        <v>1436</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1423</v>
      </c>
      <c r="AV118" s="59" t="s">
        <v>1424</v>
      </c>
      <c r="AW118" s="59" t="s">
        <v>1409</v>
      </c>
      <c r="AX118" s="59" t="s">
        <v>1410</v>
      </c>
      <c r="AY118" s="59"/>
      <c r="AZ118" s="59" t="s">
        <v>1408</v>
      </c>
      <c r="BA118" s="59"/>
      <c r="BB118" s="167"/>
      <c r="BC118" s="65">
        <v>2026</v>
      </c>
      <c r="BD118" s="59"/>
      <c r="BE118" s="167"/>
      <c r="BF118" s="59" t="s">
        <v>1500</v>
      </c>
    </row>
    <row r="119" spans="1:58" ht="42">
      <c r="A119" s="59" t="s">
        <v>1957</v>
      </c>
      <c r="B119" s="59" t="s">
        <v>1958</v>
      </c>
      <c r="C119" s="59"/>
      <c r="D119" s="59"/>
      <c r="E119" s="59" t="s">
        <v>1959</v>
      </c>
      <c r="F119" s="59" t="s">
        <v>1782</v>
      </c>
      <c r="G119" s="59" t="s">
        <v>1497</v>
      </c>
      <c r="H119" s="59" t="s">
        <v>1398</v>
      </c>
      <c r="I119" s="59" t="s">
        <v>1960</v>
      </c>
      <c r="J119" s="59" t="s">
        <v>1430</v>
      </c>
      <c r="K119" s="59" t="s">
        <v>1416</v>
      </c>
      <c r="L119" s="59" t="s">
        <v>1436</v>
      </c>
      <c r="M119" s="59" t="s">
        <v>1488</v>
      </c>
      <c r="N119" s="59" t="s">
        <v>1436</v>
      </c>
      <c r="O119" s="59" t="s">
        <v>1521</v>
      </c>
      <c r="P119" s="59" t="s">
        <v>1436</v>
      </c>
      <c r="Q119" s="75" t="s">
        <v>1436</v>
      </c>
      <c r="R119" s="75" t="s">
        <v>1436</v>
      </c>
      <c r="S119" s="75" t="s">
        <v>1436</v>
      </c>
      <c r="T119" s="75" t="s">
        <v>1436</v>
      </c>
      <c r="U119" s="75" t="s">
        <v>1436</v>
      </c>
      <c r="V119" s="75" t="s">
        <v>1436</v>
      </c>
      <c r="W119" s="60"/>
      <c r="X119" s="73" t="str">
        <f t="shared" si="11"/>
        <v>Belum Dinilai</v>
      </c>
      <c r="Y119" s="73" t="str">
        <f t="shared" si="12"/>
        <v>Belum Dinilai</v>
      </c>
      <c r="Z119" s="74" t="str">
        <f t="shared" si="13"/>
        <v/>
      </c>
      <c r="AA119" s="74" t="str">
        <f t="shared" si="14"/>
        <v/>
      </c>
      <c r="AB119" s="74" t="str">
        <f t="shared" si="15"/>
        <v/>
      </c>
      <c r="AC119" s="61" t="s">
        <v>1436</v>
      </c>
      <c r="AD119" s="61" t="s">
        <v>1436</v>
      </c>
      <c r="AE119" s="61" t="s">
        <v>1436</v>
      </c>
      <c r="AF119" s="61" t="s">
        <v>1436</v>
      </c>
      <c r="AG119" s="61" t="s">
        <v>1436</v>
      </c>
      <c r="AH119" s="61" t="s">
        <v>1436</v>
      </c>
      <c r="AI119" s="61" t="s">
        <v>1436</v>
      </c>
      <c r="AJ119" s="61" t="s">
        <v>1436</v>
      </c>
      <c r="AK119" s="61" t="s">
        <v>1436</v>
      </c>
      <c r="AL119" s="61"/>
      <c r="AM119" s="61" t="s">
        <v>1436</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1407</v>
      </c>
      <c r="AV119" s="59" t="s">
        <v>1424</v>
      </c>
      <c r="AW119" s="59" t="s">
        <v>1522</v>
      </c>
      <c r="AX119" s="59" t="s">
        <v>1426</v>
      </c>
      <c r="AY119" s="59">
        <v>2022</v>
      </c>
      <c r="AZ119" s="59" t="s">
        <v>1427</v>
      </c>
      <c r="BA119" s="59"/>
      <c r="BB119" s="167"/>
      <c r="BC119" s="65">
        <v>2026</v>
      </c>
      <c r="BD119" s="59"/>
      <c r="BE119" s="167"/>
      <c r="BF119" s="59" t="s">
        <v>1500</v>
      </c>
    </row>
    <row r="120" spans="1:58" ht="28">
      <c r="A120" s="59" t="s">
        <v>1961</v>
      </c>
      <c r="B120" s="59" t="s">
        <v>1962</v>
      </c>
      <c r="C120" s="59"/>
      <c r="D120" s="59"/>
      <c r="E120" s="59" t="s">
        <v>1523</v>
      </c>
      <c r="F120" s="59" t="s">
        <v>1538</v>
      </c>
      <c r="G120" s="59" t="s">
        <v>1511</v>
      </c>
      <c r="H120" s="59" t="s">
        <v>1414</v>
      </c>
      <c r="I120" s="59" t="s">
        <v>1963</v>
      </c>
      <c r="J120" s="59" t="s">
        <v>1399</v>
      </c>
      <c r="K120" s="59" t="s">
        <v>1416</v>
      </c>
      <c r="L120" s="59" t="s">
        <v>1436</v>
      </c>
      <c r="M120" s="59" t="s">
        <v>1433</v>
      </c>
      <c r="N120" s="59" t="s">
        <v>1436</v>
      </c>
      <c r="O120" s="59" t="s">
        <v>1434</v>
      </c>
      <c r="P120" s="59" t="s">
        <v>1436</v>
      </c>
      <c r="Q120" s="75" t="s">
        <v>1436</v>
      </c>
      <c r="R120" s="75" t="s">
        <v>1436</v>
      </c>
      <c r="S120" s="75" t="s">
        <v>1436</v>
      </c>
      <c r="T120" s="75" t="s">
        <v>1436</v>
      </c>
      <c r="U120" s="75" t="s">
        <v>1436</v>
      </c>
      <c r="V120" s="75" t="s">
        <v>1436</v>
      </c>
      <c r="W120" s="60"/>
      <c r="X120" s="73" t="str">
        <f t="shared" si="11"/>
        <v>Belum Dinilai</v>
      </c>
      <c r="Y120" s="73" t="str">
        <f t="shared" si="12"/>
        <v>Belum Dinilai</v>
      </c>
      <c r="Z120" s="74" t="str">
        <f t="shared" si="13"/>
        <v/>
      </c>
      <c r="AA120" s="74" t="str">
        <f t="shared" si="14"/>
        <v/>
      </c>
      <c r="AB120" s="74" t="str">
        <f t="shared" si="15"/>
        <v/>
      </c>
      <c r="AC120" s="61" t="s">
        <v>1436</v>
      </c>
      <c r="AD120" s="61" t="s">
        <v>1436</v>
      </c>
      <c r="AE120" s="61" t="s">
        <v>1436</v>
      </c>
      <c r="AF120" s="61" t="s">
        <v>1436</v>
      </c>
      <c r="AG120" s="61" t="s">
        <v>1436</v>
      </c>
      <c r="AH120" s="61" t="s">
        <v>1436</v>
      </c>
      <c r="AI120" s="61" t="s">
        <v>1436</v>
      </c>
      <c r="AJ120" s="61" t="s">
        <v>1436</v>
      </c>
      <c r="AK120" s="61" t="s">
        <v>1436</v>
      </c>
      <c r="AL120" s="61"/>
      <c r="AM120" s="61" t="s">
        <v>1436</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1407</v>
      </c>
      <c r="AV120" s="59" t="s">
        <v>1424</v>
      </c>
      <c r="AW120" s="59" t="s">
        <v>1522</v>
      </c>
      <c r="AX120" s="59" t="s">
        <v>1426</v>
      </c>
      <c r="AY120" s="59">
        <v>2021</v>
      </c>
      <c r="AZ120" s="59" t="s">
        <v>1408</v>
      </c>
      <c r="BA120" s="59"/>
      <c r="BB120" s="167"/>
      <c r="BC120" s="65">
        <v>2026</v>
      </c>
      <c r="BD120" s="59"/>
      <c r="BE120" s="167"/>
      <c r="BF120" s="59" t="s">
        <v>1500</v>
      </c>
    </row>
    <row r="121" spans="1:58" ht="42">
      <c r="A121" s="59" t="s">
        <v>1964</v>
      </c>
      <c r="B121" s="59" t="s">
        <v>1965</v>
      </c>
      <c r="C121" s="59"/>
      <c r="D121" s="59"/>
      <c r="E121" s="59" t="s">
        <v>1966</v>
      </c>
      <c r="F121" s="59" t="s">
        <v>1510</v>
      </c>
      <c r="G121" s="59" t="s">
        <v>1511</v>
      </c>
      <c r="H121" s="59" t="s">
        <v>1398</v>
      </c>
      <c r="I121" s="59" t="s">
        <v>1967</v>
      </c>
      <c r="J121" s="59" t="s">
        <v>1430</v>
      </c>
      <c r="K121" s="59" t="s">
        <v>1521</v>
      </c>
      <c r="L121" s="59" t="s">
        <v>1417</v>
      </c>
      <c r="M121" s="59" t="s">
        <v>1488</v>
      </c>
      <c r="N121" s="59" t="s">
        <v>1417</v>
      </c>
      <c r="O121" s="59" t="s">
        <v>1434</v>
      </c>
      <c r="P121" s="59" t="s">
        <v>1417</v>
      </c>
      <c r="Q121" s="75" t="s">
        <v>1436</v>
      </c>
      <c r="R121" s="75" t="s">
        <v>1436</v>
      </c>
      <c r="S121" s="75" t="s">
        <v>1436</v>
      </c>
      <c r="T121" s="75" t="s">
        <v>1436</v>
      </c>
      <c r="U121" s="75" t="s">
        <v>1436</v>
      </c>
      <c r="V121" s="75" t="s">
        <v>1436</v>
      </c>
      <c r="W121" s="60"/>
      <c r="X121" s="73" t="str">
        <f t="shared" si="11"/>
        <v>Belum Dinilai</v>
      </c>
      <c r="Y121" s="73" t="str">
        <f t="shared" si="12"/>
        <v>Belum Dinilai</v>
      </c>
      <c r="Z121" s="74" t="str">
        <f t="shared" si="13"/>
        <v/>
      </c>
      <c r="AA121" s="74" t="str">
        <f t="shared" si="14"/>
        <v/>
      </c>
      <c r="AB121" s="74" t="str">
        <f t="shared" si="15"/>
        <v/>
      </c>
      <c r="AC121" s="61" t="s">
        <v>1436</v>
      </c>
      <c r="AD121" s="61" t="s">
        <v>1436</v>
      </c>
      <c r="AE121" s="61" t="s">
        <v>1436</v>
      </c>
      <c r="AF121" s="61" t="s">
        <v>1436</v>
      </c>
      <c r="AG121" s="61" t="s">
        <v>1436</v>
      </c>
      <c r="AH121" s="61" t="s">
        <v>1436</v>
      </c>
      <c r="AI121" s="61" t="s">
        <v>1436</v>
      </c>
      <c r="AJ121" s="61" t="s">
        <v>1436</v>
      </c>
      <c r="AK121" s="61" t="s">
        <v>1436</v>
      </c>
      <c r="AL121" s="61"/>
      <c r="AM121" s="61" t="s">
        <v>1436</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1407</v>
      </c>
      <c r="AV121" s="59" t="s">
        <v>1424</v>
      </c>
      <c r="AW121" s="59" t="s">
        <v>1522</v>
      </c>
      <c r="AX121" s="59" t="s">
        <v>1426</v>
      </c>
      <c r="AY121" s="59">
        <v>2022</v>
      </c>
      <c r="AZ121" s="59" t="s">
        <v>1408</v>
      </c>
      <c r="BA121" s="59"/>
      <c r="BB121" s="167"/>
      <c r="BC121" s="65">
        <v>2026</v>
      </c>
      <c r="BD121" s="59"/>
      <c r="BE121" s="167"/>
      <c r="BF121" s="59" t="s">
        <v>1500</v>
      </c>
    </row>
    <row r="122" spans="1:58" ht="42">
      <c r="A122" s="59" t="s">
        <v>1968</v>
      </c>
      <c r="B122" s="59" t="s">
        <v>1969</v>
      </c>
      <c r="C122" s="59"/>
      <c r="D122" s="59"/>
      <c r="E122" s="59" t="s">
        <v>1970</v>
      </c>
      <c r="F122" s="59" t="s">
        <v>1510</v>
      </c>
      <c r="G122" s="59" t="s">
        <v>1511</v>
      </c>
      <c r="H122" s="59" t="s">
        <v>1414</v>
      </c>
      <c r="I122" s="59" t="s">
        <v>1971</v>
      </c>
      <c r="J122" s="59" t="s">
        <v>1415</v>
      </c>
      <c r="K122" s="59" t="s">
        <v>1416</v>
      </c>
      <c r="L122" s="59" t="s">
        <v>1417</v>
      </c>
      <c r="M122" s="59" t="s">
        <v>1488</v>
      </c>
      <c r="N122" s="59" t="s">
        <v>1417</v>
      </c>
      <c r="O122" s="59" t="s">
        <v>1521</v>
      </c>
      <c r="P122" s="59" t="s">
        <v>1436</v>
      </c>
      <c r="Q122" s="75" t="s">
        <v>1436</v>
      </c>
      <c r="R122" s="75" t="s">
        <v>1436</v>
      </c>
      <c r="S122" s="75" t="s">
        <v>1436</v>
      </c>
      <c r="T122" s="75" t="s">
        <v>1436</v>
      </c>
      <c r="U122" s="75" t="s">
        <v>1436</v>
      </c>
      <c r="V122" s="75" t="s">
        <v>1436</v>
      </c>
      <c r="W122" s="60"/>
      <c r="X122" s="73" t="str">
        <f t="shared" si="11"/>
        <v>Belum Dinilai</v>
      </c>
      <c r="Y122" s="73" t="str">
        <f t="shared" si="12"/>
        <v>Belum Dinilai</v>
      </c>
      <c r="Z122" s="74" t="str">
        <f t="shared" si="13"/>
        <v/>
      </c>
      <c r="AA122" s="74" t="str">
        <f t="shared" si="14"/>
        <v/>
      </c>
      <c r="AB122" s="74" t="str">
        <f t="shared" si="15"/>
        <v/>
      </c>
      <c r="AC122" s="61" t="s">
        <v>1436</v>
      </c>
      <c r="AD122" s="61" t="s">
        <v>1436</v>
      </c>
      <c r="AE122" s="61" t="s">
        <v>1436</v>
      </c>
      <c r="AF122" s="61" t="s">
        <v>1436</v>
      </c>
      <c r="AG122" s="61" t="s">
        <v>1436</v>
      </c>
      <c r="AH122" s="61" t="s">
        <v>1436</v>
      </c>
      <c r="AI122" s="61" t="s">
        <v>1436</v>
      </c>
      <c r="AJ122" s="61" t="s">
        <v>1436</v>
      </c>
      <c r="AK122" s="61" t="s">
        <v>1436</v>
      </c>
      <c r="AL122" s="61"/>
      <c r="AM122" s="61" t="s">
        <v>1436</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1407</v>
      </c>
      <c r="AV122" s="59" t="s">
        <v>1424</v>
      </c>
      <c r="AW122" s="59" t="s">
        <v>1409</v>
      </c>
      <c r="AX122" s="59" t="s">
        <v>1410</v>
      </c>
      <c r="AY122" s="59"/>
      <c r="AZ122" s="59" t="s">
        <v>1408</v>
      </c>
      <c r="BA122" s="59"/>
      <c r="BB122" s="167"/>
      <c r="BC122" s="65">
        <v>2026</v>
      </c>
      <c r="BD122" s="59"/>
      <c r="BE122" s="167"/>
      <c r="BF122" s="59" t="s">
        <v>1500</v>
      </c>
    </row>
    <row r="123" spans="1:58" ht="42">
      <c r="A123" s="59" t="s">
        <v>1972</v>
      </c>
      <c r="B123" s="59" t="s">
        <v>1973</v>
      </c>
      <c r="C123" s="59"/>
      <c r="D123" s="59"/>
      <c r="E123" s="59" t="s">
        <v>1974</v>
      </c>
      <c r="F123" s="59" t="s">
        <v>1542</v>
      </c>
      <c r="G123" s="59" t="s">
        <v>1511</v>
      </c>
      <c r="H123" s="59" t="s">
        <v>1398</v>
      </c>
      <c r="I123" s="59" t="s">
        <v>1975</v>
      </c>
      <c r="J123" s="59" t="s">
        <v>1430</v>
      </c>
      <c r="K123" s="59" t="s">
        <v>1416</v>
      </c>
      <c r="L123" s="59" t="s">
        <v>1417</v>
      </c>
      <c r="M123" s="59" t="s">
        <v>1488</v>
      </c>
      <c r="N123" s="59" t="s">
        <v>1417</v>
      </c>
      <c r="O123" s="59" t="s">
        <v>1403</v>
      </c>
      <c r="P123" s="59" t="s">
        <v>1417</v>
      </c>
      <c r="Q123" s="75" t="s">
        <v>1436</v>
      </c>
      <c r="R123" s="75" t="s">
        <v>1436</v>
      </c>
      <c r="S123" s="75" t="s">
        <v>1436</v>
      </c>
      <c r="T123" s="75" t="s">
        <v>1436</v>
      </c>
      <c r="U123" s="75" t="s">
        <v>1436</v>
      </c>
      <c r="V123" s="75" t="s">
        <v>1436</v>
      </c>
      <c r="W123" s="60"/>
      <c r="X123" s="73" t="str">
        <f t="shared" si="11"/>
        <v>Belum Dinilai</v>
      </c>
      <c r="Y123" s="73" t="str">
        <f t="shared" si="12"/>
        <v>Belum Dinilai</v>
      </c>
      <c r="Z123" s="74" t="str">
        <f t="shared" si="13"/>
        <v/>
      </c>
      <c r="AA123" s="74" t="str">
        <f t="shared" si="14"/>
        <v/>
      </c>
      <c r="AB123" s="74" t="str">
        <f t="shared" si="15"/>
        <v/>
      </c>
      <c r="AC123" s="61" t="s">
        <v>1436</v>
      </c>
      <c r="AD123" s="61" t="s">
        <v>1436</v>
      </c>
      <c r="AE123" s="61" t="s">
        <v>1436</v>
      </c>
      <c r="AF123" s="61" t="s">
        <v>1436</v>
      </c>
      <c r="AG123" s="61" t="s">
        <v>1436</v>
      </c>
      <c r="AH123" s="61" t="s">
        <v>1436</v>
      </c>
      <c r="AI123" s="61" t="s">
        <v>1436</v>
      </c>
      <c r="AJ123" s="61" t="s">
        <v>1436</v>
      </c>
      <c r="AK123" s="61" t="s">
        <v>1436</v>
      </c>
      <c r="AL123" s="61"/>
      <c r="AM123" s="61" t="s">
        <v>1436</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1407</v>
      </c>
      <c r="AV123" s="59" t="s">
        <v>1424</v>
      </c>
      <c r="AW123" s="59" t="s">
        <v>1409</v>
      </c>
      <c r="AX123" s="59" t="s">
        <v>1410</v>
      </c>
      <c r="AY123" s="59"/>
      <c r="AZ123" s="59" t="s">
        <v>1408</v>
      </c>
      <c r="BA123" s="59"/>
      <c r="BB123" s="167"/>
      <c r="BC123" s="65">
        <v>2026</v>
      </c>
      <c r="BD123" s="59"/>
      <c r="BE123" s="167"/>
      <c r="BF123" s="59" t="s">
        <v>1500</v>
      </c>
    </row>
    <row r="124" spans="1:58" ht="56">
      <c r="A124" s="59" t="s">
        <v>1976</v>
      </c>
      <c r="B124" s="59" t="s">
        <v>1977</v>
      </c>
      <c r="C124" s="59"/>
      <c r="D124" s="59"/>
      <c r="E124" s="59" t="s">
        <v>1978</v>
      </c>
      <c r="F124" s="59" t="s">
        <v>1694</v>
      </c>
      <c r="G124" s="59" t="s">
        <v>1533</v>
      </c>
      <c r="H124" s="59" t="s">
        <v>1414</v>
      </c>
      <c r="I124" s="59" t="s">
        <v>1979</v>
      </c>
      <c r="J124" s="59" t="s">
        <v>1415</v>
      </c>
      <c r="K124" s="59" t="s">
        <v>1515</v>
      </c>
      <c r="L124" s="59" t="s">
        <v>1417</v>
      </c>
      <c r="M124" s="59" t="s">
        <v>1499</v>
      </c>
      <c r="N124" s="59" t="s">
        <v>1417</v>
      </c>
      <c r="O124" s="59" t="s">
        <v>1434</v>
      </c>
      <c r="P124" s="59" t="s">
        <v>1417</v>
      </c>
      <c r="Q124" s="75" t="s">
        <v>1436</v>
      </c>
      <c r="R124" s="75" t="s">
        <v>1436</v>
      </c>
      <c r="S124" s="75" t="s">
        <v>1436</v>
      </c>
      <c r="T124" s="75" t="s">
        <v>1436</v>
      </c>
      <c r="U124" s="75" t="s">
        <v>1436</v>
      </c>
      <c r="V124" s="75" t="s">
        <v>1436</v>
      </c>
      <c r="W124" s="60"/>
      <c r="X124" s="73" t="str">
        <f t="shared" si="11"/>
        <v>Belum Dinilai</v>
      </c>
      <c r="Y124" s="73" t="str">
        <f t="shared" si="12"/>
        <v>Belum Dinilai</v>
      </c>
      <c r="Z124" s="74" t="str">
        <f t="shared" si="13"/>
        <v/>
      </c>
      <c r="AA124" s="74" t="str">
        <f t="shared" si="14"/>
        <v/>
      </c>
      <c r="AB124" s="74" t="str">
        <f t="shared" si="15"/>
        <v/>
      </c>
      <c r="AC124" s="61" t="s">
        <v>1436</v>
      </c>
      <c r="AD124" s="61" t="s">
        <v>1436</v>
      </c>
      <c r="AE124" s="61" t="s">
        <v>1436</v>
      </c>
      <c r="AF124" s="61" t="s">
        <v>1436</v>
      </c>
      <c r="AG124" s="61" t="s">
        <v>1436</v>
      </c>
      <c r="AH124" s="61" t="s">
        <v>1436</v>
      </c>
      <c r="AI124" s="61" t="s">
        <v>1436</v>
      </c>
      <c r="AJ124" s="61" t="s">
        <v>1436</v>
      </c>
      <c r="AK124" s="61" t="s">
        <v>1436</v>
      </c>
      <c r="AL124" s="61"/>
      <c r="AM124" s="61" t="s">
        <v>1436</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1407</v>
      </c>
      <c r="AV124" s="59" t="s">
        <v>1424</v>
      </c>
      <c r="AW124" s="59" t="s">
        <v>1409</v>
      </c>
      <c r="AX124" s="59" t="s">
        <v>1410</v>
      </c>
      <c r="AY124" s="59"/>
      <c r="AZ124" s="59" t="s">
        <v>1408</v>
      </c>
      <c r="BA124" s="59"/>
      <c r="BB124" s="167"/>
      <c r="BC124" s="65">
        <v>2026</v>
      </c>
      <c r="BD124" s="59"/>
      <c r="BE124" s="167"/>
      <c r="BF124" s="59" t="s">
        <v>1500</v>
      </c>
    </row>
    <row r="125" spans="1:58" ht="28">
      <c r="A125" s="59" t="s">
        <v>1980</v>
      </c>
      <c r="B125" s="59" t="s">
        <v>1981</v>
      </c>
      <c r="C125" s="59"/>
      <c r="D125" s="59"/>
      <c r="E125" s="59" t="s">
        <v>1982</v>
      </c>
      <c r="F125" s="59" t="s">
        <v>1694</v>
      </c>
      <c r="G125" s="59" t="s">
        <v>1533</v>
      </c>
      <c r="H125" s="59" t="s">
        <v>1414</v>
      </c>
      <c r="I125" s="59" t="s">
        <v>1983</v>
      </c>
      <c r="J125" s="59" t="s">
        <v>1415</v>
      </c>
      <c r="K125" s="59" t="s">
        <v>1521</v>
      </c>
      <c r="L125" s="59" t="s">
        <v>1436</v>
      </c>
      <c r="M125" s="59" t="s">
        <v>1499</v>
      </c>
      <c r="N125" s="59" t="s">
        <v>1436</v>
      </c>
      <c r="O125" s="59" t="s">
        <v>1521</v>
      </c>
      <c r="P125" s="59" t="s">
        <v>1436</v>
      </c>
      <c r="Q125" s="75" t="s">
        <v>1436</v>
      </c>
      <c r="R125" s="75" t="s">
        <v>1436</v>
      </c>
      <c r="S125" s="75" t="s">
        <v>1436</v>
      </c>
      <c r="T125" s="75" t="s">
        <v>1436</v>
      </c>
      <c r="U125" s="75" t="s">
        <v>1436</v>
      </c>
      <c r="V125" s="75" t="s">
        <v>1436</v>
      </c>
      <c r="W125" s="60"/>
      <c r="X125" s="73" t="str">
        <f t="shared" si="11"/>
        <v>Belum Dinilai</v>
      </c>
      <c r="Y125" s="73" t="str">
        <f t="shared" si="12"/>
        <v>Belum Dinilai</v>
      </c>
      <c r="Z125" s="74" t="str">
        <f t="shared" si="13"/>
        <v/>
      </c>
      <c r="AA125" s="74" t="str">
        <f t="shared" si="14"/>
        <v/>
      </c>
      <c r="AB125" s="74" t="str">
        <f t="shared" si="15"/>
        <v/>
      </c>
      <c r="AC125" s="61" t="s">
        <v>1436</v>
      </c>
      <c r="AD125" s="61" t="s">
        <v>1436</v>
      </c>
      <c r="AE125" s="61" t="s">
        <v>1436</v>
      </c>
      <c r="AF125" s="61" t="s">
        <v>1436</v>
      </c>
      <c r="AG125" s="61" t="s">
        <v>1436</v>
      </c>
      <c r="AH125" s="61" t="s">
        <v>1436</v>
      </c>
      <c r="AI125" s="61" t="s">
        <v>1436</v>
      </c>
      <c r="AJ125" s="61" t="s">
        <v>1436</v>
      </c>
      <c r="AK125" s="61" t="s">
        <v>1436</v>
      </c>
      <c r="AL125" s="61"/>
      <c r="AM125" s="61" t="s">
        <v>1436</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1407</v>
      </c>
      <c r="AV125" s="59" t="s">
        <v>1424</v>
      </c>
      <c r="AW125" s="59" t="s">
        <v>1409</v>
      </c>
      <c r="AX125" s="59" t="s">
        <v>1410</v>
      </c>
      <c r="AY125" s="59"/>
      <c r="AZ125" s="59" t="s">
        <v>1408</v>
      </c>
      <c r="BA125" s="59"/>
      <c r="BB125" s="167"/>
      <c r="BC125" s="65">
        <v>2026</v>
      </c>
      <c r="BD125" s="59"/>
      <c r="BE125" s="167"/>
      <c r="BF125" s="59" t="s">
        <v>1500</v>
      </c>
    </row>
    <row r="126" spans="1:58" ht="42">
      <c r="A126" s="59" t="s">
        <v>1984</v>
      </c>
      <c r="B126" s="59" t="s">
        <v>1985</v>
      </c>
      <c r="C126" s="59"/>
      <c r="D126" s="59"/>
      <c r="E126" s="59" t="s">
        <v>1986</v>
      </c>
      <c r="F126" s="59" t="s">
        <v>1694</v>
      </c>
      <c r="G126" s="59" t="s">
        <v>1533</v>
      </c>
      <c r="H126" s="59" t="s">
        <v>1398</v>
      </c>
      <c r="I126" s="59" t="s">
        <v>1987</v>
      </c>
      <c r="J126" s="59" t="s">
        <v>1415</v>
      </c>
      <c r="K126" s="59" t="s">
        <v>1416</v>
      </c>
      <c r="L126" s="59" t="s">
        <v>1417</v>
      </c>
      <c r="M126" s="59" t="s">
        <v>1488</v>
      </c>
      <c r="N126" s="59" t="s">
        <v>1417</v>
      </c>
      <c r="O126" s="59" t="s">
        <v>1403</v>
      </c>
      <c r="P126" s="59" t="s">
        <v>1417</v>
      </c>
      <c r="Q126" s="75" t="s">
        <v>1436</v>
      </c>
      <c r="R126" s="75" t="s">
        <v>1436</v>
      </c>
      <c r="S126" s="75" t="s">
        <v>1436</v>
      </c>
      <c r="T126" s="75" t="s">
        <v>1436</v>
      </c>
      <c r="U126" s="75" t="s">
        <v>1436</v>
      </c>
      <c r="V126" s="75" t="s">
        <v>1436</v>
      </c>
      <c r="W126" s="60"/>
      <c r="X126" s="73" t="str">
        <f t="shared" si="11"/>
        <v>Belum Dinilai</v>
      </c>
      <c r="Y126" s="73" t="str">
        <f t="shared" si="12"/>
        <v>Belum Dinilai</v>
      </c>
      <c r="Z126" s="74" t="str">
        <f t="shared" si="13"/>
        <v/>
      </c>
      <c r="AA126" s="74" t="str">
        <f t="shared" si="14"/>
        <v/>
      </c>
      <c r="AB126" s="74" t="str">
        <f t="shared" si="15"/>
        <v/>
      </c>
      <c r="AC126" s="61" t="s">
        <v>1436</v>
      </c>
      <c r="AD126" s="61" t="s">
        <v>1436</v>
      </c>
      <c r="AE126" s="61" t="s">
        <v>1436</v>
      </c>
      <c r="AF126" s="61" t="s">
        <v>1436</v>
      </c>
      <c r="AG126" s="61" t="s">
        <v>1436</v>
      </c>
      <c r="AH126" s="61" t="s">
        <v>1436</v>
      </c>
      <c r="AI126" s="61" t="s">
        <v>1436</v>
      </c>
      <c r="AJ126" s="61" t="s">
        <v>1436</v>
      </c>
      <c r="AK126" s="61" t="s">
        <v>1436</v>
      </c>
      <c r="AL126" s="61"/>
      <c r="AM126" s="61" t="s">
        <v>1436</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1407</v>
      </c>
      <c r="AV126" s="59" t="s">
        <v>1424</v>
      </c>
      <c r="AW126" s="59" t="s">
        <v>1409</v>
      </c>
      <c r="AX126" s="59" t="s">
        <v>1410</v>
      </c>
      <c r="AY126" s="59"/>
      <c r="AZ126" s="59" t="s">
        <v>1408</v>
      </c>
      <c r="BA126" s="59"/>
      <c r="BB126" s="167"/>
      <c r="BC126" s="65">
        <v>2026</v>
      </c>
      <c r="BD126" s="59"/>
      <c r="BE126" s="167"/>
      <c r="BF126" s="59" t="s">
        <v>1500</v>
      </c>
    </row>
    <row r="127" spans="1:58" ht="28">
      <c r="A127" s="59" t="s">
        <v>1988</v>
      </c>
      <c r="B127" s="59" t="s">
        <v>1989</v>
      </c>
      <c r="C127" s="59"/>
      <c r="D127" s="59"/>
      <c r="E127" s="59" t="s">
        <v>1990</v>
      </c>
      <c r="F127" s="59" t="s">
        <v>1694</v>
      </c>
      <c r="G127" s="59" t="s">
        <v>1533</v>
      </c>
      <c r="H127" s="59" t="s">
        <v>1398</v>
      </c>
      <c r="I127" s="59" t="s">
        <v>1991</v>
      </c>
      <c r="J127" s="59" t="s">
        <v>1484</v>
      </c>
      <c r="K127" s="59" t="s">
        <v>1521</v>
      </c>
      <c r="L127" s="59" t="s">
        <v>1436</v>
      </c>
      <c r="M127" s="59" t="s">
        <v>1521</v>
      </c>
      <c r="N127" s="59" t="s">
        <v>1436</v>
      </c>
      <c r="O127" s="59" t="s">
        <v>1521</v>
      </c>
      <c r="P127" s="59" t="s">
        <v>1436</v>
      </c>
      <c r="Q127" s="75" t="s">
        <v>1436</v>
      </c>
      <c r="R127" s="75" t="s">
        <v>1436</v>
      </c>
      <c r="S127" s="75" t="s">
        <v>1436</v>
      </c>
      <c r="T127" s="75" t="s">
        <v>1436</v>
      </c>
      <c r="U127" s="75" t="s">
        <v>1436</v>
      </c>
      <c r="V127" s="75" t="s">
        <v>1436</v>
      </c>
      <c r="W127" s="60"/>
      <c r="X127" s="73" t="str">
        <f t="shared" si="11"/>
        <v>Belum Dinilai</v>
      </c>
      <c r="Y127" s="73" t="str">
        <f t="shared" si="12"/>
        <v>Belum Dinilai</v>
      </c>
      <c r="Z127" s="74" t="str">
        <f t="shared" si="13"/>
        <v/>
      </c>
      <c r="AA127" s="74" t="str">
        <f t="shared" si="14"/>
        <v/>
      </c>
      <c r="AB127" s="74" t="str">
        <f t="shared" si="15"/>
        <v/>
      </c>
      <c r="AC127" s="61" t="s">
        <v>1436</v>
      </c>
      <c r="AD127" s="61" t="s">
        <v>1436</v>
      </c>
      <c r="AE127" s="61" t="s">
        <v>1436</v>
      </c>
      <c r="AF127" s="61" t="s">
        <v>1436</v>
      </c>
      <c r="AG127" s="61" t="s">
        <v>1436</v>
      </c>
      <c r="AH127" s="61" t="s">
        <v>1436</v>
      </c>
      <c r="AI127" s="61" t="s">
        <v>1436</v>
      </c>
      <c r="AJ127" s="61" t="s">
        <v>1436</v>
      </c>
      <c r="AK127" s="61" t="s">
        <v>1436</v>
      </c>
      <c r="AL127" s="61"/>
      <c r="AM127" s="61" t="s">
        <v>1436</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1407</v>
      </c>
      <c r="AV127" s="59" t="s">
        <v>1424</v>
      </c>
      <c r="AW127" s="59" t="s">
        <v>1522</v>
      </c>
      <c r="AX127" s="59" t="s">
        <v>1438</v>
      </c>
      <c r="AY127" s="59">
        <v>2023</v>
      </c>
      <c r="AZ127" s="59" t="s">
        <v>1408</v>
      </c>
      <c r="BA127" s="59"/>
      <c r="BB127" s="167"/>
      <c r="BC127" s="65">
        <v>2026</v>
      </c>
      <c r="BD127" s="59"/>
      <c r="BE127" s="167"/>
      <c r="BF127" s="59" t="s">
        <v>1500</v>
      </c>
    </row>
    <row r="128" spans="1:58" ht="42">
      <c r="A128" s="59" t="s">
        <v>1992</v>
      </c>
      <c r="B128" s="59" t="s">
        <v>1993</v>
      </c>
      <c r="C128" s="59"/>
      <c r="D128" s="59"/>
      <c r="E128" s="59" t="s">
        <v>1994</v>
      </c>
      <c r="F128" s="59" t="s">
        <v>1694</v>
      </c>
      <c r="G128" s="59" t="s">
        <v>1533</v>
      </c>
      <c r="H128" s="59" t="s">
        <v>1414</v>
      </c>
      <c r="I128" s="59" t="s">
        <v>1995</v>
      </c>
      <c r="J128" s="59" t="s">
        <v>1415</v>
      </c>
      <c r="K128" s="59" t="s">
        <v>1431</v>
      </c>
      <c r="L128" s="59" t="s">
        <v>1417</v>
      </c>
      <c r="M128" s="59" t="s">
        <v>1499</v>
      </c>
      <c r="N128" s="59" t="s">
        <v>1417</v>
      </c>
      <c r="O128" s="59" t="s">
        <v>1434</v>
      </c>
      <c r="P128" s="59" t="s">
        <v>1417</v>
      </c>
      <c r="Q128" s="75" t="s">
        <v>1436</v>
      </c>
      <c r="R128" s="75" t="s">
        <v>1436</v>
      </c>
      <c r="S128" s="75" t="s">
        <v>1436</v>
      </c>
      <c r="T128" s="75" t="s">
        <v>1436</v>
      </c>
      <c r="U128" s="75" t="s">
        <v>1436</v>
      </c>
      <c r="V128" s="75" t="s">
        <v>1436</v>
      </c>
      <c r="W128" s="60"/>
      <c r="X128" s="73" t="str">
        <f t="shared" si="11"/>
        <v>Belum Dinilai</v>
      </c>
      <c r="Y128" s="73" t="str">
        <f t="shared" si="12"/>
        <v>Belum Dinilai</v>
      </c>
      <c r="Z128" s="74" t="str">
        <f t="shared" si="13"/>
        <v/>
      </c>
      <c r="AA128" s="74" t="str">
        <f t="shared" si="14"/>
        <v/>
      </c>
      <c r="AB128" s="74" t="str">
        <f t="shared" si="15"/>
        <v/>
      </c>
      <c r="AC128" s="61" t="s">
        <v>1436</v>
      </c>
      <c r="AD128" s="61" t="s">
        <v>1436</v>
      </c>
      <c r="AE128" s="61" t="s">
        <v>1436</v>
      </c>
      <c r="AF128" s="61" t="s">
        <v>1436</v>
      </c>
      <c r="AG128" s="61" t="s">
        <v>1436</v>
      </c>
      <c r="AH128" s="61" t="s">
        <v>1436</v>
      </c>
      <c r="AI128" s="61" t="s">
        <v>1436</v>
      </c>
      <c r="AJ128" s="61" t="s">
        <v>1436</v>
      </c>
      <c r="AK128" s="61" t="s">
        <v>1436</v>
      </c>
      <c r="AL128" s="61"/>
      <c r="AM128" s="61" t="s">
        <v>1436</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1407</v>
      </c>
      <c r="AV128" s="59" t="s">
        <v>1424</v>
      </c>
      <c r="AW128" s="59" t="s">
        <v>1409</v>
      </c>
      <c r="AX128" s="59" t="s">
        <v>1410</v>
      </c>
      <c r="AY128" s="59"/>
      <c r="AZ128" s="59" t="s">
        <v>1408</v>
      </c>
      <c r="BA128" s="59"/>
      <c r="BB128" s="167"/>
      <c r="BC128" s="65">
        <v>2026</v>
      </c>
      <c r="BD128" s="59"/>
      <c r="BE128" s="167"/>
      <c r="BF128" s="59" t="s">
        <v>1500</v>
      </c>
    </row>
    <row r="129" spans="1:58" ht="56">
      <c r="A129" s="59" t="s">
        <v>1996</v>
      </c>
      <c r="B129" s="59" t="s">
        <v>1997</v>
      </c>
      <c r="C129" s="59"/>
      <c r="D129" s="59"/>
      <c r="E129" s="59" t="s">
        <v>1998</v>
      </c>
      <c r="F129" s="59" t="s">
        <v>1694</v>
      </c>
      <c r="G129" s="59" t="s">
        <v>1533</v>
      </c>
      <c r="H129" s="59" t="s">
        <v>1398</v>
      </c>
      <c r="I129" s="59" t="s">
        <v>1999</v>
      </c>
      <c r="J129" s="59" t="s">
        <v>1415</v>
      </c>
      <c r="K129" s="59" t="s">
        <v>1521</v>
      </c>
      <c r="L129" s="59" t="s">
        <v>1417</v>
      </c>
      <c r="M129" s="59" t="s">
        <v>1488</v>
      </c>
      <c r="N129" s="59" t="s">
        <v>1417</v>
      </c>
      <c r="O129" s="59" t="s">
        <v>1434</v>
      </c>
      <c r="P129" s="59" t="s">
        <v>1417</v>
      </c>
      <c r="Q129" s="75" t="s">
        <v>1436</v>
      </c>
      <c r="R129" s="75" t="s">
        <v>1436</v>
      </c>
      <c r="S129" s="75" t="s">
        <v>1436</v>
      </c>
      <c r="T129" s="75" t="s">
        <v>1436</v>
      </c>
      <c r="U129" s="75" t="s">
        <v>1436</v>
      </c>
      <c r="V129" s="75" t="s">
        <v>1436</v>
      </c>
      <c r="W129" s="60"/>
      <c r="X129" s="73" t="str">
        <f t="shared" si="11"/>
        <v>Belum Dinilai</v>
      </c>
      <c r="Y129" s="73" t="str">
        <f t="shared" si="12"/>
        <v>Belum Dinilai</v>
      </c>
      <c r="Z129" s="74" t="str">
        <f t="shared" si="13"/>
        <v/>
      </c>
      <c r="AA129" s="74" t="str">
        <f t="shared" si="14"/>
        <v/>
      </c>
      <c r="AB129" s="74" t="str">
        <f t="shared" si="15"/>
        <v/>
      </c>
      <c r="AC129" s="61" t="s">
        <v>1436</v>
      </c>
      <c r="AD129" s="61" t="s">
        <v>1436</v>
      </c>
      <c r="AE129" s="61" t="s">
        <v>1436</v>
      </c>
      <c r="AF129" s="61" t="s">
        <v>1436</v>
      </c>
      <c r="AG129" s="61" t="s">
        <v>1436</v>
      </c>
      <c r="AH129" s="61" t="s">
        <v>1436</v>
      </c>
      <c r="AI129" s="61" t="s">
        <v>1436</v>
      </c>
      <c r="AJ129" s="61" t="s">
        <v>1436</v>
      </c>
      <c r="AK129" s="61" t="s">
        <v>1436</v>
      </c>
      <c r="AL129" s="61"/>
      <c r="AM129" s="61" t="s">
        <v>1436</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1407</v>
      </c>
      <c r="AV129" s="59" t="s">
        <v>1424</v>
      </c>
      <c r="AW129" s="59" t="s">
        <v>1409</v>
      </c>
      <c r="AX129" s="59" t="s">
        <v>1410</v>
      </c>
      <c r="AY129" s="59"/>
      <c r="AZ129" s="59" t="s">
        <v>1408</v>
      </c>
      <c r="BA129" s="59"/>
      <c r="BB129" s="167"/>
      <c r="BC129" s="65">
        <v>2026</v>
      </c>
      <c r="BD129" s="59"/>
      <c r="BE129" s="167"/>
      <c r="BF129" s="59" t="s">
        <v>1500</v>
      </c>
    </row>
    <row r="130" spans="1:58" ht="42">
      <c r="A130" s="59" t="s">
        <v>2000</v>
      </c>
      <c r="B130" s="59" t="s">
        <v>2001</v>
      </c>
      <c r="C130" s="59"/>
      <c r="D130" s="59"/>
      <c r="E130" s="59" t="s">
        <v>2002</v>
      </c>
      <c r="F130" s="59" t="s">
        <v>1694</v>
      </c>
      <c r="G130" s="59" t="s">
        <v>1533</v>
      </c>
      <c r="H130" s="59" t="s">
        <v>1398</v>
      </c>
      <c r="I130" s="59" t="s">
        <v>2003</v>
      </c>
      <c r="J130" s="59" t="s">
        <v>1430</v>
      </c>
      <c r="K130" s="59" t="s">
        <v>1416</v>
      </c>
      <c r="L130" s="59" t="s">
        <v>1417</v>
      </c>
      <c r="M130" s="59" t="s">
        <v>1488</v>
      </c>
      <c r="N130" s="59" t="s">
        <v>1417</v>
      </c>
      <c r="O130" s="59" t="s">
        <v>1521</v>
      </c>
      <c r="P130" s="59" t="s">
        <v>1417</v>
      </c>
      <c r="Q130" s="75" t="s">
        <v>1436</v>
      </c>
      <c r="R130" s="75" t="s">
        <v>1436</v>
      </c>
      <c r="S130" s="75" t="s">
        <v>1436</v>
      </c>
      <c r="T130" s="75" t="s">
        <v>1436</v>
      </c>
      <c r="U130" s="75" t="s">
        <v>1436</v>
      </c>
      <c r="V130" s="75" t="s">
        <v>1436</v>
      </c>
      <c r="W130" s="60"/>
      <c r="X130" s="73" t="str">
        <f t="shared" si="11"/>
        <v>Belum Dinilai</v>
      </c>
      <c r="Y130" s="73" t="str">
        <f t="shared" si="12"/>
        <v>Belum Dinilai</v>
      </c>
      <c r="Z130" s="74" t="str">
        <f t="shared" si="13"/>
        <v/>
      </c>
      <c r="AA130" s="74" t="str">
        <f t="shared" si="14"/>
        <v/>
      </c>
      <c r="AB130" s="74" t="str">
        <f t="shared" si="15"/>
        <v/>
      </c>
      <c r="AC130" s="61" t="s">
        <v>1436</v>
      </c>
      <c r="AD130" s="61" t="s">
        <v>1436</v>
      </c>
      <c r="AE130" s="61" t="s">
        <v>1436</v>
      </c>
      <c r="AF130" s="61" t="s">
        <v>1436</v>
      </c>
      <c r="AG130" s="61" t="s">
        <v>1436</v>
      </c>
      <c r="AH130" s="61" t="s">
        <v>1436</v>
      </c>
      <c r="AI130" s="61" t="s">
        <v>1436</v>
      </c>
      <c r="AJ130" s="61" t="s">
        <v>1436</v>
      </c>
      <c r="AK130" s="61" t="s">
        <v>1436</v>
      </c>
      <c r="AL130" s="61"/>
      <c r="AM130" s="61" t="s">
        <v>1436</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1407</v>
      </c>
      <c r="AV130" s="59" t="s">
        <v>1424</v>
      </c>
      <c r="AW130" s="59" t="s">
        <v>1409</v>
      </c>
      <c r="AX130" s="59" t="s">
        <v>1410</v>
      </c>
      <c r="AY130" s="59"/>
      <c r="AZ130" s="59" t="s">
        <v>1408</v>
      </c>
      <c r="BA130" s="59"/>
      <c r="BB130" s="167"/>
      <c r="BC130" s="65">
        <v>2026</v>
      </c>
      <c r="BD130" s="59"/>
      <c r="BE130" s="167"/>
      <c r="BF130" s="59" t="s">
        <v>1500</v>
      </c>
    </row>
    <row r="131" spans="1:58" ht="42">
      <c r="A131" s="59" t="s">
        <v>2004</v>
      </c>
      <c r="B131" s="59" t="s">
        <v>2005</v>
      </c>
      <c r="C131" s="59"/>
      <c r="D131" s="59"/>
      <c r="E131" s="59" t="s">
        <v>2006</v>
      </c>
      <c r="F131" s="59" t="s">
        <v>1694</v>
      </c>
      <c r="G131" s="59" t="s">
        <v>1533</v>
      </c>
      <c r="H131" s="59" t="s">
        <v>1483</v>
      </c>
      <c r="I131" s="59" t="s">
        <v>2007</v>
      </c>
      <c r="J131" s="59" t="s">
        <v>1430</v>
      </c>
      <c r="K131" s="59" t="s">
        <v>1431</v>
      </c>
      <c r="L131" s="59" t="s">
        <v>1417</v>
      </c>
      <c r="M131" s="59" t="s">
        <v>1488</v>
      </c>
      <c r="N131" s="59" t="s">
        <v>1417</v>
      </c>
      <c r="O131" s="59" t="s">
        <v>1403</v>
      </c>
      <c r="P131" s="59" t="s">
        <v>1417</v>
      </c>
      <c r="Q131" s="75" t="s">
        <v>1436</v>
      </c>
      <c r="R131" s="75" t="s">
        <v>1436</v>
      </c>
      <c r="S131" s="75" t="s">
        <v>1436</v>
      </c>
      <c r="T131" s="75" t="s">
        <v>1436</v>
      </c>
      <c r="U131" s="75" t="s">
        <v>1436</v>
      </c>
      <c r="V131" s="75" t="s">
        <v>1436</v>
      </c>
      <c r="W131" s="60"/>
      <c r="X131" s="73" t="str">
        <f t="shared" si="11"/>
        <v>Belum Dinilai</v>
      </c>
      <c r="Y131" s="73" t="str">
        <f t="shared" si="12"/>
        <v>Belum Dinilai</v>
      </c>
      <c r="Z131" s="74" t="str">
        <f t="shared" si="13"/>
        <v/>
      </c>
      <c r="AA131" s="74" t="str">
        <f t="shared" si="14"/>
        <v/>
      </c>
      <c r="AB131" s="74" t="str">
        <f t="shared" si="15"/>
        <v/>
      </c>
      <c r="AC131" s="61" t="s">
        <v>1436</v>
      </c>
      <c r="AD131" s="61" t="s">
        <v>1436</v>
      </c>
      <c r="AE131" s="61" t="s">
        <v>1436</v>
      </c>
      <c r="AF131" s="61" t="s">
        <v>1436</v>
      </c>
      <c r="AG131" s="61" t="s">
        <v>1436</v>
      </c>
      <c r="AH131" s="61" t="s">
        <v>1436</v>
      </c>
      <c r="AI131" s="61" t="s">
        <v>1436</v>
      </c>
      <c r="AJ131" s="61" t="s">
        <v>1436</v>
      </c>
      <c r="AK131" s="61" t="s">
        <v>1436</v>
      </c>
      <c r="AL131" s="61"/>
      <c r="AM131" s="61" t="s">
        <v>1436</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1423</v>
      </c>
      <c r="AV131" s="59" t="s">
        <v>1424</v>
      </c>
      <c r="AW131" s="59" t="s">
        <v>1409</v>
      </c>
      <c r="AX131" s="59" t="s">
        <v>1410</v>
      </c>
      <c r="AY131" s="59"/>
      <c r="AZ131" s="59" t="s">
        <v>1408</v>
      </c>
      <c r="BA131" s="59"/>
      <c r="BB131" s="167"/>
      <c r="BC131" s="65">
        <v>2026</v>
      </c>
      <c r="BD131" s="59"/>
      <c r="BE131" s="167"/>
      <c r="BF131" s="59" t="s">
        <v>1500</v>
      </c>
    </row>
    <row r="132" spans="1:58" ht="28">
      <c r="A132" s="59" t="s">
        <v>2008</v>
      </c>
      <c r="B132" s="59" t="s">
        <v>2009</v>
      </c>
      <c r="C132" s="59"/>
      <c r="D132" s="59"/>
      <c r="E132" s="59" t="s">
        <v>2010</v>
      </c>
      <c r="F132" s="59" t="s">
        <v>1782</v>
      </c>
      <c r="G132" s="59" t="s">
        <v>1497</v>
      </c>
      <c r="H132" s="59" t="s">
        <v>1483</v>
      </c>
      <c r="I132" s="59" t="s">
        <v>2011</v>
      </c>
      <c r="J132" s="59" t="s">
        <v>1399</v>
      </c>
      <c r="K132" s="59" t="s">
        <v>1521</v>
      </c>
      <c r="L132" s="59" t="s">
        <v>1436</v>
      </c>
      <c r="M132" s="59" t="s">
        <v>1487</v>
      </c>
      <c r="N132" s="59" t="s">
        <v>1436</v>
      </c>
      <c r="O132" s="59" t="s">
        <v>1521</v>
      </c>
      <c r="P132" s="59" t="s">
        <v>1436</v>
      </c>
      <c r="Q132" s="75" t="s">
        <v>1436</v>
      </c>
      <c r="R132" s="75" t="s">
        <v>1436</v>
      </c>
      <c r="S132" s="75" t="s">
        <v>1436</v>
      </c>
      <c r="T132" s="75" t="s">
        <v>1436</v>
      </c>
      <c r="U132" s="75" t="s">
        <v>1436</v>
      </c>
      <c r="V132" s="75" t="s">
        <v>1436</v>
      </c>
      <c r="W132" s="60"/>
      <c r="X132" s="73" t="str">
        <f t="shared" si="11"/>
        <v>Belum Dinilai</v>
      </c>
      <c r="Y132" s="73" t="str">
        <f t="shared" si="12"/>
        <v>Belum Dinilai</v>
      </c>
      <c r="Z132" s="74" t="str">
        <f t="shared" si="13"/>
        <v/>
      </c>
      <c r="AA132" s="74" t="str">
        <f t="shared" si="14"/>
        <v/>
      </c>
      <c r="AB132" s="74" t="str">
        <f t="shared" si="15"/>
        <v/>
      </c>
      <c r="AC132" s="61" t="s">
        <v>1436</v>
      </c>
      <c r="AD132" s="61" t="s">
        <v>1436</v>
      </c>
      <c r="AE132" s="61" t="s">
        <v>1436</v>
      </c>
      <c r="AF132" s="61" t="s">
        <v>1436</v>
      </c>
      <c r="AG132" s="61" t="s">
        <v>1436</v>
      </c>
      <c r="AH132" s="61" t="s">
        <v>1436</v>
      </c>
      <c r="AI132" s="61" t="s">
        <v>1436</v>
      </c>
      <c r="AJ132" s="61" t="s">
        <v>1436</v>
      </c>
      <c r="AK132" s="61" t="s">
        <v>1436</v>
      </c>
      <c r="AL132" s="61"/>
      <c r="AM132" s="61" t="s">
        <v>1436</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1407</v>
      </c>
      <c r="AV132" s="59" t="s">
        <v>1424</v>
      </c>
      <c r="AW132" s="59" t="s">
        <v>1409</v>
      </c>
      <c r="AX132" s="59" t="s">
        <v>1410</v>
      </c>
      <c r="AY132" s="59"/>
      <c r="AZ132" s="59" t="s">
        <v>1408</v>
      </c>
      <c r="BA132" s="59"/>
      <c r="BB132" s="167"/>
      <c r="BC132" s="65">
        <v>2026</v>
      </c>
      <c r="BD132" s="59"/>
      <c r="BE132" s="167"/>
      <c r="BF132" s="59" t="s">
        <v>1500</v>
      </c>
    </row>
    <row r="133" spans="1:58" ht="42">
      <c r="A133" s="59" t="s">
        <v>2012</v>
      </c>
      <c r="B133" s="59" t="s">
        <v>2013</v>
      </c>
      <c r="C133" s="59"/>
      <c r="D133" s="59"/>
      <c r="E133" s="59" t="s">
        <v>2014</v>
      </c>
      <c r="F133" s="59" t="s">
        <v>1782</v>
      </c>
      <c r="G133" s="59" t="s">
        <v>1497</v>
      </c>
      <c r="H133" s="59" t="s">
        <v>1483</v>
      </c>
      <c r="I133" s="59" t="s">
        <v>2015</v>
      </c>
      <c r="J133" s="59" t="s">
        <v>1415</v>
      </c>
      <c r="K133" s="59" t="s">
        <v>1431</v>
      </c>
      <c r="L133" s="59" t="s">
        <v>1417</v>
      </c>
      <c r="M133" s="59" t="s">
        <v>1499</v>
      </c>
      <c r="N133" s="59" t="s">
        <v>1436</v>
      </c>
      <c r="O133" s="59" t="s">
        <v>1434</v>
      </c>
      <c r="P133" s="59" t="s">
        <v>1417</v>
      </c>
      <c r="Q133" s="75" t="s">
        <v>1436</v>
      </c>
      <c r="R133" s="75" t="s">
        <v>1436</v>
      </c>
      <c r="S133" s="75" t="s">
        <v>1436</v>
      </c>
      <c r="T133" s="75" t="s">
        <v>1436</v>
      </c>
      <c r="U133" s="75" t="s">
        <v>1436</v>
      </c>
      <c r="V133" s="75" t="s">
        <v>1436</v>
      </c>
      <c r="W133" s="60"/>
      <c r="X133" s="73" t="str">
        <f t="shared" si="11"/>
        <v>Belum Dinilai</v>
      </c>
      <c r="Y133" s="73" t="str">
        <f t="shared" si="12"/>
        <v>Belum Dinilai</v>
      </c>
      <c r="Z133" s="74" t="str">
        <f t="shared" si="13"/>
        <v/>
      </c>
      <c r="AA133" s="74" t="str">
        <f t="shared" si="14"/>
        <v/>
      </c>
      <c r="AB133" s="74" t="str">
        <f t="shared" si="15"/>
        <v/>
      </c>
      <c r="AC133" s="61" t="s">
        <v>1436</v>
      </c>
      <c r="AD133" s="61" t="s">
        <v>1436</v>
      </c>
      <c r="AE133" s="61" t="s">
        <v>1436</v>
      </c>
      <c r="AF133" s="61" t="s">
        <v>1436</v>
      </c>
      <c r="AG133" s="61" t="s">
        <v>1436</v>
      </c>
      <c r="AH133" s="61" t="s">
        <v>1436</v>
      </c>
      <c r="AI133" s="61" t="s">
        <v>1436</v>
      </c>
      <c r="AJ133" s="61" t="s">
        <v>1436</v>
      </c>
      <c r="AK133" s="61" t="s">
        <v>1436</v>
      </c>
      <c r="AL133" s="61"/>
      <c r="AM133" s="61" t="s">
        <v>1436</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1423</v>
      </c>
      <c r="AV133" s="59" t="s">
        <v>1424</v>
      </c>
      <c r="AW133" s="59" t="s">
        <v>1409</v>
      </c>
      <c r="AX133" s="59" t="s">
        <v>1410</v>
      </c>
      <c r="AY133" s="59"/>
      <c r="AZ133" s="59" t="s">
        <v>1408</v>
      </c>
      <c r="BA133" s="59"/>
      <c r="BB133" s="167"/>
      <c r="BC133" s="65">
        <v>2026</v>
      </c>
      <c r="BD133" s="59"/>
      <c r="BE133" s="167"/>
      <c r="BF133" s="59" t="s">
        <v>1500</v>
      </c>
    </row>
    <row r="134" spans="1:58" ht="56">
      <c r="A134" s="59" t="s">
        <v>2016</v>
      </c>
      <c r="B134" s="59" t="s">
        <v>2017</v>
      </c>
      <c r="C134" s="59"/>
      <c r="D134" s="59"/>
      <c r="E134" s="59" t="s">
        <v>2014</v>
      </c>
      <c r="F134" s="59" t="s">
        <v>1782</v>
      </c>
      <c r="G134" s="59" t="s">
        <v>1497</v>
      </c>
      <c r="H134" s="59" t="s">
        <v>1483</v>
      </c>
      <c r="I134" s="59" t="s">
        <v>2018</v>
      </c>
      <c r="J134" s="59" t="s">
        <v>1430</v>
      </c>
      <c r="K134" s="59" t="s">
        <v>1416</v>
      </c>
      <c r="L134" s="59" t="s">
        <v>1417</v>
      </c>
      <c r="M134" s="59" t="s">
        <v>1488</v>
      </c>
      <c r="N134" s="59" t="s">
        <v>1417</v>
      </c>
      <c r="O134" s="59" t="s">
        <v>1434</v>
      </c>
      <c r="P134" s="59" t="s">
        <v>1417</v>
      </c>
      <c r="Q134" s="75" t="s">
        <v>1436</v>
      </c>
      <c r="R134" s="75" t="s">
        <v>1436</v>
      </c>
      <c r="S134" s="75" t="s">
        <v>1436</v>
      </c>
      <c r="T134" s="75" t="s">
        <v>1436</v>
      </c>
      <c r="U134" s="75" t="s">
        <v>1436</v>
      </c>
      <c r="V134" s="75" t="s">
        <v>1436</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1436</v>
      </c>
      <c r="AD134" s="61" t="s">
        <v>1436</v>
      </c>
      <c r="AE134" s="61" t="s">
        <v>1436</v>
      </c>
      <c r="AF134" s="61" t="s">
        <v>1436</v>
      </c>
      <c r="AG134" s="61" t="s">
        <v>1436</v>
      </c>
      <c r="AH134" s="61" t="s">
        <v>1436</v>
      </c>
      <c r="AI134" s="61" t="s">
        <v>1436</v>
      </c>
      <c r="AJ134" s="61" t="s">
        <v>1436</v>
      </c>
      <c r="AK134" s="61" t="s">
        <v>1436</v>
      </c>
      <c r="AL134" s="61"/>
      <c r="AM134" s="61" t="s">
        <v>1436</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1407</v>
      </c>
      <c r="AV134" s="59" t="s">
        <v>1424</v>
      </c>
      <c r="AW134" s="59" t="s">
        <v>1409</v>
      </c>
      <c r="AX134" s="59" t="s">
        <v>1410</v>
      </c>
      <c r="AY134" s="59"/>
      <c r="AZ134" s="59" t="s">
        <v>1408</v>
      </c>
      <c r="BA134" s="59"/>
      <c r="BB134" s="167"/>
      <c r="BC134" s="65">
        <v>2026</v>
      </c>
      <c r="BD134" s="59"/>
      <c r="BE134" s="167"/>
      <c r="BF134" s="59" t="s">
        <v>1500</v>
      </c>
    </row>
    <row r="135" spans="1:58" ht="56">
      <c r="A135" s="59" t="s">
        <v>2019</v>
      </c>
      <c r="B135" s="59" t="s">
        <v>2020</v>
      </c>
      <c r="C135" s="59"/>
      <c r="D135" s="59"/>
      <c r="E135" s="59" t="s">
        <v>1955</v>
      </c>
      <c r="F135" s="59" t="s">
        <v>1782</v>
      </c>
      <c r="G135" s="59" t="s">
        <v>1497</v>
      </c>
      <c r="H135" s="59" t="s">
        <v>1398</v>
      </c>
      <c r="I135" s="59" t="s">
        <v>2021</v>
      </c>
      <c r="J135" s="59" t="s">
        <v>1430</v>
      </c>
      <c r="K135" s="59" t="s">
        <v>1416</v>
      </c>
      <c r="L135" s="59" t="s">
        <v>1417</v>
      </c>
      <c r="M135" s="59" t="s">
        <v>1488</v>
      </c>
      <c r="N135" s="59" t="s">
        <v>1417</v>
      </c>
      <c r="O135" s="59" t="s">
        <v>1434</v>
      </c>
      <c r="P135" s="59" t="s">
        <v>1417</v>
      </c>
      <c r="Q135" s="75" t="s">
        <v>1436</v>
      </c>
      <c r="R135" s="75" t="s">
        <v>1436</v>
      </c>
      <c r="S135" s="75" t="s">
        <v>1436</v>
      </c>
      <c r="T135" s="75" t="s">
        <v>1436</v>
      </c>
      <c r="U135" s="75" t="s">
        <v>1436</v>
      </c>
      <c r="V135" s="75" t="s">
        <v>1436</v>
      </c>
      <c r="W135" s="60"/>
      <c r="X135" s="73" t="str">
        <f t="shared" si="22"/>
        <v>Belum Dinilai</v>
      </c>
      <c r="Y135" s="73" t="str">
        <f t="shared" si="23"/>
        <v>Belum Dinilai</v>
      </c>
      <c r="Z135" s="74" t="str">
        <f t="shared" si="24"/>
        <v/>
      </c>
      <c r="AA135" s="74" t="str">
        <f t="shared" si="25"/>
        <v/>
      </c>
      <c r="AB135" s="74" t="str">
        <f t="shared" si="26"/>
        <v/>
      </c>
      <c r="AC135" s="61" t="s">
        <v>1436</v>
      </c>
      <c r="AD135" s="61" t="s">
        <v>1436</v>
      </c>
      <c r="AE135" s="61" t="s">
        <v>1436</v>
      </c>
      <c r="AF135" s="61" t="s">
        <v>1436</v>
      </c>
      <c r="AG135" s="61" t="s">
        <v>1436</v>
      </c>
      <c r="AH135" s="61" t="s">
        <v>1436</v>
      </c>
      <c r="AI135" s="61" t="s">
        <v>1436</v>
      </c>
      <c r="AJ135" s="61" t="s">
        <v>1436</v>
      </c>
      <c r="AK135" s="61" t="s">
        <v>1436</v>
      </c>
      <c r="AL135" s="61"/>
      <c r="AM135" s="61" t="s">
        <v>1436</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1407</v>
      </c>
      <c r="AV135" s="59" t="s">
        <v>1424</v>
      </c>
      <c r="AW135" s="59" t="s">
        <v>1522</v>
      </c>
      <c r="AX135" s="59" t="s">
        <v>1426</v>
      </c>
      <c r="AY135" s="59">
        <v>2022</v>
      </c>
      <c r="AZ135" s="59" t="s">
        <v>1408</v>
      </c>
      <c r="BA135" s="59"/>
      <c r="BB135" s="167"/>
      <c r="BC135" s="65">
        <v>2026</v>
      </c>
      <c r="BD135" s="59"/>
      <c r="BE135" s="167"/>
      <c r="BF135" s="59" t="s">
        <v>1500</v>
      </c>
    </row>
    <row r="136" spans="1:58" ht="70">
      <c r="A136" s="59" t="s">
        <v>2022</v>
      </c>
      <c r="B136" s="59" t="s">
        <v>2023</v>
      </c>
      <c r="C136" s="59"/>
      <c r="D136" s="59"/>
      <c r="E136" s="59" t="s">
        <v>2024</v>
      </c>
      <c r="F136" s="59" t="s">
        <v>1782</v>
      </c>
      <c r="G136" s="59" t="s">
        <v>1497</v>
      </c>
      <c r="H136" s="59" t="s">
        <v>1398</v>
      </c>
      <c r="I136" s="59" t="s">
        <v>2025</v>
      </c>
      <c r="J136" s="59" t="s">
        <v>1415</v>
      </c>
      <c r="K136" s="59" t="s">
        <v>1521</v>
      </c>
      <c r="L136" s="59" t="s">
        <v>1417</v>
      </c>
      <c r="M136" s="59" t="s">
        <v>1488</v>
      </c>
      <c r="N136" s="59" t="s">
        <v>1417</v>
      </c>
      <c r="O136" s="59" t="s">
        <v>1434</v>
      </c>
      <c r="P136" s="59" t="s">
        <v>1417</v>
      </c>
      <c r="Q136" s="75" t="s">
        <v>1436</v>
      </c>
      <c r="R136" s="75" t="s">
        <v>1436</v>
      </c>
      <c r="S136" s="75" t="s">
        <v>1436</v>
      </c>
      <c r="T136" s="75" t="s">
        <v>1436</v>
      </c>
      <c r="U136" s="75" t="s">
        <v>1436</v>
      </c>
      <c r="V136" s="75" t="s">
        <v>1436</v>
      </c>
      <c r="W136" s="60"/>
      <c r="X136" s="73" t="str">
        <f t="shared" si="22"/>
        <v>Belum Dinilai</v>
      </c>
      <c r="Y136" s="73" t="str">
        <f t="shared" si="23"/>
        <v>Belum Dinilai</v>
      </c>
      <c r="Z136" s="74" t="str">
        <f t="shared" si="24"/>
        <v/>
      </c>
      <c r="AA136" s="74" t="str">
        <f t="shared" si="25"/>
        <v/>
      </c>
      <c r="AB136" s="74" t="str">
        <f t="shared" si="26"/>
        <v/>
      </c>
      <c r="AC136" s="61" t="s">
        <v>1436</v>
      </c>
      <c r="AD136" s="61" t="s">
        <v>1436</v>
      </c>
      <c r="AE136" s="61" t="s">
        <v>1436</v>
      </c>
      <c r="AF136" s="61" t="s">
        <v>1436</v>
      </c>
      <c r="AG136" s="61" t="s">
        <v>1436</v>
      </c>
      <c r="AH136" s="61" t="s">
        <v>1436</v>
      </c>
      <c r="AI136" s="61" t="s">
        <v>1436</v>
      </c>
      <c r="AJ136" s="61" t="s">
        <v>1436</v>
      </c>
      <c r="AK136" s="61" t="s">
        <v>1436</v>
      </c>
      <c r="AL136" s="61"/>
      <c r="AM136" s="61" t="s">
        <v>1436</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1407</v>
      </c>
      <c r="AV136" s="59" t="s">
        <v>1424</v>
      </c>
      <c r="AW136" s="59" t="s">
        <v>1522</v>
      </c>
      <c r="AX136" s="59" t="s">
        <v>1426</v>
      </c>
      <c r="AY136" s="59">
        <v>2022</v>
      </c>
      <c r="AZ136" s="59" t="s">
        <v>1408</v>
      </c>
      <c r="BA136" s="59"/>
      <c r="BB136" s="167"/>
      <c r="BC136" s="65">
        <v>2026</v>
      </c>
      <c r="BD136" s="59"/>
      <c r="BE136" s="167"/>
      <c r="BF136" s="59" t="s">
        <v>1500</v>
      </c>
    </row>
    <row r="137" spans="1:58" ht="42">
      <c r="A137" s="59" t="s">
        <v>2026</v>
      </c>
      <c r="B137" s="59" t="s">
        <v>2027</v>
      </c>
      <c r="C137" s="59"/>
      <c r="D137" s="59"/>
      <c r="E137" s="59" t="s">
        <v>2028</v>
      </c>
      <c r="F137" s="59" t="s">
        <v>1680</v>
      </c>
      <c r="G137" s="59" t="s">
        <v>1533</v>
      </c>
      <c r="H137" s="59" t="s">
        <v>1414</v>
      </c>
      <c r="I137" s="59" t="s">
        <v>2029</v>
      </c>
      <c r="J137" s="59" t="s">
        <v>1399</v>
      </c>
      <c r="K137" s="59" t="s">
        <v>1416</v>
      </c>
      <c r="L137" s="59" t="s">
        <v>1417</v>
      </c>
      <c r="M137" s="59" t="s">
        <v>1487</v>
      </c>
      <c r="N137" s="59" t="s">
        <v>1417</v>
      </c>
      <c r="O137" s="59" t="s">
        <v>1434</v>
      </c>
      <c r="P137" s="59" t="s">
        <v>1417</v>
      </c>
      <c r="Q137" s="75" t="s">
        <v>1436</v>
      </c>
      <c r="R137" s="75" t="s">
        <v>1436</v>
      </c>
      <c r="S137" s="75" t="s">
        <v>1436</v>
      </c>
      <c r="T137" s="75" t="s">
        <v>1436</v>
      </c>
      <c r="U137" s="75" t="s">
        <v>1436</v>
      </c>
      <c r="V137" s="75" t="s">
        <v>1436</v>
      </c>
      <c r="W137" s="60"/>
      <c r="X137" s="73" t="str">
        <f t="shared" si="22"/>
        <v>Belum Dinilai</v>
      </c>
      <c r="Y137" s="73" t="str">
        <f t="shared" si="23"/>
        <v>Belum Dinilai</v>
      </c>
      <c r="Z137" s="74" t="str">
        <f t="shared" si="24"/>
        <v/>
      </c>
      <c r="AA137" s="74" t="str">
        <f t="shared" si="25"/>
        <v/>
      </c>
      <c r="AB137" s="74" t="str">
        <f t="shared" si="26"/>
        <v/>
      </c>
      <c r="AC137" s="61" t="s">
        <v>1436</v>
      </c>
      <c r="AD137" s="61" t="s">
        <v>1436</v>
      </c>
      <c r="AE137" s="61" t="s">
        <v>1436</v>
      </c>
      <c r="AF137" s="61" t="s">
        <v>1436</v>
      </c>
      <c r="AG137" s="61" t="s">
        <v>1436</v>
      </c>
      <c r="AH137" s="61" t="s">
        <v>1436</v>
      </c>
      <c r="AI137" s="61" t="s">
        <v>1436</v>
      </c>
      <c r="AJ137" s="61" t="s">
        <v>1436</v>
      </c>
      <c r="AK137" s="61" t="s">
        <v>1436</v>
      </c>
      <c r="AL137" s="61"/>
      <c r="AM137" s="61" t="s">
        <v>1436</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1407</v>
      </c>
      <c r="AV137" s="59" t="s">
        <v>1424</v>
      </c>
      <c r="AW137" s="59" t="s">
        <v>1522</v>
      </c>
      <c r="AX137" s="59" t="s">
        <v>1426</v>
      </c>
      <c r="AY137" s="59">
        <v>2023</v>
      </c>
      <c r="AZ137" s="59" t="s">
        <v>1408</v>
      </c>
      <c r="BA137" s="59"/>
      <c r="BB137" s="167"/>
      <c r="BC137" s="65">
        <v>2026</v>
      </c>
      <c r="BD137" s="59"/>
      <c r="BE137" s="167"/>
      <c r="BF137" s="59" t="s">
        <v>1500</v>
      </c>
    </row>
    <row r="138" spans="1:58" ht="28">
      <c r="A138" s="59" t="s">
        <v>2030</v>
      </c>
      <c r="B138" s="59" t="s">
        <v>2031</v>
      </c>
      <c r="C138" s="59"/>
      <c r="D138" s="59"/>
      <c r="E138" s="59" t="s">
        <v>2032</v>
      </c>
      <c r="F138" s="59" t="s">
        <v>1579</v>
      </c>
      <c r="G138" s="59" t="s">
        <v>1511</v>
      </c>
      <c r="H138" s="59" t="s">
        <v>1398</v>
      </c>
      <c r="I138" s="59" t="s">
        <v>2033</v>
      </c>
      <c r="J138" s="59" t="s">
        <v>1430</v>
      </c>
      <c r="K138" s="59" t="s">
        <v>1431</v>
      </c>
      <c r="L138" s="59" t="s">
        <v>1417</v>
      </c>
      <c r="M138" s="59" t="s">
        <v>1488</v>
      </c>
      <c r="N138" s="59" t="s">
        <v>1417</v>
      </c>
      <c r="O138" s="59" t="s">
        <v>1434</v>
      </c>
      <c r="P138" s="59" t="s">
        <v>1417</v>
      </c>
      <c r="Q138" s="75" t="s">
        <v>1436</v>
      </c>
      <c r="R138" s="75" t="s">
        <v>1436</v>
      </c>
      <c r="S138" s="75" t="s">
        <v>1436</v>
      </c>
      <c r="T138" s="75" t="s">
        <v>1436</v>
      </c>
      <c r="U138" s="75" t="s">
        <v>1436</v>
      </c>
      <c r="V138" s="75" t="s">
        <v>1436</v>
      </c>
      <c r="W138" s="60"/>
      <c r="X138" s="73" t="str">
        <f t="shared" si="22"/>
        <v>Belum Dinilai</v>
      </c>
      <c r="Y138" s="73" t="str">
        <f t="shared" si="23"/>
        <v>Belum Dinilai</v>
      </c>
      <c r="Z138" s="74" t="str">
        <f t="shared" si="24"/>
        <v/>
      </c>
      <c r="AA138" s="74" t="str">
        <f t="shared" si="25"/>
        <v/>
      </c>
      <c r="AB138" s="74" t="str">
        <f t="shared" si="26"/>
        <v/>
      </c>
      <c r="AC138" s="61" t="s">
        <v>1436</v>
      </c>
      <c r="AD138" s="61" t="s">
        <v>1436</v>
      </c>
      <c r="AE138" s="61" t="s">
        <v>1436</v>
      </c>
      <c r="AF138" s="61" t="s">
        <v>1436</v>
      </c>
      <c r="AG138" s="61" t="s">
        <v>1436</v>
      </c>
      <c r="AH138" s="61" t="s">
        <v>1436</v>
      </c>
      <c r="AI138" s="61" t="s">
        <v>1436</v>
      </c>
      <c r="AJ138" s="61" t="s">
        <v>1436</v>
      </c>
      <c r="AK138" s="61" t="s">
        <v>1436</v>
      </c>
      <c r="AL138" s="61"/>
      <c r="AM138" s="61" t="s">
        <v>1436</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1407</v>
      </c>
      <c r="AV138" s="59" t="s">
        <v>1424</v>
      </c>
      <c r="AW138" s="59" t="s">
        <v>1522</v>
      </c>
      <c r="AX138" s="59" t="s">
        <v>1426</v>
      </c>
      <c r="AY138" s="59">
        <v>2022</v>
      </c>
      <c r="AZ138" s="59" t="s">
        <v>1408</v>
      </c>
      <c r="BA138" s="59"/>
      <c r="BB138" s="167"/>
      <c r="BC138" s="65">
        <v>2026</v>
      </c>
      <c r="BD138" s="59"/>
      <c r="BE138" s="167"/>
      <c r="BF138" s="59" t="s">
        <v>1500</v>
      </c>
    </row>
    <row r="139" spans="1:58" ht="28">
      <c r="A139" s="59" t="s">
        <v>2034</v>
      </c>
      <c r="B139" s="59" t="s">
        <v>2035</v>
      </c>
      <c r="C139" s="59"/>
      <c r="D139" s="59"/>
      <c r="E139" s="59" t="s">
        <v>2032</v>
      </c>
      <c r="F139" s="59" t="s">
        <v>1612</v>
      </c>
      <c r="G139" s="59" t="s">
        <v>1511</v>
      </c>
      <c r="H139" s="59" t="s">
        <v>1398</v>
      </c>
      <c r="I139" s="59" t="s">
        <v>2036</v>
      </c>
      <c r="J139" s="59" t="s">
        <v>1415</v>
      </c>
      <c r="K139" s="59" t="s">
        <v>1521</v>
      </c>
      <c r="L139" s="59" t="s">
        <v>1436</v>
      </c>
      <c r="M139" s="59" t="s">
        <v>1488</v>
      </c>
      <c r="N139" s="59" t="s">
        <v>1436</v>
      </c>
      <c r="O139" s="59" t="s">
        <v>1521</v>
      </c>
      <c r="P139" s="59" t="s">
        <v>1436</v>
      </c>
      <c r="Q139" s="75" t="s">
        <v>1436</v>
      </c>
      <c r="R139" s="75" t="s">
        <v>1436</v>
      </c>
      <c r="S139" s="75" t="s">
        <v>1436</v>
      </c>
      <c r="T139" s="75" t="s">
        <v>1436</v>
      </c>
      <c r="U139" s="75" t="s">
        <v>1436</v>
      </c>
      <c r="V139" s="75" t="s">
        <v>1436</v>
      </c>
      <c r="W139" s="60"/>
      <c r="X139" s="73" t="str">
        <f t="shared" si="22"/>
        <v>Belum Dinilai</v>
      </c>
      <c r="Y139" s="73" t="str">
        <f t="shared" si="23"/>
        <v>Belum Dinilai</v>
      </c>
      <c r="Z139" s="74" t="str">
        <f t="shared" si="24"/>
        <v/>
      </c>
      <c r="AA139" s="74" t="str">
        <f t="shared" si="25"/>
        <v/>
      </c>
      <c r="AB139" s="74" t="str">
        <f t="shared" si="26"/>
        <v/>
      </c>
      <c r="AC139" s="61" t="s">
        <v>1436</v>
      </c>
      <c r="AD139" s="61" t="s">
        <v>1436</v>
      </c>
      <c r="AE139" s="61" t="s">
        <v>1436</v>
      </c>
      <c r="AF139" s="61" t="s">
        <v>1436</v>
      </c>
      <c r="AG139" s="61" t="s">
        <v>1436</v>
      </c>
      <c r="AH139" s="61" t="s">
        <v>1436</v>
      </c>
      <c r="AI139" s="61" t="s">
        <v>1436</v>
      </c>
      <c r="AJ139" s="61" t="s">
        <v>1436</v>
      </c>
      <c r="AK139" s="61" t="s">
        <v>1436</v>
      </c>
      <c r="AL139" s="61"/>
      <c r="AM139" s="61" t="s">
        <v>1436</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1407</v>
      </c>
      <c r="AV139" s="59" t="s">
        <v>1424</v>
      </c>
      <c r="AW139" s="59" t="s">
        <v>1409</v>
      </c>
      <c r="AX139" s="59" t="s">
        <v>1410</v>
      </c>
      <c r="AY139" s="59"/>
      <c r="AZ139" s="59" t="s">
        <v>1408</v>
      </c>
      <c r="BA139" s="59"/>
      <c r="BB139" s="167"/>
      <c r="BC139" s="65">
        <v>2026</v>
      </c>
      <c r="BD139" s="59"/>
      <c r="BE139" s="167"/>
      <c r="BF139" s="59" t="s">
        <v>1500</v>
      </c>
    </row>
    <row r="140" spans="1:58" ht="42">
      <c r="A140" s="59" t="s">
        <v>2037</v>
      </c>
      <c r="B140" s="59" t="s">
        <v>2038</v>
      </c>
      <c r="C140" s="59"/>
      <c r="D140" s="59"/>
      <c r="E140" s="59" t="s">
        <v>2039</v>
      </c>
      <c r="F140" s="59" t="s">
        <v>1579</v>
      </c>
      <c r="G140" s="59" t="s">
        <v>1511</v>
      </c>
      <c r="H140" s="59" t="s">
        <v>1414</v>
      </c>
      <c r="I140" s="59" t="s">
        <v>2040</v>
      </c>
      <c r="J140" s="59" t="s">
        <v>1415</v>
      </c>
      <c r="K140" s="59" t="s">
        <v>1521</v>
      </c>
      <c r="L140" s="59" t="s">
        <v>1436</v>
      </c>
      <c r="M140" s="59" t="s">
        <v>1488</v>
      </c>
      <c r="N140" s="59" t="s">
        <v>1436</v>
      </c>
      <c r="O140" s="59" t="s">
        <v>1521</v>
      </c>
      <c r="P140" s="59" t="s">
        <v>1436</v>
      </c>
      <c r="Q140" s="75" t="s">
        <v>1436</v>
      </c>
      <c r="R140" s="75" t="s">
        <v>1436</v>
      </c>
      <c r="S140" s="75" t="s">
        <v>1436</v>
      </c>
      <c r="T140" s="75" t="s">
        <v>1436</v>
      </c>
      <c r="U140" s="75" t="s">
        <v>1436</v>
      </c>
      <c r="V140" s="75" t="s">
        <v>1436</v>
      </c>
      <c r="W140" s="60"/>
      <c r="X140" s="73" t="str">
        <f t="shared" si="22"/>
        <v>Belum Dinilai</v>
      </c>
      <c r="Y140" s="73" t="str">
        <f t="shared" si="23"/>
        <v>Belum Dinilai</v>
      </c>
      <c r="Z140" s="74" t="str">
        <f t="shared" si="24"/>
        <v/>
      </c>
      <c r="AA140" s="74" t="str">
        <f t="shared" si="25"/>
        <v/>
      </c>
      <c r="AB140" s="74" t="str">
        <f t="shared" si="26"/>
        <v/>
      </c>
      <c r="AC140" s="61" t="s">
        <v>1436</v>
      </c>
      <c r="AD140" s="61" t="s">
        <v>1436</v>
      </c>
      <c r="AE140" s="61" t="s">
        <v>1436</v>
      </c>
      <c r="AF140" s="61" t="s">
        <v>1436</v>
      </c>
      <c r="AG140" s="61" t="s">
        <v>1436</v>
      </c>
      <c r="AH140" s="61" t="s">
        <v>1436</v>
      </c>
      <c r="AI140" s="61" t="s">
        <v>1436</v>
      </c>
      <c r="AJ140" s="61" t="s">
        <v>1436</v>
      </c>
      <c r="AK140" s="61" t="s">
        <v>1436</v>
      </c>
      <c r="AL140" s="61"/>
      <c r="AM140" s="61" t="s">
        <v>1436</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1423</v>
      </c>
      <c r="AV140" s="59" t="s">
        <v>1424</v>
      </c>
      <c r="AW140" s="59" t="s">
        <v>1409</v>
      </c>
      <c r="AX140" s="59" t="s">
        <v>1410</v>
      </c>
      <c r="AY140" s="59"/>
      <c r="AZ140" s="59" t="s">
        <v>1427</v>
      </c>
      <c r="BA140" s="59"/>
      <c r="BB140" s="167"/>
      <c r="BC140" s="65">
        <v>2026</v>
      </c>
      <c r="BD140" s="59"/>
      <c r="BE140" s="167"/>
      <c r="BF140" s="59" t="s">
        <v>1500</v>
      </c>
    </row>
    <row r="141" spans="1:58" ht="42">
      <c r="A141" s="59" t="s">
        <v>2041</v>
      </c>
      <c r="B141" s="59" t="s">
        <v>2042</v>
      </c>
      <c r="C141" s="59"/>
      <c r="D141" s="59"/>
      <c r="E141" s="59" t="s">
        <v>2043</v>
      </c>
      <c r="F141" s="59" t="s">
        <v>1848</v>
      </c>
      <c r="G141" s="59" t="s">
        <v>1533</v>
      </c>
      <c r="H141" s="59" t="s">
        <v>1398</v>
      </c>
      <c r="I141" s="59" t="s">
        <v>2044</v>
      </c>
      <c r="J141" s="59" t="s">
        <v>1399</v>
      </c>
      <c r="K141" s="59" t="s">
        <v>1416</v>
      </c>
      <c r="L141" s="59" t="s">
        <v>1436</v>
      </c>
      <c r="M141" s="59" t="s">
        <v>1487</v>
      </c>
      <c r="N141" s="59" t="s">
        <v>1436</v>
      </c>
      <c r="O141" s="59" t="s">
        <v>1434</v>
      </c>
      <c r="P141" s="59" t="s">
        <v>1436</v>
      </c>
      <c r="Q141" s="75" t="s">
        <v>1436</v>
      </c>
      <c r="R141" s="75" t="s">
        <v>1436</v>
      </c>
      <c r="S141" s="75" t="s">
        <v>1436</v>
      </c>
      <c r="T141" s="75" t="s">
        <v>1436</v>
      </c>
      <c r="U141" s="75" t="s">
        <v>1436</v>
      </c>
      <c r="V141" s="75" t="s">
        <v>1436</v>
      </c>
      <c r="W141" s="60"/>
      <c r="X141" s="73" t="str">
        <f t="shared" si="22"/>
        <v>Belum Dinilai</v>
      </c>
      <c r="Y141" s="73" t="str">
        <f t="shared" si="23"/>
        <v>Belum Dinilai</v>
      </c>
      <c r="Z141" s="74" t="str">
        <f t="shared" si="24"/>
        <v/>
      </c>
      <c r="AA141" s="74" t="str">
        <f t="shared" si="25"/>
        <v/>
      </c>
      <c r="AB141" s="74" t="str">
        <f t="shared" si="26"/>
        <v/>
      </c>
      <c r="AC141" s="61" t="s">
        <v>1436</v>
      </c>
      <c r="AD141" s="61" t="s">
        <v>1436</v>
      </c>
      <c r="AE141" s="61" t="s">
        <v>1436</v>
      </c>
      <c r="AF141" s="61" t="s">
        <v>1436</v>
      </c>
      <c r="AG141" s="61" t="s">
        <v>1436</v>
      </c>
      <c r="AH141" s="61" t="s">
        <v>1436</v>
      </c>
      <c r="AI141" s="61" t="s">
        <v>1436</v>
      </c>
      <c r="AJ141" s="61" t="s">
        <v>1436</v>
      </c>
      <c r="AK141" s="61" t="s">
        <v>1436</v>
      </c>
      <c r="AL141" s="61"/>
      <c r="AM141" s="61" t="s">
        <v>1436</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1407</v>
      </c>
      <c r="AV141" s="59" t="s">
        <v>1424</v>
      </c>
      <c r="AW141" s="59" t="s">
        <v>1409</v>
      </c>
      <c r="AX141" s="59" t="s">
        <v>1410</v>
      </c>
      <c r="AY141" s="59"/>
      <c r="AZ141" s="59" t="s">
        <v>1408</v>
      </c>
      <c r="BA141" s="59"/>
      <c r="BB141" s="167"/>
      <c r="BC141" s="65">
        <v>2026</v>
      </c>
      <c r="BD141" s="59"/>
      <c r="BE141" s="167"/>
      <c r="BF141" s="59" t="s">
        <v>1500</v>
      </c>
    </row>
    <row r="142" spans="1:58" ht="28">
      <c r="A142" s="59" t="s">
        <v>2045</v>
      </c>
      <c r="B142" s="59" t="s">
        <v>2046</v>
      </c>
      <c r="C142" s="59"/>
      <c r="D142" s="59"/>
      <c r="E142" s="59" t="s">
        <v>2047</v>
      </c>
      <c r="F142" s="59" t="s">
        <v>1579</v>
      </c>
      <c r="G142" s="59" t="s">
        <v>1511</v>
      </c>
      <c r="H142" s="59" t="s">
        <v>1398</v>
      </c>
      <c r="I142" s="59" t="s">
        <v>2048</v>
      </c>
      <c r="J142" s="59" t="s">
        <v>1430</v>
      </c>
      <c r="K142" s="59" t="s">
        <v>1416</v>
      </c>
      <c r="L142" s="59" t="s">
        <v>1436</v>
      </c>
      <c r="M142" s="59" t="s">
        <v>1488</v>
      </c>
      <c r="N142" s="59" t="s">
        <v>1436</v>
      </c>
      <c r="O142" s="59" t="s">
        <v>1434</v>
      </c>
      <c r="P142" s="59" t="s">
        <v>1436</v>
      </c>
      <c r="Q142" s="75" t="s">
        <v>1436</v>
      </c>
      <c r="R142" s="75" t="s">
        <v>1436</v>
      </c>
      <c r="S142" s="75" t="s">
        <v>1436</v>
      </c>
      <c r="T142" s="75" t="s">
        <v>1436</v>
      </c>
      <c r="U142" s="75" t="s">
        <v>1436</v>
      </c>
      <c r="V142" s="75" t="s">
        <v>1436</v>
      </c>
      <c r="W142" s="60"/>
      <c r="X142" s="73" t="str">
        <f t="shared" si="22"/>
        <v>Belum Dinilai</v>
      </c>
      <c r="Y142" s="73" t="str">
        <f t="shared" si="23"/>
        <v>Belum Dinilai</v>
      </c>
      <c r="Z142" s="74" t="str">
        <f t="shared" si="24"/>
        <v/>
      </c>
      <c r="AA142" s="74" t="str">
        <f t="shared" si="25"/>
        <v/>
      </c>
      <c r="AB142" s="74" t="str">
        <f t="shared" si="26"/>
        <v/>
      </c>
      <c r="AC142" s="61" t="s">
        <v>1436</v>
      </c>
      <c r="AD142" s="61" t="s">
        <v>1436</v>
      </c>
      <c r="AE142" s="61" t="s">
        <v>1436</v>
      </c>
      <c r="AF142" s="61" t="s">
        <v>1436</v>
      </c>
      <c r="AG142" s="61" t="s">
        <v>1436</v>
      </c>
      <c r="AH142" s="61" t="s">
        <v>1436</v>
      </c>
      <c r="AI142" s="61" t="s">
        <v>1436</v>
      </c>
      <c r="AJ142" s="61" t="s">
        <v>1436</v>
      </c>
      <c r="AK142" s="61" t="s">
        <v>1436</v>
      </c>
      <c r="AL142" s="61"/>
      <c r="AM142" s="61" t="s">
        <v>1436</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1407</v>
      </c>
      <c r="AV142" s="59" t="s">
        <v>1424</v>
      </c>
      <c r="AW142" s="59" t="s">
        <v>1522</v>
      </c>
      <c r="AX142" s="59" t="s">
        <v>1426</v>
      </c>
      <c r="AY142" s="59">
        <v>2023</v>
      </c>
      <c r="AZ142" s="59" t="s">
        <v>1408</v>
      </c>
      <c r="BA142" s="59"/>
      <c r="BB142" s="167"/>
      <c r="BC142" s="65">
        <v>2026</v>
      </c>
      <c r="BD142" s="59"/>
      <c r="BE142" s="167"/>
      <c r="BF142" s="59" t="s">
        <v>1500</v>
      </c>
    </row>
    <row r="143" spans="1:58" ht="28">
      <c r="A143" s="59" t="s">
        <v>2049</v>
      </c>
      <c r="B143" s="59" t="s">
        <v>2050</v>
      </c>
      <c r="C143" s="59"/>
      <c r="D143" s="59"/>
      <c r="E143" s="59" t="s">
        <v>1523</v>
      </c>
      <c r="F143" s="59" t="s">
        <v>1579</v>
      </c>
      <c r="G143" s="59" t="s">
        <v>1511</v>
      </c>
      <c r="H143" s="59" t="s">
        <v>1398</v>
      </c>
      <c r="I143" s="59" t="s">
        <v>2051</v>
      </c>
      <c r="J143" s="59" t="s">
        <v>1430</v>
      </c>
      <c r="K143" s="59" t="s">
        <v>1416</v>
      </c>
      <c r="L143" s="59" t="s">
        <v>1436</v>
      </c>
      <c r="M143" s="59" t="s">
        <v>1488</v>
      </c>
      <c r="N143" s="59" t="s">
        <v>1436</v>
      </c>
      <c r="O143" s="59" t="s">
        <v>1434</v>
      </c>
      <c r="P143" s="59" t="s">
        <v>1436</v>
      </c>
      <c r="Q143" s="75" t="s">
        <v>1436</v>
      </c>
      <c r="R143" s="75" t="s">
        <v>1436</v>
      </c>
      <c r="S143" s="75" t="s">
        <v>1436</v>
      </c>
      <c r="T143" s="75" t="s">
        <v>1436</v>
      </c>
      <c r="U143" s="75" t="s">
        <v>1436</v>
      </c>
      <c r="V143" s="75" t="s">
        <v>1436</v>
      </c>
      <c r="W143" s="60"/>
      <c r="X143" s="73" t="str">
        <f t="shared" si="22"/>
        <v>Belum Dinilai</v>
      </c>
      <c r="Y143" s="73" t="str">
        <f t="shared" si="23"/>
        <v>Belum Dinilai</v>
      </c>
      <c r="Z143" s="74" t="str">
        <f t="shared" si="24"/>
        <v/>
      </c>
      <c r="AA143" s="74" t="str">
        <f t="shared" si="25"/>
        <v/>
      </c>
      <c r="AB143" s="74" t="str">
        <f t="shared" si="26"/>
        <v/>
      </c>
      <c r="AC143" s="61" t="s">
        <v>1436</v>
      </c>
      <c r="AD143" s="61" t="s">
        <v>1436</v>
      </c>
      <c r="AE143" s="61" t="s">
        <v>1436</v>
      </c>
      <c r="AF143" s="61" t="s">
        <v>1436</v>
      </c>
      <c r="AG143" s="61" t="s">
        <v>1436</v>
      </c>
      <c r="AH143" s="61" t="s">
        <v>1436</v>
      </c>
      <c r="AI143" s="61" t="s">
        <v>1436</v>
      </c>
      <c r="AJ143" s="61" t="s">
        <v>1436</v>
      </c>
      <c r="AK143" s="61" t="s">
        <v>1436</v>
      </c>
      <c r="AL143" s="61"/>
      <c r="AM143" s="61" t="s">
        <v>1436</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1407</v>
      </c>
      <c r="AV143" s="59" t="s">
        <v>1424</v>
      </c>
      <c r="AW143" s="59" t="s">
        <v>1522</v>
      </c>
      <c r="AX143" s="59" t="s">
        <v>1426</v>
      </c>
      <c r="AY143" s="59">
        <v>2024</v>
      </c>
      <c r="AZ143" s="59" t="s">
        <v>1408</v>
      </c>
      <c r="BA143" s="59"/>
      <c r="BB143" s="167"/>
      <c r="BC143" s="65">
        <v>2026</v>
      </c>
      <c r="BD143" s="59"/>
      <c r="BE143" s="167"/>
      <c r="BF143" s="59" t="s">
        <v>1500</v>
      </c>
    </row>
    <row r="144" spans="1:58" ht="28">
      <c r="A144" s="59" t="s">
        <v>2052</v>
      </c>
      <c r="B144" s="59" t="s">
        <v>2053</v>
      </c>
      <c r="C144" s="59" t="s">
        <v>2054</v>
      </c>
      <c r="D144" s="59" t="s">
        <v>2055</v>
      </c>
      <c r="E144" s="59" t="s">
        <v>2056</v>
      </c>
      <c r="F144" s="59" t="s">
        <v>1579</v>
      </c>
      <c r="G144" s="59" t="s">
        <v>1511</v>
      </c>
      <c r="H144" s="59" t="s">
        <v>1398</v>
      </c>
      <c r="I144" s="59" t="s">
        <v>2057</v>
      </c>
      <c r="J144" s="59" t="s">
        <v>1415</v>
      </c>
      <c r="K144" s="59" t="s">
        <v>1400</v>
      </c>
      <c r="L144" s="59" t="s">
        <v>1432</v>
      </c>
      <c r="M144" s="59" t="s">
        <v>1488</v>
      </c>
      <c r="N144" s="59" t="s">
        <v>1432</v>
      </c>
      <c r="O144" s="59" t="s">
        <v>1434</v>
      </c>
      <c r="P144" s="59" t="s">
        <v>1432</v>
      </c>
      <c r="Q144" s="75" t="s">
        <v>1404</v>
      </c>
      <c r="R144" s="75" t="s">
        <v>1421</v>
      </c>
      <c r="S144" s="75" t="s">
        <v>1421</v>
      </c>
      <c r="T144" s="75" t="s">
        <v>1421</v>
      </c>
      <c r="U144" s="75" t="s">
        <v>1421</v>
      </c>
      <c r="V144" s="75" t="s">
        <v>1421</v>
      </c>
      <c r="W144" s="60"/>
      <c r="X144" s="73" t="str">
        <f t="shared" si="22"/>
        <v>Tidak ada faktor rentan</v>
      </c>
      <c r="Y144" s="73" t="str">
        <f t="shared" si="23"/>
        <v>Tidak Ada Faktor Rentan</v>
      </c>
      <c r="Z144" s="74">
        <f t="shared" si="24"/>
        <v>10</v>
      </c>
      <c r="AA144" s="74">
        <f t="shared" si="25"/>
        <v>0</v>
      </c>
      <c r="AB144" s="74">
        <f t="shared" si="26"/>
        <v>10</v>
      </c>
      <c r="AC144" s="61" t="s">
        <v>1421</v>
      </c>
      <c r="AD144" s="61" t="s">
        <v>1421</v>
      </c>
      <c r="AE144" s="61" t="s">
        <v>1405</v>
      </c>
      <c r="AF144" s="61" t="s">
        <v>1421</v>
      </c>
      <c r="AG144" s="61" t="s">
        <v>1405</v>
      </c>
      <c r="AH144" s="61" t="s">
        <v>1405</v>
      </c>
      <c r="AI144" s="61" t="s">
        <v>1405</v>
      </c>
      <c r="AJ144" s="61" t="s">
        <v>1421</v>
      </c>
      <c r="AK144" s="61" t="s">
        <v>1421</v>
      </c>
      <c r="AL144" s="61"/>
      <c r="AM144" s="61" t="s">
        <v>1436</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1407</v>
      </c>
      <c r="AV144" s="59" t="s">
        <v>1424</v>
      </c>
      <c r="AW144" s="59" t="s">
        <v>1425</v>
      </c>
      <c r="AX144" s="59" t="s">
        <v>1505</v>
      </c>
      <c r="AY144" s="59">
        <v>2026</v>
      </c>
      <c r="AZ144" s="59" t="s">
        <v>1408</v>
      </c>
      <c r="BA144" s="59"/>
      <c r="BB144" s="167"/>
      <c r="BC144" s="65">
        <v>2026</v>
      </c>
      <c r="BD144" s="59"/>
      <c r="BE144" s="167"/>
      <c r="BF144" s="59" t="s">
        <v>1500</v>
      </c>
    </row>
    <row r="145" spans="1:58" ht="28">
      <c r="A145" s="59" t="s">
        <v>2058</v>
      </c>
      <c r="B145" s="59" t="s">
        <v>2059</v>
      </c>
      <c r="C145" s="59"/>
      <c r="D145" s="59"/>
      <c r="E145" s="59" t="s">
        <v>2060</v>
      </c>
      <c r="F145" s="59" t="s">
        <v>1579</v>
      </c>
      <c r="G145" s="59" t="s">
        <v>1511</v>
      </c>
      <c r="H145" s="59" t="s">
        <v>1483</v>
      </c>
      <c r="I145" s="59" t="s">
        <v>2061</v>
      </c>
      <c r="J145" s="59" t="s">
        <v>1399</v>
      </c>
      <c r="K145" s="59" t="s">
        <v>1521</v>
      </c>
      <c r="L145" s="59" t="s">
        <v>1436</v>
      </c>
      <c r="M145" s="59" t="s">
        <v>1487</v>
      </c>
      <c r="N145" s="59" t="s">
        <v>1436</v>
      </c>
      <c r="O145" s="59" t="s">
        <v>1521</v>
      </c>
      <c r="P145" s="59" t="s">
        <v>1436</v>
      </c>
      <c r="Q145" s="75" t="s">
        <v>1436</v>
      </c>
      <c r="R145" s="75" t="s">
        <v>1436</v>
      </c>
      <c r="S145" s="75" t="s">
        <v>1436</v>
      </c>
      <c r="T145" s="75" t="s">
        <v>1436</v>
      </c>
      <c r="U145" s="75" t="s">
        <v>1436</v>
      </c>
      <c r="V145" s="75" t="s">
        <v>1436</v>
      </c>
      <c r="W145" s="60"/>
      <c r="X145" s="73" t="str">
        <f t="shared" si="22"/>
        <v>Belum Dinilai</v>
      </c>
      <c r="Y145" s="73" t="str">
        <f t="shared" si="23"/>
        <v>Belum Dinilai</v>
      </c>
      <c r="Z145" s="74" t="str">
        <f t="shared" si="24"/>
        <v/>
      </c>
      <c r="AA145" s="74" t="str">
        <f t="shared" si="25"/>
        <v/>
      </c>
      <c r="AB145" s="74" t="str">
        <f t="shared" si="26"/>
        <v/>
      </c>
      <c r="AC145" s="61" t="s">
        <v>1436</v>
      </c>
      <c r="AD145" s="61" t="s">
        <v>1436</v>
      </c>
      <c r="AE145" s="61" t="s">
        <v>1436</v>
      </c>
      <c r="AF145" s="61" t="s">
        <v>1436</v>
      </c>
      <c r="AG145" s="61" t="s">
        <v>1436</v>
      </c>
      <c r="AH145" s="61" t="s">
        <v>1436</v>
      </c>
      <c r="AI145" s="61" t="s">
        <v>1436</v>
      </c>
      <c r="AJ145" s="61" t="s">
        <v>1436</v>
      </c>
      <c r="AK145" s="61" t="s">
        <v>1436</v>
      </c>
      <c r="AL145" s="61"/>
      <c r="AM145" s="61" t="s">
        <v>1436</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1407</v>
      </c>
      <c r="AV145" s="59" t="s">
        <v>1424</v>
      </c>
      <c r="AW145" s="59" t="s">
        <v>1409</v>
      </c>
      <c r="AX145" s="59" t="s">
        <v>1410</v>
      </c>
      <c r="AY145" s="59"/>
      <c r="AZ145" s="59" t="s">
        <v>1408</v>
      </c>
      <c r="BA145" s="59"/>
      <c r="BB145" s="167"/>
      <c r="BC145" s="65">
        <v>2026</v>
      </c>
      <c r="BD145" s="59"/>
      <c r="BE145" s="167"/>
      <c r="BF145" s="59" t="s">
        <v>1500</v>
      </c>
    </row>
    <row r="146" spans="1:58" ht="28">
      <c r="A146" s="59" t="s">
        <v>2062</v>
      </c>
      <c r="B146" s="59" t="s">
        <v>2063</v>
      </c>
      <c r="C146" s="59"/>
      <c r="D146" s="59"/>
      <c r="E146" s="59" t="s">
        <v>2064</v>
      </c>
      <c r="F146" s="59" t="s">
        <v>1510</v>
      </c>
      <c r="G146" s="59" t="s">
        <v>1511</v>
      </c>
      <c r="H146" s="59" t="s">
        <v>1483</v>
      </c>
      <c r="I146" s="59" t="s">
        <v>1636</v>
      </c>
      <c r="J146" s="59" t="s">
        <v>1399</v>
      </c>
      <c r="K146" s="59" t="s">
        <v>1521</v>
      </c>
      <c r="L146" s="59" t="s">
        <v>1436</v>
      </c>
      <c r="M146" s="59" t="s">
        <v>1487</v>
      </c>
      <c r="N146" s="59" t="s">
        <v>1436</v>
      </c>
      <c r="O146" s="59" t="s">
        <v>1521</v>
      </c>
      <c r="P146" s="59" t="s">
        <v>1436</v>
      </c>
      <c r="Q146" s="75" t="s">
        <v>1436</v>
      </c>
      <c r="R146" s="75" t="s">
        <v>1436</v>
      </c>
      <c r="S146" s="75" t="s">
        <v>1436</v>
      </c>
      <c r="T146" s="75" t="s">
        <v>1436</v>
      </c>
      <c r="U146" s="75" t="s">
        <v>1436</v>
      </c>
      <c r="V146" s="75" t="s">
        <v>1436</v>
      </c>
      <c r="W146" s="60"/>
      <c r="X146" s="73" t="str">
        <f t="shared" si="22"/>
        <v>Belum Dinilai</v>
      </c>
      <c r="Y146" s="73" t="str">
        <f t="shared" si="23"/>
        <v>Belum Dinilai</v>
      </c>
      <c r="Z146" s="74" t="str">
        <f t="shared" si="24"/>
        <v/>
      </c>
      <c r="AA146" s="74" t="str">
        <f t="shared" si="25"/>
        <v/>
      </c>
      <c r="AB146" s="74" t="str">
        <f t="shared" si="26"/>
        <v/>
      </c>
      <c r="AC146" s="61" t="s">
        <v>1436</v>
      </c>
      <c r="AD146" s="61" t="s">
        <v>1436</v>
      </c>
      <c r="AE146" s="61" t="s">
        <v>1436</v>
      </c>
      <c r="AF146" s="61" t="s">
        <v>1436</v>
      </c>
      <c r="AG146" s="61" t="s">
        <v>1436</v>
      </c>
      <c r="AH146" s="61" t="s">
        <v>1436</v>
      </c>
      <c r="AI146" s="61" t="s">
        <v>1436</v>
      </c>
      <c r="AJ146" s="61" t="s">
        <v>1436</v>
      </c>
      <c r="AK146" s="61" t="s">
        <v>1436</v>
      </c>
      <c r="AL146" s="61"/>
      <c r="AM146" s="61" t="s">
        <v>1436</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1423</v>
      </c>
      <c r="AV146" s="59" t="s">
        <v>1424</v>
      </c>
      <c r="AW146" s="59" t="s">
        <v>1409</v>
      </c>
      <c r="AX146" s="59" t="s">
        <v>1410</v>
      </c>
      <c r="AY146" s="59"/>
      <c r="AZ146" s="59" t="s">
        <v>1408</v>
      </c>
      <c r="BA146" s="59"/>
      <c r="BB146" s="167"/>
      <c r="BC146" s="65">
        <v>2026</v>
      </c>
      <c r="BD146" s="59"/>
      <c r="BE146" s="167"/>
      <c r="BF146" s="59" t="s">
        <v>1500</v>
      </c>
    </row>
    <row r="147" spans="1:58" ht="28">
      <c r="A147" s="59" t="s">
        <v>2065</v>
      </c>
      <c r="B147" s="59" t="s">
        <v>2066</v>
      </c>
      <c r="C147" s="59"/>
      <c r="D147" s="59"/>
      <c r="E147" s="59" t="s">
        <v>2067</v>
      </c>
      <c r="F147" s="59" t="s">
        <v>1680</v>
      </c>
      <c r="G147" s="59" t="s">
        <v>1533</v>
      </c>
      <c r="H147" s="59" t="s">
        <v>1483</v>
      </c>
      <c r="I147" s="59" t="s">
        <v>1636</v>
      </c>
      <c r="J147" s="59" t="s">
        <v>1399</v>
      </c>
      <c r="K147" s="59" t="s">
        <v>1521</v>
      </c>
      <c r="L147" s="59" t="s">
        <v>1436</v>
      </c>
      <c r="M147" s="59" t="s">
        <v>1487</v>
      </c>
      <c r="N147" s="59" t="s">
        <v>1436</v>
      </c>
      <c r="O147" s="59" t="s">
        <v>1521</v>
      </c>
      <c r="P147" s="59" t="s">
        <v>1436</v>
      </c>
      <c r="Q147" s="75" t="s">
        <v>1436</v>
      </c>
      <c r="R147" s="75" t="s">
        <v>1436</v>
      </c>
      <c r="S147" s="75" t="s">
        <v>1436</v>
      </c>
      <c r="T147" s="75" t="s">
        <v>1436</v>
      </c>
      <c r="U147" s="75" t="s">
        <v>1436</v>
      </c>
      <c r="V147" s="75" t="s">
        <v>1436</v>
      </c>
      <c r="W147" s="60"/>
      <c r="X147" s="73" t="str">
        <f t="shared" si="22"/>
        <v>Belum Dinilai</v>
      </c>
      <c r="Y147" s="73" t="str">
        <f t="shared" si="23"/>
        <v>Belum Dinilai</v>
      </c>
      <c r="Z147" s="74" t="str">
        <f t="shared" si="24"/>
        <v/>
      </c>
      <c r="AA147" s="74" t="str">
        <f t="shared" si="25"/>
        <v/>
      </c>
      <c r="AB147" s="74" t="str">
        <f t="shared" si="26"/>
        <v/>
      </c>
      <c r="AC147" s="61" t="s">
        <v>1436</v>
      </c>
      <c r="AD147" s="61" t="s">
        <v>1436</v>
      </c>
      <c r="AE147" s="61" t="s">
        <v>1436</v>
      </c>
      <c r="AF147" s="61" t="s">
        <v>1436</v>
      </c>
      <c r="AG147" s="61" t="s">
        <v>1436</v>
      </c>
      <c r="AH147" s="61" t="s">
        <v>1436</v>
      </c>
      <c r="AI147" s="61" t="s">
        <v>1436</v>
      </c>
      <c r="AJ147" s="61" t="s">
        <v>1436</v>
      </c>
      <c r="AK147" s="61" t="s">
        <v>1436</v>
      </c>
      <c r="AL147" s="61"/>
      <c r="AM147" s="61" t="s">
        <v>1436</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1407</v>
      </c>
      <c r="AV147" s="59" t="s">
        <v>1424</v>
      </c>
      <c r="AW147" s="59" t="s">
        <v>1409</v>
      </c>
      <c r="AX147" s="59" t="s">
        <v>1410</v>
      </c>
      <c r="AY147" s="59"/>
      <c r="AZ147" s="59" t="s">
        <v>1408</v>
      </c>
      <c r="BA147" s="59"/>
      <c r="BB147" s="167"/>
      <c r="BC147" s="65">
        <v>2026</v>
      </c>
      <c r="BD147" s="59"/>
      <c r="BE147" s="167"/>
      <c r="BF147" s="59" t="s">
        <v>1500</v>
      </c>
    </row>
    <row r="148" spans="1:58" ht="28">
      <c r="A148" s="59" t="s">
        <v>2068</v>
      </c>
      <c r="B148" s="59" t="s">
        <v>2069</v>
      </c>
      <c r="C148" s="59"/>
      <c r="D148" s="59"/>
      <c r="E148" s="59" t="s">
        <v>2067</v>
      </c>
      <c r="F148" s="59" t="s">
        <v>1680</v>
      </c>
      <c r="G148" s="59" t="s">
        <v>1533</v>
      </c>
      <c r="H148" s="59" t="s">
        <v>1414</v>
      </c>
      <c r="I148" s="59" t="s">
        <v>2070</v>
      </c>
      <c r="J148" s="59" t="s">
        <v>1415</v>
      </c>
      <c r="K148" s="59" t="s">
        <v>1521</v>
      </c>
      <c r="L148" s="59" t="s">
        <v>1436</v>
      </c>
      <c r="M148" s="59" t="s">
        <v>1488</v>
      </c>
      <c r="N148" s="59" t="s">
        <v>1436</v>
      </c>
      <c r="O148" s="59" t="s">
        <v>1521</v>
      </c>
      <c r="P148" s="59" t="s">
        <v>1436</v>
      </c>
      <c r="Q148" s="75" t="s">
        <v>1436</v>
      </c>
      <c r="R148" s="75" t="s">
        <v>1436</v>
      </c>
      <c r="S148" s="75" t="s">
        <v>1436</v>
      </c>
      <c r="T148" s="75" t="s">
        <v>1436</v>
      </c>
      <c r="U148" s="75" t="s">
        <v>1436</v>
      </c>
      <c r="V148" s="75" t="s">
        <v>1436</v>
      </c>
      <c r="W148" s="60"/>
      <c r="X148" s="73" t="str">
        <f t="shared" si="22"/>
        <v>Belum Dinilai</v>
      </c>
      <c r="Y148" s="73" t="str">
        <f t="shared" si="23"/>
        <v>Belum Dinilai</v>
      </c>
      <c r="Z148" s="74" t="str">
        <f t="shared" si="24"/>
        <v/>
      </c>
      <c r="AA148" s="74" t="str">
        <f t="shared" si="25"/>
        <v/>
      </c>
      <c r="AB148" s="74" t="str">
        <f t="shared" si="26"/>
        <v/>
      </c>
      <c r="AC148" s="61" t="s">
        <v>1436</v>
      </c>
      <c r="AD148" s="61" t="s">
        <v>1436</v>
      </c>
      <c r="AE148" s="61" t="s">
        <v>1436</v>
      </c>
      <c r="AF148" s="61" t="s">
        <v>1436</v>
      </c>
      <c r="AG148" s="61" t="s">
        <v>1436</v>
      </c>
      <c r="AH148" s="61" t="s">
        <v>1436</v>
      </c>
      <c r="AI148" s="61" t="s">
        <v>1436</v>
      </c>
      <c r="AJ148" s="61" t="s">
        <v>1436</v>
      </c>
      <c r="AK148" s="61" t="s">
        <v>1436</v>
      </c>
      <c r="AL148" s="61"/>
      <c r="AM148" s="61" t="s">
        <v>1436</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1407</v>
      </c>
      <c r="AV148" s="59" t="s">
        <v>1424</v>
      </c>
      <c r="AW148" s="59" t="s">
        <v>1522</v>
      </c>
      <c r="AX148" s="59" t="s">
        <v>1426</v>
      </c>
      <c r="AY148" s="59">
        <v>2024</v>
      </c>
      <c r="AZ148" s="59" t="s">
        <v>1408</v>
      </c>
      <c r="BA148" s="59"/>
      <c r="BB148" s="167"/>
      <c r="BC148" s="65">
        <v>2026</v>
      </c>
      <c r="BD148" s="59"/>
      <c r="BE148" s="167"/>
      <c r="BF148" s="59" t="s">
        <v>1500</v>
      </c>
    </row>
    <row r="149" spans="1:58" ht="28">
      <c r="A149" s="59" t="s">
        <v>2071</v>
      </c>
      <c r="B149" s="59" t="s">
        <v>2072</v>
      </c>
      <c r="C149" s="59"/>
      <c r="D149" s="59"/>
      <c r="E149" s="59" t="s">
        <v>2073</v>
      </c>
      <c r="F149" s="59" t="s">
        <v>1510</v>
      </c>
      <c r="G149" s="59" t="s">
        <v>1511</v>
      </c>
      <c r="H149" s="59" t="s">
        <v>1398</v>
      </c>
      <c r="I149" s="59" t="s">
        <v>1512</v>
      </c>
      <c r="J149" s="59" t="s">
        <v>1430</v>
      </c>
      <c r="K149" s="59" t="s">
        <v>1521</v>
      </c>
      <c r="L149" s="59" t="s">
        <v>1436</v>
      </c>
      <c r="M149" s="59" t="s">
        <v>1488</v>
      </c>
      <c r="N149" s="59" t="s">
        <v>1436</v>
      </c>
      <c r="O149" s="59" t="s">
        <v>1521</v>
      </c>
      <c r="P149" s="59" t="s">
        <v>1436</v>
      </c>
      <c r="Q149" s="75" t="s">
        <v>1436</v>
      </c>
      <c r="R149" s="75" t="s">
        <v>1436</v>
      </c>
      <c r="S149" s="75" t="s">
        <v>1436</v>
      </c>
      <c r="T149" s="75" t="s">
        <v>1436</v>
      </c>
      <c r="U149" s="75" t="s">
        <v>1436</v>
      </c>
      <c r="V149" s="75" t="s">
        <v>1436</v>
      </c>
      <c r="W149" s="60"/>
      <c r="X149" s="73" t="str">
        <f t="shared" si="22"/>
        <v>Belum Dinilai</v>
      </c>
      <c r="Y149" s="73" t="str">
        <f t="shared" si="23"/>
        <v>Belum Dinilai</v>
      </c>
      <c r="Z149" s="74" t="str">
        <f t="shared" si="24"/>
        <v/>
      </c>
      <c r="AA149" s="74" t="str">
        <f t="shared" si="25"/>
        <v/>
      </c>
      <c r="AB149" s="74" t="str">
        <f t="shared" si="26"/>
        <v/>
      </c>
      <c r="AC149" s="61" t="s">
        <v>1436</v>
      </c>
      <c r="AD149" s="61" t="s">
        <v>1436</v>
      </c>
      <c r="AE149" s="61" t="s">
        <v>1436</v>
      </c>
      <c r="AF149" s="61" t="s">
        <v>1436</v>
      </c>
      <c r="AG149" s="61" t="s">
        <v>1436</v>
      </c>
      <c r="AH149" s="61" t="s">
        <v>1436</v>
      </c>
      <c r="AI149" s="61" t="s">
        <v>1436</v>
      </c>
      <c r="AJ149" s="61" t="s">
        <v>1436</v>
      </c>
      <c r="AK149" s="61" t="s">
        <v>1436</v>
      </c>
      <c r="AL149" s="61"/>
      <c r="AM149" s="61" t="s">
        <v>1436</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1407</v>
      </c>
      <c r="AV149" s="59" t="s">
        <v>1424</v>
      </c>
      <c r="AW149" s="59" t="s">
        <v>1522</v>
      </c>
      <c r="AX149" s="59" t="s">
        <v>1426</v>
      </c>
      <c r="AY149" s="59">
        <v>2022</v>
      </c>
      <c r="AZ149" s="59" t="s">
        <v>1408</v>
      </c>
      <c r="BA149" s="59"/>
      <c r="BB149" s="167"/>
      <c r="BC149" s="65">
        <v>2026</v>
      </c>
      <c r="BD149" s="59"/>
      <c r="BE149" s="167"/>
      <c r="BF149" s="59" t="s">
        <v>1500</v>
      </c>
    </row>
    <row r="150" spans="1:58" ht="42">
      <c r="A150" s="59" t="s">
        <v>2074</v>
      </c>
      <c r="B150" s="59" t="s">
        <v>2075</v>
      </c>
      <c r="C150" s="59"/>
      <c r="D150" s="59"/>
      <c r="E150" s="59" t="s">
        <v>1523</v>
      </c>
      <c r="F150" s="59" t="s">
        <v>1573</v>
      </c>
      <c r="G150" s="59" t="s">
        <v>1574</v>
      </c>
      <c r="H150" s="59" t="s">
        <v>1483</v>
      </c>
      <c r="I150" s="59" t="s">
        <v>2076</v>
      </c>
      <c r="J150" s="59" t="s">
        <v>1430</v>
      </c>
      <c r="K150" s="59" t="s">
        <v>1521</v>
      </c>
      <c r="L150" s="59" t="s">
        <v>1417</v>
      </c>
      <c r="M150" s="59" t="s">
        <v>1488</v>
      </c>
      <c r="N150" s="59" t="s">
        <v>1417</v>
      </c>
      <c r="O150" s="59" t="s">
        <v>1434</v>
      </c>
      <c r="P150" s="59" t="s">
        <v>1417</v>
      </c>
      <c r="Q150" s="75" t="s">
        <v>1436</v>
      </c>
      <c r="R150" s="75" t="s">
        <v>1436</v>
      </c>
      <c r="S150" s="75" t="s">
        <v>1436</v>
      </c>
      <c r="T150" s="75" t="s">
        <v>1436</v>
      </c>
      <c r="U150" s="75" t="s">
        <v>1436</v>
      </c>
      <c r="V150" s="75" t="s">
        <v>1436</v>
      </c>
      <c r="W150" s="60"/>
      <c r="X150" s="73" t="str">
        <f t="shared" si="22"/>
        <v>Belum Dinilai</v>
      </c>
      <c r="Y150" s="73" t="str">
        <f t="shared" si="23"/>
        <v>Belum Dinilai</v>
      </c>
      <c r="Z150" s="74" t="str">
        <f t="shared" si="24"/>
        <v/>
      </c>
      <c r="AA150" s="74" t="str">
        <f t="shared" si="25"/>
        <v/>
      </c>
      <c r="AB150" s="74" t="str">
        <f t="shared" si="26"/>
        <v/>
      </c>
      <c r="AC150" s="61" t="s">
        <v>1436</v>
      </c>
      <c r="AD150" s="61" t="s">
        <v>1436</v>
      </c>
      <c r="AE150" s="61" t="s">
        <v>1436</v>
      </c>
      <c r="AF150" s="61" t="s">
        <v>1436</v>
      </c>
      <c r="AG150" s="61" t="s">
        <v>1436</v>
      </c>
      <c r="AH150" s="61" t="s">
        <v>1436</v>
      </c>
      <c r="AI150" s="61" t="s">
        <v>1436</v>
      </c>
      <c r="AJ150" s="61" t="s">
        <v>1436</v>
      </c>
      <c r="AK150" s="61" t="s">
        <v>1436</v>
      </c>
      <c r="AL150" s="61"/>
      <c r="AM150" s="61" t="s">
        <v>1436</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1423</v>
      </c>
      <c r="AV150" s="59" t="s">
        <v>1424</v>
      </c>
      <c r="AW150" s="59" t="s">
        <v>1409</v>
      </c>
      <c r="AX150" s="59" t="s">
        <v>1410</v>
      </c>
      <c r="AY150" s="59"/>
      <c r="AZ150" s="59" t="s">
        <v>1408</v>
      </c>
      <c r="BA150" s="59"/>
      <c r="BB150" s="167"/>
      <c r="BC150" s="65">
        <v>2026</v>
      </c>
      <c r="BD150" s="59"/>
      <c r="BE150" s="167"/>
      <c r="BF150" s="59" t="s">
        <v>1500</v>
      </c>
    </row>
    <row r="151" spans="1:58" ht="28">
      <c r="A151" s="59" t="s">
        <v>2077</v>
      </c>
      <c r="B151" s="59" t="s">
        <v>2078</v>
      </c>
      <c r="C151" s="59"/>
      <c r="D151" s="59"/>
      <c r="E151" s="59" t="s">
        <v>2079</v>
      </c>
      <c r="F151" s="59" t="s">
        <v>1532</v>
      </c>
      <c r="G151" s="59" t="s">
        <v>1533</v>
      </c>
      <c r="H151" s="59" t="s">
        <v>1483</v>
      </c>
      <c r="I151" s="59" t="s">
        <v>2080</v>
      </c>
      <c r="J151" s="59" t="s">
        <v>1399</v>
      </c>
      <c r="K151" s="59" t="s">
        <v>1521</v>
      </c>
      <c r="L151" s="59" t="s">
        <v>1436</v>
      </c>
      <c r="M151" s="59" t="s">
        <v>1487</v>
      </c>
      <c r="N151" s="59" t="s">
        <v>1436</v>
      </c>
      <c r="O151" s="59" t="s">
        <v>1521</v>
      </c>
      <c r="P151" s="59" t="s">
        <v>1436</v>
      </c>
      <c r="Q151" s="75" t="s">
        <v>1436</v>
      </c>
      <c r="R151" s="75" t="s">
        <v>1436</v>
      </c>
      <c r="S151" s="75" t="s">
        <v>1436</v>
      </c>
      <c r="T151" s="75" t="s">
        <v>1436</v>
      </c>
      <c r="U151" s="75" t="s">
        <v>1436</v>
      </c>
      <c r="V151" s="75" t="s">
        <v>1436</v>
      </c>
      <c r="W151" s="60"/>
      <c r="X151" s="73" t="str">
        <f t="shared" si="22"/>
        <v>Belum Dinilai</v>
      </c>
      <c r="Y151" s="73" t="str">
        <f t="shared" si="23"/>
        <v>Belum Dinilai</v>
      </c>
      <c r="Z151" s="74" t="str">
        <f t="shared" si="24"/>
        <v/>
      </c>
      <c r="AA151" s="74" t="str">
        <f t="shared" si="25"/>
        <v/>
      </c>
      <c r="AB151" s="74" t="str">
        <f t="shared" si="26"/>
        <v/>
      </c>
      <c r="AC151" s="61" t="s">
        <v>1436</v>
      </c>
      <c r="AD151" s="61" t="s">
        <v>1436</v>
      </c>
      <c r="AE151" s="61" t="s">
        <v>1436</v>
      </c>
      <c r="AF151" s="61" t="s">
        <v>1436</v>
      </c>
      <c r="AG151" s="61" t="s">
        <v>1436</v>
      </c>
      <c r="AH151" s="61" t="s">
        <v>1436</v>
      </c>
      <c r="AI151" s="61" t="s">
        <v>1436</v>
      </c>
      <c r="AJ151" s="61" t="s">
        <v>1436</v>
      </c>
      <c r="AK151" s="61" t="s">
        <v>1436</v>
      </c>
      <c r="AL151" s="61"/>
      <c r="AM151" s="61" t="s">
        <v>1436</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1407</v>
      </c>
      <c r="AV151" s="59" t="s">
        <v>1424</v>
      </c>
      <c r="AW151" s="59" t="s">
        <v>1409</v>
      </c>
      <c r="AX151" s="59" t="s">
        <v>1410</v>
      </c>
      <c r="AY151" s="59"/>
      <c r="AZ151" s="59" t="s">
        <v>1408</v>
      </c>
      <c r="BA151" s="59"/>
      <c r="BB151" s="167"/>
      <c r="BC151" s="65">
        <v>2026</v>
      </c>
      <c r="BD151" s="59"/>
      <c r="BE151" s="167"/>
      <c r="BF151" s="59" t="s">
        <v>1500</v>
      </c>
    </row>
    <row r="152" spans="1:58" ht="28">
      <c r="A152" s="59" t="s">
        <v>2081</v>
      </c>
      <c r="B152" s="59" t="s">
        <v>2082</v>
      </c>
      <c r="C152" s="59"/>
      <c r="D152" s="59"/>
      <c r="E152" s="59" t="s">
        <v>2083</v>
      </c>
      <c r="F152" s="59" t="s">
        <v>1532</v>
      </c>
      <c r="G152" s="59" t="s">
        <v>1533</v>
      </c>
      <c r="H152" s="59" t="s">
        <v>1414</v>
      </c>
      <c r="I152" s="59" t="s">
        <v>2084</v>
      </c>
      <c r="J152" s="59" t="s">
        <v>1415</v>
      </c>
      <c r="K152" s="59" t="s">
        <v>1521</v>
      </c>
      <c r="L152" s="59" t="s">
        <v>1436</v>
      </c>
      <c r="M152" s="59" t="s">
        <v>1499</v>
      </c>
      <c r="N152" s="59" t="s">
        <v>1436</v>
      </c>
      <c r="O152" s="59" t="s">
        <v>1521</v>
      </c>
      <c r="P152" s="59" t="s">
        <v>1436</v>
      </c>
      <c r="Q152" s="75" t="s">
        <v>1436</v>
      </c>
      <c r="R152" s="75" t="s">
        <v>1436</v>
      </c>
      <c r="S152" s="75" t="s">
        <v>1436</v>
      </c>
      <c r="T152" s="75" t="s">
        <v>1436</v>
      </c>
      <c r="U152" s="75" t="s">
        <v>1436</v>
      </c>
      <c r="V152" s="75" t="s">
        <v>1436</v>
      </c>
      <c r="W152" s="60"/>
      <c r="X152" s="73" t="str">
        <f t="shared" si="22"/>
        <v>Belum Dinilai</v>
      </c>
      <c r="Y152" s="73" t="str">
        <f t="shared" si="23"/>
        <v>Belum Dinilai</v>
      </c>
      <c r="Z152" s="74" t="str">
        <f t="shared" si="24"/>
        <v/>
      </c>
      <c r="AA152" s="74" t="str">
        <f t="shared" si="25"/>
        <v/>
      </c>
      <c r="AB152" s="74" t="str">
        <f t="shared" si="26"/>
        <v/>
      </c>
      <c r="AC152" s="61" t="s">
        <v>1436</v>
      </c>
      <c r="AD152" s="61" t="s">
        <v>1436</v>
      </c>
      <c r="AE152" s="61" t="s">
        <v>1436</v>
      </c>
      <c r="AF152" s="61" t="s">
        <v>1436</v>
      </c>
      <c r="AG152" s="61" t="s">
        <v>1436</v>
      </c>
      <c r="AH152" s="61" t="s">
        <v>1436</v>
      </c>
      <c r="AI152" s="61" t="s">
        <v>1436</v>
      </c>
      <c r="AJ152" s="61" t="s">
        <v>1436</v>
      </c>
      <c r="AK152" s="61" t="s">
        <v>1436</v>
      </c>
      <c r="AL152" s="61"/>
      <c r="AM152" s="61" t="s">
        <v>1436</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1407</v>
      </c>
      <c r="AV152" s="59" t="s">
        <v>1424</v>
      </c>
      <c r="AW152" s="59" t="s">
        <v>1522</v>
      </c>
      <c r="AX152" s="59" t="s">
        <v>1426</v>
      </c>
      <c r="AY152" s="59"/>
      <c r="AZ152" s="59" t="s">
        <v>1408</v>
      </c>
      <c r="BA152" s="59"/>
      <c r="BB152" s="167"/>
      <c r="BC152" s="65">
        <v>2026</v>
      </c>
      <c r="BD152" s="59"/>
      <c r="BE152" s="167"/>
      <c r="BF152" s="59" t="s">
        <v>1500</v>
      </c>
    </row>
    <row r="153" spans="1:58" ht="28">
      <c r="A153" s="59" t="s">
        <v>2085</v>
      </c>
      <c r="B153" s="59" t="s">
        <v>2086</v>
      </c>
      <c r="C153" s="59"/>
      <c r="D153" s="59"/>
      <c r="E153" s="59" t="s">
        <v>1523</v>
      </c>
      <c r="F153" s="59" t="s">
        <v>1532</v>
      </c>
      <c r="G153" s="59" t="s">
        <v>1533</v>
      </c>
      <c r="H153" s="59" t="s">
        <v>1398</v>
      </c>
      <c r="I153" s="59" t="s">
        <v>2087</v>
      </c>
      <c r="J153" s="59" t="s">
        <v>1415</v>
      </c>
      <c r="K153" s="59" t="s">
        <v>1521</v>
      </c>
      <c r="L153" s="59" t="s">
        <v>1436</v>
      </c>
      <c r="M153" s="59" t="s">
        <v>1499</v>
      </c>
      <c r="N153" s="59" t="s">
        <v>1436</v>
      </c>
      <c r="O153" s="59" t="s">
        <v>1434</v>
      </c>
      <c r="P153" s="59" t="s">
        <v>1436</v>
      </c>
      <c r="Q153" s="75" t="s">
        <v>1436</v>
      </c>
      <c r="R153" s="75" t="s">
        <v>1436</v>
      </c>
      <c r="S153" s="75" t="s">
        <v>1436</v>
      </c>
      <c r="T153" s="75" t="s">
        <v>1436</v>
      </c>
      <c r="U153" s="75" t="s">
        <v>1436</v>
      </c>
      <c r="V153" s="75" t="s">
        <v>1436</v>
      </c>
      <c r="W153" s="60"/>
      <c r="X153" s="73" t="str">
        <f t="shared" si="22"/>
        <v>Belum Dinilai</v>
      </c>
      <c r="Y153" s="73" t="str">
        <f t="shared" si="23"/>
        <v>Belum Dinilai</v>
      </c>
      <c r="Z153" s="74" t="str">
        <f t="shared" si="24"/>
        <v/>
      </c>
      <c r="AA153" s="74" t="str">
        <f t="shared" si="25"/>
        <v/>
      </c>
      <c r="AB153" s="74" t="str">
        <f t="shared" si="26"/>
        <v/>
      </c>
      <c r="AC153" s="61" t="s">
        <v>1436</v>
      </c>
      <c r="AD153" s="61" t="s">
        <v>1436</v>
      </c>
      <c r="AE153" s="61" t="s">
        <v>1436</v>
      </c>
      <c r="AF153" s="61" t="s">
        <v>1436</v>
      </c>
      <c r="AG153" s="61" t="s">
        <v>1436</v>
      </c>
      <c r="AH153" s="61" t="s">
        <v>1436</v>
      </c>
      <c r="AI153" s="61" t="s">
        <v>1436</v>
      </c>
      <c r="AJ153" s="61" t="s">
        <v>1436</v>
      </c>
      <c r="AK153" s="61" t="s">
        <v>1436</v>
      </c>
      <c r="AL153" s="61"/>
      <c r="AM153" s="61" t="s">
        <v>1436</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1407</v>
      </c>
      <c r="AV153" s="59" t="s">
        <v>1424</v>
      </c>
      <c r="AW153" s="59" t="s">
        <v>1522</v>
      </c>
      <c r="AX153" s="59" t="s">
        <v>1426</v>
      </c>
      <c r="AY153" s="59"/>
      <c r="AZ153" s="59" t="s">
        <v>1408</v>
      </c>
      <c r="BA153" s="59"/>
      <c r="BB153" s="167"/>
      <c r="BC153" s="65">
        <v>2026</v>
      </c>
      <c r="BD153" s="59"/>
      <c r="BE153" s="167"/>
      <c r="BF153" s="59" t="s">
        <v>1500</v>
      </c>
    </row>
    <row r="154" spans="1:58" ht="42">
      <c r="A154" s="59" t="s">
        <v>2088</v>
      </c>
      <c r="B154" s="59" t="s">
        <v>2089</v>
      </c>
      <c r="C154" s="59"/>
      <c r="D154" s="59"/>
      <c r="E154" s="59" t="s">
        <v>2090</v>
      </c>
      <c r="F154" s="59" t="s">
        <v>1564</v>
      </c>
      <c r="G154" s="59" t="s">
        <v>1554</v>
      </c>
      <c r="H154" s="59" t="s">
        <v>1483</v>
      </c>
      <c r="I154" s="59" t="s">
        <v>2091</v>
      </c>
      <c r="J154" s="59" t="s">
        <v>1399</v>
      </c>
      <c r="K154" s="59" t="s">
        <v>1416</v>
      </c>
      <c r="L154" s="59" t="s">
        <v>1436</v>
      </c>
      <c r="M154" s="59" t="s">
        <v>1487</v>
      </c>
      <c r="N154" s="59" t="s">
        <v>1436</v>
      </c>
      <c r="O154" s="59" t="s">
        <v>1434</v>
      </c>
      <c r="P154" s="59" t="s">
        <v>1436</v>
      </c>
      <c r="Q154" s="75" t="s">
        <v>1436</v>
      </c>
      <c r="R154" s="75" t="s">
        <v>1436</v>
      </c>
      <c r="S154" s="75" t="s">
        <v>1436</v>
      </c>
      <c r="T154" s="75" t="s">
        <v>1436</v>
      </c>
      <c r="U154" s="75" t="s">
        <v>1436</v>
      </c>
      <c r="V154" s="75" t="s">
        <v>1436</v>
      </c>
      <c r="W154" s="60"/>
      <c r="X154" s="73" t="str">
        <f t="shared" si="22"/>
        <v>Belum Dinilai</v>
      </c>
      <c r="Y154" s="73" t="str">
        <f t="shared" si="23"/>
        <v>Belum Dinilai</v>
      </c>
      <c r="Z154" s="74" t="str">
        <f t="shared" si="24"/>
        <v/>
      </c>
      <c r="AA154" s="74" t="str">
        <f t="shared" si="25"/>
        <v/>
      </c>
      <c r="AB154" s="74" t="str">
        <f t="shared" si="26"/>
        <v/>
      </c>
      <c r="AC154" s="61" t="s">
        <v>1436</v>
      </c>
      <c r="AD154" s="61" t="s">
        <v>1436</v>
      </c>
      <c r="AE154" s="61" t="s">
        <v>1436</v>
      </c>
      <c r="AF154" s="61" t="s">
        <v>1436</v>
      </c>
      <c r="AG154" s="61" t="s">
        <v>1436</v>
      </c>
      <c r="AH154" s="61" t="s">
        <v>1436</v>
      </c>
      <c r="AI154" s="61" t="s">
        <v>1436</v>
      </c>
      <c r="AJ154" s="61" t="s">
        <v>1436</v>
      </c>
      <c r="AK154" s="61" t="s">
        <v>1436</v>
      </c>
      <c r="AL154" s="61"/>
      <c r="AM154" s="61" t="s">
        <v>1436</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1407</v>
      </c>
      <c r="AV154" s="59" t="s">
        <v>1424</v>
      </c>
      <c r="AW154" s="59" t="s">
        <v>1409</v>
      </c>
      <c r="AX154" s="59" t="s">
        <v>1410</v>
      </c>
      <c r="AY154" s="59"/>
      <c r="AZ154" s="59" t="s">
        <v>1408</v>
      </c>
      <c r="BA154" s="59"/>
      <c r="BB154" s="167"/>
      <c r="BC154" s="65">
        <v>2026</v>
      </c>
      <c r="BD154" s="59"/>
      <c r="BE154" s="167"/>
      <c r="BF154" s="59" t="s">
        <v>1500</v>
      </c>
    </row>
    <row r="155" spans="1:58" ht="42">
      <c r="A155" s="59" t="s">
        <v>2092</v>
      </c>
      <c r="B155" s="59" t="s">
        <v>2093</v>
      </c>
      <c r="C155" s="59"/>
      <c r="D155" s="59"/>
      <c r="E155" s="59" t="s">
        <v>2094</v>
      </c>
      <c r="F155" s="59" t="s">
        <v>1564</v>
      </c>
      <c r="G155" s="59" t="s">
        <v>1554</v>
      </c>
      <c r="H155" s="59" t="s">
        <v>1398</v>
      </c>
      <c r="I155" s="59" t="s">
        <v>2095</v>
      </c>
      <c r="J155" s="59" t="s">
        <v>1430</v>
      </c>
      <c r="K155" s="59" t="s">
        <v>1416</v>
      </c>
      <c r="L155" s="59" t="s">
        <v>1417</v>
      </c>
      <c r="M155" s="59" t="s">
        <v>1488</v>
      </c>
      <c r="N155" s="59" t="s">
        <v>1417</v>
      </c>
      <c r="O155" s="59" t="s">
        <v>1434</v>
      </c>
      <c r="P155" s="59" t="s">
        <v>1417</v>
      </c>
      <c r="Q155" s="75" t="s">
        <v>1436</v>
      </c>
      <c r="R155" s="75" t="s">
        <v>1436</v>
      </c>
      <c r="S155" s="75" t="s">
        <v>1436</v>
      </c>
      <c r="T155" s="75" t="s">
        <v>1436</v>
      </c>
      <c r="U155" s="75" t="s">
        <v>1436</v>
      </c>
      <c r="V155" s="75" t="s">
        <v>1436</v>
      </c>
      <c r="W155" s="60"/>
      <c r="X155" s="73" t="str">
        <f t="shared" si="22"/>
        <v>Belum Dinilai</v>
      </c>
      <c r="Y155" s="73" t="str">
        <f t="shared" si="23"/>
        <v>Belum Dinilai</v>
      </c>
      <c r="Z155" s="74" t="str">
        <f t="shared" si="24"/>
        <v/>
      </c>
      <c r="AA155" s="74" t="str">
        <f t="shared" si="25"/>
        <v/>
      </c>
      <c r="AB155" s="74" t="str">
        <f t="shared" si="26"/>
        <v/>
      </c>
      <c r="AC155" s="61" t="s">
        <v>1436</v>
      </c>
      <c r="AD155" s="61" t="s">
        <v>1436</v>
      </c>
      <c r="AE155" s="61" t="s">
        <v>1436</v>
      </c>
      <c r="AF155" s="61" t="s">
        <v>1436</v>
      </c>
      <c r="AG155" s="61" t="s">
        <v>1436</v>
      </c>
      <c r="AH155" s="61" t="s">
        <v>1436</v>
      </c>
      <c r="AI155" s="61" t="s">
        <v>1436</v>
      </c>
      <c r="AJ155" s="61" t="s">
        <v>1436</v>
      </c>
      <c r="AK155" s="61" t="s">
        <v>1436</v>
      </c>
      <c r="AL155" s="61"/>
      <c r="AM155" s="61" t="s">
        <v>1436</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1407</v>
      </c>
      <c r="AV155" s="59" t="s">
        <v>1424</v>
      </c>
      <c r="AW155" s="59" t="s">
        <v>1409</v>
      </c>
      <c r="AX155" s="59" t="s">
        <v>1410</v>
      </c>
      <c r="AY155" s="59"/>
      <c r="AZ155" s="59" t="s">
        <v>1408</v>
      </c>
      <c r="BA155" s="59"/>
      <c r="BB155" s="167"/>
      <c r="BC155" s="65">
        <v>2026</v>
      </c>
      <c r="BD155" s="59"/>
      <c r="BE155" s="167"/>
      <c r="BF155" s="59" t="s">
        <v>1500</v>
      </c>
    </row>
    <row r="156" spans="1:58" ht="28">
      <c r="A156" s="59" t="s">
        <v>2096</v>
      </c>
      <c r="B156" s="59" t="s">
        <v>2097</v>
      </c>
      <c r="C156" s="59"/>
      <c r="D156" s="59"/>
      <c r="E156" s="59" t="s">
        <v>2098</v>
      </c>
      <c r="F156" s="59" t="s">
        <v>1680</v>
      </c>
      <c r="G156" s="59" t="s">
        <v>1533</v>
      </c>
      <c r="H156" s="59" t="s">
        <v>1398</v>
      </c>
      <c r="I156" s="59" t="s">
        <v>1512</v>
      </c>
      <c r="J156" s="59" t="s">
        <v>1430</v>
      </c>
      <c r="K156" s="59" t="s">
        <v>1521</v>
      </c>
      <c r="L156" s="59" t="s">
        <v>1436</v>
      </c>
      <c r="M156" s="59" t="s">
        <v>1488</v>
      </c>
      <c r="N156" s="59" t="s">
        <v>1436</v>
      </c>
      <c r="O156" s="59" t="s">
        <v>1521</v>
      </c>
      <c r="P156" s="59" t="s">
        <v>1436</v>
      </c>
      <c r="Q156" s="75" t="s">
        <v>1436</v>
      </c>
      <c r="R156" s="75" t="s">
        <v>1436</v>
      </c>
      <c r="S156" s="75" t="s">
        <v>1436</v>
      </c>
      <c r="T156" s="75" t="s">
        <v>1436</v>
      </c>
      <c r="U156" s="75" t="s">
        <v>1436</v>
      </c>
      <c r="V156" s="75" t="s">
        <v>1436</v>
      </c>
      <c r="W156" s="60"/>
      <c r="X156" s="73" t="str">
        <f t="shared" si="22"/>
        <v>Belum Dinilai</v>
      </c>
      <c r="Y156" s="73" t="str">
        <f t="shared" si="23"/>
        <v>Belum Dinilai</v>
      </c>
      <c r="Z156" s="74" t="str">
        <f t="shared" si="24"/>
        <v/>
      </c>
      <c r="AA156" s="74" t="str">
        <f t="shared" si="25"/>
        <v/>
      </c>
      <c r="AB156" s="74" t="str">
        <f t="shared" si="26"/>
        <v/>
      </c>
      <c r="AC156" s="61" t="s">
        <v>1436</v>
      </c>
      <c r="AD156" s="61" t="s">
        <v>1436</v>
      </c>
      <c r="AE156" s="61" t="s">
        <v>1436</v>
      </c>
      <c r="AF156" s="61" t="s">
        <v>1436</v>
      </c>
      <c r="AG156" s="61" t="s">
        <v>1436</v>
      </c>
      <c r="AH156" s="61" t="s">
        <v>1436</v>
      </c>
      <c r="AI156" s="61" t="s">
        <v>1436</v>
      </c>
      <c r="AJ156" s="61" t="s">
        <v>1436</v>
      </c>
      <c r="AK156" s="61" t="s">
        <v>1436</v>
      </c>
      <c r="AL156" s="61"/>
      <c r="AM156" s="61" t="s">
        <v>1436</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1407</v>
      </c>
      <c r="AV156" s="59" t="s">
        <v>1424</v>
      </c>
      <c r="AW156" s="59" t="s">
        <v>1522</v>
      </c>
      <c r="AX156" s="59" t="s">
        <v>1505</v>
      </c>
      <c r="AY156" s="59"/>
      <c r="AZ156" s="59" t="s">
        <v>1408</v>
      </c>
      <c r="BA156" s="59"/>
      <c r="BB156" s="167"/>
      <c r="BC156" s="65">
        <v>2026</v>
      </c>
      <c r="BD156" s="59"/>
      <c r="BE156" s="167"/>
      <c r="BF156" s="59" t="s">
        <v>1500</v>
      </c>
    </row>
    <row r="157" spans="1:58" ht="56">
      <c r="A157" s="59" t="s">
        <v>2099</v>
      </c>
      <c r="B157" s="59" t="s">
        <v>1860</v>
      </c>
      <c r="C157" s="59"/>
      <c r="D157" s="59"/>
      <c r="E157" s="59" t="s">
        <v>2100</v>
      </c>
      <c r="F157" s="59" t="s">
        <v>1680</v>
      </c>
      <c r="G157" s="59" t="s">
        <v>1533</v>
      </c>
      <c r="H157" s="59" t="s">
        <v>1398</v>
      </c>
      <c r="I157" s="59" t="s">
        <v>2101</v>
      </c>
      <c r="J157" s="59" t="s">
        <v>1415</v>
      </c>
      <c r="K157" s="59" t="s">
        <v>1521</v>
      </c>
      <c r="L157" s="59" t="s">
        <v>1417</v>
      </c>
      <c r="M157" s="59" t="s">
        <v>1499</v>
      </c>
      <c r="N157" s="59" t="s">
        <v>1417</v>
      </c>
      <c r="O157" s="59" t="s">
        <v>1521</v>
      </c>
      <c r="P157" s="59" t="s">
        <v>1417</v>
      </c>
      <c r="Q157" s="75" t="s">
        <v>1436</v>
      </c>
      <c r="R157" s="75" t="s">
        <v>1436</v>
      </c>
      <c r="S157" s="75" t="s">
        <v>1436</v>
      </c>
      <c r="T157" s="75" t="s">
        <v>1436</v>
      </c>
      <c r="U157" s="75" t="s">
        <v>1436</v>
      </c>
      <c r="V157" s="75" t="s">
        <v>1436</v>
      </c>
      <c r="W157" s="60"/>
      <c r="X157" s="73" t="str">
        <f t="shared" si="22"/>
        <v>Belum Dinilai</v>
      </c>
      <c r="Y157" s="73" t="str">
        <f t="shared" si="23"/>
        <v>Belum Dinilai</v>
      </c>
      <c r="Z157" s="74" t="str">
        <f t="shared" si="24"/>
        <v/>
      </c>
      <c r="AA157" s="74" t="str">
        <f t="shared" si="25"/>
        <v/>
      </c>
      <c r="AB157" s="74" t="str">
        <f t="shared" si="26"/>
        <v/>
      </c>
      <c r="AC157" s="61" t="s">
        <v>1436</v>
      </c>
      <c r="AD157" s="61" t="s">
        <v>1436</v>
      </c>
      <c r="AE157" s="61" t="s">
        <v>1436</v>
      </c>
      <c r="AF157" s="61" t="s">
        <v>1436</v>
      </c>
      <c r="AG157" s="61" t="s">
        <v>1436</v>
      </c>
      <c r="AH157" s="61" t="s">
        <v>1436</v>
      </c>
      <c r="AI157" s="61" t="s">
        <v>1436</v>
      </c>
      <c r="AJ157" s="61" t="s">
        <v>1436</v>
      </c>
      <c r="AK157" s="61" t="s">
        <v>1436</v>
      </c>
      <c r="AL157" s="61"/>
      <c r="AM157" s="61" t="s">
        <v>1436</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1407</v>
      </c>
      <c r="AV157" s="59" t="s">
        <v>1424</v>
      </c>
      <c r="AW157" s="59" t="s">
        <v>1522</v>
      </c>
      <c r="AX157" s="59" t="s">
        <v>1426</v>
      </c>
      <c r="AY157" s="59">
        <v>2022</v>
      </c>
      <c r="AZ157" s="59" t="s">
        <v>1408</v>
      </c>
      <c r="BA157" s="59"/>
      <c r="BB157" s="167"/>
      <c r="BC157" s="65">
        <v>2026</v>
      </c>
      <c r="BD157" s="59"/>
      <c r="BE157" s="167"/>
      <c r="BF157" s="59" t="s">
        <v>1500</v>
      </c>
    </row>
    <row r="158" spans="1:58" ht="28">
      <c r="A158" s="59" t="s">
        <v>2102</v>
      </c>
      <c r="B158" s="59" t="s">
        <v>2103</v>
      </c>
      <c r="C158" s="59"/>
      <c r="D158" s="59"/>
      <c r="E158" s="59" t="s">
        <v>2104</v>
      </c>
      <c r="F158" s="59" t="s">
        <v>1680</v>
      </c>
      <c r="G158" s="59" t="s">
        <v>1533</v>
      </c>
      <c r="H158" s="59" t="s">
        <v>1483</v>
      </c>
      <c r="I158" s="59" t="s">
        <v>2105</v>
      </c>
      <c r="J158" s="59" t="s">
        <v>1415</v>
      </c>
      <c r="K158" s="59" t="s">
        <v>1521</v>
      </c>
      <c r="L158" s="59" t="s">
        <v>1436</v>
      </c>
      <c r="M158" s="59" t="s">
        <v>1499</v>
      </c>
      <c r="N158" s="59" t="s">
        <v>1436</v>
      </c>
      <c r="O158" s="59" t="s">
        <v>1521</v>
      </c>
      <c r="P158" s="59" t="s">
        <v>1436</v>
      </c>
      <c r="Q158" s="75" t="s">
        <v>1436</v>
      </c>
      <c r="R158" s="75" t="s">
        <v>1436</v>
      </c>
      <c r="S158" s="75" t="s">
        <v>1436</v>
      </c>
      <c r="T158" s="75" t="s">
        <v>1436</v>
      </c>
      <c r="U158" s="75" t="s">
        <v>1436</v>
      </c>
      <c r="V158" s="75" t="s">
        <v>1436</v>
      </c>
      <c r="W158" s="60"/>
      <c r="X158" s="73" t="str">
        <f t="shared" si="22"/>
        <v>Belum Dinilai</v>
      </c>
      <c r="Y158" s="73" t="str">
        <f t="shared" si="23"/>
        <v>Belum Dinilai</v>
      </c>
      <c r="Z158" s="74" t="str">
        <f t="shared" si="24"/>
        <v/>
      </c>
      <c r="AA158" s="74" t="str">
        <f t="shared" si="25"/>
        <v/>
      </c>
      <c r="AB158" s="74" t="str">
        <f t="shared" si="26"/>
        <v/>
      </c>
      <c r="AC158" s="61" t="s">
        <v>1436</v>
      </c>
      <c r="AD158" s="61" t="s">
        <v>1436</v>
      </c>
      <c r="AE158" s="61" t="s">
        <v>1436</v>
      </c>
      <c r="AF158" s="61" t="s">
        <v>1436</v>
      </c>
      <c r="AG158" s="61" t="s">
        <v>1436</v>
      </c>
      <c r="AH158" s="61" t="s">
        <v>1436</v>
      </c>
      <c r="AI158" s="61" t="s">
        <v>1436</v>
      </c>
      <c r="AJ158" s="61" t="s">
        <v>1436</v>
      </c>
      <c r="AK158" s="61" t="s">
        <v>1436</v>
      </c>
      <c r="AL158" s="61"/>
      <c r="AM158" s="61" t="s">
        <v>1436</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1407</v>
      </c>
      <c r="AV158" s="59" t="s">
        <v>1424</v>
      </c>
      <c r="AW158" s="59" t="s">
        <v>1409</v>
      </c>
      <c r="AX158" s="59" t="s">
        <v>1410</v>
      </c>
      <c r="AY158" s="59"/>
      <c r="AZ158" s="59" t="s">
        <v>1408</v>
      </c>
      <c r="BA158" s="59"/>
      <c r="BB158" s="167"/>
      <c r="BC158" s="65">
        <v>2026</v>
      </c>
      <c r="BD158" s="59"/>
      <c r="BE158" s="167"/>
      <c r="BF158" s="59" t="s">
        <v>1500</v>
      </c>
    </row>
    <row r="159" spans="1:58" ht="28">
      <c r="A159" s="59" t="s">
        <v>2106</v>
      </c>
      <c r="B159" s="59" t="s">
        <v>2107</v>
      </c>
      <c r="C159" s="59"/>
      <c r="D159" s="59"/>
      <c r="E159" s="59" t="s">
        <v>2104</v>
      </c>
      <c r="F159" s="59" t="s">
        <v>1680</v>
      </c>
      <c r="G159" s="59" t="s">
        <v>1533</v>
      </c>
      <c r="H159" s="59" t="s">
        <v>1398</v>
      </c>
      <c r="I159" s="59" t="s">
        <v>2108</v>
      </c>
      <c r="J159" s="59" t="s">
        <v>1415</v>
      </c>
      <c r="K159" s="59" t="s">
        <v>1521</v>
      </c>
      <c r="L159" s="59" t="s">
        <v>1436</v>
      </c>
      <c r="M159" s="59" t="s">
        <v>1499</v>
      </c>
      <c r="N159" s="59" t="s">
        <v>1436</v>
      </c>
      <c r="O159" s="59" t="s">
        <v>1521</v>
      </c>
      <c r="P159" s="59" t="s">
        <v>1436</v>
      </c>
      <c r="Q159" s="75" t="s">
        <v>1436</v>
      </c>
      <c r="R159" s="75" t="s">
        <v>1436</v>
      </c>
      <c r="S159" s="75" t="s">
        <v>1436</v>
      </c>
      <c r="T159" s="75" t="s">
        <v>1436</v>
      </c>
      <c r="U159" s="75" t="s">
        <v>1436</v>
      </c>
      <c r="V159" s="75" t="s">
        <v>1436</v>
      </c>
      <c r="W159" s="60"/>
      <c r="X159" s="73" t="str">
        <f t="shared" si="22"/>
        <v>Belum Dinilai</v>
      </c>
      <c r="Y159" s="73" t="str">
        <f t="shared" si="23"/>
        <v>Belum Dinilai</v>
      </c>
      <c r="Z159" s="74" t="str">
        <f t="shared" si="24"/>
        <v/>
      </c>
      <c r="AA159" s="74" t="str">
        <f t="shared" si="25"/>
        <v/>
      </c>
      <c r="AB159" s="74" t="str">
        <f t="shared" si="26"/>
        <v/>
      </c>
      <c r="AC159" s="61" t="s">
        <v>1436</v>
      </c>
      <c r="AD159" s="61" t="s">
        <v>1436</v>
      </c>
      <c r="AE159" s="61" t="s">
        <v>1436</v>
      </c>
      <c r="AF159" s="61" t="s">
        <v>1436</v>
      </c>
      <c r="AG159" s="61" t="s">
        <v>1436</v>
      </c>
      <c r="AH159" s="61" t="s">
        <v>1436</v>
      </c>
      <c r="AI159" s="61" t="s">
        <v>1436</v>
      </c>
      <c r="AJ159" s="61" t="s">
        <v>1436</v>
      </c>
      <c r="AK159" s="61" t="s">
        <v>1436</v>
      </c>
      <c r="AL159" s="61"/>
      <c r="AM159" s="61" t="s">
        <v>1436</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1407</v>
      </c>
      <c r="AV159" s="59" t="s">
        <v>1424</v>
      </c>
      <c r="AW159" s="59" t="s">
        <v>1409</v>
      </c>
      <c r="AX159" s="59" t="s">
        <v>1410</v>
      </c>
      <c r="AY159" s="59"/>
      <c r="AZ159" s="59" t="s">
        <v>1408</v>
      </c>
      <c r="BA159" s="59"/>
      <c r="BB159" s="167"/>
      <c r="BC159" s="65">
        <v>2026</v>
      </c>
      <c r="BD159" s="59"/>
      <c r="BE159" s="167"/>
      <c r="BF159" s="59" t="s">
        <v>1500</v>
      </c>
    </row>
    <row r="160" spans="1:58" ht="28">
      <c r="A160" s="59" t="s">
        <v>2109</v>
      </c>
      <c r="B160" s="59" t="s">
        <v>2110</v>
      </c>
      <c r="C160" s="59"/>
      <c r="D160" s="59"/>
      <c r="E160" s="59" t="s">
        <v>2111</v>
      </c>
      <c r="F160" s="59" t="s">
        <v>1680</v>
      </c>
      <c r="G160" s="59" t="s">
        <v>1533</v>
      </c>
      <c r="H160" s="59" t="s">
        <v>1414</v>
      </c>
      <c r="I160" s="59" t="s">
        <v>2112</v>
      </c>
      <c r="J160" s="59" t="s">
        <v>1415</v>
      </c>
      <c r="K160" s="59" t="s">
        <v>1416</v>
      </c>
      <c r="L160" s="59" t="s">
        <v>1436</v>
      </c>
      <c r="M160" s="59" t="s">
        <v>1499</v>
      </c>
      <c r="N160" s="59" t="s">
        <v>1436</v>
      </c>
      <c r="O160" s="59" t="s">
        <v>1434</v>
      </c>
      <c r="P160" s="59" t="s">
        <v>1436</v>
      </c>
      <c r="Q160" s="75" t="s">
        <v>1436</v>
      </c>
      <c r="R160" s="75" t="s">
        <v>1436</v>
      </c>
      <c r="S160" s="75" t="s">
        <v>1436</v>
      </c>
      <c r="T160" s="75" t="s">
        <v>1436</v>
      </c>
      <c r="U160" s="75" t="s">
        <v>1436</v>
      </c>
      <c r="V160" s="75" t="s">
        <v>1436</v>
      </c>
      <c r="W160" s="60"/>
      <c r="X160" s="73" t="str">
        <f t="shared" si="22"/>
        <v>Belum Dinilai</v>
      </c>
      <c r="Y160" s="73" t="str">
        <f t="shared" si="23"/>
        <v>Belum Dinilai</v>
      </c>
      <c r="Z160" s="74" t="str">
        <f t="shared" si="24"/>
        <v/>
      </c>
      <c r="AA160" s="74" t="str">
        <f t="shared" si="25"/>
        <v/>
      </c>
      <c r="AB160" s="74" t="str">
        <f t="shared" si="26"/>
        <v/>
      </c>
      <c r="AC160" s="61" t="s">
        <v>1436</v>
      </c>
      <c r="AD160" s="61" t="s">
        <v>1436</v>
      </c>
      <c r="AE160" s="61" t="s">
        <v>1436</v>
      </c>
      <c r="AF160" s="61" t="s">
        <v>1436</v>
      </c>
      <c r="AG160" s="61" t="s">
        <v>1436</v>
      </c>
      <c r="AH160" s="61" t="s">
        <v>1436</v>
      </c>
      <c r="AI160" s="61" t="s">
        <v>1436</v>
      </c>
      <c r="AJ160" s="61" t="s">
        <v>1436</v>
      </c>
      <c r="AK160" s="61" t="s">
        <v>1436</v>
      </c>
      <c r="AL160" s="61"/>
      <c r="AM160" s="61" t="s">
        <v>1436</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1407</v>
      </c>
      <c r="AV160" s="59" t="s">
        <v>1424</v>
      </c>
      <c r="AW160" s="59" t="s">
        <v>1522</v>
      </c>
      <c r="AX160" s="59" t="s">
        <v>1426</v>
      </c>
      <c r="AY160" s="59">
        <v>2022</v>
      </c>
      <c r="AZ160" s="59" t="s">
        <v>1408</v>
      </c>
      <c r="BA160" s="59"/>
      <c r="BB160" s="167"/>
      <c r="BC160" s="65">
        <v>2026</v>
      </c>
      <c r="BD160" s="59"/>
      <c r="BE160" s="167"/>
      <c r="BF160" s="59" t="s">
        <v>1500</v>
      </c>
    </row>
    <row r="161" spans="1:58" ht="28">
      <c r="A161" s="59" t="s">
        <v>2113</v>
      </c>
      <c r="B161" s="59" t="s">
        <v>2114</v>
      </c>
      <c r="C161" s="59"/>
      <c r="D161" s="59"/>
      <c r="E161" s="59" t="s">
        <v>2115</v>
      </c>
      <c r="F161" s="59" t="s">
        <v>1680</v>
      </c>
      <c r="G161" s="59" t="s">
        <v>1533</v>
      </c>
      <c r="H161" s="59" t="s">
        <v>1414</v>
      </c>
      <c r="I161" s="59" t="s">
        <v>2112</v>
      </c>
      <c r="J161" s="59" t="s">
        <v>1415</v>
      </c>
      <c r="K161" s="59" t="s">
        <v>1416</v>
      </c>
      <c r="L161" s="59" t="s">
        <v>1436</v>
      </c>
      <c r="M161" s="59" t="s">
        <v>1499</v>
      </c>
      <c r="N161" s="59" t="s">
        <v>1436</v>
      </c>
      <c r="O161" s="59" t="s">
        <v>1434</v>
      </c>
      <c r="P161" s="59" t="s">
        <v>1436</v>
      </c>
      <c r="Q161" s="75" t="s">
        <v>1436</v>
      </c>
      <c r="R161" s="75" t="s">
        <v>1436</v>
      </c>
      <c r="S161" s="75" t="s">
        <v>1436</v>
      </c>
      <c r="T161" s="75" t="s">
        <v>1436</v>
      </c>
      <c r="U161" s="75" t="s">
        <v>1436</v>
      </c>
      <c r="V161" s="75" t="s">
        <v>1436</v>
      </c>
      <c r="W161" s="60"/>
      <c r="X161" s="73" t="str">
        <f t="shared" si="22"/>
        <v>Belum Dinilai</v>
      </c>
      <c r="Y161" s="73" t="str">
        <f t="shared" si="23"/>
        <v>Belum Dinilai</v>
      </c>
      <c r="Z161" s="74" t="str">
        <f t="shared" si="24"/>
        <v/>
      </c>
      <c r="AA161" s="74" t="str">
        <f t="shared" si="25"/>
        <v/>
      </c>
      <c r="AB161" s="74" t="str">
        <f t="shared" si="26"/>
        <v/>
      </c>
      <c r="AC161" s="61" t="s">
        <v>1436</v>
      </c>
      <c r="AD161" s="61" t="s">
        <v>1436</v>
      </c>
      <c r="AE161" s="61" t="s">
        <v>1436</v>
      </c>
      <c r="AF161" s="61" t="s">
        <v>1436</v>
      </c>
      <c r="AG161" s="61" t="s">
        <v>1436</v>
      </c>
      <c r="AH161" s="61" t="s">
        <v>1436</v>
      </c>
      <c r="AI161" s="61" t="s">
        <v>1436</v>
      </c>
      <c r="AJ161" s="61" t="s">
        <v>1436</v>
      </c>
      <c r="AK161" s="61" t="s">
        <v>1436</v>
      </c>
      <c r="AL161" s="61"/>
      <c r="AM161" s="61" t="s">
        <v>1436</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1407</v>
      </c>
      <c r="AV161" s="59" t="s">
        <v>1424</v>
      </c>
      <c r="AW161" s="59" t="s">
        <v>1522</v>
      </c>
      <c r="AX161" s="59" t="s">
        <v>1426</v>
      </c>
      <c r="AY161" s="59">
        <v>2022</v>
      </c>
      <c r="AZ161" s="59" t="s">
        <v>1408</v>
      </c>
      <c r="BA161" s="59"/>
      <c r="BB161" s="167"/>
      <c r="BC161" s="65">
        <v>2026</v>
      </c>
      <c r="BD161" s="59"/>
      <c r="BE161" s="167"/>
      <c r="BF161" s="59" t="s">
        <v>1500</v>
      </c>
    </row>
    <row r="162" spans="1:58" ht="42">
      <c r="A162" s="59" t="s">
        <v>2116</v>
      </c>
      <c r="B162" s="59" t="s">
        <v>2117</v>
      </c>
      <c r="C162" s="59"/>
      <c r="D162" s="59"/>
      <c r="E162" s="59" t="s">
        <v>2118</v>
      </c>
      <c r="F162" s="59" t="s">
        <v>1680</v>
      </c>
      <c r="G162" s="59" t="s">
        <v>1533</v>
      </c>
      <c r="H162" s="59" t="s">
        <v>1483</v>
      </c>
      <c r="I162" s="59" t="s">
        <v>2119</v>
      </c>
      <c r="J162" s="59" t="s">
        <v>1430</v>
      </c>
      <c r="K162" s="59" t="s">
        <v>1416</v>
      </c>
      <c r="L162" s="59" t="s">
        <v>1436</v>
      </c>
      <c r="M162" s="59" t="s">
        <v>1488</v>
      </c>
      <c r="N162" s="59" t="s">
        <v>1436</v>
      </c>
      <c r="O162" s="59" t="s">
        <v>1434</v>
      </c>
      <c r="P162" s="59" t="s">
        <v>1436</v>
      </c>
      <c r="Q162" s="75" t="s">
        <v>1436</v>
      </c>
      <c r="R162" s="75" t="s">
        <v>1436</v>
      </c>
      <c r="S162" s="75" t="s">
        <v>1436</v>
      </c>
      <c r="T162" s="75" t="s">
        <v>1436</v>
      </c>
      <c r="U162" s="75" t="s">
        <v>1436</v>
      </c>
      <c r="V162" s="75" t="s">
        <v>1436</v>
      </c>
      <c r="W162" s="60"/>
      <c r="X162" s="73" t="str">
        <f t="shared" si="22"/>
        <v>Belum Dinilai</v>
      </c>
      <c r="Y162" s="73" t="str">
        <f t="shared" si="23"/>
        <v>Belum Dinilai</v>
      </c>
      <c r="Z162" s="74" t="str">
        <f t="shared" si="24"/>
        <v/>
      </c>
      <c r="AA162" s="74" t="str">
        <f t="shared" si="25"/>
        <v/>
      </c>
      <c r="AB162" s="74" t="str">
        <f t="shared" si="26"/>
        <v/>
      </c>
      <c r="AC162" s="61" t="s">
        <v>1436</v>
      </c>
      <c r="AD162" s="61" t="s">
        <v>1436</v>
      </c>
      <c r="AE162" s="61" t="s">
        <v>1436</v>
      </c>
      <c r="AF162" s="61" t="s">
        <v>1436</v>
      </c>
      <c r="AG162" s="61" t="s">
        <v>1436</v>
      </c>
      <c r="AH162" s="61" t="s">
        <v>1436</v>
      </c>
      <c r="AI162" s="61" t="s">
        <v>1436</v>
      </c>
      <c r="AJ162" s="61" t="s">
        <v>1436</v>
      </c>
      <c r="AK162" s="61" t="s">
        <v>1436</v>
      </c>
      <c r="AL162" s="61"/>
      <c r="AM162" s="61" t="s">
        <v>1436</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1407</v>
      </c>
      <c r="AV162" s="59" t="s">
        <v>1424</v>
      </c>
      <c r="AW162" s="59" t="s">
        <v>1409</v>
      </c>
      <c r="AX162" s="59" t="s">
        <v>1410</v>
      </c>
      <c r="AY162" s="59"/>
      <c r="AZ162" s="59" t="s">
        <v>1408</v>
      </c>
      <c r="BA162" s="59"/>
      <c r="BB162" s="167"/>
      <c r="BC162" s="65">
        <v>2026</v>
      </c>
      <c r="BD162" s="59"/>
      <c r="BE162" s="167"/>
      <c r="BF162" s="59" t="s">
        <v>1500</v>
      </c>
    </row>
    <row r="163" spans="1:58" ht="28">
      <c r="A163" s="59" t="s">
        <v>2120</v>
      </c>
      <c r="B163" s="59" t="s">
        <v>2121</v>
      </c>
      <c r="C163" s="59"/>
      <c r="D163" s="59"/>
      <c r="E163" s="59" t="s">
        <v>2122</v>
      </c>
      <c r="F163" s="59" t="s">
        <v>1680</v>
      </c>
      <c r="G163" s="59" t="s">
        <v>1533</v>
      </c>
      <c r="H163" s="59" t="s">
        <v>1398</v>
      </c>
      <c r="I163" s="59" t="s">
        <v>2123</v>
      </c>
      <c r="J163" s="59" t="s">
        <v>1430</v>
      </c>
      <c r="K163" s="59" t="s">
        <v>1416</v>
      </c>
      <c r="L163" s="59" t="s">
        <v>1436</v>
      </c>
      <c r="M163" s="59" t="s">
        <v>1488</v>
      </c>
      <c r="N163" s="59" t="s">
        <v>1436</v>
      </c>
      <c r="O163" s="59" t="s">
        <v>1434</v>
      </c>
      <c r="P163" s="59" t="s">
        <v>1436</v>
      </c>
      <c r="Q163" s="75" t="s">
        <v>1436</v>
      </c>
      <c r="R163" s="75" t="s">
        <v>1436</v>
      </c>
      <c r="S163" s="75" t="s">
        <v>1436</v>
      </c>
      <c r="T163" s="75" t="s">
        <v>1436</v>
      </c>
      <c r="U163" s="75" t="s">
        <v>1436</v>
      </c>
      <c r="V163" s="75" t="s">
        <v>1436</v>
      </c>
      <c r="W163" s="60"/>
      <c r="X163" s="73" t="str">
        <f t="shared" si="22"/>
        <v>Belum Dinilai</v>
      </c>
      <c r="Y163" s="73" t="str">
        <f t="shared" si="23"/>
        <v>Belum Dinilai</v>
      </c>
      <c r="Z163" s="74" t="str">
        <f t="shared" si="24"/>
        <v/>
      </c>
      <c r="AA163" s="74" t="str">
        <f t="shared" si="25"/>
        <v/>
      </c>
      <c r="AB163" s="74" t="str">
        <f t="shared" si="26"/>
        <v/>
      </c>
      <c r="AC163" s="61" t="s">
        <v>1436</v>
      </c>
      <c r="AD163" s="61" t="s">
        <v>1436</v>
      </c>
      <c r="AE163" s="61" t="s">
        <v>1436</v>
      </c>
      <c r="AF163" s="61" t="s">
        <v>1436</v>
      </c>
      <c r="AG163" s="61" t="s">
        <v>1436</v>
      </c>
      <c r="AH163" s="61" t="s">
        <v>1436</v>
      </c>
      <c r="AI163" s="61" t="s">
        <v>1436</v>
      </c>
      <c r="AJ163" s="61" t="s">
        <v>1436</v>
      </c>
      <c r="AK163" s="61" t="s">
        <v>1436</v>
      </c>
      <c r="AL163" s="61"/>
      <c r="AM163" s="61" t="s">
        <v>1436</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1407</v>
      </c>
      <c r="AV163" s="59" t="s">
        <v>1424</v>
      </c>
      <c r="AW163" s="59" t="s">
        <v>1409</v>
      </c>
      <c r="AX163" s="59" t="s">
        <v>1410</v>
      </c>
      <c r="AY163" s="59"/>
      <c r="AZ163" s="59" t="s">
        <v>1427</v>
      </c>
      <c r="BA163" s="59"/>
      <c r="BB163" s="167"/>
      <c r="BC163" s="65">
        <v>2026</v>
      </c>
      <c r="BD163" s="59"/>
      <c r="BE163" s="167"/>
      <c r="BF163" s="59" t="s">
        <v>1500</v>
      </c>
    </row>
    <row r="164" spans="1:58" ht="42">
      <c r="A164" s="59" t="s">
        <v>2124</v>
      </c>
      <c r="B164" s="59" t="s">
        <v>2125</v>
      </c>
      <c r="C164" s="59"/>
      <c r="D164" s="59"/>
      <c r="E164" s="59" t="s">
        <v>2126</v>
      </c>
      <c r="F164" s="59" t="s">
        <v>1496</v>
      </c>
      <c r="G164" s="59" t="s">
        <v>1497</v>
      </c>
      <c r="H164" s="59" t="s">
        <v>1398</v>
      </c>
      <c r="I164" s="59" t="s">
        <v>2127</v>
      </c>
      <c r="J164" s="59" t="s">
        <v>1415</v>
      </c>
      <c r="K164" s="59" t="s">
        <v>1521</v>
      </c>
      <c r="L164" s="59" t="s">
        <v>1436</v>
      </c>
      <c r="M164" s="59" t="s">
        <v>1488</v>
      </c>
      <c r="N164" s="59" t="s">
        <v>1436</v>
      </c>
      <c r="O164" s="59" t="s">
        <v>1521</v>
      </c>
      <c r="P164" s="59" t="s">
        <v>1436</v>
      </c>
      <c r="Q164" s="75" t="s">
        <v>1436</v>
      </c>
      <c r="R164" s="75" t="s">
        <v>1436</v>
      </c>
      <c r="S164" s="75" t="s">
        <v>1436</v>
      </c>
      <c r="T164" s="75" t="s">
        <v>1436</v>
      </c>
      <c r="U164" s="75" t="s">
        <v>1436</v>
      </c>
      <c r="V164" s="75" t="s">
        <v>1436</v>
      </c>
      <c r="W164" s="60"/>
      <c r="X164" s="73" t="str">
        <f t="shared" si="22"/>
        <v>Belum Dinilai</v>
      </c>
      <c r="Y164" s="73" t="str">
        <f t="shared" si="23"/>
        <v>Belum Dinilai</v>
      </c>
      <c r="Z164" s="74" t="str">
        <f t="shared" si="24"/>
        <v/>
      </c>
      <c r="AA164" s="74" t="str">
        <f t="shared" si="25"/>
        <v/>
      </c>
      <c r="AB164" s="74" t="str">
        <f t="shared" si="26"/>
        <v/>
      </c>
      <c r="AC164" s="61" t="s">
        <v>1436</v>
      </c>
      <c r="AD164" s="61" t="s">
        <v>1436</v>
      </c>
      <c r="AE164" s="61" t="s">
        <v>1436</v>
      </c>
      <c r="AF164" s="61" t="s">
        <v>1436</v>
      </c>
      <c r="AG164" s="61" t="s">
        <v>1436</v>
      </c>
      <c r="AH164" s="61" t="s">
        <v>1436</v>
      </c>
      <c r="AI164" s="61" t="s">
        <v>1436</v>
      </c>
      <c r="AJ164" s="61" t="s">
        <v>1436</v>
      </c>
      <c r="AK164" s="61" t="s">
        <v>1436</v>
      </c>
      <c r="AL164" s="61"/>
      <c r="AM164" s="61" t="s">
        <v>1436</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1407</v>
      </c>
      <c r="AV164" s="59" t="s">
        <v>1424</v>
      </c>
      <c r="AW164" s="59" t="s">
        <v>1409</v>
      </c>
      <c r="AX164" s="59" t="s">
        <v>1410</v>
      </c>
      <c r="AY164" s="59"/>
      <c r="AZ164" s="59" t="s">
        <v>1427</v>
      </c>
      <c r="BA164" s="59"/>
      <c r="BB164" s="167"/>
      <c r="BC164" s="65">
        <v>2026</v>
      </c>
      <c r="BD164" s="59"/>
      <c r="BE164" s="167"/>
      <c r="BF164" s="59" t="s">
        <v>1500</v>
      </c>
    </row>
    <row r="165" spans="1:58" ht="42">
      <c r="A165" s="59" t="s">
        <v>2128</v>
      </c>
      <c r="B165" s="59" t="s">
        <v>2129</v>
      </c>
      <c r="C165" s="59" t="s">
        <v>2130</v>
      </c>
      <c r="D165" s="59" t="s">
        <v>2131</v>
      </c>
      <c r="E165" s="59" t="s">
        <v>2132</v>
      </c>
      <c r="F165" s="59" t="s">
        <v>1754</v>
      </c>
      <c r="G165" s="59" t="s">
        <v>1574</v>
      </c>
      <c r="H165" s="59" t="s">
        <v>1398</v>
      </c>
      <c r="I165" s="59"/>
      <c r="J165" s="59" t="s">
        <v>1430</v>
      </c>
      <c r="K165" s="59" t="s">
        <v>1416</v>
      </c>
      <c r="L165" s="59" t="s">
        <v>1486</v>
      </c>
      <c r="M165" s="59" t="s">
        <v>1488</v>
      </c>
      <c r="N165" s="59" t="s">
        <v>1486</v>
      </c>
      <c r="O165" s="59" t="s">
        <v>1434</v>
      </c>
      <c r="P165" s="59" t="s">
        <v>1486</v>
      </c>
      <c r="Q165" s="75" t="s">
        <v>1404</v>
      </c>
      <c r="R165" s="75" t="s">
        <v>1405</v>
      </c>
      <c r="S165" s="75" t="s">
        <v>1421</v>
      </c>
      <c r="T165" s="75" t="s">
        <v>1421</v>
      </c>
      <c r="U165" s="75" t="s">
        <v>1421</v>
      </c>
      <c r="V165" s="75" t="s">
        <v>1421</v>
      </c>
      <c r="W165" s="60"/>
      <c r="X165" s="73" t="str">
        <f t="shared" si="22"/>
        <v xml:space="preserve">Lansia; </v>
      </c>
      <c r="Y165" s="73" t="str">
        <f t="shared" si="23"/>
        <v>1 Faktor Rentan</v>
      </c>
      <c r="Z165" s="74">
        <f t="shared" si="24"/>
        <v>10</v>
      </c>
      <c r="AA165" s="74">
        <f t="shared" si="25"/>
        <v>5</v>
      </c>
      <c r="AB165" s="74">
        <f t="shared" si="26"/>
        <v>15</v>
      </c>
      <c r="AC165" s="61" t="s">
        <v>1405</v>
      </c>
      <c r="AD165" s="61" t="s">
        <v>1421</v>
      </c>
      <c r="AE165" s="61" t="s">
        <v>1405</v>
      </c>
      <c r="AF165" s="61" t="s">
        <v>1421</v>
      </c>
      <c r="AG165" s="61" t="s">
        <v>1405</v>
      </c>
      <c r="AH165" s="61" t="s">
        <v>1405</v>
      </c>
      <c r="AI165" s="61" t="s">
        <v>1405</v>
      </c>
      <c r="AJ165" s="61" t="s">
        <v>1436</v>
      </c>
      <c r="AK165" s="61" t="s">
        <v>1436</v>
      </c>
      <c r="AL165" s="61"/>
      <c r="AM165" s="61" t="s">
        <v>1436</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1407</v>
      </c>
      <c r="AV165" s="59" t="s">
        <v>1424</v>
      </c>
      <c r="AW165" s="59" t="s">
        <v>1425</v>
      </c>
      <c r="AX165" s="59" t="s">
        <v>1505</v>
      </c>
      <c r="AY165" s="59">
        <v>2026</v>
      </c>
      <c r="AZ165" s="59" t="s">
        <v>1427</v>
      </c>
      <c r="BA165" s="59"/>
      <c r="BB165" s="167"/>
      <c r="BC165" s="65">
        <v>2026</v>
      </c>
      <c r="BD165" s="59"/>
      <c r="BE165" s="167"/>
      <c r="BF165" s="59" t="s">
        <v>1500</v>
      </c>
    </row>
    <row r="166" spans="1:58" ht="28">
      <c r="A166" s="59" t="s">
        <v>2133</v>
      </c>
      <c r="B166" s="59" t="s">
        <v>2134</v>
      </c>
      <c r="C166" s="59" t="s">
        <v>2135</v>
      </c>
      <c r="D166" s="59" t="s">
        <v>2136</v>
      </c>
      <c r="E166" s="59" t="s">
        <v>2137</v>
      </c>
      <c r="F166" s="59" t="s">
        <v>1754</v>
      </c>
      <c r="G166" s="59" t="s">
        <v>1574</v>
      </c>
      <c r="H166" s="59" t="s">
        <v>1483</v>
      </c>
      <c r="I166" s="59"/>
      <c r="J166" s="59" t="s">
        <v>1399</v>
      </c>
      <c r="K166" s="59" t="s">
        <v>1431</v>
      </c>
      <c r="L166" s="59" t="s">
        <v>1436</v>
      </c>
      <c r="M166" s="59" t="s">
        <v>1418</v>
      </c>
      <c r="N166" s="59" t="s">
        <v>1436</v>
      </c>
      <c r="O166" s="59" t="s">
        <v>1521</v>
      </c>
      <c r="P166" s="59" t="s">
        <v>1436</v>
      </c>
      <c r="Q166" s="75" t="s">
        <v>1404</v>
      </c>
      <c r="R166" s="75" t="s">
        <v>1436</v>
      </c>
      <c r="S166" s="75" t="s">
        <v>1436</v>
      </c>
      <c r="T166" s="75" t="s">
        <v>1436</v>
      </c>
      <c r="U166" s="75" t="s">
        <v>1436</v>
      </c>
      <c r="V166" s="75" t="s">
        <v>1436</v>
      </c>
      <c r="W166" s="60"/>
      <c r="X166" s="73" t="str">
        <f t="shared" si="22"/>
        <v>Belum Dinilai</v>
      </c>
      <c r="Y166" s="73" t="str">
        <f t="shared" si="23"/>
        <v>Belum Dinilai</v>
      </c>
      <c r="Z166" s="74">
        <f t="shared" si="24"/>
        <v>10</v>
      </c>
      <c r="AA166" s="74" t="str">
        <f t="shared" si="25"/>
        <v/>
      </c>
      <c r="AB166" s="74" t="str">
        <f t="shared" si="26"/>
        <v/>
      </c>
      <c r="AC166" s="61" t="s">
        <v>1436</v>
      </c>
      <c r="AD166" s="61" t="s">
        <v>1436</v>
      </c>
      <c r="AE166" s="61" t="s">
        <v>1436</v>
      </c>
      <c r="AF166" s="61" t="s">
        <v>1436</v>
      </c>
      <c r="AG166" s="61" t="s">
        <v>1436</v>
      </c>
      <c r="AH166" s="61" t="s">
        <v>1436</v>
      </c>
      <c r="AI166" s="61" t="s">
        <v>1436</v>
      </c>
      <c r="AJ166" s="61" t="s">
        <v>1436</v>
      </c>
      <c r="AK166" s="61" t="s">
        <v>1436</v>
      </c>
      <c r="AL166" s="61"/>
      <c r="AM166" s="61" t="s">
        <v>1436</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1423</v>
      </c>
      <c r="AV166" s="59" t="s">
        <v>1424</v>
      </c>
      <c r="AW166" s="59" t="s">
        <v>1409</v>
      </c>
      <c r="AX166" s="59" t="s">
        <v>1410</v>
      </c>
      <c r="AY166" s="59"/>
      <c r="AZ166" s="59"/>
      <c r="BA166" s="59"/>
      <c r="BB166" s="167"/>
      <c r="BC166" s="65"/>
      <c r="BD166" s="59"/>
      <c r="BE166" s="167"/>
      <c r="BF166" s="59" t="s">
        <v>1500</v>
      </c>
    </row>
    <row r="167" spans="1:58" ht="28">
      <c r="A167" s="59" t="s">
        <v>2138</v>
      </c>
      <c r="B167" s="59" t="s">
        <v>2139</v>
      </c>
      <c r="C167" s="59" t="s">
        <v>2140</v>
      </c>
      <c r="D167" s="59" t="s">
        <v>2141</v>
      </c>
      <c r="E167" s="59" t="s">
        <v>2142</v>
      </c>
      <c r="F167" s="59" t="s">
        <v>1579</v>
      </c>
      <c r="G167" s="59" t="s">
        <v>1511</v>
      </c>
      <c r="H167" s="59" t="s">
        <v>1483</v>
      </c>
      <c r="I167" s="59"/>
      <c r="J167" s="59" t="s">
        <v>1484</v>
      </c>
      <c r="K167" s="59"/>
      <c r="L167" s="59" t="s">
        <v>1436</v>
      </c>
      <c r="M167" s="59"/>
      <c r="N167" s="59" t="s">
        <v>1436</v>
      </c>
      <c r="O167" s="59"/>
      <c r="P167" s="59" t="s">
        <v>1436</v>
      </c>
      <c r="Q167" s="75" t="s">
        <v>1436</v>
      </c>
      <c r="R167" s="75" t="s">
        <v>1436</v>
      </c>
      <c r="S167" s="75" t="s">
        <v>1436</v>
      </c>
      <c r="T167" s="75" t="s">
        <v>1436</v>
      </c>
      <c r="U167" s="75" t="s">
        <v>1436</v>
      </c>
      <c r="V167" s="75" t="s">
        <v>1436</v>
      </c>
      <c r="W167" s="60"/>
      <c r="X167" s="73" t="str">
        <f t="shared" si="22"/>
        <v>Belum Dinilai</v>
      </c>
      <c r="Y167" s="73" t="str">
        <f t="shared" si="23"/>
        <v>Belum Dinilai</v>
      </c>
      <c r="Z167" s="74" t="str">
        <f t="shared" si="24"/>
        <v/>
      </c>
      <c r="AA167" s="74" t="str">
        <f t="shared" si="25"/>
        <v/>
      </c>
      <c r="AB167" s="74" t="str">
        <f t="shared" si="26"/>
        <v/>
      </c>
      <c r="AC167" s="61" t="s">
        <v>1436</v>
      </c>
      <c r="AD167" s="61" t="s">
        <v>1436</v>
      </c>
      <c r="AE167" s="61" t="s">
        <v>1436</v>
      </c>
      <c r="AF167" s="61" t="s">
        <v>1436</v>
      </c>
      <c r="AG167" s="61" t="s">
        <v>1436</v>
      </c>
      <c r="AH167" s="61" t="s">
        <v>1436</v>
      </c>
      <c r="AI167" s="61" t="s">
        <v>1436</v>
      </c>
      <c r="AJ167" s="61" t="s">
        <v>1436</v>
      </c>
      <c r="AK167" s="61" t="s">
        <v>1436</v>
      </c>
      <c r="AL167" s="61"/>
      <c r="AM167" s="61" t="s">
        <v>1436</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1423</v>
      </c>
      <c r="AV167" s="59" t="s">
        <v>1424</v>
      </c>
      <c r="AW167" s="59" t="s">
        <v>1409</v>
      </c>
      <c r="AX167" s="59" t="s">
        <v>1410</v>
      </c>
      <c r="AY167" s="59"/>
      <c r="AZ167" s="59"/>
      <c r="BA167" s="59"/>
      <c r="BB167" s="167"/>
      <c r="BC167" s="65"/>
      <c r="BD167" s="59"/>
      <c r="BE167" s="167"/>
      <c r="BF167" s="59" t="s">
        <v>1500</v>
      </c>
    </row>
    <row r="168" spans="1:58" ht="28">
      <c r="A168" s="59" t="s">
        <v>2143</v>
      </c>
      <c r="B168" s="59" t="s">
        <v>2144</v>
      </c>
      <c r="C168" s="59" t="s">
        <v>2145</v>
      </c>
      <c r="D168" s="59" t="s">
        <v>2146</v>
      </c>
      <c r="E168" s="59" t="s">
        <v>2147</v>
      </c>
      <c r="F168" s="59" t="s">
        <v>1866</v>
      </c>
      <c r="G168" s="59" t="s">
        <v>1497</v>
      </c>
      <c r="H168" s="59" t="s">
        <v>1483</v>
      </c>
      <c r="I168" s="59"/>
      <c r="J168" s="59" t="s">
        <v>1415</v>
      </c>
      <c r="K168" s="59" t="s">
        <v>1416</v>
      </c>
      <c r="L168" s="59" t="s">
        <v>1432</v>
      </c>
      <c r="M168" s="59" t="s">
        <v>1488</v>
      </c>
      <c r="N168" s="59" t="s">
        <v>1432</v>
      </c>
      <c r="O168" s="59" t="s">
        <v>1434</v>
      </c>
      <c r="P168" s="59" t="s">
        <v>1417</v>
      </c>
      <c r="Q168" s="75" t="s">
        <v>1436</v>
      </c>
      <c r="R168" s="75" t="s">
        <v>1436</v>
      </c>
      <c r="S168" s="75" t="s">
        <v>1436</v>
      </c>
      <c r="T168" s="75" t="s">
        <v>1436</v>
      </c>
      <c r="U168" s="75" t="s">
        <v>1436</v>
      </c>
      <c r="V168" s="75" t="s">
        <v>1436</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1424</v>
      </c>
      <c r="AW168" s="59" t="s">
        <v>1409</v>
      </c>
      <c r="AX168" s="59" t="s">
        <v>1410</v>
      </c>
      <c r="AY168" s="59"/>
      <c r="AZ168" s="59" t="s">
        <v>1411</v>
      </c>
      <c r="BA168" s="59"/>
      <c r="BB168" s="167"/>
      <c r="BC168" s="65"/>
      <c r="BD168" s="59"/>
      <c r="BE168" s="167"/>
      <c r="BF168" s="59" t="s">
        <v>1500</v>
      </c>
    </row>
    <row r="169" spans="1:58" ht="28">
      <c r="A169" s="59" t="s">
        <v>2148</v>
      </c>
      <c r="B169" s="59" t="s">
        <v>2149</v>
      </c>
      <c r="C169" s="59" t="s">
        <v>2150</v>
      </c>
      <c r="D169" s="59" t="s">
        <v>2151</v>
      </c>
      <c r="E169" s="59" t="s">
        <v>2152</v>
      </c>
      <c r="F169" s="59" t="s">
        <v>2153</v>
      </c>
      <c r="G169" s="59" t="s">
        <v>1574</v>
      </c>
      <c r="H169" s="59" t="s">
        <v>1483</v>
      </c>
      <c r="I169" s="59"/>
      <c r="J169" s="59" t="s">
        <v>1415</v>
      </c>
      <c r="K169" s="59" t="s">
        <v>1416</v>
      </c>
      <c r="L169" s="59" t="s">
        <v>1486</v>
      </c>
      <c r="M169" s="59" t="s">
        <v>1488</v>
      </c>
      <c r="N169" s="59" t="s">
        <v>1432</v>
      </c>
      <c r="O169" s="59" t="s">
        <v>1434</v>
      </c>
      <c r="P169" s="59" t="s">
        <v>1417</v>
      </c>
      <c r="Q169" s="75" t="s">
        <v>1404</v>
      </c>
      <c r="R169" s="75" t="s">
        <v>1405</v>
      </c>
      <c r="S169" s="75" t="s">
        <v>1421</v>
      </c>
      <c r="T169" s="75" t="s">
        <v>1405</v>
      </c>
      <c r="U169" s="75" t="s">
        <v>1421</v>
      </c>
      <c r="V169" s="75" t="s">
        <v>1436</v>
      </c>
      <c r="W169" s="60"/>
      <c r="X169" s="73" t="str">
        <f t="shared" si="22"/>
        <v>Belum Dinilai</v>
      </c>
      <c r="Y169" s="73" t="str">
        <f t="shared" si="23"/>
        <v>Belum Dinilai</v>
      </c>
      <c r="Z169" s="74">
        <f t="shared" si="24"/>
        <v>10</v>
      </c>
      <c r="AA169" s="74" t="str">
        <f t="shared" si="25"/>
        <v/>
      </c>
      <c r="AB169" s="74" t="str">
        <f t="shared" si="26"/>
        <v/>
      </c>
      <c r="AC169" s="61" t="s">
        <v>1421</v>
      </c>
      <c r="AD169" s="61" t="s">
        <v>1421</v>
      </c>
      <c r="AE169" s="61" t="s">
        <v>1405</v>
      </c>
      <c r="AF169" s="61" t="s">
        <v>1421</v>
      </c>
      <c r="AG169" s="61" t="s">
        <v>1421</v>
      </c>
      <c r="AH169" s="61" t="s">
        <v>1405</v>
      </c>
      <c r="AI169" s="61" t="s">
        <v>1405</v>
      </c>
      <c r="AJ169" s="61" t="s">
        <v>1421</v>
      </c>
      <c r="AK169" s="61" t="s">
        <v>1421</v>
      </c>
      <c r="AL169" s="61"/>
      <c r="AM169" s="61" t="s">
        <v>1436</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1424</v>
      </c>
      <c r="AW169" s="59" t="s">
        <v>1409</v>
      </c>
      <c r="AX169" s="59" t="s">
        <v>1410</v>
      </c>
      <c r="AY169" s="59"/>
      <c r="AZ169" s="59"/>
      <c r="BA169" s="59"/>
      <c r="BB169" s="167"/>
      <c r="BC169" s="65"/>
      <c r="BD169" s="59"/>
      <c r="BE169" s="167"/>
      <c r="BF169" s="59" t="s">
        <v>1500</v>
      </c>
    </row>
    <row r="170" spans="1:58" ht="28">
      <c r="A170" s="59" t="s">
        <v>2154</v>
      </c>
      <c r="B170" s="59" t="s">
        <v>2155</v>
      </c>
      <c r="C170" s="59" t="s">
        <v>2156</v>
      </c>
      <c r="D170" s="59" t="s">
        <v>2157</v>
      </c>
      <c r="E170" s="59" t="s">
        <v>2158</v>
      </c>
      <c r="F170" s="59" t="s">
        <v>1754</v>
      </c>
      <c r="G170" s="59" t="s">
        <v>1574</v>
      </c>
      <c r="H170" s="59" t="s">
        <v>1483</v>
      </c>
      <c r="I170" s="59"/>
      <c r="J170" s="59" t="s">
        <v>1399</v>
      </c>
      <c r="K170" s="59" t="s">
        <v>1431</v>
      </c>
      <c r="L170" s="59" t="s">
        <v>1401</v>
      </c>
      <c r="M170" s="59" t="s">
        <v>1402</v>
      </c>
      <c r="N170" s="59" t="s">
        <v>1401</v>
      </c>
      <c r="O170" s="59" t="s">
        <v>1403</v>
      </c>
      <c r="P170" s="59" t="s">
        <v>1401</v>
      </c>
      <c r="Q170" s="75" t="s">
        <v>1404</v>
      </c>
      <c r="R170" s="75" t="s">
        <v>1405</v>
      </c>
      <c r="S170" s="75" t="s">
        <v>1421</v>
      </c>
      <c r="T170" s="75" t="s">
        <v>1421</v>
      </c>
      <c r="U170" s="75" t="s">
        <v>1421</v>
      </c>
      <c r="V170" s="75" t="s">
        <v>1436</v>
      </c>
      <c r="W170" s="60"/>
      <c r="X170" s="73" t="str">
        <f t="shared" si="22"/>
        <v>Belum Dinilai</v>
      </c>
      <c r="Y170" s="73" t="str">
        <f t="shared" si="23"/>
        <v>Belum Dinilai</v>
      </c>
      <c r="Z170" s="74">
        <f t="shared" si="24"/>
        <v>10</v>
      </c>
      <c r="AA170" s="74" t="str">
        <f t="shared" si="25"/>
        <v/>
      </c>
      <c r="AB170" s="74" t="str">
        <f t="shared" si="26"/>
        <v/>
      </c>
      <c r="AC170" s="61" t="s">
        <v>1421</v>
      </c>
      <c r="AD170" s="61" t="s">
        <v>1421</v>
      </c>
      <c r="AE170" s="61" t="s">
        <v>1421</v>
      </c>
      <c r="AF170" s="61" t="s">
        <v>1421</v>
      </c>
      <c r="AG170" s="61" t="s">
        <v>1421</v>
      </c>
      <c r="AH170" s="61" t="s">
        <v>1421</v>
      </c>
      <c r="AI170" s="61" t="s">
        <v>1421</v>
      </c>
      <c r="AJ170" s="61" t="s">
        <v>1421</v>
      </c>
      <c r="AK170" s="61" t="s">
        <v>1421</v>
      </c>
      <c r="AL170" s="61"/>
      <c r="AM170" s="61" t="s">
        <v>1436</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1424</v>
      </c>
      <c r="AW170" s="59" t="s">
        <v>1409</v>
      </c>
      <c r="AX170" s="59" t="s">
        <v>1410</v>
      </c>
      <c r="AY170" s="59"/>
      <c r="AZ170" s="59" t="s">
        <v>1408</v>
      </c>
      <c r="BA170" s="59"/>
      <c r="BB170" s="167"/>
      <c r="BC170" s="65"/>
      <c r="BD170" s="59"/>
      <c r="BE170" s="167"/>
      <c r="BF170" s="59" t="s">
        <v>1500</v>
      </c>
    </row>
    <row r="171" spans="1:58" ht="28">
      <c r="A171" s="59" t="s">
        <v>2159</v>
      </c>
      <c r="B171" s="59" t="s">
        <v>2160</v>
      </c>
      <c r="C171" s="59" t="s">
        <v>2161</v>
      </c>
      <c r="D171" s="59" t="s">
        <v>2162</v>
      </c>
      <c r="E171" s="59" t="s">
        <v>2163</v>
      </c>
      <c r="F171" s="59" t="s">
        <v>1754</v>
      </c>
      <c r="G171" s="59" t="s">
        <v>1574</v>
      </c>
      <c r="H171" s="59" t="s">
        <v>1483</v>
      </c>
      <c r="I171" s="59"/>
      <c r="J171" s="59" t="s">
        <v>1399</v>
      </c>
      <c r="K171" s="59" t="s">
        <v>1431</v>
      </c>
      <c r="L171" s="59" t="s">
        <v>1486</v>
      </c>
      <c r="M171" s="59" t="s">
        <v>1402</v>
      </c>
      <c r="N171" s="59" t="s">
        <v>1401</v>
      </c>
      <c r="O171" s="59" t="s">
        <v>1403</v>
      </c>
      <c r="P171" s="59" t="s">
        <v>1417</v>
      </c>
      <c r="Q171" s="75" t="s">
        <v>1404</v>
      </c>
      <c r="R171" s="75" t="s">
        <v>1421</v>
      </c>
      <c r="S171" s="75" t="s">
        <v>1421</v>
      </c>
      <c r="T171" s="75" t="s">
        <v>1405</v>
      </c>
      <c r="U171" s="75" t="s">
        <v>1405</v>
      </c>
      <c r="V171" s="75" t="s">
        <v>1436</v>
      </c>
      <c r="W171" s="60"/>
      <c r="X171" s="73" t="str">
        <f t="shared" si="22"/>
        <v>Belum Dinilai</v>
      </c>
      <c r="Y171" s="73" t="str">
        <f t="shared" si="23"/>
        <v>Belum Dinilai</v>
      </c>
      <c r="Z171" s="74">
        <f t="shared" si="24"/>
        <v>10</v>
      </c>
      <c r="AA171" s="74" t="str">
        <f t="shared" si="25"/>
        <v/>
      </c>
      <c r="AB171" s="74" t="str">
        <f t="shared" si="26"/>
        <v/>
      </c>
      <c r="AC171" s="61" t="s">
        <v>1421</v>
      </c>
      <c r="AD171" s="61" t="s">
        <v>1421</v>
      </c>
      <c r="AE171" s="61" t="s">
        <v>1421</v>
      </c>
      <c r="AF171" s="61" t="s">
        <v>1421</v>
      </c>
      <c r="AG171" s="61" t="s">
        <v>1421</v>
      </c>
      <c r="AH171" s="61" t="s">
        <v>1421</v>
      </c>
      <c r="AI171" s="61" t="s">
        <v>1421</v>
      </c>
      <c r="AJ171" s="61" t="s">
        <v>1421</v>
      </c>
      <c r="AK171" s="61" t="s">
        <v>1421</v>
      </c>
      <c r="AL171" s="61"/>
      <c r="AM171" s="61" t="s">
        <v>1436</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1423</v>
      </c>
      <c r="AV171" s="59" t="s">
        <v>1424</v>
      </c>
      <c r="AW171" s="59" t="s">
        <v>1409</v>
      </c>
      <c r="AX171" s="59" t="s">
        <v>1410</v>
      </c>
      <c r="AY171" s="59"/>
      <c r="AZ171" s="59"/>
      <c r="BA171" s="59"/>
      <c r="BB171" s="167"/>
      <c r="BC171" s="65"/>
      <c r="BD171" s="59"/>
      <c r="BE171" s="167"/>
      <c r="BF171" s="59" t="s">
        <v>1500</v>
      </c>
    </row>
    <row r="172" spans="1:58" ht="28">
      <c r="A172" s="59" t="s">
        <v>2164</v>
      </c>
      <c r="B172" s="59" t="s">
        <v>2165</v>
      </c>
      <c r="C172" s="59"/>
      <c r="D172" s="59" t="s">
        <v>2166</v>
      </c>
      <c r="E172" s="59" t="s">
        <v>2167</v>
      </c>
      <c r="F172" s="59" t="s">
        <v>1754</v>
      </c>
      <c r="G172" s="59" t="s">
        <v>1574</v>
      </c>
      <c r="H172" s="59" t="s">
        <v>1483</v>
      </c>
      <c r="I172" s="59"/>
      <c r="J172" s="59" t="s">
        <v>1399</v>
      </c>
      <c r="K172" s="59" t="s">
        <v>1431</v>
      </c>
      <c r="L172" s="59" t="s">
        <v>1401</v>
      </c>
      <c r="M172" s="59" t="s">
        <v>1402</v>
      </c>
      <c r="N172" s="59" t="s">
        <v>1401</v>
      </c>
      <c r="O172" s="59" t="s">
        <v>1434</v>
      </c>
      <c r="P172" s="59" t="s">
        <v>1401</v>
      </c>
      <c r="Q172" s="75" t="s">
        <v>1404</v>
      </c>
      <c r="R172" s="75" t="s">
        <v>1421</v>
      </c>
      <c r="S172" s="75" t="s">
        <v>1421</v>
      </c>
      <c r="T172" s="75" t="s">
        <v>1421</v>
      </c>
      <c r="U172" s="75" t="s">
        <v>1421</v>
      </c>
      <c r="V172" s="75" t="s">
        <v>1436</v>
      </c>
      <c r="W172" s="60"/>
      <c r="X172" s="73" t="str">
        <f t="shared" si="22"/>
        <v>Belum Dinilai</v>
      </c>
      <c r="Y172" s="73" t="str">
        <f t="shared" si="23"/>
        <v>Belum Dinilai</v>
      </c>
      <c r="Z172" s="74">
        <f t="shared" si="24"/>
        <v>10</v>
      </c>
      <c r="AA172" s="74" t="str">
        <f t="shared" si="25"/>
        <v/>
      </c>
      <c r="AB172" s="74" t="str">
        <f t="shared" si="26"/>
        <v/>
      </c>
      <c r="AC172" s="61" t="s">
        <v>1421</v>
      </c>
      <c r="AD172" s="61" t="s">
        <v>1421</v>
      </c>
      <c r="AE172" s="61" t="s">
        <v>1421</v>
      </c>
      <c r="AF172" s="61" t="s">
        <v>1421</v>
      </c>
      <c r="AG172" s="61" t="s">
        <v>1421</v>
      </c>
      <c r="AH172" s="61" t="s">
        <v>1421</v>
      </c>
      <c r="AI172" s="61" t="s">
        <v>1421</v>
      </c>
      <c r="AJ172" s="61" t="s">
        <v>1421</v>
      </c>
      <c r="AK172" s="61" t="s">
        <v>1421</v>
      </c>
      <c r="AL172" s="61"/>
      <c r="AM172" s="61" t="s">
        <v>1436</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1423</v>
      </c>
      <c r="AV172" s="59" t="s">
        <v>1424</v>
      </c>
      <c r="AW172" s="59" t="s">
        <v>1409</v>
      </c>
      <c r="AX172" s="59" t="s">
        <v>1410</v>
      </c>
      <c r="AY172" s="59"/>
      <c r="AZ172" s="59"/>
      <c r="BA172" s="59"/>
      <c r="BB172" s="167"/>
      <c r="BC172" s="65"/>
      <c r="BD172" s="59"/>
      <c r="BE172" s="167"/>
      <c r="BF172" s="59" t="s">
        <v>1500</v>
      </c>
    </row>
    <row r="173" spans="1:58" ht="28">
      <c r="A173" s="59" t="s">
        <v>2168</v>
      </c>
      <c r="B173" s="59" t="s">
        <v>2169</v>
      </c>
      <c r="C173" s="59" t="s">
        <v>2170</v>
      </c>
      <c r="D173" s="59" t="s">
        <v>2171</v>
      </c>
      <c r="E173" s="59" t="s">
        <v>2172</v>
      </c>
      <c r="F173" s="59" t="s">
        <v>1754</v>
      </c>
      <c r="G173" s="59" t="s">
        <v>1574</v>
      </c>
      <c r="H173" s="59" t="s">
        <v>1483</v>
      </c>
      <c r="I173" s="59"/>
      <c r="J173" s="59" t="s">
        <v>1399</v>
      </c>
      <c r="K173" s="59" t="s">
        <v>1431</v>
      </c>
      <c r="L173" s="59" t="s">
        <v>1401</v>
      </c>
      <c r="M173" s="59" t="s">
        <v>1402</v>
      </c>
      <c r="N173" s="59" t="s">
        <v>1401</v>
      </c>
      <c r="O173" s="59" t="s">
        <v>1403</v>
      </c>
      <c r="P173" s="59" t="s">
        <v>1401</v>
      </c>
      <c r="Q173" s="75" t="s">
        <v>1404</v>
      </c>
      <c r="R173" s="75" t="s">
        <v>1421</v>
      </c>
      <c r="S173" s="75" t="s">
        <v>1421</v>
      </c>
      <c r="T173" s="75" t="s">
        <v>1421</v>
      </c>
      <c r="U173" s="75" t="s">
        <v>1421</v>
      </c>
      <c r="V173" s="75" t="s">
        <v>1436</v>
      </c>
      <c r="W173" s="60"/>
      <c r="X173" s="73" t="str">
        <f t="shared" si="22"/>
        <v>Belum Dinilai</v>
      </c>
      <c r="Y173" s="73" t="str">
        <f t="shared" si="23"/>
        <v>Belum Dinilai</v>
      </c>
      <c r="Z173" s="74">
        <f t="shared" si="24"/>
        <v>10</v>
      </c>
      <c r="AA173" s="74" t="str">
        <f t="shared" si="25"/>
        <v/>
      </c>
      <c r="AB173" s="74" t="str">
        <f t="shared" si="26"/>
        <v/>
      </c>
      <c r="AC173" s="61" t="s">
        <v>1421</v>
      </c>
      <c r="AD173" s="61" t="s">
        <v>1421</v>
      </c>
      <c r="AE173" s="61" t="s">
        <v>1421</v>
      </c>
      <c r="AF173" s="61" t="s">
        <v>1421</v>
      </c>
      <c r="AG173" s="61" t="s">
        <v>1421</v>
      </c>
      <c r="AH173" s="61" t="s">
        <v>1421</v>
      </c>
      <c r="AI173" s="61" t="s">
        <v>1421</v>
      </c>
      <c r="AJ173" s="61" t="s">
        <v>1421</v>
      </c>
      <c r="AK173" s="61" t="s">
        <v>1421</v>
      </c>
      <c r="AL173" s="61"/>
      <c r="AM173" s="61" t="s">
        <v>1436</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1424</v>
      </c>
      <c r="AW173" s="59" t="s">
        <v>1409</v>
      </c>
      <c r="AX173" s="59" t="s">
        <v>1410</v>
      </c>
      <c r="AY173" s="59"/>
      <c r="AZ173" s="59"/>
      <c r="BA173" s="59"/>
      <c r="BB173" s="167"/>
      <c r="BC173" s="65"/>
      <c r="BD173" s="59"/>
      <c r="BE173" s="167"/>
      <c r="BF173" s="59" t="s">
        <v>1500</v>
      </c>
    </row>
    <row r="174" spans="1:58" ht="28">
      <c r="A174" s="59" t="s">
        <v>2173</v>
      </c>
      <c r="B174" s="59" t="s">
        <v>2174</v>
      </c>
      <c r="C174" s="59" t="s">
        <v>2175</v>
      </c>
      <c r="D174" s="59" t="s">
        <v>2176</v>
      </c>
      <c r="E174" s="59" t="s">
        <v>2177</v>
      </c>
      <c r="F174" s="59" t="s">
        <v>1754</v>
      </c>
      <c r="G174" s="59" t="s">
        <v>1574</v>
      </c>
      <c r="H174" s="59" t="s">
        <v>1483</v>
      </c>
      <c r="I174" s="59"/>
      <c r="J174" s="59" t="s">
        <v>1399</v>
      </c>
      <c r="K174" s="59" t="s">
        <v>1431</v>
      </c>
      <c r="L174" s="59" t="s">
        <v>1401</v>
      </c>
      <c r="M174" s="59" t="s">
        <v>1402</v>
      </c>
      <c r="N174" s="59" t="s">
        <v>1401</v>
      </c>
      <c r="O174" s="59" t="s">
        <v>1403</v>
      </c>
      <c r="P174" s="59" t="s">
        <v>1401</v>
      </c>
      <c r="Q174" s="75" t="s">
        <v>1404</v>
      </c>
      <c r="R174" s="75" t="s">
        <v>1421</v>
      </c>
      <c r="S174" s="75" t="s">
        <v>1421</v>
      </c>
      <c r="T174" s="75" t="s">
        <v>1421</v>
      </c>
      <c r="U174" s="75" t="s">
        <v>1421</v>
      </c>
      <c r="V174" s="75" t="s">
        <v>1436</v>
      </c>
      <c r="W174" s="60"/>
      <c r="X174" s="73" t="str">
        <f t="shared" si="22"/>
        <v>Belum Dinilai</v>
      </c>
      <c r="Y174" s="73" t="str">
        <f t="shared" si="23"/>
        <v>Belum Dinilai</v>
      </c>
      <c r="Z174" s="74">
        <f t="shared" si="24"/>
        <v>10</v>
      </c>
      <c r="AA174" s="74" t="str">
        <f t="shared" si="25"/>
        <v/>
      </c>
      <c r="AB174" s="74" t="str">
        <f t="shared" si="26"/>
        <v/>
      </c>
      <c r="AC174" s="61" t="s">
        <v>1421</v>
      </c>
      <c r="AD174" s="61" t="s">
        <v>1421</v>
      </c>
      <c r="AE174" s="61" t="s">
        <v>1421</v>
      </c>
      <c r="AF174" s="61" t="s">
        <v>1421</v>
      </c>
      <c r="AG174" s="61" t="s">
        <v>1421</v>
      </c>
      <c r="AH174" s="61" t="s">
        <v>1421</v>
      </c>
      <c r="AI174" s="61" t="s">
        <v>1421</v>
      </c>
      <c r="AJ174" s="61" t="s">
        <v>1421</v>
      </c>
      <c r="AK174" s="61" t="s">
        <v>1421</v>
      </c>
      <c r="AL174" s="61"/>
      <c r="AM174" s="61" t="s">
        <v>1436</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1424</v>
      </c>
      <c r="AW174" s="59" t="s">
        <v>1409</v>
      </c>
      <c r="AX174" s="59" t="s">
        <v>1410</v>
      </c>
      <c r="AY174" s="59"/>
      <c r="AZ174" s="59"/>
      <c r="BA174" s="59"/>
      <c r="BB174" s="167"/>
      <c r="BC174" s="65"/>
      <c r="BD174" s="59"/>
      <c r="BE174" s="167"/>
      <c r="BF174" s="59" t="s">
        <v>1500</v>
      </c>
    </row>
    <row r="175" spans="1:58" ht="28">
      <c r="A175" s="59" t="s">
        <v>2178</v>
      </c>
      <c r="B175" s="59" t="s">
        <v>2179</v>
      </c>
      <c r="C175" s="59"/>
      <c r="D175" s="59" t="s">
        <v>2180</v>
      </c>
      <c r="E175" s="59" t="s">
        <v>2181</v>
      </c>
      <c r="F175" s="59" t="s">
        <v>1754</v>
      </c>
      <c r="G175" s="59" t="s">
        <v>1574</v>
      </c>
      <c r="H175" s="59" t="s">
        <v>1483</v>
      </c>
      <c r="I175" s="59"/>
      <c r="J175" s="59" t="s">
        <v>1399</v>
      </c>
      <c r="K175" s="59" t="s">
        <v>1431</v>
      </c>
      <c r="L175" s="59" t="s">
        <v>1401</v>
      </c>
      <c r="M175" s="59" t="s">
        <v>1402</v>
      </c>
      <c r="N175" s="59" t="s">
        <v>1401</v>
      </c>
      <c r="O175" s="59" t="s">
        <v>1403</v>
      </c>
      <c r="P175" s="59" t="s">
        <v>1401</v>
      </c>
      <c r="Q175" s="75" t="s">
        <v>1404</v>
      </c>
      <c r="R175" s="75" t="s">
        <v>1421</v>
      </c>
      <c r="S175" s="75" t="s">
        <v>1421</v>
      </c>
      <c r="T175" s="75" t="s">
        <v>1421</v>
      </c>
      <c r="U175" s="75" t="s">
        <v>1421</v>
      </c>
      <c r="V175" s="75" t="s">
        <v>1436</v>
      </c>
      <c r="W175" s="60"/>
      <c r="X175" s="73" t="str">
        <f t="shared" si="22"/>
        <v>Belum Dinilai</v>
      </c>
      <c r="Y175" s="73" t="str">
        <f t="shared" si="23"/>
        <v>Belum Dinilai</v>
      </c>
      <c r="Z175" s="74">
        <f t="shared" si="24"/>
        <v>10</v>
      </c>
      <c r="AA175" s="74" t="str">
        <f t="shared" si="25"/>
        <v/>
      </c>
      <c r="AB175" s="74" t="str">
        <f t="shared" si="26"/>
        <v/>
      </c>
      <c r="AC175" s="61" t="s">
        <v>1421</v>
      </c>
      <c r="AD175" s="61" t="s">
        <v>1421</v>
      </c>
      <c r="AE175" s="61" t="s">
        <v>1421</v>
      </c>
      <c r="AF175" s="61" t="s">
        <v>1421</v>
      </c>
      <c r="AG175" s="61" t="s">
        <v>1421</v>
      </c>
      <c r="AH175" s="61" t="s">
        <v>1421</v>
      </c>
      <c r="AI175" s="61" t="s">
        <v>1421</v>
      </c>
      <c r="AJ175" s="61" t="s">
        <v>1421</v>
      </c>
      <c r="AK175" s="61" t="s">
        <v>1421</v>
      </c>
      <c r="AL175" s="61"/>
      <c r="AM175" s="61" t="s">
        <v>1436</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1424</v>
      </c>
      <c r="AW175" s="59" t="s">
        <v>1409</v>
      </c>
      <c r="AX175" s="59" t="s">
        <v>1410</v>
      </c>
      <c r="AY175" s="59"/>
      <c r="AZ175" s="59" t="s">
        <v>1408</v>
      </c>
      <c r="BA175" s="59"/>
      <c r="BB175" s="167"/>
      <c r="BC175" s="65"/>
      <c r="BD175" s="59"/>
      <c r="BE175" s="167"/>
      <c r="BF175" s="59" t="s">
        <v>1500</v>
      </c>
    </row>
    <row r="176" spans="1:58" ht="28">
      <c r="A176" s="59" t="s">
        <v>2182</v>
      </c>
      <c r="B176" s="59" t="s">
        <v>2183</v>
      </c>
      <c r="C176" s="59" t="s">
        <v>2184</v>
      </c>
      <c r="D176" s="59" t="s">
        <v>2185</v>
      </c>
      <c r="E176" s="59" t="s">
        <v>2186</v>
      </c>
      <c r="F176" s="59" t="s">
        <v>1754</v>
      </c>
      <c r="G176" s="59" t="s">
        <v>1574</v>
      </c>
      <c r="H176" s="59" t="s">
        <v>1483</v>
      </c>
      <c r="I176" s="59"/>
      <c r="J176" s="59" t="s">
        <v>1399</v>
      </c>
      <c r="K176" s="59" t="s">
        <v>1431</v>
      </c>
      <c r="L176" s="59" t="s">
        <v>1432</v>
      </c>
      <c r="M176" s="59" t="s">
        <v>1402</v>
      </c>
      <c r="N176" s="59" t="s">
        <v>1432</v>
      </c>
      <c r="O176" s="59" t="s">
        <v>1403</v>
      </c>
      <c r="P176" s="59" t="s">
        <v>1417</v>
      </c>
      <c r="Q176" s="75" t="s">
        <v>1404</v>
      </c>
      <c r="R176" s="75" t="s">
        <v>1421</v>
      </c>
      <c r="S176" s="75" t="s">
        <v>1421</v>
      </c>
      <c r="T176" s="75" t="s">
        <v>1421</v>
      </c>
      <c r="U176" s="75" t="s">
        <v>1421</v>
      </c>
      <c r="V176" s="75" t="s">
        <v>1436</v>
      </c>
      <c r="W176" s="60"/>
      <c r="X176" s="73" t="str">
        <f t="shared" si="22"/>
        <v>Belum Dinilai</v>
      </c>
      <c r="Y176" s="73" t="str">
        <f t="shared" si="23"/>
        <v>Belum Dinilai</v>
      </c>
      <c r="Z176" s="74">
        <f t="shared" si="24"/>
        <v>10</v>
      </c>
      <c r="AA176" s="74" t="str">
        <f t="shared" si="25"/>
        <v/>
      </c>
      <c r="AB176" s="74" t="str">
        <f t="shared" si="26"/>
        <v/>
      </c>
      <c r="AC176" s="61" t="s">
        <v>1421</v>
      </c>
      <c r="AD176" s="61" t="s">
        <v>1421</v>
      </c>
      <c r="AE176" s="61" t="s">
        <v>1421</v>
      </c>
      <c r="AF176" s="61" t="s">
        <v>1421</v>
      </c>
      <c r="AG176" s="61" t="s">
        <v>1421</v>
      </c>
      <c r="AH176" s="61" t="s">
        <v>1421</v>
      </c>
      <c r="AI176" s="61" t="s">
        <v>1421</v>
      </c>
      <c r="AJ176" s="61" t="s">
        <v>1421</v>
      </c>
      <c r="AK176" s="61" t="s">
        <v>1421</v>
      </c>
      <c r="AL176" s="61"/>
      <c r="AM176" s="61" t="s">
        <v>1436</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1424</v>
      </c>
      <c r="AW176" s="59" t="s">
        <v>1409</v>
      </c>
      <c r="AX176" s="59" t="s">
        <v>1410</v>
      </c>
      <c r="AY176" s="59"/>
      <c r="AZ176" s="59"/>
      <c r="BA176" s="59"/>
      <c r="BB176" s="167"/>
      <c r="BC176" s="65"/>
      <c r="BD176" s="59"/>
      <c r="BE176" s="167"/>
      <c r="BF176" s="59" t="s">
        <v>1500</v>
      </c>
    </row>
    <row r="177" spans="1:58" ht="28">
      <c r="A177" s="59" t="s">
        <v>2187</v>
      </c>
      <c r="B177" s="59" t="s">
        <v>2188</v>
      </c>
      <c r="C177" s="59" t="s">
        <v>2189</v>
      </c>
      <c r="D177" s="59" t="s">
        <v>2190</v>
      </c>
      <c r="E177" s="59" t="s">
        <v>2191</v>
      </c>
      <c r="F177" s="59" t="s">
        <v>1680</v>
      </c>
      <c r="G177" s="59" t="s">
        <v>1533</v>
      </c>
      <c r="H177" s="59" t="s">
        <v>1398</v>
      </c>
      <c r="I177" s="59"/>
      <c r="J177" s="59" t="s">
        <v>1415</v>
      </c>
      <c r="K177" s="59" t="s">
        <v>1400</v>
      </c>
      <c r="L177" s="59" t="s">
        <v>1432</v>
      </c>
      <c r="M177" s="59" t="s">
        <v>1499</v>
      </c>
      <c r="N177" s="59" t="s">
        <v>1417</v>
      </c>
      <c r="O177" s="59" t="s">
        <v>1434</v>
      </c>
      <c r="P177" s="59" t="s">
        <v>1417</v>
      </c>
      <c r="Q177" s="75" t="s">
        <v>1404</v>
      </c>
      <c r="R177" s="75" t="s">
        <v>1421</v>
      </c>
      <c r="S177" s="75" t="s">
        <v>1421</v>
      </c>
      <c r="T177" s="75" t="s">
        <v>1421</v>
      </c>
      <c r="U177" s="75" t="s">
        <v>1421</v>
      </c>
      <c r="V177" s="75" t="s">
        <v>1421</v>
      </c>
      <c r="W177" s="60"/>
      <c r="X177" s="73" t="str">
        <f t="shared" si="22"/>
        <v>Tidak ada faktor rentan</v>
      </c>
      <c r="Y177" s="73" t="str">
        <f t="shared" si="23"/>
        <v>Tidak Ada Faktor Rentan</v>
      </c>
      <c r="Z177" s="74">
        <f t="shared" si="24"/>
        <v>10</v>
      </c>
      <c r="AA177" s="74">
        <f t="shared" si="25"/>
        <v>0</v>
      </c>
      <c r="AB177" s="74">
        <f t="shared" si="26"/>
        <v>10</v>
      </c>
      <c r="AC177" s="61" t="s">
        <v>1421</v>
      </c>
      <c r="AD177" s="61" t="s">
        <v>1421</v>
      </c>
      <c r="AE177" s="61" t="s">
        <v>1405</v>
      </c>
      <c r="AF177" s="61" t="s">
        <v>1421</v>
      </c>
      <c r="AG177" s="61" t="s">
        <v>1405</v>
      </c>
      <c r="AH177" s="61" t="s">
        <v>1405</v>
      </c>
      <c r="AI177" s="61" t="s">
        <v>1405</v>
      </c>
      <c r="AJ177" s="61" t="s">
        <v>1421</v>
      </c>
      <c r="AK177" s="61" t="s">
        <v>1421</v>
      </c>
      <c r="AL177" s="61"/>
      <c r="AM177" s="61" t="s">
        <v>1436</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1407</v>
      </c>
      <c r="AV177" s="59" t="s">
        <v>1424</v>
      </c>
      <c r="AW177" s="59" t="s">
        <v>1425</v>
      </c>
      <c r="AX177" s="59" t="s">
        <v>1505</v>
      </c>
      <c r="AY177" s="59">
        <v>2026</v>
      </c>
      <c r="AZ177" s="59" t="s">
        <v>1427</v>
      </c>
      <c r="BA177" s="59"/>
      <c r="BB177" s="167"/>
      <c r="BC177" s="65">
        <v>2026</v>
      </c>
      <c r="BD177" s="59" t="s">
        <v>1440</v>
      </c>
      <c r="BE177" s="167"/>
      <c r="BF177" s="59" t="s">
        <v>1500</v>
      </c>
    </row>
    <row r="178" spans="1:58" ht="28">
      <c r="A178" s="59" t="s">
        <v>2192</v>
      </c>
      <c r="B178" s="59" t="s">
        <v>2193</v>
      </c>
      <c r="C178" s="59" t="s">
        <v>2194</v>
      </c>
      <c r="D178" s="59" t="s">
        <v>2195</v>
      </c>
      <c r="E178" s="59" t="s">
        <v>2196</v>
      </c>
      <c r="F178" s="59" t="s">
        <v>1573</v>
      </c>
      <c r="G178" s="59" t="s">
        <v>1574</v>
      </c>
      <c r="H178" s="59" t="s">
        <v>1483</v>
      </c>
      <c r="I178" s="59"/>
      <c r="J178" s="59" t="s">
        <v>1430</v>
      </c>
      <c r="K178" s="59" t="s">
        <v>1431</v>
      </c>
      <c r="L178" s="59" t="s">
        <v>1417</v>
      </c>
      <c r="M178" s="59" t="s">
        <v>1488</v>
      </c>
      <c r="N178" s="59" t="s">
        <v>1432</v>
      </c>
      <c r="O178" s="59" t="s">
        <v>1434</v>
      </c>
      <c r="P178" s="59" t="s">
        <v>1417</v>
      </c>
      <c r="Q178" s="75" t="s">
        <v>1404</v>
      </c>
      <c r="R178" s="75" t="s">
        <v>1421</v>
      </c>
      <c r="S178" s="75" t="s">
        <v>1421</v>
      </c>
      <c r="T178" s="75" t="s">
        <v>1405</v>
      </c>
      <c r="U178" s="75" t="s">
        <v>1421</v>
      </c>
      <c r="V178" s="75" t="s">
        <v>1436</v>
      </c>
      <c r="W178" s="60"/>
      <c r="X178" s="73" t="str">
        <f t="shared" si="22"/>
        <v>Belum Dinilai</v>
      </c>
      <c r="Y178" s="73" t="str">
        <f t="shared" si="23"/>
        <v>Belum Dinilai</v>
      </c>
      <c r="Z178" s="74">
        <f t="shared" si="24"/>
        <v>10</v>
      </c>
      <c r="AA178" s="74" t="str">
        <f t="shared" si="25"/>
        <v/>
      </c>
      <c r="AB178" s="74" t="str">
        <f t="shared" si="26"/>
        <v/>
      </c>
      <c r="AC178" s="61" t="s">
        <v>1421</v>
      </c>
      <c r="AD178" s="61" t="s">
        <v>1421</v>
      </c>
      <c r="AE178" s="61" t="s">
        <v>1421</v>
      </c>
      <c r="AF178" s="61" t="s">
        <v>1421</v>
      </c>
      <c r="AG178" s="61" t="s">
        <v>1421</v>
      </c>
      <c r="AH178" s="61" t="s">
        <v>1421</v>
      </c>
      <c r="AI178" s="61" t="s">
        <v>1421</v>
      </c>
      <c r="AJ178" s="61" t="s">
        <v>1421</v>
      </c>
      <c r="AK178" s="61" t="s">
        <v>1421</v>
      </c>
      <c r="AL178" s="61"/>
      <c r="AM178" s="61" t="s">
        <v>1436</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1407</v>
      </c>
      <c r="AV178" s="59" t="s">
        <v>1424</v>
      </c>
      <c r="AW178" s="59" t="s">
        <v>1437</v>
      </c>
      <c r="AX178" s="59" t="s">
        <v>1490</v>
      </c>
      <c r="AY178" s="59">
        <v>2026</v>
      </c>
      <c r="AZ178" s="59" t="s">
        <v>1411</v>
      </c>
      <c r="BA178" s="59"/>
      <c r="BB178" s="167"/>
      <c r="BC178" s="65">
        <v>2025</v>
      </c>
      <c r="BD178" s="59" t="s">
        <v>1428</v>
      </c>
      <c r="BE178" s="167"/>
      <c r="BF178" s="59" t="s">
        <v>1500</v>
      </c>
    </row>
    <row r="179" spans="1:58" ht="28">
      <c r="A179" s="59" t="s">
        <v>2197</v>
      </c>
      <c r="B179" s="59" t="s">
        <v>2198</v>
      </c>
      <c r="C179" s="59" t="s">
        <v>2199</v>
      </c>
      <c r="D179" s="59" t="s">
        <v>2200</v>
      </c>
      <c r="E179" s="59" t="s">
        <v>2201</v>
      </c>
      <c r="F179" s="59" t="s">
        <v>1564</v>
      </c>
      <c r="G179" s="59" t="s">
        <v>1554</v>
      </c>
      <c r="H179" s="59" t="s">
        <v>1483</v>
      </c>
      <c r="I179" s="59"/>
      <c r="J179" s="59"/>
      <c r="K179" s="59"/>
      <c r="L179" s="59" t="s">
        <v>1436</v>
      </c>
      <c r="M179" s="59"/>
      <c r="N179" s="59" t="s">
        <v>1436</v>
      </c>
      <c r="O179" s="59"/>
      <c r="P179" s="59" t="s">
        <v>1436</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1421</v>
      </c>
      <c r="AD179" s="61" t="s">
        <v>1421</v>
      </c>
      <c r="AE179" s="61" t="s">
        <v>1421</v>
      </c>
      <c r="AF179" s="61" t="s">
        <v>1421</v>
      </c>
      <c r="AG179" s="61" t="s">
        <v>1421</v>
      </c>
      <c r="AH179" s="61" t="s">
        <v>1421</v>
      </c>
      <c r="AI179" s="61" t="s">
        <v>1421</v>
      </c>
      <c r="AJ179" s="61" t="s">
        <v>1421</v>
      </c>
      <c r="AK179" s="61" t="s">
        <v>1421</v>
      </c>
      <c r="AL179" s="61"/>
      <c r="AM179" s="61" t="s">
        <v>1436</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1424</v>
      </c>
      <c r="AW179" s="59" t="s">
        <v>1409</v>
      </c>
      <c r="AX179" s="59" t="s">
        <v>1410</v>
      </c>
      <c r="AY179" s="59"/>
      <c r="AZ179" s="59"/>
      <c r="BA179" s="59"/>
      <c r="BB179" s="167"/>
      <c r="BC179" s="65"/>
      <c r="BD179" s="59"/>
      <c r="BE179" s="167"/>
      <c r="BF179" s="59" t="s">
        <v>1500</v>
      </c>
    </row>
    <row r="180" spans="1:58" ht="28">
      <c r="A180" s="59" t="s">
        <v>2202</v>
      </c>
      <c r="B180" s="59" t="s">
        <v>2203</v>
      </c>
      <c r="C180" s="59" t="s">
        <v>2204</v>
      </c>
      <c r="D180" s="59" t="s">
        <v>2205</v>
      </c>
      <c r="E180" s="59" t="s">
        <v>2206</v>
      </c>
      <c r="F180" s="59" t="s">
        <v>1564</v>
      </c>
      <c r="G180" s="59" t="s">
        <v>1554</v>
      </c>
      <c r="H180" s="59" t="s">
        <v>1483</v>
      </c>
      <c r="I180" s="59"/>
      <c r="J180" s="59" t="s">
        <v>1415</v>
      </c>
      <c r="K180" s="59" t="s">
        <v>1431</v>
      </c>
      <c r="L180" s="59" t="s">
        <v>1417</v>
      </c>
      <c r="M180" s="59" t="s">
        <v>1499</v>
      </c>
      <c r="N180" s="59" t="s">
        <v>1417</v>
      </c>
      <c r="O180" s="59" t="s">
        <v>1434</v>
      </c>
      <c r="P180" s="59" t="s">
        <v>1417</v>
      </c>
      <c r="Q180" s="75" t="s">
        <v>1404</v>
      </c>
      <c r="R180" s="75" t="s">
        <v>1421</v>
      </c>
      <c r="S180" s="75" t="s">
        <v>1421</v>
      </c>
      <c r="T180" s="75" t="s">
        <v>1405</v>
      </c>
      <c r="U180" s="75" t="s">
        <v>1421</v>
      </c>
      <c r="V180" s="75" t="s">
        <v>1421</v>
      </c>
      <c r="W180" s="60"/>
      <c r="X180" s="73" t="str">
        <f t="shared" si="22"/>
        <v xml:space="preserve">Kepala keluarga perempuan; </v>
      </c>
      <c r="Y180" s="73" t="str">
        <f t="shared" si="23"/>
        <v>1 Faktor Rentan</v>
      </c>
      <c r="Z180" s="74">
        <f t="shared" si="24"/>
        <v>10</v>
      </c>
      <c r="AA180" s="74">
        <f t="shared" si="25"/>
        <v>5</v>
      </c>
      <c r="AB180" s="74">
        <f t="shared" si="26"/>
        <v>15</v>
      </c>
      <c r="AC180" s="61" t="s">
        <v>1421</v>
      </c>
      <c r="AD180" s="61" t="s">
        <v>1421</v>
      </c>
      <c r="AE180" s="61" t="s">
        <v>1421</v>
      </c>
      <c r="AF180" s="61" t="s">
        <v>1421</v>
      </c>
      <c r="AG180" s="61" t="s">
        <v>1421</v>
      </c>
      <c r="AH180" s="61" t="s">
        <v>1421</v>
      </c>
      <c r="AI180" s="61" t="s">
        <v>1405</v>
      </c>
      <c r="AJ180" s="61" t="s">
        <v>1421</v>
      </c>
      <c r="AK180" s="61" t="s">
        <v>1421</v>
      </c>
      <c r="AL180" s="61"/>
      <c r="AM180" s="61" t="s">
        <v>1436</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1407</v>
      </c>
      <c r="AV180" s="59" t="s">
        <v>1424</v>
      </c>
      <c r="AW180" s="59" t="s">
        <v>1409</v>
      </c>
      <c r="AX180" s="59" t="s">
        <v>1505</v>
      </c>
      <c r="AY180" s="59">
        <v>2026</v>
      </c>
      <c r="AZ180" s="59" t="s">
        <v>1411</v>
      </c>
      <c r="BA180" s="59"/>
      <c r="BB180" s="167"/>
      <c r="BC180" s="65">
        <v>2026</v>
      </c>
      <c r="BD180" s="59" t="s">
        <v>1428</v>
      </c>
      <c r="BE180" s="167"/>
      <c r="BF180" s="59" t="s">
        <v>1500</v>
      </c>
    </row>
    <row r="181" spans="1:58" ht="28">
      <c r="A181" s="59" t="s">
        <v>2207</v>
      </c>
      <c r="B181" s="59" t="s">
        <v>2208</v>
      </c>
      <c r="C181" s="59" t="s">
        <v>2209</v>
      </c>
      <c r="D181" s="59" t="s">
        <v>2210</v>
      </c>
      <c r="E181" s="59" t="s">
        <v>1661</v>
      </c>
      <c r="F181" s="59" t="s">
        <v>1654</v>
      </c>
      <c r="G181" s="59" t="s">
        <v>1533</v>
      </c>
      <c r="H181" s="59" t="s">
        <v>1483</v>
      </c>
      <c r="I181" s="59"/>
      <c r="J181" s="59"/>
      <c r="K181" s="59"/>
      <c r="L181" s="59" t="s">
        <v>1436</v>
      </c>
      <c r="M181" s="59"/>
      <c r="N181" s="59" t="s">
        <v>1436</v>
      </c>
      <c r="O181" s="59"/>
      <c r="P181" s="59" t="s">
        <v>1436</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1421</v>
      </c>
      <c r="AD181" s="61" t="s">
        <v>1421</v>
      </c>
      <c r="AE181" s="61" t="s">
        <v>1421</v>
      </c>
      <c r="AF181" s="61" t="s">
        <v>1421</v>
      </c>
      <c r="AG181" s="61" t="s">
        <v>1421</v>
      </c>
      <c r="AH181" s="61" t="s">
        <v>1421</v>
      </c>
      <c r="AI181" s="61" t="s">
        <v>1421</v>
      </c>
      <c r="AJ181" s="61" t="s">
        <v>1421</v>
      </c>
      <c r="AK181" s="61" t="s">
        <v>1421</v>
      </c>
      <c r="AL181" s="61"/>
      <c r="AM181" s="61" t="s">
        <v>1436</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1424</v>
      </c>
      <c r="AW181" s="59" t="s">
        <v>1409</v>
      </c>
      <c r="AX181" s="59" t="s">
        <v>1410</v>
      </c>
      <c r="AY181" s="59"/>
      <c r="AZ181" s="59"/>
      <c r="BA181" s="59"/>
      <c r="BB181" s="167"/>
      <c r="BC181" s="65"/>
      <c r="BD181" s="59"/>
      <c r="BE181" s="167"/>
      <c r="BF181" s="59" t="s">
        <v>1500</v>
      </c>
    </row>
    <row r="182" spans="1:58" ht="28">
      <c r="A182" s="59" t="s">
        <v>2211</v>
      </c>
      <c r="B182" s="59" t="s">
        <v>2212</v>
      </c>
      <c r="C182" s="59" t="s">
        <v>2213</v>
      </c>
      <c r="D182" s="59" t="s">
        <v>2214</v>
      </c>
      <c r="E182" s="59" t="s">
        <v>2215</v>
      </c>
      <c r="F182" s="59" t="s">
        <v>1654</v>
      </c>
      <c r="G182" s="59" t="s">
        <v>1533</v>
      </c>
      <c r="H182" s="59" t="s">
        <v>1483</v>
      </c>
      <c r="I182" s="59"/>
      <c r="J182" s="59"/>
      <c r="K182" s="59"/>
      <c r="L182" s="59" t="s">
        <v>1436</v>
      </c>
      <c r="M182" s="59"/>
      <c r="N182" s="59" t="s">
        <v>1436</v>
      </c>
      <c r="O182" s="59"/>
      <c r="P182" s="59" t="s">
        <v>1436</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1421</v>
      </c>
      <c r="AD182" s="61" t="s">
        <v>1421</v>
      </c>
      <c r="AE182" s="61" t="s">
        <v>1421</v>
      </c>
      <c r="AF182" s="61" t="s">
        <v>1421</v>
      </c>
      <c r="AG182" s="61" t="s">
        <v>1421</v>
      </c>
      <c r="AH182" s="61" t="s">
        <v>1421</v>
      </c>
      <c r="AI182" s="61" t="s">
        <v>1421</v>
      </c>
      <c r="AJ182" s="61" t="s">
        <v>1421</v>
      </c>
      <c r="AK182" s="61" t="s">
        <v>1421</v>
      </c>
      <c r="AL182" s="61"/>
      <c r="AM182" s="61" t="s">
        <v>1436</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1424</v>
      </c>
      <c r="AW182" s="59" t="s">
        <v>1409</v>
      </c>
      <c r="AX182" s="59" t="s">
        <v>1410</v>
      </c>
      <c r="AY182" s="59"/>
      <c r="AZ182" s="59"/>
      <c r="BA182" s="59"/>
      <c r="BB182" s="167"/>
      <c r="BC182" s="65"/>
      <c r="BD182" s="59"/>
      <c r="BE182" s="167"/>
      <c r="BF182" s="59" t="s">
        <v>1500</v>
      </c>
    </row>
    <row r="183" spans="1:58" ht="28">
      <c r="A183" s="59" t="s">
        <v>2216</v>
      </c>
      <c r="B183" s="59" t="s">
        <v>2217</v>
      </c>
      <c r="C183" s="59" t="s">
        <v>2218</v>
      </c>
      <c r="D183" s="59" t="s">
        <v>2219</v>
      </c>
      <c r="E183" s="59" t="s">
        <v>1661</v>
      </c>
      <c r="F183" s="59" t="s">
        <v>1654</v>
      </c>
      <c r="G183" s="59" t="s">
        <v>1533</v>
      </c>
      <c r="H183" s="59" t="s">
        <v>1483</v>
      </c>
      <c r="I183" s="59"/>
      <c r="J183" s="59"/>
      <c r="K183" s="59"/>
      <c r="L183" s="59" t="s">
        <v>1436</v>
      </c>
      <c r="M183" s="59"/>
      <c r="N183" s="59" t="s">
        <v>1436</v>
      </c>
      <c r="O183" s="59"/>
      <c r="P183" s="59" t="s">
        <v>1436</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1421</v>
      </c>
      <c r="AD183" s="61" t="s">
        <v>1421</v>
      </c>
      <c r="AE183" s="61" t="s">
        <v>1421</v>
      </c>
      <c r="AF183" s="61" t="s">
        <v>1421</v>
      </c>
      <c r="AG183" s="61" t="s">
        <v>1421</v>
      </c>
      <c r="AH183" s="61" t="s">
        <v>1421</v>
      </c>
      <c r="AI183" s="61" t="s">
        <v>1421</v>
      </c>
      <c r="AJ183" s="61" t="s">
        <v>1421</v>
      </c>
      <c r="AK183" s="61" t="s">
        <v>1421</v>
      </c>
      <c r="AL183" s="61"/>
      <c r="AM183" s="61" t="s">
        <v>1436</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1424</v>
      </c>
      <c r="AW183" s="59" t="s">
        <v>1409</v>
      </c>
      <c r="AX183" s="59" t="s">
        <v>1410</v>
      </c>
      <c r="AY183" s="59"/>
      <c r="AZ183" s="59"/>
      <c r="BA183" s="59"/>
      <c r="BB183" s="167"/>
      <c r="BC183" s="65"/>
      <c r="BD183" s="59"/>
      <c r="BE183" s="167"/>
      <c r="BF183" s="59" t="s">
        <v>1500</v>
      </c>
    </row>
    <row r="184" spans="1:58" s="168" customFormat="1" ht="28">
      <c r="A184" s="59" t="s">
        <v>2220</v>
      </c>
      <c r="B184" s="59" t="s">
        <v>2221</v>
      </c>
      <c r="C184" s="59" t="s">
        <v>2222</v>
      </c>
      <c r="D184" s="59" t="s">
        <v>2223</v>
      </c>
      <c r="E184" s="59" t="s">
        <v>2224</v>
      </c>
      <c r="F184" s="59" t="s">
        <v>2225</v>
      </c>
      <c r="G184" s="59" t="s">
        <v>1548</v>
      </c>
      <c r="H184" s="59" t="s">
        <v>1483</v>
      </c>
      <c r="I184" s="59"/>
      <c r="J184" s="59"/>
      <c r="K184" s="59"/>
      <c r="L184" s="59" t="s">
        <v>1436</v>
      </c>
      <c r="M184" s="59"/>
      <c r="N184" s="59" t="s">
        <v>1436</v>
      </c>
      <c r="O184" s="59"/>
      <c r="P184" s="59" t="s">
        <v>1436</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1421</v>
      </c>
      <c r="AD184" s="61" t="s">
        <v>1421</v>
      </c>
      <c r="AE184" s="61" t="s">
        <v>1421</v>
      </c>
      <c r="AF184" s="61" t="s">
        <v>1421</v>
      </c>
      <c r="AG184" s="61" t="s">
        <v>1421</v>
      </c>
      <c r="AH184" s="61" t="s">
        <v>1421</v>
      </c>
      <c r="AI184" s="61" t="s">
        <v>1421</v>
      </c>
      <c r="AJ184" s="61" t="s">
        <v>1421</v>
      </c>
      <c r="AK184" s="61" t="s">
        <v>1421</v>
      </c>
      <c r="AL184" s="61"/>
      <c r="AM184" s="61" t="s">
        <v>1436</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1424</v>
      </c>
      <c r="AW184" s="59" t="s">
        <v>1409</v>
      </c>
      <c r="AX184" s="59" t="s">
        <v>1410</v>
      </c>
      <c r="AY184" s="59"/>
      <c r="AZ184" s="59"/>
      <c r="BA184" s="59"/>
      <c r="BB184" s="167"/>
      <c r="BC184" s="65"/>
      <c r="BD184" s="59"/>
      <c r="BE184" s="167"/>
      <c r="BF184" s="59" t="s">
        <v>1500</v>
      </c>
    </row>
    <row r="185" spans="1:58" s="168" customFormat="1" ht="28">
      <c r="A185" s="59" t="s">
        <v>2226</v>
      </c>
      <c r="B185" s="59" t="s">
        <v>2227</v>
      </c>
      <c r="C185" s="59"/>
      <c r="D185" s="59" t="s">
        <v>2228</v>
      </c>
      <c r="E185" s="59" t="s">
        <v>2163</v>
      </c>
      <c r="F185" s="59" t="s">
        <v>1754</v>
      </c>
      <c r="G185" s="59" t="s">
        <v>1574</v>
      </c>
      <c r="H185" s="59" t="s">
        <v>1483</v>
      </c>
      <c r="I185" s="59"/>
      <c r="J185" s="59" t="s">
        <v>1415</v>
      </c>
      <c r="K185" s="59" t="s">
        <v>1431</v>
      </c>
      <c r="L185" s="59" t="s">
        <v>1401</v>
      </c>
      <c r="M185" s="59" t="s">
        <v>1499</v>
      </c>
      <c r="N185" s="59" t="s">
        <v>1401</v>
      </c>
      <c r="O185" s="59" t="s">
        <v>1403</v>
      </c>
      <c r="P185" s="59" t="s">
        <v>1417</v>
      </c>
      <c r="Q185" s="75" t="s">
        <v>1404</v>
      </c>
      <c r="R185" s="75" t="s">
        <v>1421</v>
      </c>
      <c r="S185" s="75" t="s">
        <v>1421</v>
      </c>
      <c r="T185" s="75" t="s">
        <v>1421</v>
      </c>
      <c r="U185" s="75" t="s">
        <v>1421</v>
      </c>
      <c r="V185" s="75" t="s">
        <v>1436</v>
      </c>
      <c r="W185" s="60"/>
      <c r="X185" s="73" t="str">
        <f t="shared" si="22"/>
        <v>Belum Dinilai</v>
      </c>
      <c r="Y185" s="73" t="str">
        <f t="shared" si="23"/>
        <v>Belum Dinilai</v>
      </c>
      <c r="Z185" s="74">
        <f t="shared" si="24"/>
        <v>10</v>
      </c>
      <c r="AA185" s="74" t="str">
        <f t="shared" si="25"/>
        <v/>
      </c>
      <c r="AB185" s="74" t="str">
        <f t="shared" si="26"/>
        <v/>
      </c>
      <c r="AC185" s="61" t="s">
        <v>1421</v>
      </c>
      <c r="AD185" s="61" t="s">
        <v>1421</v>
      </c>
      <c r="AE185" s="61" t="s">
        <v>1421</v>
      </c>
      <c r="AF185" s="61" t="s">
        <v>1421</v>
      </c>
      <c r="AG185" s="61" t="s">
        <v>1421</v>
      </c>
      <c r="AH185" s="61" t="s">
        <v>1421</v>
      </c>
      <c r="AI185" s="61" t="s">
        <v>1421</v>
      </c>
      <c r="AJ185" s="61" t="s">
        <v>1421</v>
      </c>
      <c r="AK185" s="61" t="s">
        <v>1421</v>
      </c>
      <c r="AL185" s="61"/>
      <c r="AM185" s="61" t="s">
        <v>1436</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1424</v>
      </c>
      <c r="AW185" s="59" t="s">
        <v>1409</v>
      </c>
      <c r="AX185" s="59" t="s">
        <v>1410</v>
      </c>
      <c r="AY185" s="59"/>
      <c r="AZ185" s="59"/>
      <c r="BA185" s="59"/>
      <c r="BB185" s="167"/>
      <c r="BC185" s="65"/>
      <c r="BD185" s="59"/>
      <c r="BE185" s="167"/>
      <c r="BF185" s="59" t="s">
        <v>1500</v>
      </c>
    </row>
    <row r="186" spans="1:58" s="168" customFormat="1" ht="28">
      <c r="A186" s="59" t="s">
        <v>2229</v>
      </c>
      <c r="B186" s="59" t="s">
        <v>2230</v>
      </c>
      <c r="C186" s="59" t="s">
        <v>2231</v>
      </c>
      <c r="D186" s="59" t="s">
        <v>2232</v>
      </c>
      <c r="E186" s="59" t="s">
        <v>2167</v>
      </c>
      <c r="F186" s="59" t="s">
        <v>1754</v>
      </c>
      <c r="G186" s="59" t="s">
        <v>1574</v>
      </c>
      <c r="H186" s="59" t="s">
        <v>1483</v>
      </c>
      <c r="I186" s="59"/>
      <c r="J186" s="59" t="s">
        <v>1399</v>
      </c>
      <c r="K186" s="59" t="s">
        <v>1431</v>
      </c>
      <c r="L186" s="59" t="s">
        <v>1401</v>
      </c>
      <c r="M186" s="59" t="s">
        <v>1402</v>
      </c>
      <c r="N186" s="59" t="s">
        <v>1401</v>
      </c>
      <c r="O186" s="59" t="s">
        <v>1403</v>
      </c>
      <c r="P186" s="59" t="s">
        <v>1401</v>
      </c>
      <c r="Q186" s="75" t="s">
        <v>1404</v>
      </c>
      <c r="R186" s="75" t="s">
        <v>1421</v>
      </c>
      <c r="S186" s="75" t="s">
        <v>1421</v>
      </c>
      <c r="T186" s="75" t="s">
        <v>1421</v>
      </c>
      <c r="U186" s="75" t="s">
        <v>1421</v>
      </c>
      <c r="V186" s="75" t="s">
        <v>1436</v>
      </c>
      <c r="W186" s="60"/>
      <c r="X186" s="73" t="str">
        <f t="shared" si="22"/>
        <v>Belum Dinilai</v>
      </c>
      <c r="Y186" s="73" t="str">
        <f t="shared" si="23"/>
        <v>Belum Dinilai</v>
      </c>
      <c r="Z186" s="74">
        <f t="shared" si="24"/>
        <v>10</v>
      </c>
      <c r="AA186" s="74" t="str">
        <f t="shared" si="25"/>
        <v/>
      </c>
      <c r="AB186" s="74" t="str">
        <f t="shared" si="26"/>
        <v/>
      </c>
      <c r="AC186" s="61" t="s">
        <v>1421</v>
      </c>
      <c r="AD186" s="61" t="s">
        <v>1421</v>
      </c>
      <c r="AE186" s="61" t="s">
        <v>1421</v>
      </c>
      <c r="AF186" s="61" t="s">
        <v>1421</v>
      </c>
      <c r="AG186" s="61" t="s">
        <v>1421</v>
      </c>
      <c r="AH186" s="61" t="s">
        <v>1421</v>
      </c>
      <c r="AI186" s="61" t="s">
        <v>1421</v>
      </c>
      <c r="AJ186" s="61" t="s">
        <v>1421</v>
      </c>
      <c r="AK186" s="61" t="s">
        <v>1421</v>
      </c>
      <c r="AL186" s="61"/>
      <c r="AM186" s="61" t="s">
        <v>1436</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1424</v>
      </c>
      <c r="AW186" s="59" t="s">
        <v>1409</v>
      </c>
      <c r="AX186" s="59" t="s">
        <v>1410</v>
      </c>
      <c r="AY186" s="59"/>
      <c r="AZ186" s="59"/>
      <c r="BA186" s="59"/>
      <c r="BB186" s="167"/>
      <c r="BC186" s="65"/>
      <c r="BD186" s="59"/>
      <c r="BE186" s="167"/>
      <c r="BF186" s="59" t="s">
        <v>1500</v>
      </c>
    </row>
    <row r="187" spans="1:58" s="168" customFormat="1" ht="28">
      <c r="A187" s="59" t="s">
        <v>2233</v>
      </c>
      <c r="B187" s="59" t="s">
        <v>2234</v>
      </c>
      <c r="C187" s="59" t="s">
        <v>2235</v>
      </c>
      <c r="D187" s="59" t="s">
        <v>2236</v>
      </c>
      <c r="E187" s="59" t="s">
        <v>2163</v>
      </c>
      <c r="F187" s="59" t="s">
        <v>1754</v>
      </c>
      <c r="G187" s="59" t="s">
        <v>1574</v>
      </c>
      <c r="H187" s="59" t="s">
        <v>1483</v>
      </c>
      <c r="I187" s="59"/>
      <c r="J187" s="59" t="s">
        <v>1399</v>
      </c>
      <c r="K187" s="59" t="s">
        <v>1431</v>
      </c>
      <c r="L187" s="59" t="s">
        <v>1401</v>
      </c>
      <c r="M187" s="59" t="s">
        <v>1418</v>
      </c>
      <c r="N187" s="59" t="s">
        <v>1401</v>
      </c>
      <c r="O187" s="59" t="s">
        <v>1403</v>
      </c>
      <c r="P187" s="59" t="s">
        <v>1401</v>
      </c>
      <c r="Q187" s="75" t="s">
        <v>1404</v>
      </c>
      <c r="R187" s="75" t="s">
        <v>1421</v>
      </c>
      <c r="S187" s="75" t="s">
        <v>1421</v>
      </c>
      <c r="T187" s="75" t="s">
        <v>1421</v>
      </c>
      <c r="U187" s="75" t="s">
        <v>1405</v>
      </c>
      <c r="V187" s="75" t="s">
        <v>1436</v>
      </c>
      <c r="W187" s="60"/>
      <c r="X187" s="73" t="str">
        <f t="shared" si="22"/>
        <v>Belum Dinilai</v>
      </c>
      <c r="Y187" s="73" t="str">
        <f t="shared" si="23"/>
        <v>Belum Dinilai</v>
      </c>
      <c r="Z187" s="74">
        <f t="shared" si="24"/>
        <v>10</v>
      </c>
      <c r="AA187" s="74" t="str">
        <f t="shared" si="25"/>
        <v/>
      </c>
      <c r="AB187" s="74" t="str">
        <f t="shared" si="26"/>
        <v/>
      </c>
      <c r="AC187" s="61" t="s">
        <v>1421</v>
      </c>
      <c r="AD187" s="61" t="s">
        <v>1421</v>
      </c>
      <c r="AE187" s="61" t="s">
        <v>1421</v>
      </c>
      <c r="AF187" s="61" t="s">
        <v>1421</v>
      </c>
      <c r="AG187" s="61" t="s">
        <v>1421</v>
      </c>
      <c r="AH187" s="61" t="s">
        <v>1421</v>
      </c>
      <c r="AI187" s="61" t="s">
        <v>1421</v>
      </c>
      <c r="AJ187" s="61" t="s">
        <v>1421</v>
      </c>
      <c r="AK187" s="61" t="s">
        <v>1421</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1424</v>
      </c>
      <c r="AW187" s="59" t="s">
        <v>1409</v>
      </c>
      <c r="AX187" s="59" t="s">
        <v>1410</v>
      </c>
      <c r="AY187" s="59"/>
      <c r="AZ187" s="59"/>
      <c r="BA187" s="59"/>
      <c r="BB187" s="167"/>
      <c r="BC187" s="65"/>
      <c r="BD187" s="59"/>
      <c r="BE187" s="167"/>
      <c r="BF187" s="59" t="s">
        <v>1500</v>
      </c>
    </row>
    <row r="188" spans="1:58" ht="28">
      <c r="A188" s="169" t="s">
        <v>2237</v>
      </c>
      <c r="B188" s="169" t="s">
        <v>2238</v>
      </c>
      <c r="C188" s="169"/>
      <c r="D188" s="169"/>
      <c r="E188" s="169" t="s">
        <v>2239</v>
      </c>
      <c r="F188" s="169" t="s">
        <v>1680</v>
      </c>
      <c r="G188" s="169" t="s">
        <v>1533</v>
      </c>
      <c r="H188" s="169" t="s">
        <v>1398</v>
      </c>
      <c r="I188" s="169"/>
      <c r="J188" s="169" t="s">
        <v>1415</v>
      </c>
      <c r="K188" s="169" t="s">
        <v>1416</v>
      </c>
      <c r="L188" s="169" t="s">
        <v>1401</v>
      </c>
      <c r="M188" s="169" t="s">
        <v>1488</v>
      </c>
      <c r="N188" s="169" t="s">
        <v>1401</v>
      </c>
      <c r="O188" s="169" t="s">
        <v>1434</v>
      </c>
      <c r="P188" s="169" t="s">
        <v>1401</v>
      </c>
      <c r="Q188" s="169" t="s">
        <v>1436</v>
      </c>
      <c r="R188" s="169" t="s">
        <v>1436</v>
      </c>
      <c r="S188" s="169" t="s">
        <v>1436</v>
      </c>
      <c r="T188" s="169" t="s">
        <v>1436</v>
      </c>
      <c r="U188" s="169" t="s">
        <v>1436</v>
      </c>
      <c r="V188" s="169" t="s">
        <v>1436</v>
      </c>
      <c r="W188" s="169"/>
      <c r="X188" s="169" t="str">
        <f t="shared" si="22"/>
        <v>Belum Dinilai</v>
      </c>
      <c r="Y188" s="169" t="str">
        <f t="shared" si="23"/>
        <v>Belum Dinilai</v>
      </c>
      <c r="Z188" s="170" t="str">
        <f t="shared" si="24"/>
        <v/>
      </c>
      <c r="AA188" s="170" t="str">
        <f t="shared" si="25"/>
        <v/>
      </c>
      <c r="AB188" s="170" t="str">
        <f t="shared" si="26"/>
        <v/>
      </c>
      <c r="AC188" s="169" t="s">
        <v>1421</v>
      </c>
      <c r="AD188" s="169" t="s">
        <v>1421</v>
      </c>
      <c r="AE188" s="169" t="s">
        <v>1421</v>
      </c>
      <c r="AF188" s="169" t="s">
        <v>1421</v>
      </c>
      <c r="AG188" s="169" t="s">
        <v>1405</v>
      </c>
      <c r="AH188" s="169" t="s">
        <v>1421</v>
      </c>
      <c r="AI188" s="169" t="s">
        <v>1405</v>
      </c>
      <c r="AJ188" s="169" t="s">
        <v>1421</v>
      </c>
      <c r="AK188" s="169" t="s">
        <v>1421</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1424</v>
      </c>
      <c r="AW188" s="169" t="s">
        <v>1409</v>
      </c>
      <c r="AX188" s="59" t="s">
        <v>1410</v>
      </c>
      <c r="AY188" s="169"/>
      <c r="AZ188" s="169" t="s">
        <v>1427</v>
      </c>
      <c r="BA188" s="169"/>
      <c r="BB188" s="171"/>
      <c r="BC188" s="170">
        <v>2025</v>
      </c>
      <c r="BD188" s="169" t="s">
        <v>1428</v>
      </c>
      <c r="BE188" s="171"/>
      <c r="BF188" s="169" t="s">
        <v>1500</v>
      </c>
    </row>
    <row r="189" spans="1:58" ht="28">
      <c r="A189" s="169" t="s">
        <v>2240</v>
      </c>
      <c r="B189" s="169" t="s">
        <v>2241</v>
      </c>
      <c r="C189" s="169"/>
      <c r="D189" s="169"/>
      <c r="E189" s="169" t="s">
        <v>2242</v>
      </c>
      <c r="F189" s="169" t="s">
        <v>1680</v>
      </c>
      <c r="G189" s="169" t="s">
        <v>1533</v>
      </c>
      <c r="H189" s="169" t="s">
        <v>1398</v>
      </c>
      <c r="I189" s="169"/>
      <c r="J189" s="169" t="s">
        <v>1415</v>
      </c>
      <c r="K189" s="169" t="s">
        <v>1416</v>
      </c>
      <c r="L189" s="169" t="s">
        <v>1417</v>
      </c>
      <c r="M189" s="169" t="s">
        <v>1499</v>
      </c>
      <c r="N189" s="169" t="s">
        <v>1432</v>
      </c>
      <c r="O189" s="169" t="s">
        <v>1434</v>
      </c>
      <c r="P189" s="169" t="s">
        <v>1417</v>
      </c>
      <c r="Q189" s="169" t="s">
        <v>1404</v>
      </c>
      <c r="R189" s="169" t="s">
        <v>1421</v>
      </c>
      <c r="S189" s="169" t="s">
        <v>1421</v>
      </c>
      <c r="T189" s="169" t="s">
        <v>1421</v>
      </c>
      <c r="U189" s="169" t="s">
        <v>1421</v>
      </c>
      <c r="V189" s="169" t="s">
        <v>1421</v>
      </c>
      <c r="W189" s="169"/>
      <c r="X189" s="169" t="str">
        <f t="shared" si="22"/>
        <v>Tidak ada faktor rentan</v>
      </c>
      <c r="Y189" s="169" t="str">
        <f t="shared" si="23"/>
        <v>Tidak Ada Faktor Rentan</v>
      </c>
      <c r="Z189" s="170">
        <f t="shared" si="24"/>
        <v>10</v>
      </c>
      <c r="AA189" s="170">
        <f t="shared" si="25"/>
        <v>0</v>
      </c>
      <c r="AB189" s="170">
        <f t="shared" si="26"/>
        <v>10</v>
      </c>
      <c r="AC189" s="169" t="s">
        <v>1421</v>
      </c>
      <c r="AD189" s="169" t="s">
        <v>1421</v>
      </c>
      <c r="AE189" s="169" t="s">
        <v>1405</v>
      </c>
      <c r="AF189" s="169" t="s">
        <v>1421</v>
      </c>
      <c r="AG189" s="169" t="s">
        <v>1405</v>
      </c>
      <c r="AH189" s="169" t="s">
        <v>1405</v>
      </c>
      <c r="AI189" s="169" t="s">
        <v>1405</v>
      </c>
      <c r="AJ189" s="169" t="s">
        <v>1421</v>
      </c>
      <c r="AK189" s="169" t="s">
        <v>1421</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1424</v>
      </c>
      <c r="AW189" s="169" t="s">
        <v>1409</v>
      </c>
      <c r="AX189" s="59" t="s">
        <v>1410</v>
      </c>
      <c r="AY189" s="169"/>
      <c r="AZ189" s="169" t="s">
        <v>1427</v>
      </c>
      <c r="BA189" s="169"/>
      <c r="BB189" s="171"/>
      <c r="BC189" s="170">
        <v>2025</v>
      </c>
      <c r="BD189" s="169" t="s">
        <v>1428</v>
      </c>
      <c r="BE189" s="171"/>
      <c r="BF189" s="169" t="s">
        <v>1500</v>
      </c>
    </row>
    <row r="190" spans="1:58" ht="28">
      <c r="A190" s="169" t="s">
        <v>2243</v>
      </c>
      <c r="B190" s="169" t="s">
        <v>2244</v>
      </c>
      <c r="C190" s="169" t="s">
        <v>2245</v>
      </c>
      <c r="D190" s="169" t="s">
        <v>2246</v>
      </c>
      <c r="E190" s="169" t="s">
        <v>2247</v>
      </c>
      <c r="F190" s="169" t="s">
        <v>1680</v>
      </c>
      <c r="G190" s="169" t="s">
        <v>1533</v>
      </c>
      <c r="H190" s="169" t="s">
        <v>1414</v>
      </c>
      <c r="I190" s="169"/>
      <c r="J190" s="169" t="s">
        <v>1415</v>
      </c>
      <c r="K190" s="169" t="s">
        <v>1416</v>
      </c>
      <c r="L190" s="169" t="s">
        <v>1417</v>
      </c>
      <c r="M190" s="169" t="s">
        <v>1499</v>
      </c>
      <c r="N190" s="169" t="s">
        <v>1417</v>
      </c>
      <c r="O190" s="169" t="s">
        <v>1434</v>
      </c>
      <c r="P190" s="169" t="s">
        <v>1401</v>
      </c>
      <c r="Q190" s="169" t="s">
        <v>1404</v>
      </c>
      <c r="R190" s="169" t="s">
        <v>1421</v>
      </c>
      <c r="S190" s="169" t="s">
        <v>1421</v>
      </c>
      <c r="T190" s="169" t="s">
        <v>1421</v>
      </c>
      <c r="U190" s="169" t="s">
        <v>1421</v>
      </c>
      <c r="V190" s="169" t="s">
        <v>1421</v>
      </c>
      <c r="W190" s="169"/>
      <c r="X190" s="169" t="str">
        <f t="shared" si="22"/>
        <v>Tidak ada faktor rentan</v>
      </c>
      <c r="Y190" s="169" t="str">
        <f t="shared" si="23"/>
        <v>Tidak Ada Faktor Rentan</v>
      </c>
      <c r="Z190" s="170">
        <f t="shared" si="24"/>
        <v>10</v>
      </c>
      <c r="AA190" s="170">
        <f t="shared" si="25"/>
        <v>0</v>
      </c>
      <c r="AB190" s="170">
        <f t="shared" si="26"/>
        <v>10</v>
      </c>
      <c r="AC190" s="169" t="s">
        <v>1405</v>
      </c>
      <c r="AD190" s="169" t="s">
        <v>1421</v>
      </c>
      <c r="AE190" s="169" t="s">
        <v>1405</v>
      </c>
      <c r="AF190" s="169" t="s">
        <v>1421</v>
      </c>
      <c r="AG190" s="169" t="s">
        <v>1405</v>
      </c>
      <c r="AH190" s="169" t="s">
        <v>1405</v>
      </c>
      <c r="AI190" s="169" t="s">
        <v>1421</v>
      </c>
      <c r="AJ190" s="169" t="s">
        <v>1421</v>
      </c>
      <c r="AK190" s="169" t="s">
        <v>1421</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1407</v>
      </c>
      <c r="AV190" s="169" t="s">
        <v>1424</v>
      </c>
      <c r="AW190" s="169" t="s">
        <v>1489</v>
      </c>
      <c r="AX190" s="169" t="s">
        <v>1426</v>
      </c>
      <c r="AY190" s="169">
        <v>2026</v>
      </c>
      <c r="AZ190" s="169" t="s">
        <v>1411</v>
      </c>
      <c r="BA190" s="169"/>
      <c r="BB190" s="171"/>
      <c r="BC190" s="170">
        <v>2025</v>
      </c>
      <c r="BD190" s="169" t="s">
        <v>1428</v>
      </c>
      <c r="BE190" s="171"/>
      <c r="BF190" s="169" t="s">
        <v>1500</v>
      </c>
    </row>
    <row r="191" spans="1:58" ht="28">
      <c r="A191" s="169" t="s">
        <v>2248</v>
      </c>
      <c r="B191" s="169" t="s">
        <v>2249</v>
      </c>
      <c r="C191" s="169" t="s">
        <v>2250</v>
      </c>
      <c r="D191" s="169" t="s">
        <v>2251</v>
      </c>
      <c r="E191" s="169" t="s">
        <v>2252</v>
      </c>
      <c r="F191" s="169" t="s">
        <v>1573</v>
      </c>
      <c r="G191" s="169" t="s">
        <v>1574</v>
      </c>
      <c r="H191" s="169" t="s">
        <v>1414</v>
      </c>
      <c r="I191" s="169"/>
      <c r="J191" s="169" t="s">
        <v>1415</v>
      </c>
      <c r="K191" s="169" t="s">
        <v>1416</v>
      </c>
      <c r="L191" s="169" t="s">
        <v>1417</v>
      </c>
      <c r="M191" s="169" t="s">
        <v>1499</v>
      </c>
      <c r="N191" s="169" t="s">
        <v>1417</v>
      </c>
      <c r="O191" s="169" t="s">
        <v>1434</v>
      </c>
      <c r="P191" s="169" t="s">
        <v>1417</v>
      </c>
      <c r="Q191" s="169" t="s">
        <v>1404</v>
      </c>
      <c r="R191" s="169" t="s">
        <v>1421</v>
      </c>
      <c r="S191" s="169" t="s">
        <v>1421</v>
      </c>
      <c r="T191" s="169" t="s">
        <v>1421</v>
      </c>
      <c r="U191" s="169" t="s">
        <v>1421</v>
      </c>
      <c r="V191" s="169" t="s">
        <v>1421</v>
      </c>
      <c r="W191" s="169"/>
      <c r="X191" s="169" t="str">
        <f t="shared" si="22"/>
        <v>Tidak ada faktor rentan</v>
      </c>
      <c r="Y191" s="169" t="str">
        <f t="shared" si="23"/>
        <v>Tidak Ada Faktor Rentan</v>
      </c>
      <c r="Z191" s="170">
        <f t="shared" si="24"/>
        <v>10</v>
      </c>
      <c r="AA191" s="170">
        <f t="shared" si="25"/>
        <v>0</v>
      </c>
      <c r="AB191" s="170">
        <f t="shared" si="26"/>
        <v>10</v>
      </c>
      <c r="AC191" s="169" t="s">
        <v>1421</v>
      </c>
      <c r="AD191" s="169" t="s">
        <v>1421</v>
      </c>
      <c r="AE191" s="169" t="s">
        <v>1421</v>
      </c>
      <c r="AF191" s="169" t="s">
        <v>1405</v>
      </c>
      <c r="AG191" s="169" t="s">
        <v>1405</v>
      </c>
      <c r="AH191" s="169" t="s">
        <v>1405</v>
      </c>
      <c r="AI191" s="169" t="s">
        <v>1405</v>
      </c>
      <c r="AJ191" s="169" t="s">
        <v>1421</v>
      </c>
      <c r="AK191" s="169" t="s">
        <v>1421</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1407</v>
      </c>
      <c r="AV191" s="169" t="s">
        <v>1424</v>
      </c>
      <c r="AW191" s="169" t="s">
        <v>1489</v>
      </c>
      <c r="AX191" s="169" t="s">
        <v>1426</v>
      </c>
      <c r="AY191" s="169">
        <v>2026</v>
      </c>
      <c r="AZ191" s="169" t="s">
        <v>1411</v>
      </c>
      <c r="BA191" s="169"/>
      <c r="BB191" s="171"/>
      <c r="BC191" s="170">
        <v>2025</v>
      </c>
      <c r="BD191" s="169" t="s">
        <v>1428</v>
      </c>
      <c r="BE191" s="171"/>
      <c r="BF191" s="169" t="s">
        <v>1500</v>
      </c>
    </row>
    <row r="192" spans="1:58" ht="28">
      <c r="A192" s="169" t="s">
        <v>2253</v>
      </c>
      <c r="B192" s="169" t="s">
        <v>2254</v>
      </c>
      <c r="C192" s="169"/>
      <c r="D192" s="169"/>
      <c r="E192" s="169" t="s">
        <v>2255</v>
      </c>
      <c r="F192" s="169" t="s">
        <v>1573</v>
      </c>
      <c r="G192" s="169" t="s">
        <v>1574</v>
      </c>
      <c r="H192" s="169" t="s">
        <v>1398</v>
      </c>
      <c r="I192" s="169"/>
      <c r="J192" s="169" t="s">
        <v>1415</v>
      </c>
      <c r="K192" s="169" t="s">
        <v>1431</v>
      </c>
      <c r="L192" s="169" t="s">
        <v>1417</v>
      </c>
      <c r="M192" s="169" t="s">
        <v>1499</v>
      </c>
      <c r="N192" s="169" t="s">
        <v>1417</v>
      </c>
      <c r="O192" s="169" t="s">
        <v>1434</v>
      </c>
      <c r="P192" s="169" t="s">
        <v>1417</v>
      </c>
      <c r="Q192" s="169" t="s">
        <v>1404</v>
      </c>
      <c r="R192" s="169" t="s">
        <v>1421</v>
      </c>
      <c r="S192" s="169" t="s">
        <v>1421</v>
      </c>
      <c r="T192" s="169" t="s">
        <v>1421</v>
      </c>
      <c r="U192" s="169" t="s">
        <v>1421</v>
      </c>
      <c r="V192" s="169" t="s">
        <v>1421</v>
      </c>
      <c r="W192" s="169"/>
      <c r="X192" s="169" t="str">
        <f t="shared" si="22"/>
        <v>Tidak ada faktor rentan</v>
      </c>
      <c r="Y192" s="169" t="str">
        <f t="shared" si="23"/>
        <v>Tidak Ada Faktor Rentan</v>
      </c>
      <c r="Z192" s="170">
        <f t="shared" si="24"/>
        <v>10</v>
      </c>
      <c r="AA192" s="170">
        <f t="shared" si="25"/>
        <v>0</v>
      </c>
      <c r="AB192" s="170">
        <f t="shared" si="26"/>
        <v>10</v>
      </c>
      <c r="AC192" s="169" t="s">
        <v>1421</v>
      </c>
      <c r="AD192" s="169" t="s">
        <v>1421</v>
      </c>
      <c r="AE192" s="169" t="s">
        <v>1421</v>
      </c>
      <c r="AF192" s="169" t="s">
        <v>1421</v>
      </c>
      <c r="AG192" s="169" t="s">
        <v>1405</v>
      </c>
      <c r="AH192" s="169" t="s">
        <v>1405</v>
      </c>
      <c r="AI192" s="169" t="s">
        <v>1405</v>
      </c>
      <c r="AJ192" s="169" t="s">
        <v>1421</v>
      </c>
      <c r="AK192" s="169" t="s">
        <v>1421</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1423</v>
      </c>
      <c r="AV192" s="169" t="s">
        <v>1424</v>
      </c>
      <c r="AW192" s="169" t="s">
        <v>1409</v>
      </c>
      <c r="AX192" s="59" t="s">
        <v>1410</v>
      </c>
      <c r="AY192" s="169"/>
      <c r="AZ192" s="169" t="s">
        <v>1408</v>
      </c>
      <c r="BA192" s="169"/>
      <c r="BB192" s="171"/>
      <c r="BC192" s="170">
        <v>2025</v>
      </c>
      <c r="BD192" s="169" t="s">
        <v>1428</v>
      </c>
      <c r="BE192" s="171"/>
      <c r="BF192" s="169" t="s">
        <v>1500</v>
      </c>
    </row>
    <row r="193" spans="1:58" ht="28">
      <c r="A193" s="169" t="s">
        <v>2256</v>
      </c>
      <c r="B193" s="169" t="s">
        <v>2257</v>
      </c>
      <c r="C193" s="169"/>
      <c r="D193" s="169"/>
      <c r="E193" s="169" t="s">
        <v>2258</v>
      </c>
      <c r="F193" s="169" t="s">
        <v>1573</v>
      </c>
      <c r="G193" s="169" t="s">
        <v>1574</v>
      </c>
      <c r="H193" s="169" t="s">
        <v>1414</v>
      </c>
      <c r="I193" s="169"/>
      <c r="J193" s="169" t="s">
        <v>1415</v>
      </c>
      <c r="K193" s="169" t="s">
        <v>1416</v>
      </c>
      <c r="L193" s="169" t="s">
        <v>1401</v>
      </c>
      <c r="M193" s="169" t="s">
        <v>1499</v>
      </c>
      <c r="N193" s="169" t="s">
        <v>1401</v>
      </c>
      <c r="O193" s="169" t="s">
        <v>1434</v>
      </c>
      <c r="P193" s="169" t="s">
        <v>1401</v>
      </c>
      <c r="Q193" s="169" t="s">
        <v>1436</v>
      </c>
      <c r="R193" s="169" t="s">
        <v>1421</v>
      </c>
      <c r="S193" s="169" t="s">
        <v>1421</v>
      </c>
      <c r="T193" s="169" t="s">
        <v>1421</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1421</v>
      </c>
      <c r="AD193" s="169" t="s">
        <v>1421</v>
      </c>
      <c r="AE193" s="169" t="s">
        <v>1421</v>
      </c>
      <c r="AF193" s="169" t="s">
        <v>1421</v>
      </c>
      <c r="AG193" s="169" t="s">
        <v>1421</v>
      </c>
      <c r="AH193" s="169" t="s">
        <v>1421</v>
      </c>
      <c r="AI193" s="169" t="s">
        <v>1405</v>
      </c>
      <c r="AJ193" s="169" t="s">
        <v>1421</v>
      </c>
      <c r="AK193" s="169" t="s">
        <v>1421</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1407</v>
      </c>
      <c r="AV193" s="169" t="s">
        <v>1424</v>
      </c>
      <c r="AW193" s="169" t="s">
        <v>1409</v>
      </c>
      <c r="AX193" s="59" t="s">
        <v>1410</v>
      </c>
      <c r="AY193" s="169"/>
      <c r="AZ193" s="169" t="s">
        <v>1411</v>
      </c>
      <c r="BA193" s="169"/>
      <c r="BB193" s="171"/>
      <c r="BC193" s="170">
        <v>2025</v>
      </c>
      <c r="BD193" s="169" t="s">
        <v>1428</v>
      </c>
      <c r="BE193" s="171"/>
      <c r="BF193" s="169" t="s">
        <v>1500</v>
      </c>
    </row>
    <row r="194" spans="1:58" ht="28">
      <c r="A194" s="169" t="s">
        <v>2259</v>
      </c>
      <c r="B194" s="169" t="s">
        <v>2260</v>
      </c>
      <c r="C194" s="169" t="s">
        <v>2261</v>
      </c>
      <c r="D194" s="169" t="s">
        <v>2262</v>
      </c>
      <c r="E194" s="169" t="s">
        <v>2263</v>
      </c>
      <c r="F194" s="169" t="s">
        <v>1573</v>
      </c>
      <c r="G194" s="169" t="s">
        <v>1574</v>
      </c>
      <c r="H194" s="169" t="s">
        <v>1414</v>
      </c>
      <c r="I194" s="169"/>
      <c r="J194" s="169" t="s">
        <v>1415</v>
      </c>
      <c r="K194" s="169" t="s">
        <v>1416</v>
      </c>
      <c r="L194" s="169" t="s">
        <v>1417</v>
      </c>
      <c r="M194" s="169" t="s">
        <v>1418</v>
      </c>
      <c r="N194" s="169" t="s">
        <v>1417</v>
      </c>
      <c r="O194" s="169" t="s">
        <v>1434</v>
      </c>
      <c r="P194" s="169" t="s">
        <v>1417</v>
      </c>
      <c r="Q194" s="169" t="s">
        <v>1404</v>
      </c>
      <c r="R194" s="169" t="s">
        <v>1405</v>
      </c>
      <c r="S194" s="169" t="s">
        <v>1421</v>
      </c>
      <c r="T194" s="169" t="s">
        <v>1405</v>
      </c>
      <c r="U194" s="169" t="s">
        <v>1421</v>
      </c>
      <c r="V194" s="169" t="s">
        <v>1421</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1421</v>
      </c>
      <c r="AD194" s="169" t="s">
        <v>1421</v>
      </c>
      <c r="AE194" s="169" t="s">
        <v>1405</v>
      </c>
      <c r="AF194" s="169" t="s">
        <v>1421</v>
      </c>
      <c r="AG194" s="169" t="s">
        <v>1405</v>
      </c>
      <c r="AH194" s="169" t="s">
        <v>1405</v>
      </c>
      <c r="AI194" s="169" t="s">
        <v>1405</v>
      </c>
      <c r="AJ194" s="169" t="s">
        <v>1421</v>
      </c>
      <c r="AK194" s="169" t="s">
        <v>1421</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1407</v>
      </c>
      <c r="AV194" s="169" t="s">
        <v>1424</v>
      </c>
      <c r="AW194" s="169" t="s">
        <v>1489</v>
      </c>
      <c r="AX194" s="169" t="s">
        <v>1426</v>
      </c>
      <c r="AY194" s="169">
        <v>2026</v>
      </c>
      <c r="AZ194" s="169" t="s">
        <v>1411</v>
      </c>
      <c r="BA194" s="169"/>
      <c r="BB194" s="171"/>
      <c r="BC194" s="170">
        <v>2025</v>
      </c>
      <c r="BD194" s="169" t="s">
        <v>1412</v>
      </c>
      <c r="BE194" s="171"/>
      <c r="BF194" s="169" t="s">
        <v>1500</v>
      </c>
    </row>
    <row r="195" spans="1:58" ht="28">
      <c r="A195" s="169" t="s">
        <v>2264</v>
      </c>
      <c r="B195" s="169" t="s">
        <v>2265</v>
      </c>
      <c r="C195" s="169"/>
      <c r="D195" s="169"/>
      <c r="E195" s="169" t="s">
        <v>2266</v>
      </c>
      <c r="F195" s="169" t="s">
        <v>1573</v>
      </c>
      <c r="G195" s="169" t="s">
        <v>1574</v>
      </c>
      <c r="H195" s="169" t="s">
        <v>1398</v>
      </c>
      <c r="I195" s="169"/>
      <c r="J195" s="169" t="s">
        <v>1399</v>
      </c>
      <c r="K195" s="169" t="s">
        <v>1416</v>
      </c>
      <c r="L195" s="169" t="s">
        <v>1417</v>
      </c>
      <c r="M195" s="169" t="s">
        <v>1418</v>
      </c>
      <c r="N195" s="169" t="s">
        <v>1417</v>
      </c>
      <c r="O195" s="169" t="s">
        <v>1403</v>
      </c>
      <c r="P195" s="169" t="s">
        <v>1401</v>
      </c>
      <c r="Q195" s="169" t="s">
        <v>1404</v>
      </c>
      <c r="R195" s="169" t="s">
        <v>1421</v>
      </c>
      <c r="S195" s="169" t="s">
        <v>1421</v>
      </c>
      <c r="T195" s="169" t="s">
        <v>1421</v>
      </c>
      <c r="U195" s="169" t="s">
        <v>1421</v>
      </c>
      <c r="V195" s="169" t="s">
        <v>1421</v>
      </c>
      <c r="W195" s="169"/>
      <c r="X195" s="169" t="str">
        <f t="shared" si="22"/>
        <v>Tidak ada faktor rentan</v>
      </c>
      <c r="Y195" s="169" t="str">
        <f t="shared" si="23"/>
        <v>Tidak Ada Faktor Rentan</v>
      </c>
      <c r="Z195" s="170">
        <f t="shared" si="24"/>
        <v>10</v>
      </c>
      <c r="AA195" s="170">
        <f t="shared" si="25"/>
        <v>0</v>
      </c>
      <c r="AB195" s="170">
        <f t="shared" si="26"/>
        <v>10</v>
      </c>
      <c r="AC195" s="169" t="s">
        <v>1421</v>
      </c>
      <c r="AD195" s="169" t="s">
        <v>1421</v>
      </c>
      <c r="AE195" s="169" t="s">
        <v>1421</v>
      </c>
      <c r="AF195" s="169" t="s">
        <v>1436</v>
      </c>
      <c r="AG195" s="169" t="s">
        <v>1436</v>
      </c>
      <c r="AH195" s="169" t="s">
        <v>1436</v>
      </c>
      <c r="AI195" s="169" t="s">
        <v>1436</v>
      </c>
      <c r="AJ195" s="169" t="s">
        <v>1421</v>
      </c>
      <c r="AK195" s="169" t="s">
        <v>1421</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1410</v>
      </c>
      <c r="AY195" s="169"/>
      <c r="AZ195" s="169"/>
      <c r="BA195" s="169"/>
      <c r="BB195" s="171"/>
      <c r="BC195" s="170"/>
      <c r="BD195" s="169"/>
      <c r="BE195" s="171"/>
      <c r="BF195" s="169" t="s">
        <v>1500</v>
      </c>
    </row>
    <row r="196" spans="1:58" ht="28">
      <c r="A196" s="169" t="s">
        <v>2267</v>
      </c>
      <c r="B196" s="169" t="s">
        <v>2268</v>
      </c>
      <c r="C196" s="169"/>
      <c r="D196" s="169"/>
      <c r="E196" s="169"/>
      <c r="F196" s="169" t="s">
        <v>2269</v>
      </c>
      <c r="G196" s="169" t="s">
        <v>1533</v>
      </c>
      <c r="H196" s="169" t="s">
        <v>1398</v>
      </c>
      <c r="I196" s="169"/>
      <c r="J196" s="169" t="s">
        <v>1415</v>
      </c>
      <c r="K196" s="169" t="s">
        <v>1416</v>
      </c>
      <c r="L196" s="169" t="s">
        <v>1432</v>
      </c>
      <c r="M196" s="169" t="s">
        <v>1499</v>
      </c>
      <c r="N196" s="169" t="s">
        <v>1417</v>
      </c>
      <c r="O196" s="169" t="s">
        <v>1434</v>
      </c>
      <c r="P196" s="169" t="s">
        <v>1417</v>
      </c>
      <c r="Q196" s="169" t="s">
        <v>1404</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1421</v>
      </c>
      <c r="AD196" s="169" t="s">
        <v>1421</v>
      </c>
      <c r="AE196" s="169" t="s">
        <v>1405</v>
      </c>
      <c r="AF196" s="169" t="s">
        <v>1421</v>
      </c>
      <c r="AG196" s="169" t="s">
        <v>1421</v>
      </c>
      <c r="AH196" s="169" t="s">
        <v>1421</v>
      </c>
      <c r="AI196" s="169" t="s">
        <v>1405</v>
      </c>
      <c r="AJ196" s="169" t="s">
        <v>1421</v>
      </c>
      <c r="AK196" s="169" t="s">
        <v>1421</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1423</v>
      </c>
      <c r="AV196" s="169" t="s">
        <v>1424</v>
      </c>
      <c r="AW196" s="169" t="s">
        <v>1409</v>
      </c>
      <c r="AX196" s="59" t="s">
        <v>1410</v>
      </c>
      <c r="AY196" s="169"/>
      <c r="AZ196" s="169"/>
      <c r="BA196" s="169"/>
      <c r="BB196" s="171"/>
      <c r="BC196" s="170">
        <v>2025</v>
      </c>
      <c r="BD196" s="169" t="s">
        <v>1428</v>
      </c>
      <c r="BE196" s="171"/>
      <c r="BF196" s="169" t="s">
        <v>1500</v>
      </c>
    </row>
    <row r="197" spans="1:58" ht="28">
      <c r="A197" s="169" t="s">
        <v>2270</v>
      </c>
      <c r="B197" s="169" t="s">
        <v>2271</v>
      </c>
      <c r="C197" s="169"/>
      <c r="D197" s="169"/>
      <c r="E197" s="169"/>
      <c r="F197" s="169" t="s">
        <v>2269</v>
      </c>
      <c r="G197" s="169" t="s">
        <v>1533</v>
      </c>
      <c r="H197" s="169" t="s">
        <v>1398</v>
      </c>
      <c r="I197" s="169"/>
      <c r="J197" s="169" t="s">
        <v>1430</v>
      </c>
      <c r="K197" s="169" t="s">
        <v>1416</v>
      </c>
      <c r="L197" s="169" t="s">
        <v>1417</v>
      </c>
      <c r="M197" s="169" t="s">
        <v>1488</v>
      </c>
      <c r="N197" s="169" t="s">
        <v>1417</v>
      </c>
      <c r="O197" s="169" t="s">
        <v>1434</v>
      </c>
      <c r="P197" s="169" t="s">
        <v>1417</v>
      </c>
      <c r="Q197" s="169" t="s">
        <v>1404</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1421</v>
      </c>
      <c r="AD197" s="169" t="s">
        <v>1421</v>
      </c>
      <c r="AE197" s="169" t="s">
        <v>1421</v>
      </c>
      <c r="AF197" s="169" t="s">
        <v>1421</v>
      </c>
      <c r="AG197" s="169" t="s">
        <v>1421</v>
      </c>
      <c r="AH197" s="169" t="s">
        <v>1421</v>
      </c>
      <c r="AI197" s="169" t="s">
        <v>1405</v>
      </c>
      <c r="AJ197" s="169" t="s">
        <v>1421</v>
      </c>
      <c r="AK197" s="169" t="s">
        <v>1421</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1410</v>
      </c>
      <c r="AY197" s="169"/>
      <c r="AZ197" s="169"/>
      <c r="BA197" s="169"/>
      <c r="BB197" s="171"/>
      <c r="BC197" s="170"/>
      <c r="BD197" s="169"/>
      <c r="BE197" s="171"/>
      <c r="BF197" s="169" t="s">
        <v>1500</v>
      </c>
    </row>
    <row r="198" spans="1:58" ht="28">
      <c r="A198" s="169" t="s">
        <v>2272</v>
      </c>
      <c r="B198" s="169" t="s">
        <v>2273</v>
      </c>
      <c r="C198" s="169"/>
      <c r="D198" s="169"/>
      <c r="E198" s="169" t="s">
        <v>2274</v>
      </c>
      <c r="F198" s="169" t="s">
        <v>2269</v>
      </c>
      <c r="G198" s="169" t="s">
        <v>1533</v>
      </c>
      <c r="H198" s="169"/>
      <c r="I198" s="169"/>
      <c r="J198" s="169" t="s">
        <v>1415</v>
      </c>
      <c r="K198" s="169" t="s">
        <v>1400</v>
      </c>
      <c r="L198" s="169" t="s">
        <v>1417</v>
      </c>
      <c r="M198" s="169" t="s">
        <v>1499</v>
      </c>
      <c r="N198" s="169" t="s">
        <v>1417</v>
      </c>
      <c r="O198" s="169" t="s">
        <v>1434</v>
      </c>
      <c r="P198" s="169" t="s">
        <v>1417</v>
      </c>
      <c r="Q198" s="169" t="s">
        <v>1404</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1421</v>
      </c>
      <c r="AD198" s="169" t="s">
        <v>1421</v>
      </c>
      <c r="AE198" s="169" t="s">
        <v>1421</v>
      </c>
      <c r="AF198" s="169" t="s">
        <v>1421</v>
      </c>
      <c r="AG198" s="169" t="s">
        <v>1421</v>
      </c>
      <c r="AH198" s="169" t="s">
        <v>1421</v>
      </c>
      <c r="AI198" s="169" t="s">
        <v>1405</v>
      </c>
      <c r="AJ198" s="169" t="s">
        <v>1421</v>
      </c>
      <c r="AK198" s="169" t="s">
        <v>1421</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1423</v>
      </c>
      <c r="AV198" s="169" t="s">
        <v>1424</v>
      </c>
      <c r="AW198" s="169" t="s">
        <v>1409</v>
      </c>
      <c r="AX198" s="59" t="s">
        <v>1410</v>
      </c>
      <c r="AY198" s="169"/>
      <c r="AZ198" s="169"/>
      <c r="BA198" s="169"/>
      <c r="BB198" s="171"/>
      <c r="BC198" s="170">
        <v>2025</v>
      </c>
      <c r="BD198" s="169" t="s">
        <v>1428</v>
      </c>
      <c r="BE198" s="171"/>
      <c r="BF198" s="169" t="s">
        <v>1500</v>
      </c>
    </row>
    <row r="199" spans="1:58" ht="28">
      <c r="A199" s="169" t="s">
        <v>2275</v>
      </c>
      <c r="B199" s="169" t="s">
        <v>2276</v>
      </c>
      <c r="C199" s="169"/>
      <c r="D199" s="169"/>
      <c r="E199" s="169" t="s">
        <v>2277</v>
      </c>
      <c r="F199" s="169" t="s">
        <v>2269</v>
      </c>
      <c r="G199" s="169" t="s">
        <v>1533</v>
      </c>
      <c r="H199" s="169" t="s">
        <v>1398</v>
      </c>
      <c r="I199" s="169"/>
      <c r="J199" s="169" t="s">
        <v>1415</v>
      </c>
      <c r="K199" s="169" t="s">
        <v>1416</v>
      </c>
      <c r="L199" s="169" t="s">
        <v>1417</v>
      </c>
      <c r="M199" s="169" t="s">
        <v>1488</v>
      </c>
      <c r="N199" s="169" t="s">
        <v>1432</v>
      </c>
      <c r="O199" s="169" t="s">
        <v>1434</v>
      </c>
      <c r="P199" s="169" t="s">
        <v>1401</v>
      </c>
      <c r="Q199" s="169" t="s">
        <v>1404</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1421</v>
      </c>
      <c r="AD199" s="169" t="s">
        <v>1421</v>
      </c>
      <c r="AE199" s="169" t="s">
        <v>1421</v>
      </c>
      <c r="AF199" s="169" t="s">
        <v>1421</v>
      </c>
      <c r="AG199" s="169" t="s">
        <v>1421</v>
      </c>
      <c r="AH199" s="169" t="s">
        <v>1421</v>
      </c>
      <c r="AI199" s="169" t="s">
        <v>1421</v>
      </c>
      <c r="AJ199" s="169" t="s">
        <v>1421</v>
      </c>
      <c r="AK199" s="169" t="s">
        <v>1421</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1407</v>
      </c>
      <c r="AV199" s="169" t="s">
        <v>1424</v>
      </c>
      <c r="AW199" s="169" t="s">
        <v>1409</v>
      </c>
      <c r="AX199" s="59" t="s">
        <v>1410</v>
      </c>
      <c r="AY199" s="169"/>
      <c r="AZ199" s="169"/>
      <c r="BA199" s="169"/>
      <c r="BB199" s="171"/>
      <c r="BC199" s="170">
        <v>2025</v>
      </c>
      <c r="BD199" s="169" t="s">
        <v>1428</v>
      </c>
      <c r="BE199" s="171"/>
      <c r="BF199" s="169" t="s">
        <v>1500</v>
      </c>
    </row>
    <row r="200" spans="1:58" ht="28">
      <c r="A200" s="169" t="s">
        <v>2278</v>
      </c>
      <c r="B200" s="169" t="s">
        <v>2279</v>
      </c>
      <c r="C200" s="169"/>
      <c r="D200" s="169"/>
      <c r="E200" s="169" t="s">
        <v>2280</v>
      </c>
      <c r="F200" s="169" t="s">
        <v>2269</v>
      </c>
      <c r="G200" s="169" t="s">
        <v>1533</v>
      </c>
      <c r="H200" s="169" t="s">
        <v>1398</v>
      </c>
      <c r="I200" s="169"/>
      <c r="J200" s="169" t="s">
        <v>1430</v>
      </c>
      <c r="K200" s="169" t="s">
        <v>1431</v>
      </c>
      <c r="L200" s="169" t="s">
        <v>1417</v>
      </c>
      <c r="M200" s="169" t="s">
        <v>1488</v>
      </c>
      <c r="N200" s="169" t="s">
        <v>1417</v>
      </c>
      <c r="O200" s="169" t="s">
        <v>1434</v>
      </c>
      <c r="P200" s="169" t="s">
        <v>1417</v>
      </c>
      <c r="Q200" s="169" t="s">
        <v>1404</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1421</v>
      </c>
      <c r="AE200" s="169" t="s">
        <v>1421</v>
      </c>
      <c r="AF200" s="169" t="s">
        <v>1421</v>
      </c>
      <c r="AG200" s="169" t="s">
        <v>1421</v>
      </c>
      <c r="AH200" s="169" t="s">
        <v>1421</v>
      </c>
      <c r="AI200" s="169" t="s">
        <v>1405</v>
      </c>
      <c r="AJ200" s="169" t="s">
        <v>1421</v>
      </c>
      <c r="AK200" s="169" t="s">
        <v>1421</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1423</v>
      </c>
      <c r="AV200" s="169" t="s">
        <v>1424</v>
      </c>
      <c r="AW200" s="169" t="s">
        <v>1409</v>
      </c>
      <c r="AX200" s="59" t="s">
        <v>1410</v>
      </c>
      <c r="AY200" s="169"/>
      <c r="AZ200" s="169" t="s">
        <v>1427</v>
      </c>
      <c r="BA200" s="169"/>
      <c r="BB200" s="171"/>
      <c r="BC200" s="170">
        <v>2025</v>
      </c>
      <c r="BD200" s="169" t="s">
        <v>1428</v>
      </c>
      <c r="BE200" s="171"/>
      <c r="BF200" s="169" t="s">
        <v>1500</v>
      </c>
    </row>
    <row r="201" spans="1:58" ht="28">
      <c r="A201" s="169" t="s">
        <v>2281</v>
      </c>
      <c r="B201" s="169" t="s">
        <v>2282</v>
      </c>
      <c r="C201" s="169"/>
      <c r="D201" s="169"/>
      <c r="E201" s="169" t="s">
        <v>2283</v>
      </c>
      <c r="F201" s="169" t="s">
        <v>1579</v>
      </c>
      <c r="G201" s="169" t="s">
        <v>1511</v>
      </c>
      <c r="H201" s="169" t="s">
        <v>1398</v>
      </c>
      <c r="I201" s="169"/>
      <c r="J201" s="169" t="s">
        <v>1430</v>
      </c>
      <c r="K201" s="169" t="s">
        <v>1416</v>
      </c>
      <c r="L201" s="169" t="s">
        <v>1401</v>
      </c>
      <c r="M201" s="169" t="s">
        <v>1488</v>
      </c>
      <c r="N201" s="169" t="s">
        <v>1401</v>
      </c>
      <c r="O201" s="169" t="s">
        <v>1434</v>
      </c>
      <c r="P201" s="169" t="s">
        <v>1401</v>
      </c>
      <c r="Q201" s="169" t="s">
        <v>1436</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1421</v>
      </c>
      <c r="AD201" s="169" t="s">
        <v>1421</v>
      </c>
      <c r="AE201" s="169" t="s">
        <v>1421</v>
      </c>
      <c r="AF201" s="169" t="s">
        <v>1421</v>
      </c>
      <c r="AG201" s="169" t="s">
        <v>1421</v>
      </c>
      <c r="AH201" s="169" t="s">
        <v>1421</v>
      </c>
      <c r="AI201" s="169" t="s">
        <v>1405</v>
      </c>
      <c r="AJ201" s="169" t="s">
        <v>1421</v>
      </c>
      <c r="AK201" s="169" t="s">
        <v>1421</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1407</v>
      </c>
      <c r="AV201" s="169" t="s">
        <v>1424</v>
      </c>
      <c r="AW201" s="169" t="s">
        <v>1409</v>
      </c>
      <c r="AX201" s="59" t="s">
        <v>1410</v>
      </c>
      <c r="AY201" s="169"/>
      <c r="AZ201" s="169" t="s">
        <v>1411</v>
      </c>
      <c r="BA201" s="169"/>
      <c r="BB201" s="171"/>
      <c r="BC201" s="170">
        <v>2025</v>
      </c>
      <c r="BD201" s="169" t="s">
        <v>1440</v>
      </c>
      <c r="BE201" s="171"/>
      <c r="BF201" s="169" t="s">
        <v>1500</v>
      </c>
    </row>
    <row r="202" spans="1:58" ht="28">
      <c r="A202" s="169" t="s">
        <v>2284</v>
      </c>
      <c r="B202" s="169" t="s">
        <v>2285</v>
      </c>
      <c r="C202" s="169"/>
      <c r="D202" s="169"/>
      <c r="E202" s="169" t="s">
        <v>2286</v>
      </c>
      <c r="F202" s="169" t="s">
        <v>1602</v>
      </c>
      <c r="G202" s="169" t="s">
        <v>1511</v>
      </c>
      <c r="H202" s="169" t="s">
        <v>1414</v>
      </c>
      <c r="I202" s="169"/>
      <c r="J202" s="169" t="s">
        <v>1430</v>
      </c>
      <c r="K202" s="169"/>
      <c r="L202" s="169" t="s">
        <v>1432</v>
      </c>
      <c r="M202" s="169" t="s">
        <v>1488</v>
      </c>
      <c r="N202" s="169" t="s">
        <v>1417</v>
      </c>
      <c r="O202" s="169" t="s">
        <v>1434</v>
      </c>
      <c r="P202" s="169" t="s">
        <v>1417</v>
      </c>
      <c r="Q202" s="169" t="s">
        <v>1404</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1421</v>
      </c>
      <c r="AD202" s="169" t="s">
        <v>1421</v>
      </c>
      <c r="AE202" s="169" t="s">
        <v>1421</v>
      </c>
      <c r="AF202" s="169" t="s">
        <v>1421</v>
      </c>
      <c r="AG202" s="169" t="s">
        <v>1405</v>
      </c>
      <c r="AH202" s="169" t="s">
        <v>1405</v>
      </c>
      <c r="AI202" s="169" t="s">
        <v>1405</v>
      </c>
      <c r="AJ202" s="169" t="s">
        <v>1421</v>
      </c>
      <c r="AK202" s="169" t="s">
        <v>1421</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1407</v>
      </c>
      <c r="AV202" s="169" t="s">
        <v>1424</v>
      </c>
      <c r="AW202" s="169" t="s">
        <v>1409</v>
      </c>
      <c r="AX202" s="59" t="s">
        <v>1410</v>
      </c>
      <c r="AY202" s="169"/>
      <c r="AZ202" s="169" t="s">
        <v>1411</v>
      </c>
      <c r="BA202" s="169"/>
      <c r="BB202" s="171"/>
      <c r="BC202" s="170">
        <v>2025</v>
      </c>
      <c r="BD202" s="169" t="s">
        <v>1440</v>
      </c>
      <c r="BE202" s="171"/>
      <c r="BF202" s="169" t="s">
        <v>1500</v>
      </c>
    </row>
    <row r="203" spans="1:58" ht="42">
      <c r="A203" s="169" t="s">
        <v>2287</v>
      </c>
      <c r="B203" s="169" t="s">
        <v>2288</v>
      </c>
      <c r="C203" s="169"/>
      <c r="D203" s="169"/>
      <c r="E203" s="169" t="s">
        <v>2289</v>
      </c>
      <c r="F203" s="169" t="s">
        <v>1496</v>
      </c>
      <c r="G203" s="169" t="s">
        <v>1497</v>
      </c>
      <c r="H203" s="169" t="s">
        <v>1414</v>
      </c>
      <c r="I203" s="169"/>
      <c r="J203" s="169" t="s">
        <v>1399</v>
      </c>
      <c r="K203" s="169" t="s">
        <v>1431</v>
      </c>
      <c r="L203" s="169" t="s">
        <v>1432</v>
      </c>
      <c r="M203" s="169" t="s">
        <v>1418</v>
      </c>
      <c r="N203" s="169" t="s">
        <v>1432</v>
      </c>
      <c r="O203" s="169" t="s">
        <v>1434</v>
      </c>
      <c r="P203" s="169" t="s">
        <v>1417</v>
      </c>
      <c r="Q203" s="169" t="s">
        <v>1404</v>
      </c>
      <c r="R203" s="169" t="s">
        <v>1421</v>
      </c>
      <c r="S203" s="169" t="s">
        <v>1421</v>
      </c>
      <c r="T203" s="169" t="s">
        <v>1421</v>
      </c>
      <c r="U203" s="169" t="s">
        <v>1421</v>
      </c>
      <c r="V203" s="169" t="s">
        <v>1421</v>
      </c>
      <c r="W203" s="169"/>
      <c r="X203" s="169" t="str">
        <f t="shared" si="33"/>
        <v>Tidak ada faktor rentan</v>
      </c>
      <c r="Y203" s="169" t="str">
        <f t="shared" si="34"/>
        <v>Tidak Ada Faktor Rentan</v>
      </c>
      <c r="Z203" s="170">
        <f t="shared" si="35"/>
        <v>10</v>
      </c>
      <c r="AA203" s="170">
        <f t="shared" si="36"/>
        <v>0</v>
      </c>
      <c r="AB203" s="170">
        <f t="shared" si="37"/>
        <v>10</v>
      </c>
      <c r="AC203" s="169" t="s">
        <v>1421</v>
      </c>
      <c r="AD203" s="169" t="s">
        <v>1421</v>
      </c>
      <c r="AE203" s="169" t="s">
        <v>1421</v>
      </c>
      <c r="AF203" s="169" t="s">
        <v>1421</v>
      </c>
      <c r="AG203" s="169" t="s">
        <v>1421</v>
      </c>
      <c r="AH203" s="169" t="s">
        <v>1421</v>
      </c>
      <c r="AI203" s="169" t="s">
        <v>1405</v>
      </c>
      <c r="AJ203" s="169" t="s">
        <v>1421</v>
      </c>
      <c r="AK203" s="169" t="s">
        <v>1421</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1407</v>
      </c>
      <c r="AV203" s="169" t="s">
        <v>1424</v>
      </c>
      <c r="AW203" s="169" t="s">
        <v>1489</v>
      </c>
      <c r="AX203" s="169" t="s">
        <v>1426</v>
      </c>
      <c r="AY203" s="169">
        <v>2025</v>
      </c>
      <c r="AZ203" s="169" t="s">
        <v>1411</v>
      </c>
      <c r="BA203" s="169"/>
      <c r="BB203" s="171"/>
      <c r="BC203" s="170">
        <v>2025</v>
      </c>
      <c r="BD203" s="169" t="s">
        <v>1440</v>
      </c>
      <c r="BE203" s="171"/>
      <c r="BF203" s="169" t="s">
        <v>1500</v>
      </c>
    </row>
    <row r="204" spans="1:58" ht="56">
      <c r="A204" s="169" t="s">
        <v>2290</v>
      </c>
      <c r="B204" s="169" t="s">
        <v>2291</v>
      </c>
      <c r="C204" s="169" t="s">
        <v>2292</v>
      </c>
      <c r="D204" s="169" t="s">
        <v>2293</v>
      </c>
      <c r="E204" s="169" t="s">
        <v>1865</v>
      </c>
      <c r="F204" s="169" t="s">
        <v>1866</v>
      </c>
      <c r="G204" s="169" t="s">
        <v>1497</v>
      </c>
      <c r="H204" s="169" t="s">
        <v>1398</v>
      </c>
      <c r="I204" s="169"/>
      <c r="J204" s="169" t="s">
        <v>1430</v>
      </c>
      <c r="K204" s="169" t="s">
        <v>1416</v>
      </c>
      <c r="L204" s="169" t="s">
        <v>1417</v>
      </c>
      <c r="M204" s="169" t="s">
        <v>1488</v>
      </c>
      <c r="N204" s="169" t="s">
        <v>1432</v>
      </c>
      <c r="O204" s="169" t="s">
        <v>1488</v>
      </c>
      <c r="P204" s="169" t="s">
        <v>1417</v>
      </c>
      <c r="Q204" s="169" t="s">
        <v>1404</v>
      </c>
      <c r="R204" s="169" t="s">
        <v>1421</v>
      </c>
      <c r="S204" s="169" t="s">
        <v>1405</v>
      </c>
      <c r="T204" s="169" t="s">
        <v>1421</v>
      </c>
      <c r="U204" s="169" t="s">
        <v>1421</v>
      </c>
      <c r="V204" s="169" t="s">
        <v>1421</v>
      </c>
      <c r="W204" s="169"/>
      <c r="X204" s="169" t="str">
        <f t="shared" si="33"/>
        <v xml:space="preserve">Penyandang disabilitas; </v>
      </c>
      <c r="Y204" s="169" t="str">
        <f t="shared" si="34"/>
        <v>1 Faktor Rentan</v>
      </c>
      <c r="Z204" s="170">
        <f t="shared" si="35"/>
        <v>10</v>
      </c>
      <c r="AA204" s="170">
        <f t="shared" si="36"/>
        <v>5</v>
      </c>
      <c r="AB204" s="170">
        <f t="shared" si="37"/>
        <v>15</v>
      </c>
      <c r="AC204" s="169" t="s">
        <v>1405</v>
      </c>
      <c r="AD204" s="169" t="s">
        <v>1421</v>
      </c>
      <c r="AE204" s="169" t="s">
        <v>1405</v>
      </c>
      <c r="AF204" s="169" t="s">
        <v>1405</v>
      </c>
      <c r="AG204" s="169" t="s">
        <v>1405</v>
      </c>
      <c r="AH204" s="169" t="s">
        <v>1405</v>
      </c>
      <c r="AI204" s="169" t="s">
        <v>1405</v>
      </c>
      <c r="AJ204" s="169" t="s">
        <v>1421</v>
      </c>
      <c r="AK204" s="169" t="s">
        <v>1405</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1407</v>
      </c>
      <c r="AV204" s="169" t="s">
        <v>1424</v>
      </c>
      <c r="AW204" s="169" t="s">
        <v>1489</v>
      </c>
      <c r="AX204" s="169" t="s">
        <v>1426</v>
      </c>
      <c r="AY204" s="169">
        <v>2026</v>
      </c>
      <c r="AZ204" s="169" t="s">
        <v>1411</v>
      </c>
      <c r="BA204" s="169"/>
      <c r="BB204" s="171"/>
      <c r="BC204" s="170">
        <v>2025</v>
      </c>
      <c r="BD204" s="169" t="s">
        <v>1440</v>
      </c>
      <c r="BE204" s="171"/>
      <c r="BF204" s="169" t="s">
        <v>1500</v>
      </c>
    </row>
    <row r="205" spans="1:58" ht="28">
      <c r="A205" s="169" t="s">
        <v>2294</v>
      </c>
      <c r="B205" s="169" t="s">
        <v>2295</v>
      </c>
      <c r="C205" s="169"/>
      <c r="D205" s="169"/>
      <c r="E205" s="169" t="s">
        <v>2296</v>
      </c>
      <c r="F205" s="169" t="s">
        <v>2297</v>
      </c>
      <c r="G205" s="169" t="s">
        <v>1511</v>
      </c>
      <c r="H205" s="169" t="s">
        <v>1398</v>
      </c>
      <c r="I205" s="169"/>
      <c r="J205" s="169" t="s">
        <v>1415</v>
      </c>
      <c r="K205" s="169" t="s">
        <v>1431</v>
      </c>
      <c r="L205" s="169" t="s">
        <v>1401</v>
      </c>
      <c r="M205" s="169" t="s">
        <v>1488</v>
      </c>
      <c r="N205" s="169" t="s">
        <v>1401</v>
      </c>
      <c r="O205" s="169" t="s">
        <v>1488</v>
      </c>
      <c r="P205" s="169" t="s">
        <v>1401</v>
      </c>
      <c r="Q205" s="169" t="s">
        <v>1436</v>
      </c>
      <c r="R205" s="169" t="s">
        <v>1421</v>
      </c>
      <c r="S205" s="169" t="s">
        <v>1421</v>
      </c>
      <c r="T205" s="169" t="s">
        <v>1421</v>
      </c>
      <c r="U205" s="169" t="s">
        <v>1421</v>
      </c>
      <c r="V205" s="169" t="s">
        <v>1421</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1421</v>
      </c>
      <c r="AF205" s="169" t="s">
        <v>1421</v>
      </c>
      <c r="AG205" s="169" t="s">
        <v>1421</v>
      </c>
      <c r="AH205" s="169" t="s">
        <v>1421</v>
      </c>
      <c r="AI205" s="169" t="s">
        <v>1421</v>
      </c>
      <c r="AJ205" s="169" t="s">
        <v>1421</v>
      </c>
      <c r="AK205" s="169" t="s">
        <v>1421</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1423</v>
      </c>
      <c r="AV205" s="169" t="s">
        <v>1424</v>
      </c>
      <c r="AW205" s="169" t="s">
        <v>1409</v>
      </c>
      <c r="AX205" s="59" t="s">
        <v>1410</v>
      </c>
      <c r="AY205" s="169"/>
      <c r="AZ205" s="169"/>
      <c r="BA205" s="169"/>
      <c r="BB205" s="171"/>
      <c r="BC205" s="170">
        <v>2025</v>
      </c>
      <c r="BD205" s="169" t="s">
        <v>1440</v>
      </c>
      <c r="BE205" s="171"/>
      <c r="BF205" s="169" t="s">
        <v>1500</v>
      </c>
    </row>
    <row r="206" spans="1:58" ht="28">
      <c r="A206" s="169" t="s">
        <v>2298</v>
      </c>
      <c r="B206" s="169" t="s">
        <v>2299</v>
      </c>
      <c r="C206" s="169" t="s">
        <v>2300</v>
      </c>
      <c r="D206" s="169" t="s">
        <v>2301</v>
      </c>
      <c r="E206" s="169" t="s">
        <v>1786</v>
      </c>
      <c r="F206" s="169" t="s">
        <v>1496</v>
      </c>
      <c r="G206" s="169" t="s">
        <v>1497</v>
      </c>
      <c r="H206" s="169" t="s">
        <v>1398</v>
      </c>
      <c r="I206" s="169"/>
      <c r="J206" s="169" t="s">
        <v>1430</v>
      </c>
      <c r="K206" s="169" t="s">
        <v>1416</v>
      </c>
      <c r="L206" s="169" t="s">
        <v>1417</v>
      </c>
      <c r="M206" s="169" t="s">
        <v>1488</v>
      </c>
      <c r="N206" s="169" t="s">
        <v>1432</v>
      </c>
      <c r="O206" s="169" t="s">
        <v>1434</v>
      </c>
      <c r="P206" s="169" t="s">
        <v>1417</v>
      </c>
      <c r="Q206" s="169" t="s">
        <v>1404</v>
      </c>
      <c r="R206" s="169" t="s">
        <v>1405</v>
      </c>
      <c r="S206" s="169" t="s">
        <v>1421</v>
      </c>
      <c r="T206" s="169" t="s">
        <v>1405</v>
      </c>
      <c r="U206" s="169" t="s">
        <v>1421</v>
      </c>
      <c r="V206" s="169" t="s">
        <v>1421</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1421</v>
      </c>
      <c r="AD206" s="169" t="s">
        <v>1421</v>
      </c>
      <c r="AE206" s="169" t="s">
        <v>1405</v>
      </c>
      <c r="AF206" s="169" t="s">
        <v>1421</v>
      </c>
      <c r="AG206" s="169" t="s">
        <v>1405</v>
      </c>
      <c r="AH206" s="169" t="s">
        <v>1405</v>
      </c>
      <c r="AI206" s="169" t="s">
        <v>1405</v>
      </c>
      <c r="AJ206" s="169" t="s">
        <v>1421</v>
      </c>
      <c r="AK206" s="169" t="s">
        <v>1421</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1407</v>
      </c>
      <c r="AV206" s="169" t="s">
        <v>1424</v>
      </c>
      <c r="AW206" s="169" t="s">
        <v>1489</v>
      </c>
      <c r="AX206" s="169" t="s">
        <v>1426</v>
      </c>
      <c r="AY206" s="169">
        <v>2026</v>
      </c>
      <c r="AZ206" s="169" t="s">
        <v>1411</v>
      </c>
      <c r="BA206" s="169"/>
      <c r="BB206" s="171"/>
      <c r="BC206" s="170">
        <v>2025</v>
      </c>
      <c r="BD206" s="169"/>
      <c r="BE206" s="171"/>
      <c r="BF206" s="169" t="s">
        <v>1500</v>
      </c>
    </row>
    <row r="207" spans="1:58" ht="28">
      <c r="A207" s="169" t="s">
        <v>2302</v>
      </c>
      <c r="B207" s="169" t="s">
        <v>2303</v>
      </c>
      <c r="C207" s="169" t="s">
        <v>2304</v>
      </c>
      <c r="D207" s="169" t="s">
        <v>2305</v>
      </c>
      <c r="E207" s="169" t="s">
        <v>2306</v>
      </c>
      <c r="F207" s="169" t="s">
        <v>1511</v>
      </c>
      <c r="G207" s="169" t="s">
        <v>1511</v>
      </c>
      <c r="H207" s="169" t="s">
        <v>1398</v>
      </c>
      <c r="I207" s="169"/>
      <c r="J207" s="169" t="s">
        <v>1430</v>
      </c>
      <c r="K207" s="169" t="s">
        <v>1431</v>
      </c>
      <c r="L207" s="169" t="s">
        <v>1432</v>
      </c>
      <c r="M207" s="169" t="s">
        <v>1488</v>
      </c>
      <c r="N207" s="169" t="s">
        <v>1432</v>
      </c>
      <c r="O207" s="169" t="s">
        <v>1434</v>
      </c>
      <c r="P207" s="169" t="s">
        <v>1417</v>
      </c>
      <c r="Q207" s="169" t="s">
        <v>1404</v>
      </c>
      <c r="R207" s="169" t="s">
        <v>1421</v>
      </c>
      <c r="S207" s="169" t="s">
        <v>1421</v>
      </c>
      <c r="T207" s="169" t="s">
        <v>1421</v>
      </c>
      <c r="U207" s="169" t="s">
        <v>1421</v>
      </c>
      <c r="V207" s="169" t="s">
        <v>1421</v>
      </c>
      <c r="W207" s="169"/>
      <c r="X207" s="169" t="str">
        <f t="shared" si="33"/>
        <v>Tidak ada faktor rentan</v>
      </c>
      <c r="Y207" s="169" t="str">
        <f t="shared" si="34"/>
        <v>Tidak Ada Faktor Rentan</v>
      </c>
      <c r="Z207" s="170">
        <f t="shared" si="35"/>
        <v>10</v>
      </c>
      <c r="AA207" s="170">
        <f t="shared" si="36"/>
        <v>0</v>
      </c>
      <c r="AB207" s="170">
        <f t="shared" si="37"/>
        <v>10</v>
      </c>
      <c r="AC207" s="169" t="s">
        <v>1421</v>
      </c>
      <c r="AD207" s="169" t="s">
        <v>1421</v>
      </c>
      <c r="AE207" s="169" t="s">
        <v>1405</v>
      </c>
      <c r="AF207" s="169" t="s">
        <v>1421</v>
      </c>
      <c r="AG207" s="169" t="s">
        <v>1405</v>
      </c>
      <c r="AH207" s="169" t="s">
        <v>1405</v>
      </c>
      <c r="AI207" s="169" t="s">
        <v>1405</v>
      </c>
      <c r="AJ207" s="169" t="s">
        <v>1421</v>
      </c>
      <c r="AK207" s="169" t="s">
        <v>1421</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1407</v>
      </c>
      <c r="AV207" s="169" t="s">
        <v>1424</v>
      </c>
      <c r="AW207" s="169" t="s">
        <v>1489</v>
      </c>
      <c r="AX207" s="169" t="s">
        <v>1426</v>
      </c>
      <c r="AY207" s="169">
        <v>2026</v>
      </c>
      <c r="AZ207" s="169" t="s">
        <v>1411</v>
      </c>
      <c r="BA207" s="169"/>
      <c r="BB207" s="171"/>
      <c r="BC207" s="170">
        <v>2025</v>
      </c>
      <c r="BD207" s="169" t="s">
        <v>1440</v>
      </c>
      <c r="BE207" s="171"/>
      <c r="BF207" s="169" t="s">
        <v>1500</v>
      </c>
    </row>
    <row r="208" spans="1:58" ht="28">
      <c r="A208" s="169" t="s">
        <v>2307</v>
      </c>
      <c r="B208" s="169" t="s">
        <v>2308</v>
      </c>
      <c r="C208" s="169" t="s">
        <v>2309</v>
      </c>
      <c r="D208" s="169" t="s">
        <v>2310</v>
      </c>
      <c r="E208" s="169" t="s">
        <v>2306</v>
      </c>
      <c r="F208" s="169" t="s">
        <v>1511</v>
      </c>
      <c r="G208" s="169" t="s">
        <v>1511</v>
      </c>
      <c r="H208" s="169" t="s">
        <v>1414</v>
      </c>
      <c r="I208" s="169"/>
      <c r="J208" s="169" t="s">
        <v>1430</v>
      </c>
      <c r="K208" s="169" t="s">
        <v>1416</v>
      </c>
      <c r="L208" s="169" t="s">
        <v>1432</v>
      </c>
      <c r="M208" s="169" t="s">
        <v>1488</v>
      </c>
      <c r="N208" s="169" t="s">
        <v>1432</v>
      </c>
      <c r="O208" s="169" t="s">
        <v>1434</v>
      </c>
      <c r="P208" s="169" t="s">
        <v>1417</v>
      </c>
      <c r="Q208" s="169" t="s">
        <v>1404</v>
      </c>
      <c r="R208" s="169" t="s">
        <v>1421</v>
      </c>
      <c r="S208" s="169" t="s">
        <v>1421</v>
      </c>
      <c r="T208" s="169" t="s">
        <v>1421</v>
      </c>
      <c r="U208" s="169" t="s">
        <v>1421</v>
      </c>
      <c r="V208" s="169" t="s">
        <v>1421</v>
      </c>
      <c r="W208" s="169"/>
      <c r="X208" s="169" t="str">
        <f t="shared" si="33"/>
        <v>Tidak ada faktor rentan</v>
      </c>
      <c r="Y208" s="169" t="str">
        <f t="shared" si="34"/>
        <v>Tidak Ada Faktor Rentan</v>
      </c>
      <c r="Z208" s="170">
        <f t="shared" si="35"/>
        <v>10</v>
      </c>
      <c r="AA208" s="170">
        <f t="shared" si="36"/>
        <v>0</v>
      </c>
      <c r="AB208" s="170">
        <f t="shared" si="37"/>
        <v>10</v>
      </c>
      <c r="AC208" s="169" t="s">
        <v>1421</v>
      </c>
      <c r="AD208" s="169" t="s">
        <v>1421</v>
      </c>
      <c r="AE208" s="169" t="s">
        <v>1405</v>
      </c>
      <c r="AF208" s="169" t="s">
        <v>1421</v>
      </c>
      <c r="AG208" s="169" t="s">
        <v>1405</v>
      </c>
      <c r="AH208" s="169" t="s">
        <v>1405</v>
      </c>
      <c r="AI208" s="169" t="s">
        <v>1405</v>
      </c>
      <c r="AJ208" s="169" t="s">
        <v>1421</v>
      </c>
      <c r="AK208" s="169" t="s">
        <v>1421</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1407</v>
      </c>
      <c r="AV208" s="169" t="s">
        <v>1424</v>
      </c>
      <c r="AW208" s="169" t="s">
        <v>1489</v>
      </c>
      <c r="AX208" s="169" t="s">
        <v>1426</v>
      </c>
      <c r="AY208" s="169">
        <v>2026</v>
      </c>
      <c r="AZ208" s="169" t="s">
        <v>1411</v>
      </c>
      <c r="BA208" s="169"/>
      <c r="BB208" s="171"/>
      <c r="BC208" s="170">
        <v>2025</v>
      </c>
      <c r="BD208" s="169" t="s">
        <v>1440</v>
      </c>
      <c r="BE208" s="171"/>
      <c r="BF208" s="169" t="s">
        <v>1500</v>
      </c>
    </row>
    <row r="209" spans="1:58" ht="28">
      <c r="A209" s="169" t="s">
        <v>2311</v>
      </c>
      <c r="B209" s="169" t="s">
        <v>2312</v>
      </c>
      <c r="C209" s="169"/>
      <c r="D209" s="169"/>
      <c r="E209" s="169"/>
      <c r="F209" s="169" t="s">
        <v>1511</v>
      </c>
      <c r="G209" s="169" t="s">
        <v>1511</v>
      </c>
      <c r="H209" s="169" t="s">
        <v>1414</v>
      </c>
      <c r="I209" s="169"/>
      <c r="J209" s="169" t="s">
        <v>1415</v>
      </c>
      <c r="K209" s="169" t="s">
        <v>1416</v>
      </c>
      <c r="L209" s="169" t="s">
        <v>1417</v>
      </c>
      <c r="M209" s="169" t="s">
        <v>1488</v>
      </c>
      <c r="N209" s="169" t="s">
        <v>1417</v>
      </c>
      <c r="O209" s="169" t="s">
        <v>1434</v>
      </c>
      <c r="P209" s="169" t="s">
        <v>1417</v>
      </c>
      <c r="Q209" s="169" t="s">
        <v>1404</v>
      </c>
      <c r="R209" s="169" t="s">
        <v>1421</v>
      </c>
      <c r="S209" s="169" t="s">
        <v>1421</v>
      </c>
      <c r="T209" s="169" t="s">
        <v>1421</v>
      </c>
      <c r="U209" s="169" t="s">
        <v>1421</v>
      </c>
      <c r="V209" s="169" t="s">
        <v>1421</v>
      </c>
      <c r="W209" s="169"/>
      <c r="X209" s="169" t="str">
        <f t="shared" si="33"/>
        <v>Tidak ada faktor rentan</v>
      </c>
      <c r="Y209" s="169" t="str">
        <f t="shared" si="34"/>
        <v>Tidak Ada Faktor Rentan</v>
      </c>
      <c r="Z209" s="170">
        <f t="shared" si="35"/>
        <v>10</v>
      </c>
      <c r="AA209" s="170">
        <f t="shared" si="36"/>
        <v>0</v>
      </c>
      <c r="AB209" s="170">
        <f t="shared" si="37"/>
        <v>10</v>
      </c>
      <c r="AC209" s="169" t="s">
        <v>1421</v>
      </c>
      <c r="AD209" s="169" t="s">
        <v>1421</v>
      </c>
      <c r="AE209" s="169" t="s">
        <v>1405</v>
      </c>
      <c r="AF209" s="169" t="s">
        <v>1421</v>
      </c>
      <c r="AG209" s="169" t="s">
        <v>1421</v>
      </c>
      <c r="AH209" s="169" t="s">
        <v>1405</v>
      </c>
      <c r="AI209" s="169" t="s">
        <v>1405</v>
      </c>
      <c r="AJ209" s="169" t="s">
        <v>1421</v>
      </c>
      <c r="AK209" s="169" t="s">
        <v>1421</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1407</v>
      </c>
      <c r="AV209" s="169" t="s">
        <v>1424</v>
      </c>
      <c r="AW209" s="169" t="s">
        <v>1409</v>
      </c>
      <c r="AX209" s="59" t="s">
        <v>1410</v>
      </c>
      <c r="AY209" s="169"/>
      <c r="AZ209" s="169" t="s">
        <v>1427</v>
      </c>
      <c r="BA209" s="169"/>
      <c r="BB209" s="171"/>
      <c r="BC209" s="170">
        <v>2025</v>
      </c>
      <c r="BD209" s="169" t="s">
        <v>1440</v>
      </c>
      <c r="BE209" s="171"/>
      <c r="BF209" s="169" t="s">
        <v>1500</v>
      </c>
    </row>
    <row r="210" spans="1:58" ht="42">
      <c r="A210" s="169" t="s">
        <v>2313</v>
      </c>
      <c r="B210" s="169" t="s">
        <v>2314</v>
      </c>
      <c r="C210" s="169" t="s">
        <v>2315</v>
      </c>
      <c r="D210" s="169" t="s">
        <v>2316</v>
      </c>
      <c r="E210" s="169" t="s">
        <v>2317</v>
      </c>
      <c r="F210" s="169" t="s">
        <v>2318</v>
      </c>
      <c r="G210" s="169" t="s">
        <v>1548</v>
      </c>
      <c r="H210" s="169" t="s">
        <v>1414</v>
      </c>
      <c r="I210" s="169"/>
      <c r="J210" s="169" t="s">
        <v>1415</v>
      </c>
      <c r="K210" s="169" t="s">
        <v>1416</v>
      </c>
      <c r="L210" s="169" t="s">
        <v>1432</v>
      </c>
      <c r="M210" s="169" t="s">
        <v>1499</v>
      </c>
      <c r="N210" s="169" t="s">
        <v>1432</v>
      </c>
      <c r="O210" s="169" t="s">
        <v>1434</v>
      </c>
      <c r="P210" s="169" t="s">
        <v>1417</v>
      </c>
      <c r="Q210" s="169" t="s">
        <v>1404</v>
      </c>
      <c r="R210" s="169" t="s">
        <v>1405</v>
      </c>
      <c r="S210" s="169" t="s">
        <v>1421</v>
      </c>
      <c r="T210" s="169" t="s">
        <v>1421</v>
      </c>
      <c r="U210" s="169" t="s">
        <v>1421</v>
      </c>
      <c r="V210" s="169" t="s">
        <v>1421</v>
      </c>
      <c r="W210" s="169"/>
      <c r="X210" s="169" t="str">
        <f t="shared" si="33"/>
        <v xml:space="preserve">Lansia; </v>
      </c>
      <c r="Y210" s="169" t="str">
        <f t="shared" si="34"/>
        <v>1 Faktor Rentan</v>
      </c>
      <c r="Z210" s="170">
        <f t="shared" si="35"/>
        <v>10</v>
      </c>
      <c r="AA210" s="170">
        <f t="shared" si="36"/>
        <v>5</v>
      </c>
      <c r="AB210" s="170">
        <f t="shared" si="37"/>
        <v>15</v>
      </c>
      <c r="AC210" s="169" t="s">
        <v>1405</v>
      </c>
      <c r="AD210" s="169" t="s">
        <v>1421</v>
      </c>
      <c r="AE210" s="169" t="s">
        <v>1405</v>
      </c>
      <c r="AF210" s="169" t="s">
        <v>1421</v>
      </c>
      <c r="AG210" s="169" t="s">
        <v>1405</v>
      </c>
      <c r="AH210" s="169" t="s">
        <v>1405</v>
      </c>
      <c r="AI210" s="169" t="s">
        <v>1405</v>
      </c>
      <c r="AJ210" s="169" t="s">
        <v>1421</v>
      </c>
      <c r="AK210" s="169" t="s">
        <v>1421</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1407</v>
      </c>
      <c r="AV210" s="169" t="s">
        <v>1424</v>
      </c>
      <c r="AW210" s="169" t="s">
        <v>1489</v>
      </c>
      <c r="AX210" s="169" t="s">
        <v>1426</v>
      </c>
      <c r="AY210" s="169">
        <v>2026</v>
      </c>
      <c r="AZ210" s="169" t="s">
        <v>1411</v>
      </c>
      <c r="BA210" s="169"/>
      <c r="BB210" s="171"/>
      <c r="BC210" s="170">
        <v>2025</v>
      </c>
      <c r="BD210" s="169" t="s">
        <v>1440</v>
      </c>
      <c r="BE210" s="171"/>
      <c r="BF210" s="169" t="s">
        <v>1500</v>
      </c>
    </row>
    <row r="211" spans="1:58" ht="28">
      <c r="A211" s="169" t="s">
        <v>2319</v>
      </c>
      <c r="B211" s="169" t="s">
        <v>2320</v>
      </c>
      <c r="C211" s="169" t="s">
        <v>2321</v>
      </c>
      <c r="D211" s="169" t="s">
        <v>2322</v>
      </c>
      <c r="E211" s="169" t="s">
        <v>2323</v>
      </c>
      <c r="F211" s="169" t="s">
        <v>1547</v>
      </c>
      <c r="G211" s="169" t="s">
        <v>1548</v>
      </c>
      <c r="H211" s="169" t="s">
        <v>1398</v>
      </c>
      <c r="I211" s="169"/>
      <c r="J211" s="169" t="s">
        <v>1415</v>
      </c>
      <c r="K211" s="169" t="s">
        <v>1431</v>
      </c>
      <c r="L211" s="169" t="s">
        <v>1417</v>
      </c>
      <c r="M211" s="169" t="s">
        <v>1499</v>
      </c>
      <c r="N211" s="169" t="s">
        <v>1417</v>
      </c>
      <c r="O211" s="169" t="s">
        <v>1434</v>
      </c>
      <c r="P211" s="169" t="s">
        <v>1417</v>
      </c>
      <c r="Q211" s="169" t="s">
        <v>1404</v>
      </c>
      <c r="R211" s="169" t="s">
        <v>1405</v>
      </c>
      <c r="S211" s="169" t="s">
        <v>1421</v>
      </c>
      <c r="T211" s="169" t="s">
        <v>1421</v>
      </c>
      <c r="U211" s="169" t="s">
        <v>1421</v>
      </c>
      <c r="V211" s="169" t="s">
        <v>1421</v>
      </c>
      <c r="W211" s="169"/>
      <c r="X211" s="169" t="str">
        <f t="shared" si="33"/>
        <v xml:space="preserve">Lansia; </v>
      </c>
      <c r="Y211" s="169" t="str">
        <f t="shared" si="34"/>
        <v>1 Faktor Rentan</v>
      </c>
      <c r="Z211" s="170">
        <f t="shared" si="35"/>
        <v>10</v>
      </c>
      <c r="AA211" s="170">
        <f t="shared" si="36"/>
        <v>5</v>
      </c>
      <c r="AB211" s="170">
        <f t="shared" si="37"/>
        <v>15</v>
      </c>
      <c r="AC211" s="169" t="s">
        <v>1421</v>
      </c>
      <c r="AD211" s="169" t="s">
        <v>1421</v>
      </c>
      <c r="AE211" s="169" t="s">
        <v>1421</v>
      </c>
      <c r="AF211" s="169" t="s">
        <v>1421</v>
      </c>
      <c r="AG211" s="169" t="s">
        <v>1405</v>
      </c>
      <c r="AH211" s="169" t="s">
        <v>1405</v>
      </c>
      <c r="AI211" s="169" t="s">
        <v>1405</v>
      </c>
      <c r="AJ211" s="169" t="s">
        <v>1421</v>
      </c>
      <c r="AK211" s="169" t="s">
        <v>1421</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1407</v>
      </c>
      <c r="AV211" s="169" t="s">
        <v>1424</v>
      </c>
      <c r="AW211" s="169" t="s">
        <v>1489</v>
      </c>
      <c r="AX211" s="169" t="s">
        <v>1426</v>
      </c>
      <c r="AY211" s="169">
        <v>2026</v>
      </c>
      <c r="AZ211" s="169" t="s">
        <v>1411</v>
      </c>
      <c r="BA211" s="169"/>
      <c r="BB211" s="171"/>
      <c r="BC211" s="170">
        <v>2025</v>
      </c>
      <c r="BD211" s="169" t="s">
        <v>1440</v>
      </c>
      <c r="BE211" s="171"/>
      <c r="BF211" s="169" t="s">
        <v>1500</v>
      </c>
    </row>
    <row r="212" spans="1:58" ht="28">
      <c r="A212" s="169" t="s">
        <v>2324</v>
      </c>
      <c r="B212" s="169" t="s">
        <v>2325</v>
      </c>
      <c r="C212" s="169" t="s">
        <v>2326</v>
      </c>
      <c r="D212" s="169" t="s">
        <v>2327</v>
      </c>
      <c r="E212" s="169" t="s">
        <v>2328</v>
      </c>
      <c r="F212" s="169" t="s">
        <v>1589</v>
      </c>
      <c r="G212" s="169" t="s">
        <v>1584</v>
      </c>
      <c r="H212" s="169" t="s">
        <v>1398</v>
      </c>
      <c r="I212" s="169"/>
      <c r="J212" s="169" t="s">
        <v>1430</v>
      </c>
      <c r="K212" s="169" t="s">
        <v>1416</v>
      </c>
      <c r="L212" s="169" t="s">
        <v>1417</v>
      </c>
      <c r="M212" s="169" t="s">
        <v>1488</v>
      </c>
      <c r="N212" s="169" t="s">
        <v>1432</v>
      </c>
      <c r="O212" s="169" t="s">
        <v>1434</v>
      </c>
      <c r="P212" s="169" t="s">
        <v>1417</v>
      </c>
      <c r="Q212" s="169" t="s">
        <v>1404</v>
      </c>
      <c r="R212" s="169" t="s">
        <v>1421</v>
      </c>
      <c r="S212" s="169" t="s">
        <v>1421</v>
      </c>
      <c r="T212" s="169" t="s">
        <v>1421</v>
      </c>
      <c r="U212" s="169" t="s">
        <v>1421</v>
      </c>
      <c r="V212" s="169" t="s">
        <v>1421</v>
      </c>
      <c r="W212" s="169"/>
      <c r="X212" s="169" t="str">
        <f t="shared" si="33"/>
        <v>Tidak ada faktor rentan</v>
      </c>
      <c r="Y212" s="169" t="str">
        <f t="shared" si="34"/>
        <v>Tidak Ada Faktor Rentan</v>
      </c>
      <c r="Z212" s="170">
        <f t="shared" si="35"/>
        <v>10</v>
      </c>
      <c r="AA212" s="170">
        <f t="shared" si="36"/>
        <v>0</v>
      </c>
      <c r="AB212" s="170">
        <f t="shared" si="37"/>
        <v>10</v>
      </c>
      <c r="AC212" s="169" t="s">
        <v>1421</v>
      </c>
      <c r="AD212" s="169" t="s">
        <v>1421</v>
      </c>
      <c r="AE212" s="169" t="s">
        <v>1405</v>
      </c>
      <c r="AF212" s="169" t="s">
        <v>1421</v>
      </c>
      <c r="AG212" s="169" t="s">
        <v>1405</v>
      </c>
      <c r="AH212" s="169" t="s">
        <v>1405</v>
      </c>
      <c r="AI212" s="169" t="s">
        <v>1405</v>
      </c>
      <c r="AJ212" s="169" t="s">
        <v>1421</v>
      </c>
      <c r="AK212" s="169" t="s">
        <v>1421</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1407</v>
      </c>
      <c r="AV212" s="169" t="s">
        <v>1424</v>
      </c>
      <c r="AW212" s="169" t="s">
        <v>1425</v>
      </c>
      <c r="AX212" s="169" t="s">
        <v>1505</v>
      </c>
      <c r="AY212" s="169">
        <v>2026</v>
      </c>
      <c r="AZ212" s="169" t="s">
        <v>1411</v>
      </c>
      <c r="BA212" s="169"/>
      <c r="BB212" s="171"/>
      <c r="BC212" s="170">
        <v>2025</v>
      </c>
      <c r="BD212" s="169" t="s">
        <v>1412</v>
      </c>
      <c r="BE212" s="171"/>
      <c r="BF212" s="169" t="s">
        <v>1500</v>
      </c>
    </row>
    <row r="213" spans="1:58" ht="28">
      <c r="A213" s="169" t="s">
        <v>2329</v>
      </c>
      <c r="B213" s="169" t="s">
        <v>2330</v>
      </c>
      <c r="C213" s="169" t="s">
        <v>2331</v>
      </c>
      <c r="D213" s="169" t="s">
        <v>2332</v>
      </c>
      <c r="E213" s="169" t="s">
        <v>2333</v>
      </c>
      <c r="F213" s="169" t="s">
        <v>1589</v>
      </c>
      <c r="G213" s="169" t="s">
        <v>1584</v>
      </c>
      <c r="H213" s="169" t="s">
        <v>1398</v>
      </c>
      <c r="I213" s="169"/>
      <c r="J213" s="169" t="s">
        <v>1430</v>
      </c>
      <c r="K213" s="169" t="s">
        <v>1431</v>
      </c>
      <c r="L213" s="169" t="s">
        <v>1486</v>
      </c>
      <c r="M213" s="169" t="s">
        <v>1514</v>
      </c>
      <c r="N213" s="169" t="s">
        <v>1432</v>
      </c>
      <c r="O213" s="169" t="s">
        <v>1434</v>
      </c>
      <c r="P213" s="169" t="s">
        <v>1432</v>
      </c>
      <c r="Q213" s="169" t="s">
        <v>1404</v>
      </c>
      <c r="R213" s="169" t="s">
        <v>1421</v>
      </c>
      <c r="S213" s="169" t="s">
        <v>1421</v>
      </c>
      <c r="T213" s="169" t="s">
        <v>1421</v>
      </c>
      <c r="U213" s="169" t="s">
        <v>1405</v>
      </c>
      <c r="V213" s="169" t="s">
        <v>1421</v>
      </c>
      <c r="W213" s="169"/>
      <c r="X213" s="169" t="str">
        <f t="shared" si="33"/>
        <v xml:space="preserve">Balita; </v>
      </c>
      <c r="Y213" s="169" t="str">
        <f t="shared" si="34"/>
        <v>1 Faktor Rentan</v>
      </c>
      <c r="Z213" s="170">
        <f t="shared" si="35"/>
        <v>10</v>
      </c>
      <c r="AA213" s="170">
        <f t="shared" si="36"/>
        <v>5</v>
      </c>
      <c r="AB213" s="170">
        <f t="shared" si="37"/>
        <v>15</v>
      </c>
      <c r="AC213" s="169" t="s">
        <v>1421</v>
      </c>
      <c r="AD213" s="169" t="s">
        <v>1421</v>
      </c>
      <c r="AE213" s="169" t="s">
        <v>1405</v>
      </c>
      <c r="AF213" s="169" t="s">
        <v>1421</v>
      </c>
      <c r="AG213" s="169" t="s">
        <v>1405</v>
      </c>
      <c r="AH213" s="169" t="s">
        <v>1405</v>
      </c>
      <c r="AI213" s="169" t="s">
        <v>1421</v>
      </c>
      <c r="AJ213" s="169" t="s">
        <v>1421</v>
      </c>
      <c r="AK213" s="169" t="s">
        <v>1421</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1407</v>
      </c>
      <c r="AV213" s="169" t="s">
        <v>1424</v>
      </c>
      <c r="AW213" s="169" t="s">
        <v>2334</v>
      </c>
      <c r="AX213" s="169" t="s">
        <v>1426</v>
      </c>
      <c r="AY213" s="169">
        <v>2026</v>
      </c>
      <c r="AZ213" s="169" t="s">
        <v>1411</v>
      </c>
      <c r="BA213" s="169"/>
      <c r="BB213" s="171"/>
      <c r="BC213" s="170">
        <v>2025</v>
      </c>
      <c r="BD213" s="169" t="s">
        <v>1428</v>
      </c>
      <c r="BE213" s="171"/>
      <c r="BF213" s="169" t="s">
        <v>1500</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3" t="s">
        <v>2335</v>
      </c>
      <c r="B1" s="263"/>
      <c r="C1" s="263"/>
      <c r="D1" s="263"/>
      <c r="E1" s="263"/>
      <c r="F1" s="263"/>
      <c r="G1" s="263"/>
      <c r="H1" s="263"/>
      <c r="I1" s="263"/>
      <c r="J1" s="263"/>
      <c r="K1" s="263"/>
      <c r="L1" s="263"/>
      <c r="M1" s="263"/>
      <c r="N1" s="263"/>
    </row>
    <row r="2" spans="1:14">
      <c r="A2" s="264" t="s">
        <v>2336</v>
      </c>
      <c r="B2" s="264"/>
      <c r="C2" s="264"/>
      <c r="D2" s="264"/>
      <c r="E2" s="264"/>
      <c r="F2" s="264"/>
      <c r="G2" s="264"/>
      <c r="H2" s="264"/>
      <c r="I2" s="264"/>
      <c r="J2" s="264"/>
      <c r="K2" s="264"/>
      <c r="L2" s="264"/>
      <c r="M2" s="264"/>
      <c r="N2" s="264"/>
    </row>
    <row r="3" spans="1:14">
      <c r="A3" s="265" t="s">
        <v>1365</v>
      </c>
      <c r="B3" s="265"/>
      <c r="C3" s="265"/>
      <c r="D3" s="265"/>
      <c r="E3" s="265"/>
      <c r="F3" s="265"/>
      <c r="G3" s="265"/>
      <c r="H3" s="265"/>
      <c r="I3" s="265"/>
      <c r="J3" s="265"/>
      <c r="K3" s="265"/>
      <c r="L3" s="265"/>
      <c r="M3" s="265"/>
      <c r="N3" s="265"/>
    </row>
    <row r="5" spans="1:14" ht="26">
      <c r="A5" s="1" t="s">
        <v>2337</v>
      </c>
      <c r="B5" s="2" t="s">
        <v>2338</v>
      </c>
      <c r="C5" s="2" t="s">
        <v>2339</v>
      </c>
      <c r="D5" s="2" t="s">
        <v>2340</v>
      </c>
      <c r="E5" s="2" t="s">
        <v>2341</v>
      </c>
      <c r="F5" s="2" t="s">
        <v>2342</v>
      </c>
      <c r="G5" s="2" t="s">
        <v>2343</v>
      </c>
      <c r="H5" s="2" t="s">
        <v>2344</v>
      </c>
      <c r="I5" s="2" t="s">
        <v>1275</v>
      </c>
      <c r="J5" s="2" t="s">
        <v>27</v>
      </c>
      <c r="K5" s="2" t="s">
        <v>28</v>
      </c>
      <c r="L5" s="2" t="s">
        <v>29</v>
      </c>
      <c r="M5" s="2" t="s">
        <v>30</v>
      </c>
      <c r="N5" s="3" t="s">
        <v>31</v>
      </c>
    </row>
    <row r="6" spans="1:14">
      <c r="A6" s="28" t="s">
        <v>2345</v>
      </c>
      <c r="B6" s="51" t="s">
        <v>2346</v>
      </c>
      <c r="C6" s="8" t="s">
        <v>2347</v>
      </c>
      <c r="D6" s="18" t="s">
        <v>2348</v>
      </c>
      <c r="E6" s="36" t="s">
        <v>1371</v>
      </c>
      <c r="F6" s="5"/>
      <c r="G6" s="9" t="s">
        <v>2349</v>
      </c>
      <c r="H6" s="9" t="s">
        <v>1401</v>
      </c>
      <c r="I6" s="5"/>
      <c r="J6" s="18"/>
      <c r="K6" s="9"/>
      <c r="L6" s="9"/>
      <c r="M6" s="12"/>
      <c r="N6" s="31"/>
    </row>
    <row r="7" spans="1:14">
      <c r="A7" s="28" t="s">
        <v>2350</v>
      </c>
      <c r="B7" s="51" t="s">
        <v>2346</v>
      </c>
      <c r="C7" s="8" t="s">
        <v>2347</v>
      </c>
      <c r="D7" s="18" t="s">
        <v>2348</v>
      </c>
      <c r="E7" s="36" t="s">
        <v>1373</v>
      </c>
      <c r="F7" s="5"/>
      <c r="G7" s="9" t="s">
        <v>2349</v>
      </c>
      <c r="H7" s="9" t="s">
        <v>1417</v>
      </c>
      <c r="I7" s="5"/>
      <c r="J7" s="18"/>
      <c r="K7" s="9"/>
      <c r="L7" s="9"/>
      <c r="M7" s="12"/>
      <c r="N7" s="31"/>
    </row>
    <row r="8" spans="1:14">
      <c r="A8" s="28" t="s">
        <v>2351</v>
      </c>
      <c r="B8" s="51" t="s">
        <v>2346</v>
      </c>
      <c r="C8" s="8" t="s">
        <v>2347</v>
      </c>
      <c r="D8" s="18" t="s">
        <v>2348</v>
      </c>
      <c r="E8" s="36" t="s">
        <v>1374</v>
      </c>
      <c r="F8" s="5"/>
      <c r="G8" s="9" t="s">
        <v>2349</v>
      </c>
      <c r="H8" s="9" t="s">
        <v>1401</v>
      </c>
      <c r="I8" s="5"/>
      <c r="J8" s="18"/>
      <c r="K8" s="9"/>
      <c r="L8" s="9"/>
      <c r="M8" s="12"/>
      <c r="N8" s="31"/>
    </row>
    <row r="9" spans="1:14">
      <c r="A9" s="28" t="s">
        <v>2352</v>
      </c>
      <c r="B9" s="51" t="s">
        <v>2346</v>
      </c>
      <c r="C9" s="8" t="s">
        <v>2347</v>
      </c>
      <c r="D9" s="18" t="s">
        <v>2348</v>
      </c>
      <c r="E9" s="36" t="s">
        <v>1375</v>
      </c>
      <c r="F9" s="5"/>
      <c r="G9" s="9" t="s">
        <v>2349</v>
      </c>
      <c r="H9" s="9" t="s">
        <v>1401</v>
      </c>
      <c r="I9" s="5"/>
      <c r="J9" s="18"/>
      <c r="K9" s="9"/>
      <c r="L9" s="9"/>
      <c r="M9" s="12"/>
      <c r="N9" s="31"/>
    </row>
    <row r="10" spans="1:14">
      <c r="A10" s="28" t="s">
        <v>2353</v>
      </c>
      <c r="B10" s="51" t="s">
        <v>2346</v>
      </c>
      <c r="C10" s="8" t="s">
        <v>2347</v>
      </c>
      <c r="D10" s="18" t="s">
        <v>2348</v>
      </c>
      <c r="E10" s="36" t="s">
        <v>1376</v>
      </c>
      <c r="F10" s="5"/>
      <c r="G10" s="9" t="s">
        <v>2354</v>
      </c>
      <c r="H10" s="9" t="s">
        <v>1417</v>
      </c>
      <c r="I10" s="5"/>
      <c r="J10" s="18"/>
      <c r="K10" s="9"/>
      <c r="L10" s="9"/>
      <c r="M10" s="12"/>
      <c r="N10" s="31"/>
    </row>
    <row r="11" spans="1:14">
      <c r="A11" s="28" t="s">
        <v>2355</v>
      </c>
      <c r="B11" s="51" t="s">
        <v>2346</v>
      </c>
      <c r="C11" s="8" t="s">
        <v>2347</v>
      </c>
      <c r="D11" s="18" t="s">
        <v>2348</v>
      </c>
      <c r="E11" s="36" t="s">
        <v>1377</v>
      </c>
      <c r="F11" s="5"/>
      <c r="G11" s="9" t="s">
        <v>2349</v>
      </c>
      <c r="H11" s="9" t="s">
        <v>1417</v>
      </c>
      <c r="I11" s="5"/>
      <c r="J11" s="18"/>
      <c r="K11" s="9"/>
      <c r="L11" s="9"/>
      <c r="M11" s="12"/>
      <c r="N11" s="31"/>
    </row>
    <row r="12" spans="1:14">
      <c r="A12" s="28" t="s">
        <v>2356</v>
      </c>
      <c r="B12" s="51" t="s">
        <v>2346</v>
      </c>
      <c r="C12" s="8" t="s">
        <v>2347</v>
      </c>
      <c r="D12" s="18" t="s">
        <v>2348</v>
      </c>
      <c r="E12" s="36" t="s">
        <v>1378</v>
      </c>
      <c r="F12" s="5"/>
      <c r="G12" s="9" t="s">
        <v>2349</v>
      </c>
      <c r="H12" s="9" t="s">
        <v>1417</v>
      </c>
      <c r="I12" s="5"/>
      <c r="J12" s="18"/>
      <c r="K12" s="9"/>
      <c r="L12" s="9"/>
      <c r="M12" s="12"/>
      <c r="N12" s="31"/>
    </row>
    <row r="13" spans="1:14">
      <c r="A13" s="28" t="s">
        <v>2357</v>
      </c>
      <c r="B13" s="51" t="s">
        <v>2346</v>
      </c>
      <c r="C13" s="8" t="s">
        <v>2347</v>
      </c>
      <c r="D13" s="18" t="s">
        <v>2348</v>
      </c>
      <c r="E13" s="36" t="s">
        <v>2358</v>
      </c>
      <c r="F13" s="5"/>
      <c r="G13" s="9" t="s">
        <v>2349</v>
      </c>
      <c r="H13" s="9" t="s">
        <v>1401</v>
      </c>
      <c r="I13" s="5"/>
      <c r="J13" s="18"/>
      <c r="K13" s="9"/>
      <c r="L13" s="9"/>
      <c r="M13" s="12"/>
      <c r="N13" s="31"/>
    </row>
    <row r="14" spans="1:14">
      <c r="A14" s="28" t="s">
        <v>2359</v>
      </c>
      <c r="B14" s="51" t="s">
        <v>2346</v>
      </c>
      <c r="C14" s="8" t="s">
        <v>2347</v>
      </c>
      <c r="D14" s="18" t="s">
        <v>2348</v>
      </c>
      <c r="E14" s="36" t="s">
        <v>2360</v>
      </c>
      <c r="F14" s="5"/>
      <c r="G14" s="9" t="s">
        <v>2354</v>
      </c>
      <c r="H14" s="9" t="s">
        <v>1401</v>
      </c>
      <c r="I14" s="5"/>
      <c r="J14" s="18"/>
      <c r="K14" s="9"/>
      <c r="L14" s="9"/>
      <c r="M14" s="12"/>
      <c r="N14" s="31"/>
    </row>
    <row r="15" spans="1:14">
      <c r="A15" s="28" t="s">
        <v>2361</v>
      </c>
      <c r="B15" s="51" t="s">
        <v>2346</v>
      </c>
      <c r="C15" s="8" t="s">
        <v>2347</v>
      </c>
      <c r="D15" s="18" t="s">
        <v>2348</v>
      </c>
      <c r="E15" s="36" t="s">
        <v>2362</v>
      </c>
      <c r="F15" s="5"/>
      <c r="G15" s="9" t="s">
        <v>2363</v>
      </c>
      <c r="H15" s="9" t="s">
        <v>1486</v>
      </c>
      <c r="I15" s="5"/>
      <c r="J15" s="18"/>
      <c r="K15" s="9"/>
      <c r="L15" s="9"/>
      <c r="M15" s="12"/>
      <c r="N15" s="31"/>
    </row>
    <row r="16" spans="1:14">
      <c r="A16" s="28" t="s">
        <v>2364</v>
      </c>
      <c r="B16" s="51" t="s">
        <v>2346</v>
      </c>
      <c r="C16" s="8" t="s">
        <v>2347</v>
      </c>
      <c r="D16" s="18" t="s">
        <v>2348</v>
      </c>
      <c r="E16" s="36" t="s">
        <v>2365</v>
      </c>
      <c r="F16" s="5"/>
      <c r="G16" s="9" t="s">
        <v>2363</v>
      </c>
      <c r="H16" s="9" t="s">
        <v>1486</v>
      </c>
      <c r="I16" s="5"/>
      <c r="J16" s="18"/>
      <c r="K16" s="9"/>
      <c r="L16" s="9"/>
      <c r="M16" s="12"/>
      <c r="N16" s="31"/>
    </row>
    <row r="17" spans="1:14">
      <c r="A17" s="28" t="s">
        <v>2366</v>
      </c>
      <c r="B17" s="51" t="s">
        <v>2346</v>
      </c>
      <c r="C17" s="8" t="s">
        <v>2347</v>
      </c>
      <c r="D17" s="18" t="s">
        <v>2348</v>
      </c>
      <c r="E17" s="36" t="s">
        <v>2367</v>
      </c>
      <c r="F17" s="5"/>
      <c r="G17" s="9" t="s">
        <v>2363</v>
      </c>
      <c r="H17" s="9" t="s">
        <v>1486</v>
      </c>
      <c r="I17" s="5"/>
      <c r="J17" s="18"/>
      <c r="K17" s="9"/>
      <c r="L17" s="9"/>
      <c r="M17" s="12"/>
      <c r="N17" s="31"/>
    </row>
    <row r="18" spans="1:14">
      <c r="A18" s="28" t="s">
        <v>2368</v>
      </c>
      <c r="B18" s="51" t="s">
        <v>2346</v>
      </c>
      <c r="C18" s="8" t="s">
        <v>2347</v>
      </c>
      <c r="D18" s="18" t="s">
        <v>2348</v>
      </c>
      <c r="E18" s="36" t="s">
        <v>2369</v>
      </c>
      <c r="F18" s="5"/>
      <c r="G18" s="9" t="s">
        <v>2354</v>
      </c>
      <c r="H18" s="9" t="s">
        <v>1417</v>
      </c>
      <c r="I18" s="5"/>
      <c r="J18" s="18"/>
      <c r="K18" s="9"/>
      <c r="L18" s="9"/>
      <c r="M18" s="12"/>
      <c r="N18" s="31"/>
    </row>
    <row r="19" spans="1:14">
      <c r="A19" s="28" t="s">
        <v>2370</v>
      </c>
      <c r="B19" s="51" t="s">
        <v>2346</v>
      </c>
      <c r="C19" s="8" t="s">
        <v>2347</v>
      </c>
      <c r="D19" s="18" t="s">
        <v>2348</v>
      </c>
      <c r="E19" s="36" t="s">
        <v>2371</v>
      </c>
      <c r="F19" s="5"/>
      <c r="G19" s="9" t="s">
        <v>2354</v>
      </c>
      <c r="H19" s="9" t="s">
        <v>1417</v>
      </c>
      <c r="I19" s="5"/>
      <c r="J19" s="18"/>
      <c r="K19" s="9"/>
      <c r="L19" s="9"/>
      <c r="M19" s="12"/>
      <c r="N19" s="31"/>
    </row>
    <row r="20" spans="1:14">
      <c r="A20" s="28" t="s">
        <v>2372</v>
      </c>
      <c r="B20" s="51" t="s">
        <v>2346</v>
      </c>
      <c r="C20" s="8" t="s">
        <v>2347</v>
      </c>
      <c r="D20" s="18" t="s">
        <v>2348</v>
      </c>
      <c r="E20" s="36" t="s">
        <v>2373</v>
      </c>
      <c r="F20" s="5"/>
      <c r="G20" s="9" t="s">
        <v>2354</v>
      </c>
      <c r="H20" s="9" t="s">
        <v>1417</v>
      </c>
      <c r="I20" s="5"/>
      <c r="J20" s="18"/>
      <c r="K20" s="9"/>
      <c r="L20" s="9"/>
      <c r="M20" s="12"/>
      <c r="N20" s="31"/>
    </row>
    <row r="21" spans="1:14">
      <c r="A21" s="28" t="s">
        <v>2374</v>
      </c>
      <c r="B21" s="51" t="s">
        <v>2346</v>
      </c>
      <c r="C21" s="8" t="s">
        <v>2347</v>
      </c>
      <c r="D21" s="18" t="s">
        <v>2348</v>
      </c>
      <c r="E21" s="36" t="s">
        <v>2375</v>
      </c>
      <c r="F21" s="5"/>
      <c r="G21" s="9" t="s">
        <v>2349</v>
      </c>
      <c r="H21" s="9" t="s">
        <v>1417</v>
      </c>
      <c r="I21" s="5"/>
      <c r="J21" s="18"/>
      <c r="K21" s="9"/>
      <c r="L21" s="9"/>
      <c r="M21" s="12"/>
      <c r="N21" s="31"/>
    </row>
    <row r="22" spans="1:14">
      <c r="A22" s="28" t="s">
        <v>2376</v>
      </c>
      <c r="B22" s="51" t="s">
        <v>2346</v>
      </c>
      <c r="C22" s="8" t="s">
        <v>2347</v>
      </c>
      <c r="D22" s="18" t="s">
        <v>2348</v>
      </c>
      <c r="E22" s="36" t="s">
        <v>2377</v>
      </c>
      <c r="F22" s="5"/>
      <c r="G22" s="9" t="s">
        <v>2349</v>
      </c>
      <c r="H22" s="9" t="s">
        <v>1417</v>
      </c>
      <c r="I22" s="5"/>
      <c r="J22" s="18"/>
      <c r="K22" s="9"/>
      <c r="L22" s="9"/>
      <c r="M22" s="12"/>
      <c r="N22" s="31"/>
    </row>
    <row r="23" spans="1:14">
      <c r="A23" s="28" t="s">
        <v>2378</v>
      </c>
      <c r="B23" s="51" t="s">
        <v>2346</v>
      </c>
      <c r="C23" s="8" t="s">
        <v>2347</v>
      </c>
      <c r="D23" s="18" t="s">
        <v>2348</v>
      </c>
      <c r="E23" s="36" t="s">
        <v>2379</v>
      </c>
      <c r="F23" s="5"/>
      <c r="G23" s="9" t="s">
        <v>2349</v>
      </c>
      <c r="H23" s="9" t="s">
        <v>1417</v>
      </c>
      <c r="I23" s="5"/>
      <c r="J23" s="18"/>
      <c r="K23" s="9"/>
      <c r="L23" s="9"/>
      <c r="M23" s="12"/>
      <c r="N23" s="31"/>
    </row>
    <row r="24" spans="1:14">
      <c r="A24" s="28" t="s">
        <v>2380</v>
      </c>
      <c r="B24" s="51" t="s">
        <v>2346</v>
      </c>
      <c r="C24" s="8" t="s">
        <v>2347</v>
      </c>
      <c r="D24" s="18" t="s">
        <v>2348</v>
      </c>
      <c r="E24" s="36" t="s">
        <v>2381</v>
      </c>
      <c r="F24" s="5"/>
      <c r="G24" s="9" t="s">
        <v>2354</v>
      </c>
      <c r="H24" s="9" t="s">
        <v>1432</v>
      </c>
      <c r="I24" s="5"/>
      <c r="J24" s="18"/>
      <c r="K24" s="9"/>
      <c r="L24" s="9"/>
      <c r="M24" s="12"/>
      <c r="N24" s="31"/>
    </row>
    <row r="25" spans="1:14">
      <c r="A25" s="28" t="s">
        <v>2382</v>
      </c>
      <c r="B25" s="51" t="s">
        <v>2346</v>
      </c>
      <c r="C25" s="8" t="s">
        <v>2347</v>
      </c>
      <c r="D25" s="18" t="s">
        <v>2348</v>
      </c>
      <c r="E25" s="36" t="s">
        <v>2383</v>
      </c>
      <c r="F25" s="5"/>
      <c r="G25" s="9" t="s">
        <v>2349</v>
      </c>
      <c r="H25" s="9" t="s">
        <v>1417</v>
      </c>
      <c r="I25" s="5"/>
      <c r="J25" s="18"/>
      <c r="K25" s="9"/>
      <c r="L25" s="9"/>
      <c r="M25" s="12"/>
      <c r="N25" s="31"/>
    </row>
    <row r="26" spans="1:14">
      <c r="A26" s="28" t="s">
        <v>2384</v>
      </c>
      <c r="B26" s="51" t="s">
        <v>2346</v>
      </c>
      <c r="C26" s="8" t="s">
        <v>2347</v>
      </c>
      <c r="D26" s="18" t="s">
        <v>2348</v>
      </c>
      <c r="E26" s="36" t="s">
        <v>2385</v>
      </c>
      <c r="F26" s="5"/>
      <c r="G26" s="9" t="s">
        <v>2349</v>
      </c>
      <c r="H26" s="9" t="s">
        <v>1401</v>
      </c>
      <c r="I26" s="5"/>
      <c r="J26" s="18"/>
      <c r="K26" s="9"/>
      <c r="L26" s="9"/>
      <c r="M26" s="12"/>
      <c r="N26" s="31"/>
    </row>
    <row r="27" spans="1:14">
      <c r="A27" s="28" t="s">
        <v>2386</v>
      </c>
      <c r="B27" s="51" t="s">
        <v>2346</v>
      </c>
      <c r="C27" s="8" t="s">
        <v>2347</v>
      </c>
      <c r="D27" s="18" t="s">
        <v>2348</v>
      </c>
      <c r="E27" s="36" t="s">
        <v>2387</v>
      </c>
      <c r="F27" s="5"/>
      <c r="G27" s="9" t="s">
        <v>2349</v>
      </c>
      <c r="H27" s="9" t="s">
        <v>1401</v>
      </c>
      <c r="I27" s="5"/>
      <c r="J27" s="18"/>
      <c r="K27" s="9"/>
      <c r="L27" s="9"/>
      <c r="M27" s="12"/>
      <c r="N27" s="31"/>
    </row>
    <row r="28" spans="1:14">
      <c r="A28" s="28" t="s">
        <v>2388</v>
      </c>
      <c r="B28" s="51" t="s">
        <v>2346</v>
      </c>
      <c r="C28" s="8" t="s">
        <v>2347</v>
      </c>
      <c r="D28" s="18" t="s">
        <v>2348</v>
      </c>
      <c r="E28" s="36" t="s">
        <v>2389</v>
      </c>
      <c r="F28" s="5"/>
      <c r="G28" s="9" t="s">
        <v>2354</v>
      </c>
      <c r="H28" s="9" t="s">
        <v>1417</v>
      </c>
      <c r="I28" s="5"/>
      <c r="J28" s="18"/>
      <c r="K28" s="9"/>
      <c r="L28" s="9"/>
      <c r="M28" s="12"/>
      <c r="N28" s="31"/>
    </row>
    <row r="29" spans="1:14">
      <c r="A29" s="28" t="s">
        <v>2390</v>
      </c>
      <c r="B29" s="51" t="s">
        <v>2346</v>
      </c>
      <c r="C29" s="8" t="s">
        <v>2347</v>
      </c>
      <c r="D29" s="18" t="s">
        <v>2348</v>
      </c>
      <c r="E29" s="36" t="s">
        <v>2391</v>
      </c>
      <c r="F29" s="5"/>
      <c r="G29" s="9" t="s">
        <v>2354</v>
      </c>
      <c r="H29" s="9" t="s">
        <v>1417</v>
      </c>
      <c r="I29" s="5"/>
      <c r="J29" s="18"/>
      <c r="K29" s="9"/>
      <c r="L29" s="9"/>
      <c r="M29" s="12"/>
      <c r="N29" s="31"/>
    </row>
    <row r="30" spans="1:14">
      <c r="A30" s="28" t="s">
        <v>2392</v>
      </c>
      <c r="B30" s="51" t="s">
        <v>2346</v>
      </c>
      <c r="C30" s="8" t="s">
        <v>2347</v>
      </c>
      <c r="D30" s="18" t="s">
        <v>2393</v>
      </c>
      <c r="E30" s="36" t="s">
        <v>1371</v>
      </c>
      <c r="F30" s="5"/>
      <c r="G30" s="9" t="s">
        <v>2349</v>
      </c>
      <c r="H30" s="9" t="s">
        <v>1432</v>
      </c>
      <c r="I30" s="5"/>
      <c r="J30" s="18"/>
      <c r="K30" s="9"/>
      <c r="L30" s="9"/>
      <c r="M30" s="12"/>
      <c r="N30" s="31"/>
    </row>
    <row r="31" spans="1:14">
      <c r="A31" s="28" t="s">
        <v>2394</v>
      </c>
      <c r="B31" s="51" t="s">
        <v>2346</v>
      </c>
      <c r="C31" s="8" t="s">
        <v>2347</v>
      </c>
      <c r="D31" s="18" t="s">
        <v>2393</v>
      </c>
      <c r="E31" s="36" t="s">
        <v>1373</v>
      </c>
      <c r="F31" s="5"/>
      <c r="G31" s="9" t="s">
        <v>2349</v>
      </c>
      <c r="H31" s="9" t="s">
        <v>1432</v>
      </c>
      <c r="I31" s="5"/>
      <c r="J31" s="18"/>
      <c r="K31" s="9"/>
      <c r="L31" s="9"/>
      <c r="M31" s="12"/>
      <c r="N31" s="31"/>
    </row>
    <row r="32" spans="1:14">
      <c r="A32" s="28" t="s">
        <v>2395</v>
      </c>
      <c r="B32" s="51" t="s">
        <v>2346</v>
      </c>
      <c r="C32" s="8" t="s">
        <v>2347</v>
      </c>
      <c r="D32" s="18" t="s">
        <v>2393</v>
      </c>
      <c r="E32" s="36" t="s">
        <v>1374</v>
      </c>
      <c r="F32" s="5"/>
      <c r="G32" s="9" t="s">
        <v>2349</v>
      </c>
      <c r="H32" s="9" t="s">
        <v>1417</v>
      </c>
      <c r="I32" s="5"/>
      <c r="J32" s="18"/>
      <c r="K32" s="9"/>
      <c r="L32" s="9"/>
      <c r="M32" s="12"/>
      <c r="N32" s="31"/>
    </row>
    <row r="33" spans="1:14">
      <c r="A33" s="28" t="s">
        <v>2396</v>
      </c>
      <c r="B33" s="51" t="s">
        <v>2346</v>
      </c>
      <c r="C33" s="8" t="s">
        <v>2347</v>
      </c>
      <c r="D33" s="18" t="s">
        <v>2393</v>
      </c>
      <c r="E33" s="36" t="s">
        <v>1375</v>
      </c>
      <c r="F33" s="5"/>
      <c r="G33" s="9" t="s">
        <v>2349</v>
      </c>
      <c r="H33" s="9" t="s">
        <v>1417</v>
      </c>
      <c r="I33" s="5"/>
      <c r="J33" s="18"/>
      <c r="K33" s="9"/>
      <c r="L33" s="9"/>
      <c r="M33" s="12"/>
      <c r="N33" s="31"/>
    </row>
    <row r="34" spans="1:14">
      <c r="A34" s="28" t="s">
        <v>2397</v>
      </c>
      <c r="B34" s="51" t="s">
        <v>2346</v>
      </c>
      <c r="C34" s="8" t="s">
        <v>2347</v>
      </c>
      <c r="D34" s="18" t="s">
        <v>2393</v>
      </c>
      <c r="E34" s="36" t="s">
        <v>1376</v>
      </c>
      <c r="F34" s="5"/>
      <c r="G34" s="9" t="s">
        <v>2363</v>
      </c>
      <c r="H34" s="9" t="s">
        <v>1486</v>
      </c>
      <c r="I34" s="5"/>
      <c r="J34" s="18"/>
      <c r="K34" s="9"/>
      <c r="L34" s="9"/>
      <c r="M34" s="12"/>
      <c r="N34" s="31"/>
    </row>
    <row r="35" spans="1:14">
      <c r="A35" s="28" t="s">
        <v>2398</v>
      </c>
      <c r="B35" s="51" t="s">
        <v>2346</v>
      </c>
      <c r="C35" s="8" t="s">
        <v>2347</v>
      </c>
      <c r="D35" s="18" t="s">
        <v>2393</v>
      </c>
      <c r="E35" s="36" t="s">
        <v>1377</v>
      </c>
      <c r="F35" s="5"/>
      <c r="G35" s="9" t="s">
        <v>2363</v>
      </c>
      <c r="H35" s="9" t="s">
        <v>1486</v>
      </c>
      <c r="I35" s="5"/>
      <c r="J35" s="18"/>
      <c r="K35" s="9"/>
      <c r="L35" s="9"/>
      <c r="M35" s="12"/>
      <c r="N35" s="31"/>
    </row>
    <row r="36" spans="1:14">
      <c r="A36" s="28" t="s">
        <v>2399</v>
      </c>
      <c r="B36" s="51" t="s">
        <v>2346</v>
      </c>
      <c r="C36" s="8" t="s">
        <v>2347</v>
      </c>
      <c r="D36" s="18" t="s">
        <v>2393</v>
      </c>
      <c r="E36" s="36" t="s">
        <v>1378</v>
      </c>
      <c r="F36" s="5"/>
      <c r="G36" s="9" t="s">
        <v>2354</v>
      </c>
      <c r="H36" s="9" t="s">
        <v>1417</v>
      </c>
      <c r="I36" s="5"/>
      <c r="J36" s="18"/>
      <c r="K36" s="9"/>
      <c r="L36" s="9"/>
      <c r="M36" s="12"/>
      <c r="N36" s="31"/>
    </row>
    <row r="37" spans="1:14">
      <c r="A37" s="28" t="s">
        <v>2400</v>
      </c>
      <c r="B37" s="51" t="s">
        <v>2346</v>
      </c>
      <c r="C37" s="8" t="s">
        <v>2347</v>
      </c>
      <c r="D37" s="18" t="s">
        <v>2393</v>
      </c>
      <c r="E37" s="36" t="s">
        <v>2358</v>
      </c>
      <c r="F37" s="5"/>
      <c r="G37" s="9" t="s">
        <v>2349</v>
      </c>
      <c r="H37" s="9" t="s">
        <v>1417</v>
      </c>
      <c r="I37" s="5"/>
      <c r="J37" s="18"/>
      <c r="K37" s="9"/>
      <c r="L37" s="9"/>
      <c r="M37" s="12"/>
      <c r="N37" s="31"/>
    </row>
    <row r="38" spans="1:14">
      <c r="A38" s="28" t="s">
        <v>2401</v>
      </c>
      <c r="B38" s="51" t="s">
        <v>2346</v>
      </c>
      <c r="C38" s="8" t="s">
        <v>2347</v>
      </c>
      <c r="D38" s="18" t="s">
        <v>2393</v>
      </c>
      <c r="E38" s="36" t="s">
        <v>2360</v>
      </c>
      <c r="F38" s="5"/>
      <c r="G38" s="9" t="s">
        <v>2354</v>
      </c>
      <c r="H38" s="9" t="s">
        <v>1432</v>
      </c>
      <c r="I38" s="5"/>
      <c r="J38" s="18"/>
      <c r="K38" s="9"/>
      <c r="L38" s="9"/>
      <c r="M38" s="12"/>
      <c r="N38" s="31"/>
    </row>
    <row r="39" spans="1:14">
      <c r="A39" s="28" t="s">
        <v>2402</v>
      </c>
      <c r="B39" s="51" t="s">
        <v>2346</v>
      </c>
      <c r="C39" s="8" t="s">
        <v>2347</v>
      </c>
      <c r="D39" s="18" t="s">
        <v>2393</v>
      </c>
      <c r="E39" s="36" t="s">
        <v>2362</v>
      </c>
      <c r="F39" s="5"/>
      <c r="G39" s="9" t="s">
        <v>2354</v>
      </c>
      <c r="H39" s="9" t="s">
        <v>1432</v>
      </c>
      <c r="I39" s="5"/>
      <c r="J39" s="18"/>
      <c r="K39" s="9"/>
      <c r="L39" s="9"/>
      <c r="M39" s="12"/>
      <c r="N39" s="31"/>
    </row>
    <row r="40" spans="1:14">
      <c r="A40" s="28" t="s">
        <v>2403</v>
      </c>
      <c r="B40" s="51" t="s">
        <v>2346</v>
      </c>
      <c r="C40" s="8" t="s">
        <v>2347</v>
      </c>
      <c r="D40" s="18" t="s">
        <v>2393</v>
      </c>
      <c r="E40" s="36" t="s">
        <v>2365</v>
      </c>
      <c r="F40" s="5"/>
      <c r="G40" s="9" t="s">
        <v>2354</v>
      </c>
      <c r="H40" s="9" t="s">
        <v>1432</v>
      </c>
      <c r="I40" s="5"/>
      <c r="J40" s="18"/>
      <c r="K40" s="9"/>
      <c r="L40" s="9"/>
      <c r="M40" s="12"/>
      <c r="N40" s="31"/>
    </row>
    <row r="41" spans="1:14">
      <c r="A41" s="28" t="s">
        <v>2404</v>
      </c>
      <c r="B41" s="51" t="s">
        <v>2346</v>
      </c>
      <c r="C41" s="8" t="s">
        <v>2347</v>
      </c>
      <c r="D41" s="18" t="s">
        <v>2393</v>
      </c>
      <c r="E41" s="36" t="s">
        <v>2367</v>
      </c>
      <c r="F41" s="5"/>
      <c r="G41" s="9" t="s">
        <v>2349</v>
      </c>
      <c r="H41" s="9" t="s">
        <v>1417</v>
      </c>
      <c r="I41" s="5"/>
      <c r="J41" s="18"/>
      <c r="K41" s="9"/>
      <c r="L41" s="9"/>
      <c r="M41" s="12"/>
      <c r="N41" s="31"/>
    </row>
    <row r="42" spans="1:14">
      <c r="A42" s="28" t="s">
        <v>2405</v>
      </c>
      <c r="B42" s="51" t="s">
        <v>2346</v>
      </c>
      <c r="C42" s="8" t="s">
        <v>2347</v>
      </c>
      <c r="D42" s="18" t="s">
        <v>2393</v>
      </c>
      <c r="E42" s="36" t="s">
        <v>2369</v>
      </c>
      <c r="F42" s="5"/>
      <c r="G42" s="9" t="s">
        <v>2354</v>
      </c>
      <c r="H42" s="9" t="s">
        <v>1432</v>
      </c>
      <c r="I42" s="5"/>
      <c r="J42" s="18"/>
      <c r="K42" s="9"/>
      <c r="L42" s="9"/>
      <c r="M42" s="12"/>
      <c r="N42" s="31"/>
    </row>
    <row r="43" spans="1:14">
      <c r="A43" s="28" t="s">
        <v>2406</v>
      </c>
      <c r="B43" s="51" t="s">
        <v>2346</v>
      </c>
      <c r="C43" s="8" t="s">
        <v>2347</v>
      </c>
      <c r="D43" s="18" t="s">
        <v>2393</v>
      </c>
      <c r="E43" s="36" t="s">
        <v>2371</v>
      </c>
      <c r="F43" s="5"/>
      <c r="G43" s="9" t="s">
        <v>2349</v>
      </c>
      <c r="H43" s="9" t="s">
        <v>1417</v>
      </c>
      <c r="I43" s="5"/>
      <c r="J43" s="18"/>
      <c r="K43" s="9"/>
      <c r="L43" s="9"/>
      <c r="M43" s="12"/>
      <c r="N43" s="31"/>
    </row>
    <row r="44" spans="1:14">
      <c r="A44" s="28" t="s">
        <v>2407</v>
      </c>
      <c r="B44" s="51" t="s">
        <v>2346</v>
      </c>
      <c r="C44" s="8" t="s">
        <v>2347</v>
      </c>
      <c r="D44" s="18" t="s">
        <v>2393</v>
      </c>
      <c r="E44" s="36" t="s">
        <v>2373</v>
      </c>
      <c r="F44" s="5"/>
      <c r="G44" s="9" t="s">
        <v>2349</v>
      </c>
      <c r="H44" s="9" t="s">
        <v>1417</v>
      </c>
      <c r="I44" s="5"/>
      <c r="J44" s="18"/>
      <c r="K44" s="9"/>
      <c r="L44" s="9"/>
      <c r="M44" s="12"/>
      <c r="N44" s="31"/>
    </row>
    <row r="45" spans="1:14">
      <c r="A45" s="28" t="s">
        <v>2408</v>
      </c>
      <c r="B45" s="51" t="s">
        <v>2346</v>
      </c>
      <c r="C45" s="8" t="s">
        <v>2347</v>
      </c>
      <c r="D45" s="18" t="s">
        <v>2393</v>
      </c>
      <c r="E45" s="36" t="s">
        <v>2375</v>
      </c>
      <c r="F45" s="5"/>
      <c r="G45" s="9" t="s">
        <v>2349</v>
      </c>
      <c r="H45" s="9" t="s">
        <v>1417</v>
      </c>
      <c r="I45" s="5"/>
      <c r="J45" s="18"/>
      <c r="K45" s="9"/>
      <c r="L45" s="9"/>
      <c r="M45" s="12"/>
      <c r="N45" s="31"/>
    </row>
    <row r="46" spans="1:14">
      <c r="A46" s="28" t="s">
        <v>2409</v>
      </c>
      <c r="B46" s="51" t="s">
        <v>2346</v>
      </c>
      <c r="C46" s="8" t="s">
        <v>2347</v>
      </c>
      <c r="D46" s="18" t="s">
        <v>2393</v>
      </c>
      <c r="E46" s="36" t="s">
        <v>2377</v>
      </c>
      <c r="F46" s="5"/>
      <c r="G46" s="9" t="s">
        <v>2349</v>
      </c>
      <c r="H46" s="9" t="s">
        <v>1417</v>
      </c>
      <c r="I46" s="5"/>
      <c r="J46" s="18"/>
      <c r="K46" s="9"/>
      <c r="L46" s="9"/>
      <c r="M46" s="12"/>
      <c r="N46" s="31"/>
    </row>
    <row r="47" spans="1:14">
      <c r="A47" s="28" t="s">
        <v>2410</v>
      </c>
      <c r="B47" s="51" t="s">
        <v>2346</v>
      </c>
      <c r="C47" s="8" t="s">
        <v>2347</v>
      </c>
      <c r="D47" s="18" t="s">
        <v>2393</v>
      </c>
      <c r="E47" s="36" t="s">
        <v>2379</v>
      </c>
      <c r="F47" s="5"/>
      <c r="G47" s="9" t="s">
        <v>2349</v>
      </c>
      <c r="H47" s="9" t="s">
        <v>1417</v>
      </c>
      <c r="I47" s="5"/>
      <c r="J47" s="18"/>
      <c r="K47" s="9"/>
      <c r="L47" s="9"/>
      <c r="M47" s="12"/>
      <c r="N47" s="31"/>
    </row>
    <row r="48" spans="1:14">
      <c r="A48" s="28" t="s">
        <v>2411</v>
      </c>
      <c r="B48" s="51" t="s">
        <v>2346</v>
      </c>
      <c r="C48" s="8" t="s">
        <v>2347</v>
      </c>
      <c r="D48" s="18" t="s">
        <v>2393</v>
      </c>
      <c r="E48" s="36" t="s">
        <v>2381</v>
      </c>
      <c r="F48" s="5"/>
      <c r="G48" s="9" t="s">
        <v>2349</v>
      </c>
      <c r="H48" s="9" t="s">
        <v>1432</v>
      </c>
      <c r="I48" s="5"/>
      <c r="J48" s="18"/>
      <c r="K48" s="9"/>
      <c r="L48" s="9"/>
      <c r="M48" s="12"/>
      <c r="N48" s="31"/>
    </row>
    <row r="49" spans="1:14">
      <c r="A49" s="28" t="s">
        <v>2412</v>
      </c>
      <c r="B49" s="51" t="s">
        <v>2346</v>
      </c>
      <c r="C49" s="8" t="s">
        <v>2347</v>
      </c>
      <c r="D49" s="18" t="s">
        <v>2393</v>
      </c>
      <c r="E49" s="36" t="s">
        <v>2383</v>
      </c>
      <c r="F49" s="5"/>
      <c r="G49" s="9" t="s">
        <v>2349</v>
      </c>
      <c r="H49" s="9" t="s">
        <v>1432</v>
      </c>
      <c r="I49" s="5"/>
      <c r="J49" s="18"/>
      <c r="K49" s="9"/>
      <c r="L49" s="9"/>
      <c r="M49" s="12"/>
      <c r="N49" s="31"/>
    </row>
    <row r="50" spans="1:14">
      <c r="A50" s="28" t="s">
        <v>2413</v>
      </c>
      <c r="B50" s="51" t="s">
        <v>2346</v>
      </c>
      <c r="C50" s="8" t="s">
        <v>2347</v>
      </c>
      <c r="D50" s="18" t="s">
        <v>2393</v>
      </c>
      <c r="E50" s="36" t="s">
        <v>2385</v>
      </c>
      <c r="F50" s="5"/>
      <c r="G50" s="9" t="s">
        <v>2349</v>
      </c>
      <c r="H50" s="9" t="s">
        <v>1417</v>
      </c>
      <c r="I50" s="5"/>
      <c r="J50" s="18"/>
      <c r="K50" s="9"/>
      <c r="L50" s="9"/>
      <c r="M50" s="12"/>
      <c r="N50" s="31"/>
    </row>
    <row r="51" spans="1:14">
      <c r="A51" s="28" t="s">
        <v>2414</v>
      </c>
      <c r="B51" s="51" t="s">
        <v>2346</v>
      </c>
      <c r="C51" s="8" t="s">
        <v>2347</v>
      </c>
      <c r="D51" s="18" t="s">
        <v>2393</v>
      </c>
      <c r="E51" s="36" t="s">
        <v>2387</v>
      </c>
      <c r="F51" s="5"/>
      <c r="G51" s="9" t="s">
        <v>2354</v>
      </c>
      <c r="H51" s="9" t="s">
        <v>1432</v>
      </c>
      <c r="I51" s="5"/>
      <c r="J51" s="18"/>
      <c r="K51" s="9"/>
      <c r="L51" s="9"/>
      <c r="M51" s="12"/>
      <c r="N51" s="31"/>
    </row>
    <row r="52" spans="1:14">
      <c r="A52" s="28" t="s">
        <v>2415</v>
      </c>
      <c r="B52" s="51" t="s">
        <v>2346</v>
      </c>
      <c r="C52" s="8" t="s">
        <v>2347</v>
      </c>
      <c r="D52" s="18" t="s">
        <v>2393</v>
      </c>
      <c r="E52" s="36" t="s">
        <v>2389</v>
      </c>
      <c r="F52" s="5"/>
      <c r="G52" s="9" t="s">
        <v>2363</v>
      </c>
      <c r="H52" s="9" t="s">
        <v>1486</v>
      </c>
      <c r="I52" s="5"/>
      <c r="J52" s="18"/>
      <c r="K52" s="9"/>
      <c r="L52" s="9"/>
      <c r="M52" s="12"/>
      <c r="N52" s="31"/>
    </row>
    <row r="53" spans="1:14">
      <c r="A53" s="28" t="s">
        <v>2416</v>
      </c>
      <c r="B53" s="51" t="s">
        <v>2346</v>
      </c>
      <c r="C53" s="8" t="s">
        <v>2347</v>
      </c>
      <c r="D53" s="18" t="s">
        <v>2393</v>
      </c>
      <c r="E53" s="36" t="s">
        <v>2391</v>
      </c>
      <c r="F53" s="5"/>
      <c r="G53" s="9" t="s">
        <v>2363</v>
      </c>
      <c r="H53" s="9" t="s">
        <v>1486</v>
      </c>
      <c r="I53" s="5"/>
      <c r="J53" s="18"/>
      <c r="K53" s="9"/>
      <c r="L53" s="9"/>
      <c r="M53" s="12"/>
      <c r="N53" s="31"/>
    </row>
    <row r="54" spans="1:14">
      <c r="A54" s="28" t="s">
        <v>2417</v>
      </c>
      <c r="B54" s="51" t="s">
        <v>2346</v>
      </c>
      <c r="C54" s="8" t="s">
        <v>2347</v>
      </c>
      <c r="D54" s="18" t="s">
        <v>2418</v>
      </c>
      <c r="E54" s="36" t="s">
        <v>1371</v>
      </c>
      <c r="F54" s="5"/>
      <c r="G54" s="9" t="s">
        <v>2349</v>
      </c>
      <c r="H54" s="9" t="s">
        <v>1417</v>
      </c>
      <c r="I54" s="5"/>
      <c r="J54" s="18"/>
      <c r="K54" s="9"/>
      <c r="L54" s="9"/>
      <c r="M54" s="12"/>
      <c r="N54" s="31"/>
    </row>
    <row r="55" spans="1:14">
      <c r="A55" s="28" t="s">
        <v>2419</v>
      </c>
      <c r="B55" s="51" t="s">
        <v>2346</v>
      </c>
      <c r="C55" s="8" t="s">
        <v>2347</v>
      </c>
      <c r="D55" s="18" t="s">
        <v>2418</v>
      </c>
      <c r="E55" s="36" t="s">
        <v>1373</v>
      </c>
      <c r="F55" s="5"/>
      <c r="G55" s="9" t="s">
        <v>2349</v>
      </c>
      <c r="H55" s="9" t="s">
        <v>1417</v>
      </c>
      <c r="I55" s="5"/>
      <c r="J55" s="18"/>
      <c r="K55" s="9"/>
      <c r="L55" s="9"/>
      <c r="M55" s="12"/>
      <c r="N55" s="31"/>
    </row>
    <row r="56" spans="1:14">
      <c r="A56" s="28" t="s">
        <v>2420</v>
      </c>
      <c r="B56" s="51" t="s">
        <v>2346</v>
      </c>
      <c r="C56" s="8" t="s">
        <v>2347</v>
      </c>
      <c r="D56" s="18" t="s">
        <v>2418</v>
      </c>
      <c r="E56" s="36" t="s">
        <v>1374</v>
      </c>
      <c r="F56" s="5"/>
      <c r="G56" s="9" t="s">
        <v>2349</v>
      </c>
      <c r="H56" s="9" t="s">
        <v>1417</v>
      </c>
      <c r="I56" s="5"/>
      <c r="J56" s="18"/>
      <c r="K56" s="9"/>
      <c r="L56" s="9"/>
      <c r="M56" s="12"/>
      <c r="N56" s="31"/>
    </row>
    <row r="57" spans="1:14">
      <c r="A57" s="28" t="s">
        <v>2421</v>
      </c>
      <c r="B57" s="51" t="s">
        <v>2346</v>
      </c>
      <c r="C57" s="8" t="s">
        <v>2347</v>
      </c>
      <c r="D57" s="18" t="s">
        <v>2418</v>
      </c>
      <c r="E57" s="36" t="s">
        <v>1375</v>
      </c>
      <c r="F57" s="5"/>
      <c r="G57" s="9" t="s">
        <v>2349</v>
      </c>
      <c r="H57" s="9" t="s">
        <v>1432</v>
      </c>
      <c r="I57" s="5"/>
      <c r="J57" s="18"/>
      <c r="K57" s="9"/>
      <c r="L57" s="9"/>
      <c r="M57" s="12"/>
      <c r="N57" s="31"/>
    </row>
    <row r="58" spans="1:14">
      <c r="A58" s="28" t="s">
        <v>2422</v>
      </c>
      <c r="B58" s="51" t="s">
        <v>2346</v>
      </c>
      <c r="C58" s="8" t="s">
        <v>2347</v>
      </c>
      <c r="D58" s="18" t="s">
        <v>2418</v>
      </c>
      <c r="E58" s="36" t="s">
        <v>1376</v>
      </c>
      <c r="F58" s="5"/>
      <c r="G58" s="9" t="s">
        <v>2349</v>
      </c>
      <c r="H58" s="9" t="s">
        <v>1417</v>
      </c>
      <c r="I58" s="5"/>
      <c r="J58" s="18"/>
      <c r="K58" s="9"/>
      <c r="L58" s="9"/>
      <c r="M58" s="12"/>
      <c r="N58" s="31"/>
    </row>
    <row r="59" spans="1:14">
      <c r="A59" s="28" t="s">
        <v>2423</v>
      </c>
      <c r="B59" s="51" t="s">
        <v>2346</v>
      </c>
      <c r="C59" s="8" t="s">
        <v>2347</v>
      </c>
      <c r="D59" s="18" t="s">
        <v>2418</v>
      </c>
      <c r="E59" s="36" t="s">
        <v>1377</v>
      </c>
      <c r="F59" s="5"/>
      <c r="G59" s="9" t="s">
        <v>2349</v>
      </c>
      <c r="H59" s="9" t="s">
        <v>1401</v>
      </c>
      <c r="I59" s="5"/>
      <c r="J59" s="18"/>
      <c r="K59" s="9"/>
      <c r="L59" s="9"/>
      <c r="M59" s="12"/>
      <c r="N59" s="31"/>
    </row>
    <row r="60" spans="1:14">
      <c r="A60" s="28" t="s">
        <v>2424</v>
      </c>
      <c r="B60" s="51" t="s">
        <v>2346</v>
      </c>
      <c r="C60" s="8" t="s">
        <v>2347</v>
      </c>
      <c r="D60" s="18" t="s">
        <v>2418</v>
      </c>
      <c r="E60" s="36" t="s">
        <v>1378</v>
      </c>
      <c r="F60" s="5"/>
      <c r="G60" s="9" t="s">
        <v>2349</v>
      </c>
      <c r="H60" s="9" t="s">
        <v>1417</v>
      </c>
      <c r="I60" s="5"/>
      <c r="J60" s="18"/>
      <c r="K60" s="9"/>
      <c r="L60" s="9"/>
      <c r="M60" s="12"/>
      <c r="N60" s="31"/>
    </row>
    <row r="61" spans="1:14">
      <c r="A61" s="28" t="s">
        <v>2425</v>
      </c>
      <c r="B61" s="51" t="s">
        <v>2346</v>
      </c>
      <c r="C61" s="8" t="s">
        <v>2347</v>
      </c>
      <c r="D61" s="18" t="s">
        <v>2418</v>
      </c>
      <c r="E61" s="36" t="s">
        <v>2358</v>
      </c>
      <c r="F61" s="5"/>
      <c r="G61" s="9" t="s">
        <v>2349</v>
      </c>
      <c r="H61" s="9" t="s">
        <v>1417</v>
      </c>
      <c r="I61" s="5"/>
      <c r="J61" s="18"/>
      <c r="K61" s="9"/>
      <c r="L61" s="9"/>
      <c r="M61" s="12"/>
      <c r="N61" s="31"/>
    </row>
    <row r="62" spans="1:14">
      <c r="A62" s="28" t="s">
        <v>2426</v>
      </c>
      <c r="B62" s="51" t="s">
        <v>2346</v>
      </c>
      <c r="C62" s="8" t="s">
        <v>2347</v>
      </c>
      <c r="D62" s="18" t="s">
        <v>2418</v>
      </c>
      <c r="E62" s="36" t="s">
        <v>2360</v>
      </c>
      <c r="F62" s="5"/>
      <c r="G62" s="9" t="s">
        <v>2349</v>
      </c>
      <c r="H62" s="9" t="s">
        <v>1432</v>
      </c>
      <c r="I62" s="5"/>
      <c r="J62" s="18"/>
      <c r="K62" s="9"/>
      <c r="L62" s="9"/>
      <c r="M62" s="12"/>
      <c r="N62" s="31"/>
    </row>
    <row r="63" spans="1:14">
      <c r="A63" s="28" t="s">
        <v>2427</v>
      </c>
      <c r="B63" s="51" t="s">
        <v>2346</v>
      </c>
      <c r="C63" s="8" t="s">
        <v>2347</v>
      </c>
      <c r="D63" s="18" t="s">
        <v>2418</v>
      </c>
      <c r="E63" s="36" t="s">
        <v>2362</v>
      </c>
      <c r="F63" s="5"/>
      <c r="G63" s="9" t="s">
        <v>2349</v>
      </c>
      <c r="H63" s="9" t="s">
        <v>1401</v>
      </c>
      <c r="I63" s="5"/>
      <c r="J63" s="18"/>
      <c r="K63" s="9"/>
      <c r="L63" s="9"/>
      <c r="M63" s="12"/>
      <c r="N63" s="31"/>
    </row>
    <row r="64" spans="1:14">
      <c r="A64" s="28" t="s">
        <v>2428</v>
      </c>
      <c r="B64" s="51" t="s">
        <v>2346</v>
      </c>
      <c r="C64" s="8" t="s">
        <v>2347</v>
      </c>
      <c r="D64" s="18" t="s">
        <v>2418</v>
      </c>
      <c r="E64" s="36" t="s">
        <v>2365</v>
      </c>
      <c r="F64" s="5"/>
      <c r="G64" s="9" t="s">
        <v>2349</v>
      </c>
      <c r="H64" s="9" t="s">
        <v>1401</v>
      </c>
      <c r="I64" s="5"/>
      <c r="J64" s="18"/>
      <c r="K64" s="9"/>
      <c r="L64" s="9"/>
      <c r="M64" s="12"/>
      <c r="N64" s="31"/>
    </row>
    <row r="65" spans="1:14">
      <c r="A65" s="28" t="s">
        <v>2429</v>
      </c>
      <c r="B65" s="51" t="s">
        <v>2346</v>
      </c>
      <c r="C65" s="8" t="s">
        <v>2347</v>
      </c>
      <c r="D65" s="18" t="s">
        <v>2418</v>
      </c>
      <c r="E65" s="36" t="s">
        <v>2367</v>
      </c>
      <c r="F65" s="5"/>
      <c r="G65" s="9" t="s">
        <v>2349</v>
      </c>
      <c r="H65" s="9" t="s">
        <v>1401</v>
      </c>
      <c r="I65" s="5"/>
      <c r="J65" s="18"/>
      <c r="K65" s="9"/>
      <c r="L65" s="9"/>
      <c r="M65" s="12"/>
      <c r="N65" s="31"/>
    </row>
    <row r="66" spans="1:14">
      <c r="A66" s="28" t="s">
        <v>2430</v>
      </c>
      <c r="B66" s="51" t="s">
        <v>2346</v>
      </c>
      <c r="C66" s="8" t="s">
        <v>2347</v>
      </c>
      <c r="D66" s="18" t="s">
        <v>2418</v>
      </c>
      <c r="E66" s="36" t="s">
        <v>2369</v>
      </c>
      <c r="F66" s="5"/>
      <c r="G66" s="9" t="s">
        <v>2349</v>
      </c>
      <c r="H66" s="9" t="s">
        <v>1432</v>
      </c>
      <c r="I66" s="5"/>
      <c r="J66" s="18"/>
      <c r="K66" s="9"/>
      <c r="L66" s="9"/>
      <c r="M66" s="12"/>
      <c r="N66" s="31"/>
    </row>
    <row r="67" spans="1:14">
      <c r="A67" s="28" t="s">
        <v>2431</v>
      </c>
      <c r="B67" s="51" t="s">
        <v>2346</v>
      </c>
      <c r="C67" s="8" t="s">
        <v>2347</v>
      </c>
      <c r="D67" s="18" t="s">
        <v>2418</v>
      </c>
      <c r="E67" s="36" t="s">
        <v>2371</v>
      </c>
      <c r="F67" s="5"/>
      <c r="G67" s="9" t="s">
        <v>2349</v>
      </c>
      <c r="H67" s="9" t="s">
        <v>1417</v>
      </c>
      <c r="I67" s="5"/>
      <c r="J67" s="18"/>
      <c r="K67" s="9"/>
      <c r="L67" s="9"/>
      <c r="M67" s="12"/>
      <c r="N67" s="31"/>
    </row>
    <row r="68" spans="1:14">
      <c r="A68" s="28" t="s">
        <v>2432</v>
      </c>
      <c r="B68" s="51" t="s">
        <v>2346</v>
      </c>
      <c r="C68" s="8" t="s">
        <v>2347</v>
      </c>
      <c r="D68" s="18" t="s">
        <v>2418</v>
      </c>
      <c r="E68" s="36" t="s">
        <v>2373</v>
      </c>
      <c r="F68" s="5"/>
      <c r="G68" s="9" t="s">
        <v>2349</v>
      </c>
      <c r="H68" s="9" t="s">
        <v>1417</v>
      </c>
      <c r="I68" s="5"/>
      <c r="J68" s="18"/>
      <c r="K68" s="9"/>
      <c r="L68" s="9"/>
      <c r="M68" s="12"/>
      <c r="N68" s="31"/>
    </row>
    <row r="69" spans="1:14">
      <c r="A69" s="28" t="s">
        <v>2433</v>
      </c>
      <c r="B69" s="51" t="s">
        <v>2346</v>
      </c>
      <c r="C69" s="8" t="s">
        <v>2347</v>
      </c>
      <c r="D69" s="18" t="s">
        <v>2418</v>
      </c>
      <c r="E69" s="36" t="s">
        <v>2375</v>
      </c>
      <c r="F69" s="5"/>
      <c r="G69" s="9" t="s">
        <v>2349</v>
      </c>
      <c r="H69" s="9" t="s">
        <v>1417</v>
      </c>
      <c r="I69" s="5"/>
      <c r="J69" s="18"/>
      <c r="K69" s="9"/>
      <c r="L69" s="9"/>
      <c r="M69" s="12"/>
      <c r="N69" s="31"/>
    </row>
    <row r="70" spans="1:14">
      <c r="A70" s="28" t="s">
        <v>2434</v>
      </c>
      <c r="B70" s="51" t="s">
        <v>2346</v>
      </c>
      <c r="C70" s="8" t="s">
        <v>2347</v>
      </c>
      <c r="D70" s="18" t="s">
        <v>2418</v>
      </c>
      <c r="E70" s="36" t="s">
        <v>2377</v>
      </c>
      <c r="F70" s="5"/>
      <c r="G70" s="9" t="s">
        <v>2354</v>
      </c>
      <c r="H70" s="9" t="s">
        <v>1417</v>
      </c>
      <c r="I70" s="5"/>
      <c r="J70" s="18"/>
      <c r="K70" s="9"/>
      <c r="L70" s="9"/>
      <c r="M70" s="12"/>
      <c r="N70" s="31"/>
    </row>
    <row r="71" spans="1:14">
      <c r="A71" s="28" t="s">
        <v>2435</v>
      </c>
      <c r="B71" s="51" t="s">
        <v>2346</v>
      </c>
      <c r="C71" s="8" t="s">
        <v>2347</v>
      </c>
      <c r="D71" s="18" t="s">
        <v>2418</v>
      </c>
      <c r="E71" s="36" t="s">
        <v>2379</v>
      </c>
      <c r="F71" s="5"/>
      <c r="G71" s="9" t="s">
        <v>2349</v>
      </c>
      <c r="H71" s="9" t="s">
        <v>1417</v>
      </c>
      <c r="I71" s="5"/>
      <c r="J71" s="18"/>
      <c r="K71" s="9"/>
      <c r="L71" s="9"/>
      <c r="M71" s="12"/>
      <c r="N71" s="31"/>
    </row>
    <row r="72" spans="1:14">
      <c r="A72" s="28" t="s">
        <v>2436</v>
      </c>
      <c r="B72" s="51" t="s">
        <v>2346</v>
      </c>
      <c r="C72" s="8" t="s">
        <v>2347</v>
      </c>
      <c r="D72" s="18" t="s">
        <v>2418</v>
      </c>
      <c r="E72" s="36" t="s">
        <v>2381</v>
      </c>
      <c r="F72" s="5"/>
      <c r="G72" s="9" t="s">
        <v>2349</v>
      </c>
      <c r="H72" s="9" t="s">
        <v>1432</v>
      </c>
      <c r="I72" s="5"/>
      <c r="J72" s="18"/>
      <c r="K72" s="9"/>
      <c r="L72" s="9"/>
      <c r="M72" s="12"/>
      <c r="N72" s="31"/>
    </row>
    <row r="73" spans="1:14">
      <c r="A73" s="28" t="s">
        <v>2437</v>
      </c>
      <c r="B73" s="51" t="s">
        <v>2346</v>
      </c>
      <c r="C73" s="8" t="s">
        <v>2347</v>
      </c>
      <c r="D73" s="18" t="s">
        <v>2418</v>
      </c>
      <c r="E73" s="36" t="s">
        <v>2383</v>
      </c>
      <c r="F73" s="5"/>
      <c r="G73" s="9" t="s">
        <v>2349</v>
      </c>
      <c r="H73" s="9" t="s">
        <v>1417</v>
      </c>
      <c r="I73" s="5"/>
      <c r="J73" s="18"/>
      <c r="K73" s="9"/>
      <c r="L73" s="9"/>
      <c r="M73" s="12"/>
      <c r="N73" s="31"/>
    </row>
    <row r="74" spans="1:14">
      <c r="A74" s="28" t="s">
        <v>2438</v>
      </c>
      <c r="B74" s="51" t="s">
        <v>2346</v>
      </c>
      <c r="C74" s="8" t="s">
        <v>2347</v>
      </c>
      <c r="D74" s="18" t="s">
        <v>2418</v>
      </c>
      <c r="E74" s="36" t="s">
        <v>2385</v>
      </c>
      <c r="F74" s="5"/>
      <c r="G74" s="9" t="s">
        <v>2349</v>
      </c>
      <c r="H74" s="9" t="s">
        <v>1417</v>
      </c>
      <c r="I74" s="5"/>
      <c r="J74" s="18"/>
      <c r="K74" s="9"/>
      <c r="L74" s="9"/>
      <c r="M74" s="12"/>
      <c r="N74" s="31"/>
    </row>
    <row r="75" spans="1:14">
      <c r="A75" s="28" t="s">
        <v>2439</v>
      </c>
      <c r="B75" s="51" t="s">
        <v>2346</v>
      </c>
      <c r="C75" s="8" t="s">
        <v>2347</v>
      </c>
      <c r="D75" s="18" t="s">
        <v>2418</v>
      </c>
      <c r="E75" s="36" t="s">
        <v>2387</v>
      </c>
      <c r="F75" s="5"/>
      <c r="G75" s="9" t="s">
        <v>2349</v>
      </c>
      <c r="H75" s="9" t="s">
        <v>1417</v>
      </c>
      <c r="I75" s="5"/>
      <c r="J75" s="18"/>
      <c r="K75" s="9"/>
      <c r="L75" s="9"/>
      <c r="M75" s="12"/>
      <c r="N75" s="31"/>
    </row>
    <row r="76" spans="1:14">
      <c r="A76" s="28" t="s">
        <v>2440</v>
      </c>
      <c r="B76" s="51" t="s">
        <v>2346</v>
      </c>
      <c r="C76" s="8" t="s">
        <v>2347</v>
      </c>
      <c r="D76" s="18" t="s">
        <v>2418</v>
      </c>
      <c r="E76" s="36" t="s">
        <v>2389</v>
      </c>
      <c r="F76" s="5"/>
      <c r="G76" s="9" t="s">
        <v>2354</v>
      </c>
      <c r="H76" s="9" t="s">
        <v>1432</v>
      </c>
      <c r="I76" s="5"/>
      <c r="J76" s="18"/>
      <c r="K76" s="9"/>
      <c r="L76" s="9"/>
      <c r="M76" s="12"/>
      <c r="N76" s="31"/>
    </row>
    <row r="77" spans="1:14">
      <c r="A77" s="28" t="s">
        <v>2441</v>
      </c>
      <c r="B77" s="51" t="s">
        <v>2346</v>
      </c>
      <c r="C77" s="8" t="s">
        <v>2347</v>
      </c>
      <c r="D77" s="18" t="s">
        <v>2418</v>
      </c>
      <c r="E77" s="36" t="s">
        <v>2391</v>
      </c>
      <c r="F77" s="5"/>
      <c r="G77" s="9" t="s">
        <v>2354</v>
      </c>
      <c r="H77" s="9" t="s">
        <v>1432</v>
      </c>
      <c r="I77" s="5"/>
      <c r="J77" s="18"/>
      <c r="K77" s="9"/>
      <c r="L77" s="9"/>
      <c r="M77" s="12"/>
      <c r="N77" s="31"/>
    </row>
    <row r="78" spans="1:14">
      <c r="A78" s="28" t="s">
        <v>2442</v>
      </c>
      <c r="B78" s="51" t="s">
        <v>2346</v>
      </c>
      <c r="C78" s="8" t="s">
        <v>2347</v>
      </c>
      <c r="D78" s="18" t="s">
        <v>2443</v>
      </c>
      <c r="E78" s="36" t="s">
        <v>1371</v>
      </c>
      <c r="F78" s="5"/>
      <c r="G78" s="9" t="s">
        <v>2349</v>
      </c>
      <c r="H78" s="9" t="s">
        <v>1417</v>
      </c>
      <c r="I78" s="5"/>
      <c r="J78" s="18"/>
      <c r="K78" s="9"/>
      <c r="L78" s="9"/>
      <c r="M78" s="12"/>
      <c r="N78" s="31"/>
    </row>
    <row r="79" spans="1:14">
      <c r="A79" s="28" t="s">
        <v>2444</v>
      </c>
      <c r="B79" s="51" t="s">
        <v>2346</v>
      </c>
      <c r="C79" s="8" t="s">
        <v>2347</v>
      </c>
      <c r="D79" s="18" t="s">
        <v>2443</v>
      </c>
      <c r="E79" s="36" t="s">
        <v>1373</v>
      </c>
      <c r="F79" s="5"/>
      <c r="G79" s="9" t="s">
        <v>2349</v>
      </c>
      <c r="H79" s="9" t="s">
        <v>1401</v>
      </c>
      <c r="I79" s="5"/>
      <c r="J79" s="18"/>
      <c r="K79" s="9"/>
      <c r="L79" s="9"/>
      <c r="M79" s="12"/>
      <c r="N79" s="31"/>
    </row>
    <row r="80" spans="1:14">
      <c r="A80" s="28" t="s">
        <v>2445</v>
      </c>
      <c r="B80" s="51" t="s">
        <v>2346</v>
      </c>
      <c r="C80" s="8" t="s">
        <v>2347</v>
      </c>
      <c r="D80" s="18" t="s">
        <v>2443</v>
      </c>
      <c r="E80" s="36" t="s">
        <v>1374</v>
      </c>
      <c r="F80" s="5"/>
      <c r="G80" s="9" t="s">
        <v>2354</v>
      </c>
      <c r="H80" s="9" t="s">
        <v>1401</v>
      </c>
      <c r="I80" s="5"/>
      <c r="J80" s="18"/>
      <c r="K80" s="9"/>
      <c r="L80" s="9"/>
      <c r="M80" s="12"/>
      <c r="N80" s="31"/>
    </row>
    <row r="81" spans="1:14">
      <c r="A81" s="28" t="s">
        <v>2446</v>
      </c>
      <c r="B81" s="51" t="s">
        <v>2346</v>
      </c>
      <c r="C81" s="8" t="s">
        <v>2347</v>
      </c>
      <c r="D81" s="18" t="s">
        <v>2443</v>
      </c>
      <c r="E81" s="36" t="s">
        <v>1375</v>
      </c>
      <c r="F81" s="5"/>
      <c r="G81" s="9" t="s">
        <v>2349</v>
      </c>
      <c r="H81" s="9" t="s">
        <v>1401</v>
      </c>
      <c r="I81" s="5"/>
      <c r="J81" s="18"/>
      <c r="K81" s="9"/>
      <c r="L81" s="9"/>
      <c r="M81" s="12"/>
      <c r="N81" s="31"/>
    </row>
    <row r="82" spans="1:14">
      <c r="A82" s="28" t="s">
        <v>2447</v>
      </c>
      <c r="B82" s="51" t="s">
        <v>2346</v>
      </c>
      <c r="C82" s="8" t="s">
        <v>2347</v>
      </c>
      <c r="D82" s="18" t="s">
        <v>2443</v>
      </c>
      <c r="E82" s="36" t="s">
        <v>1376</v>
      </c>
      <c r="F82" s="5"/>
      <c r="G82" s="9" t="s">
        <v>2349</v>
      </c>
      <c r="H82" s="9" t="s">
        <v>1401</v>
      </c>
      <c r="I82" s="5"/>
      <c r="J82" s="18"/>
      <c r="K82" s="9"/>
      <c r="L82" s="9"/>
      <c r="M82" s="12"/>
      <c r="N82" s="31"/>
    </row>
    <row r="83" spans="1:14">
      <c r="A83" s="28" t="s">
        <v>2448</v>
      </c>
      <c r="B83" s="51" t="s">
        <v>2346</v>
      </c>
      <c r="C83" s="8" t="s">
        <v>2347</v>
      </c>
      <c r="D83" s="18" t="s">
        <v>2443</v>
      </c>
      <c r="E83" s="36" t="s">
        <v>1377</v>
      </c>
      <c r="F83" s="5"/>
      <c r="G83" s="9" t="s">
        <v>2349</v>
      </c>
      <c r="H83" s="9" t="s">
        <v>1401</v>
      </c>
      <c r="I83" s="5"/>
      <c r="J83" s="18"/>
      <c r="K83" s="9"/>
      <c r="L83" s="9"/>
      <c r="M83" s="12"/>
      <c r="N83" s="31"/>
    </row>
    <row r="84" spans="1:14">
      <c r="A84" s="28" t="s">
        <v>2449</v>
      </c>
      <c r="B84" s="51" t="s">
        <v>2346</v>
      </c>
      <c r="C84" s="8" t="s">
        <v>2347</v>
      </c>
      <c r="D84" s="18" t="s">
        <v>2443</v>
      </c>
      <c r="E84" s="36" t="s">
        <v>1378</v>
      </c>
      <c r="F84" s="5"/>
      <c r="G84" s="9" t="s">
        <v>2349</v>
      </c>
      <c r="H84" s="9" t="s">
        <v>1401</v>
      </c>
      <c r="I84" s="5"/>
      <c r="J84" s="18"/>
      <c r="K84" s="9"/>
      <c r="L84" s="9"/>
      <c r="M84" s="12"/>
      <c r="N84" s="31"/>
    </row>
    <row r="85" spans="1:14">
      <c r="A85" s="28" t="s">
        <v>2450</v>
      </c>
      <c r="B85" s="51" t="s">
        <v>2346</v>
      </c>
      <c r="C85" s="8" t="s">
        <v>2347</v>
      </c>
      <c r="D85" s="18" t="s">
        <v>2443</v>
      </c>
      <c r="E85" s="36" t="s">
        <v>2358</v>
      </c>
      <c r="F85" s="5"/>
      <c r="G85" s="9" t="s">
        <v>2349</v>
      </c>
      <c r="H85" s="9" t="s">
        <v>1401</v>
      </c>
      <c r="I85" s="5"/>
      <c r="J85" s="18"/>
      <c r="K85" s="9"/>
      <c r="L85" s="9"/>
      <c r="M85" s="12"/>
      <c r="N85" s="31"/>
    </row>
    <row r="86" spans="1:14">
      <c r="A86" s="28" t="s">
        <v>2451</v>
      </c>
      <c r="B86" s="51" t="s">
        <v>2346</v>
      </c>
      <c r="C86" s="8" t="s">
        <v>2347</v>
      </c>
      <c r="D86" s="18" t="s">
        <v>2443</v>
      </c>
      <c r="E86" s="36" t="s">
        <v>2360</v>
      </c>
      <c r="F86" s="5"/>
      <c r="G86" s="9" t="s">
        <v>2349</v>
      </c>
      <c r="H86" s="9" t="s">
        <v>1401</v>
      </c>
      <c r="I86" s="5"/>
      <c r="J86" s="18"/>
      <c r="K86" s="9"/>
      <c r="L86" s="9"/>
      <c r="M86" s="12"/>
      <c r="N86" s="31"/>
    </row>
    <row r="87" spans="1:14">
      <c r="A87" s="28" t="s">
        <v>2452</v>
      </c>
      <c r="B87" s="51" t="s">
        <v>2346</v>
      </c>
      <c r="C87" s="8" t="s">
        <v>2347</v>
      </c>
      <c r="D87" s="18" t="s">
        <v>2443</v>
      </c>
      <c r="E87" s="36" t="s">
        <v>2362</v>
      </c>
      <c r="F87" s="5"/>
      <c r="G87" s="9" t="s">
        <v>2354</v>
      </c>
      <c r="H87" s="9" t="s">
        <v>1417</v>
      </c>
      <c r="I87" s="5"/>
      <c r="J87" s="18"/>
      <c r="K87" s="9"/>
      <c r="L87" s="9"/>
      <c r="M87" s="12"/>
      <c r="N87" s="31"/>
    </row>
    <row r="88" spans="1:14">
      <c r="A88" s="28" t="s">
        <v>2453</v>
      </c>
      <c r="B88" s="51" t="s">
        <v>2346</v>
      </c>
      <c r="C88" s="8" t="s">
        <v>2347</v>
      </c>
      <c r="D88" s="18" t="s">
        <v>2443</v>
      </c>
      <c r="E88" s="36" t="s">
        <v>2365</v>
      </c>
      <c r="F88" s="5"/>
      <c r="G88" s="9" t="s">
        <v>2354</v>
      </c>
      <c r="H88" s="9" t="s">
        <v>1417</v>
      </c>
      <c r="I88" s="5"/>
      <c r="J88" s="18"/>
      <c r="K88" s="9"/>
      <c r="L88" s="9"/>
      <c r="M88" s="12"/>
      <c r="N88" s="31"/>
    </row>
    <row r="89" spans="1:14">
      <c r="A89" s="28" t="s">
        <v>2454</v>
      </c>
      <c r="B89" s="51" t="s">
        <v>2346</v>
      </c>
      <c r="C89" s="8" t="s">
        <v>2347</v>
      </c>
      <c r="D89" s="18" t="s">
        <v>2443</v>
      </c>
      <c r="E89" s="36" t="s">
        <v>2367</v>
      </c>
      <c r="F89" s="5"/>
      <c r="G89" s="9" t="s">
        <v>2354</v>
      </c>
      <c r="H89" s="9" t="s">
        <v>1417</v>
      </c>
      <c r="I89" s="5"/>
      <c r="J89" s="18"/>
      <c r="K89" s="9"/>
      <c r="L89" s="9"/>
      <c r="M89" s="12"/>
      <c r="N89" s="31"/>
    </row>
    <row r="90" spans="1:14">
      <c r="A90" s="28" t="s">
        <v>2455</v>
      </c>
      <c r="B90" s="51" t="s">
        <v>2346</v>
      </c>
      <c r="C90" s="8" t="s">
        <v>2347</v>
      </c>
      <c r="D90" s="18" t="s">
        <v>2443</v>
      </c>
      <c r="E90" s="36" t="s">
        <v>2369</v>
      </c>
      <c r="F90" s="5"/>
      <c r="G90" s="9" t="s">
        <v>2349</v>
      </c>
      <c r="H90" s="9" t="s">
        <v>1401</v>
      </c>
      <c r="I90" s="5"/>
      <c r="J90" s="18"/>
      <c r="K90" s="9"/>
      <c r="L90" s="9"/>
      <c r="M90" s="12"/>
      <c r="N90" s="31"/>
    </row>
    <row r="91" spans="1:14">
      <c r="A91" s="28" t="s">
        <v>2456</v>
      </c>
      <c r="B91" s="51" t="s">
        <v>2346</v>
      </c>
      <c r="C91" s="8" t="s">
        <v>2347</v>
      </c>
      <c r="D91" s="18" t="s">
        <v>2443</v>
      </c>
      <c r="E91" s="36" t="s">
        <v>2371</v>
      </c>
      <c r="F91" s="5"/>
      <c r="G91" s="9" t="s">
        <v>2349</v>
      </c>
      <c r="H91" s="9" t="s">
        <v>1401</v>
      </c>
      <c r="I91" s="5"/>
      <c r="J91" s="18"/>
      <c r="K91" s="9"/>
      <c r="L91" s="9"/>
      <c r="M91" s="12"/>
      <c r="N91" s="31"/>
    </row>
    <row r="92" spans="1:14">
      <c r="A92" s="28" t="s">
        <v>2457</v>
      </c>
      <c r="B92" s="51" t="s">
        <v>2346</v>
      </c>
      <c r="C92" s="8" t="s">
        <v>2347</v>
      </c>
      <c r="D92" s="18" t="s">
        <v>2443</v>
      </c>
      <c r="E92" s="36" t="s">
        <v>2373</v>
      </c>
      <c r="F92" s="5"/>
      <c r="G92" s="9" t="s">
        <v>2349</v>
      </c>
      <c r="H92" s="9" t="s">
        <v>1401</v>
      </c>
      <c r="I92" s="5"/>
      <c r="J92" s="18"/>
      <c r="K92" s="9"/>
      <c r="L92" s="9"/>
      <c r="M92" s="12"/>
      <c r="N92" s="31"/>
    </row>
    <row r="93" spans="1:14">
      <c r="A93" s="28" t="s">
        <v>2458</v>
      </c>
      <c r="B93" s="51" t="s">
        <v>2346</v>
      </c>
      <c r="C93" s="8" t="s">
        <v>2347</v>
      </c>
      <c r="D93" s="18" t="s">
        <v>2443</v>
      </c>
      <c r="E93" s="36" t="s">
        <v>2375</v>
      </c>
      <c r="F93" s="5"/>
      <c r="G93" s="9" t="s">
        <v>2349</v>
      </c>
      <c r="H93" s="9" t="s">
        <v>1417</v>
      </c>
      <c r="I93" s="5"/>
      <c r="J93" s="18"/>
      <c r="K93" s="9"/>
      <c r="L93" s="9"/>
      <c r="M93" s="12"/>
      <c r="N93" s="31"/>
    </row>
    <row r="94" spans="1:14">
      <c r="A94" s="28" t="s">
        <v>2459</v>
      </c>
      <c r="B94" s="51" t="s">
        <v>2346</v>
      </c>
      <c r="C94" s="8" t="s">
        <v>2347</v>
      </c>
      <c r="D94" s="18" t="s">
        <v>2443</v>
      </c>
      <c r="E94" s="36" t="s">
        <v>2377</v>
      </c>
      <c r="F94" s="5"/>
      <c r="G94" s="9" t="s">
        <v>2349</v>
      </c>
      <c r="H94" s="9" t="s">
        <v>1401</v>
      </c>
      <c r="I94" s="5"/>
      <c r="J94" s="18"/>
      <c r="K94" s="9"/>
      <c r="L94" s="9"/>
      <c r="M94" s="12"/>
      <c r="N94" s="31"/>
    </row>
    <row r="95" spans="1:14">
      <c r="A95" s="28" t="s">
        <v>2460</v>
      </c>
      <c r="B95" s="51" t="s">
        <v>2346</v>
      </c>
      <c r="C95" s="8" t="s">
        <v>2347</v>
      </c>
      <c r="D95" s="18" t="s">
        <v>2443</v>
      </c>
      <c r="E95" s="36" t="s">
        <v>2379</v>
      </c>
      <c r="F95" s="5"/>
      <c r="G95" s="9" t="s">
        <v>2349</v>
      </c>
      <c r="H95" s="9" t="s">
        <v>1401</v>
      </c>
      <c r="I95" s="5"/>
      <c r="J95" s="18"/>
      <c r="K95" s="9"/>
      <c r="L95" s="9"/>
      <c r="M95" s="12"/>
      <c r="N95" s="31"/>
    </row>
    <row r="96" spans="1:14">
      <c r="A96" s="28" t="s">
        <v>2461</v>
      </c>
      <c r="B96" s="51" t="s">
        <v>2346</v>
      </c>
      <c r="C96" s="8" t="s">
        <v>2347</v>
      </c>
      <c r="D96" s="18" t="s">
        <v>2443</v>
      </c>
      <c r="E96" s="36" t="s">
        <v>2381</v>
      </c>
      <c r="F96" s="5"/>
      <c r="G96" s="9" t="s">
        <v>2349</v>
      </c>
      <c r="H96" s="9" t="s">
        <v>1401</v>
      </c>
      <c r="I96" s="5"/>
      <c r="J96" s="18"/>
      <c r="K96" s="9"/>
      <c r="L96" s="9"/>
      <c r="M96" s="12"/>
      <c r="N96" s="31"/>
    </row>
    <row r="97" spans="1:14">
      <c r="A97" s="28" t="s">
        <v>2462</v>
      </c>
      <c r="B97" s="51" t="s">
        <v>2346</v>
      </c>
      <c r="C97" s="8" t="s">
        <v>2347</v>
      </c>
      <c r="D97" s="18" t="s">
        <v>2443</v>
      </c>
      <c r="E97" s="36" t="s">
        <v>2383</v>
      </c>
      <c r="F97" s="5"/>
      <c r="G97" s="9" t="s">
        <v>2354</v>
      </c>
      <c r="H97" s="9" t="s">
        <v>1401</v>
      </c>
      <c r="I97" s="5"/>
      <c r="J97" s="18"/>
      <c r="K97" s="9"/>
      <c r="L97" s="9"/>
      <c r="M97" s="12"/>
      <c r="N97" s="31"/>
    </row>
    <row r="98" spans="1:14">
      <c r="A98" s="28" t="s">
        <v>2463</v>
      </c>
      <c r="B98" s="51" t="s">
        <v>2346</v>
      </c>
      <c r="C98" s="8" t="s">
        <v>2347</v>
      </c>
      <c r="D98" s="18" t="s">
        <v>2443</v>
      </c>
      <c r="E98" s="36" t="s">
        <v>2385</v>
      </c>
      <c r="F98" s="5"/>
      <c r="G98" s="9" t="s">
        <v>2354</v>
      </c>
      <c r="H98" s="9" t="s">
        <v>1417</v>
      </c>
      <c r="I98" s="5"/>
      <c r="J98" s="18"/>
      <c r="K98" s="9"/>
      <c r="L98" s="9"/>
      <c r="M98" s="12"/>
      <c r="N98" s="31"/>
    </row>
    <row r="99" spans="1:14">
      <c r="A99" s="28" t="s">
        <v>2464</v>
      </c>
      <c r="B99" s="51" t="s">
        <v>2346</v>
      </c>
      <c r="C99" s="8" t="s">
        <v>2347</v>
      </c>
      <c r="D99" s="18" t="s">
        <v>2443</v>
      </c>
      <c r="E99" s="36" t="s">
        <v>2387</v>
      </c>
      <c r="F99" s="5"/>
      <c r="G99" s="9" t="s">
        <v>2349</v>
      </c>
      <c r="H99" s="9" t="s">
        <v>1401</v>
      </c>
      <c r="I99" s="5"/>
      <c r="J99" s="18"/>
      <c r="K99" s="9"/>
      <c r="L99" s="9"/>
      <c r="M99" s="12"/>
      <c r="N99" s="31"/>
    </row>
    <row r="100" spans="1:14">
      <c r="A100" s="28" t="s">
        <v>2465</v>
      </c>
      <c r="B100" s="51" t="s">
        <v>2346</v>
      </c>
      <c r="C100" s="8" t="s">
        <v>2347</v>
      </c>
      <c r="D100" s="18" t="s">
        <v>2443</v>
      </c>
      <c r="E100" s="36" t="s">
        <v>2389</v>
      </c>
      <c r="F100" s="5"/>
      <c r="G100" s="9" t="s">
        <v>2354</v>
      </c>
      <c r="H100" s="9" t="s">
        <v>1417</v>
      </c>
      <c r="I100" s="5"/>
      <c r="J100" s="18"/>
      <c r="K100" s="9"/>
      <c r="L100" s="9"/>
      <c r="M100" s="12"/>
      <c r="N100" s="31"/>
    </row>
    <row r="101" spans="1:14">
      <c r="A101" s="28" t="s">
        <v>2466</v>
      </c>
      <c r="B101" s="51" t="s">
        <v>2346</v>
      </c>
      <c r="C101" s="8" t="s">
        <v>2347</v>
      </c>
      <c r="D101" s="18" t="s">
        <v>2443</v>
      </c>
      <c r="E101" s="36" t="s">
        <v>2391</v>
      </c>
      <c r="F101" s="5"/>
      <c r="G101" s="9" t="s">
        <v>2349</v>
      </c>
      <c r="H101" s="9" t="s">
        <v>1401</v>
      </c>
      <c r="I101" s="5"/>
      <c r="J101" s="18"/>
      <c r="K101" s="9"/>
      <c r="L101" s="9"/>
      <c r="M101" s="12"/>
      <c r="N101" s="31"/>
    </row>
    <row r="102" spans="1:14">
      <c r="A102" s="28" t="s">
        <v>2467</v>
      </c>
      <c r="B102" s="51" t="s">
        <v>2346</v>
      </c>
      <c r="C102" s="8" t="s">
        <v>2468</v>
      </c>
      <c r="D102" s="18" t="s">
        <v>2469</v>
      </c>
      <c r="E102" s="36" t="s">
        <v>1371</v>
      </c>
      <c r="F102" s="5"/>
      <c r="G102" s="9" t="s">
        <v>2363</v>
      </c>
      <c r="H102" s="9" t="s">
        <v>1486</v>
      </c>
      <c r="I102" s="5"/>
      <c r="J102" s="18"/>
      <c r="K102" s="9"/>
      <c r="L102" s="9"/>
      <c r="M102" s="12"/>
      <c r="N102" s="31"/>
    </row>
    <row r="103" spans="1:14">
      <c r="A103" s="28" t="s">
        <v>2470</v>
      </c>
      <c r="B103" s="51" t="s">
        <v>2346</v>
      </c>
      <c r="C103" s="8" t="s">
        <v>2468</v>
      </c>
      <c r="D103" s="18" t="s">
        <v>2469</v>
      </c>
      <c r="E103" s="36" t="s">
        <v>1373</v>
      </c>
      <c r="F103" s="5"/>
      <c r="G103" s="9" t="s">
        <v>2349</v>
      </c>
      <c r="H103" s="9" t="s">
        <v>1417</v>
      </c>
      <c r="I103" s="5"/>
      <c r="J103" s="18"/>
      <c r="K103" s="9"/>
      <c r="L103" s="9"/>
      <c r="M103" s="12"/>
      <c r="N103" s="31"/>
    </row>
    <row r="104" spans="1:14">
      <c r="A104" s="28" t="s">
        <v>2471</v>
      </c>
      <c r="B104" s="51" t="s">
        <v>2346</v>
      </c>
      <c r="C104" s="8" t="s">
        <v>2468</v>
      </c>
      <c r="D104" s="18" t="s">
        <v>2469</v>
      </c>
      <c r="E104" s="36" t="s">
        <v>1374</v>
      </c>
      <c r="F104" s="5"/>
      <c r="G104" s="9" t="s">
        <v>2349</v>
      </c>
      <c r="H104" s="9" t="s">
        <v>1417</v>
      </c>
      <c r="I104" s="5"/>
      <c r="J104" s="18"/>
      <c r="K104" s="9"/>
      <c r="L104" s="9"/>
      <c r="M104" s="12"/>
      <c r="N104" s="31"/>
    </row>
    <row r="105" spans="1:14">
      <c r="A105" s="28" t="s">
        <v>2472</v>
      </c>
      <c r="B105" s="51" t="s">
        <v>2346</v>
      </c>
      <c r="C105" s="8" t="s">
        <v>2468</v>
      </c>
      <c r="D105" s="18" t="s">
        <v>2348</v>
      </c>
      <c r="E105" s="36" t="s">
        <v>1371</v>
      </c>
      <c r="F105" s="5"/>
      <c r="G105" s="9" t="s">
        <v>2363</v>
      </c>
      <c r="H105" s="9" t="s">
        <v>1486</v>
      </c>
      <c r="I105" s="5"/>
      <c r="J105" s="18"/>
      <c r="K105" s="9"/>
      <c r="L105" s="9"/>
      <c r="M105" s="12"/>
      <c r="N105" s="31"/>
    </row>
    <row r="106" spans="1:14">
      <c r="A106" s="28" t="s">
        <v>2473</v>
      </c>
      <c r="B106" s="51" t="s">
        <v>2346</v>
      </c>
      <c r="C106" s="8" t="s">
        <v>2468</v>
      </c>
      <c r="D106" s="18" t="s">
        <v>2348</v>
      </c>
      <c r="E106" s="36" t="s">
        <v>1373</v>
      </c>
      <c r="F106" s="5"/>
      <c r="G106" s="9" t="s">
        <v>2349</v>
      </c>
      <c r="H106" s="9" t="s">
        <v>1401</v>
      </c>
      <c r="I106" s="5"/>
      <c r="J106" s="18"/>
      <c r="K106" s="9"/>
      <c r="L106" s="9"/>
      <c r="M106" s="12"/>
      <c r="N106" s="31"/>
    </row>
    <row r="107" spans="1:14">
      <c r="A107" s="28" t="s">
        <v>2474</v>
      </c>
      <c r="B107" s="51" t="s">
        <v>2346</v>
      </c>
      <c r="C107" s="8" t="s">
        <v>2468</v>
      </c>
      <c r="D107" s="18" t="s">
        <v>2348</v>
      </c>
      <c r="E107" s="36" t="s">
        <v>1374</v>
      </c>
      <c r="F107" s="5"/>
      <c r="G107" s="9" t="s">
        <v>2349</v>
      </c>
      <c r="H107" s="9" t="s">
        <v>1401</v>
      </c>
      <c r="I107" s="5"/>
      <c r="J107" s="18"/>
      <c r="K107" s="9"/>
      <c r="L107" s="9"/>
      <c r="M107" s="12"/>
      <c r="N107" s="31"/>
    </row>
    <row r="108" spans="1:14">
      <c r="A108" s="28" t="s">
        <v>2475</v>
      </c>
      <c r="B108" s="51" t="s">
        <v>2346</v>
      </c>
      <c r="C108" s="8" t="s">
        <v>2468</v>
      </c>
      <c r="D108" s="18" t="s">
        <v>2348</v>
      </c>
      <c r="E108" s="36" t="s">
        <v>1375</v>
      </c>
      <c r="F108" s="5"/>
      <c r="G108" s="9" t="s">
        <v>2349</v>
      </c>
      <c r="H108" s="9" t="s">
        <v>1417</v>
      </c>
      <c r="I108" s="5"/>
      <c r="J108" s="18"/>
      <c r="K108" s="9"/>
      <c r="L108" s="9"/>
      <c r="M108" s="12"/>
      <c r="N108" s="31"/>
    </row>
    <row r="109" spans="1:14">
      <c r="A109" s="28" t="s">
        <v>2476</v>
      </c>
      <c r="B109" s="51" t="s">
        <v>2346</v>
      </c>
      <c r="C109" s="8" t="s">
        <v>2468</v>
      </c>
      <c r="D109" s="18" t="s">
        <v>2348</v>
      </c>
      <c r="E109" s="36" t="s">
        <v>1376</v>
      </c>
      <c r="F109" s="5"/>
      <c r="G109" s="9" t="s">
        <v>2349</v>
      </c>
      <c r="H109" s="9" t="s">
        <v>1417</v>
      </c>
      <c r="I109" s="5"/>
      <c r="J109" s="18"/>
      <c r="K109" s="9"/>
      <c r="L109" s="9"/>
      <c r="M109" s="12"/>
      <c r="N109" s="31"/>
    </row>
    <row r="110" spans="1:14">
      <c r="A110" s="28" t="s">
        <v>2477</v>
      </c>
      <c r="B110" s="51" t="s">
        <v>2346</v>
      </c>
      <c r="C110" s="8" t="s">
        <v>2468</v>
      </c>
      <c r="D110" s="18" t="s">
        <v>2348</v>
      </c>
      <c r="E110" s="36" t="s">
        <v>1377</v>
      </c>
      <c r="F110" s="5"/>
      <c r="G110" s="9" t="s">
        <v>2354</v>
      </c>
      <c r="H110" s="9" t="s">
        <v>1417</v>
      </c>
      <c r="I110" s="5"/>
      <c r="J110" s="18"/>
      <c r="K110" s="9"/>
      <c r="L110" s="9"/>
      <c r="M110" s="12"/>
      <c r="N110" s="31"/>
    </row>
    <row r="111" spans="1:14">
      <c r="A111" s="28" t="s">
        <v>2478</v>
      </c>
      <c r="B111" s="51" t="s">
        <v>2346</v>
      </c>
      <c r="C111" s="8" t="s">
        <v>2468</v>
      </c>
      <c r="D111" s="18" t="s">
        <v>2348</v>
      </c>
      <c r="E111" s="36" t="s">
        <v>1378</v>
      </c>
      <c r="F111" s="5"/>
      <c r="G111" s="9" t="s">
        <v>2349</v>
      </c>
      <c r="H111" s="9" t="s">
        <v>1417</v>
      </c>
      <c r="I111" s="5"/>
      <c r="J111" s="18"/>
      <c r="K111" s="9"/>
      <c r="L111" s="9"/>
      <c r="M111" s="12"/>
      <c r="N111" s="31"/>
    </row>
    <row r="112" spans="1:14">
      <c r="A112" s="28" t="s">
        <v>2479</v>
      </c>
      <c r="B112" s="51" t="s">
        <v>2346</v>
      </c>
      <c r="C112" s="8" t="s">
        <v>2468</v>
      </c>
      <c r="D112" s="18" t="s">
        <v>2348</v>
      </c>
      <c r="E112" s="36" t="s">
        <v>2358</v>
      </c>
      <c r="F112" s="5"/>
      <c r="G112" s="9" t="s">
        <v>2349</v>
      </c>
      <c r="H112" s="9" t="s">
        <v>1417</v>
      </c>
      <c r="I112" s="5"/>
      <c r="J112" s="18"/>
      <c r="K112" s="9"/>
      <c r="L112" s="9"/>
      <c r="M112" s="12"/>
      <c r="N112" s="31"/>
    </row>
    <row r="113" spans="1:14">
      <c r="A113" s="28" t="s">
        <v>2480</v>
      </c>
      <c r="B113" s="51" t="s">
        <v>2346</v>
      </c>
      <c r="C113" s="8" t="s">
        <v>2468</v>
      </c>
      <c r="D113" s="18" t="s">
        <v>2348</v>
      </c>
      <c r="E113" s="36" t="s">
        <v>2360</v>
      </c>
      <c r="F113" s="5"/>
      <c r="G113" s="9" t="s">
        <v>2349</v>
      </c>
      <c r="H113" s="9" t="s">
        <v>1401</v>
      </c>
      <c r="I113" s="5"/>
      <c r="J113" s="18"/>
      <c r="K113" s="9"/>
      <c r="L113" s="9"/>
      <c r="M113" s="12"/>
      <c r="N113" s="31"/>
    </row>
    <row r="114" spans="1:14">
      <c r="A114" s="28" t="s">
        <v>2481</v>
      </c>
      <c r="B114" s="51" t="s">
        <v>2346</v>
      </c>
      <c r="C114" s="8" t="s">
        <v>2468</v>
      </c>
      <c r="D114" s="18" t="s">
        <v>2348</v>
      </c>
      <c r="E114" s="36" t="s">
        <v>2362</v>
      </c>
      <c r="F114" s="5"/>
      <c r="G114" s="9" t="s">
        <v>2363</v>
      </c>
      <c r="H114" s="9" t="s">
        <v>1486</v>
      </c>
      <c r="I114" s="5"/>
      <c r="J114" s="18"/>
      <c r="K114" s="9"/>
      <c r="L114" s="9"/>
      <c r="M114" s="12"/>
      <c r="N114" s="31"/>
    </row>
    <row r="115" spans="1:14">
      <c r="A115" s="28" t="s">
        <v>2482</v>
      </c>
      <c r="B115" s="51" t="s">
        <v>2346</v>
      </c>
      <c r="C115" s="8" t="s">
        <v>2468</v>
      </c>
      <c r="D115" s="18" t="s">
        <v>2348</v>
      </c>
      <c r="E115" s="36" t="s">
        <v>2365</v>
      </c>
      <c r="F115" s="5"/>
      <c r="G115" s="9" t="s">
        <v>2349</v>
      </c>
      <c r="H115" s="9" t="s">
        <v>1417</v>
      </c>
      <c r="I115" s="5"/>
      <c r="J115" s="18"/>
      <c r="K115" s="9"/>
      <c r="L115" s="9"/>
      <c r="M115" s="12"/>
      <c r="N115" s="31"/>
    </row>
    <row r="116" spans="1:14">
      <c r="A116" s="28" t="s">
        <v>2483</v>
      </c>
      <c r="B116" s="51" t="s">
        <v>2346</v>
      </c>
      <c r="C116" s="8" t="s">
        <v>2468</v>
      </c>
      <c r="D116" s="18" t="s">
        <v>2348</v>
      </c>
      <c r="E116" s="36" t="s">
        <v>2367</v>
      </c>
      <c r="F116" s="5"/>
      <c r="G116" s="9" t="s">
        <v>2349</v>
      </c>
      <c r="H116" s="9" t="s">
        <v>1401</v>
      </c>
      <c r="I116" s="5"/>
      <c r="J116" s="18"/>
      <c r="K116" s="9"/>
      <c r="L116" s="9"/>
      <c r="M116" s="12"/>
      <c r="N116" s="31"/>
    </row>
    <row r="117" spans="1:14">
      <c r="A117" s="28" t="s">
        <v>2484</v>
      </c>
      <c r="B117" s="51" t="s">
        <v>2346</v>
      </c>
      <c r="C117" s="8" t="s">
        <v>2468</v>
      </c>
      <c r="D117" s="18" t="s">
        <v>2348</v>
      </c>
      <c r="E117" s="36" t="s">
        <v>2369</v>
      </c>
      <c r="F117" s="5"/>
      <c r="G117" s="9" t="s">
        <v>2354</v>
      </c>
      <c r="H117" s="9" t="s">
        <v>1417</v>
      </c>
      <c r="I117" s="5"/>
      <c r="J117" s="18"/>
      <c r="K117" s="9"/>
      <c r="L117" s="9"/>
      <c r="M117" s="12"/>
      <c r="N117" s="31"/>
    </row>
    <row r="118" spans="1:14">
      <c r="A118" s="28" t="s">
        <v>2485</v>
      </c>
      <c r="B118" s="51" t="s">
        <v>2346</v>
      </c>
      <c r="C118" s="8" t="s">
        <v>2468</v>
      </c>
      <c r="D118" s="18" t="s">
        <v>2348</v>
      </c>
      <c r="E118" s="36" t="s">
        <v>2371</v>
      </c>
      <c r="F118" s="5"/>
      <c r="G118" s="9" t="s">
        <v>2363</v>
      </c>
      <c r="H118" s="9" t="s">
        <v>1486</v>
      </c>
      <c r="I118" s="5"/>
      <c r="J118" s="18"/>
      <c r="K118" s="9"/>
      <c r="L118" s="9"/>
      <c r="M118" s="12"/>
      <c r="N118" s="31"/>
    </row>
    <row r="119" spans="1:14">
      <c r="A119" s="28" t="s">
        <v>2486</v>
      </c>
      <c r="B119" s="51" t="s">
        <v>2346</v>
      </c>
      <c r="C119" s="8" t="s">
        <v>2468</v>
      </c>
      <c r="D119" s="18" t="s">
        <v>2348</v>
      </c>
      <c r="E119" s="36" t="s">
        <v>2373</v>
      </c>
      <c r="F119" s="5"/>
      <c r="G119" s="9" t="s">
        <v>2363</v>
      </c>
      <c r="H119" s="9" t="s">
        <v>1486</v>
      </c>
      <c r="I119" s="5"/>
      <c r="J119" s="18"/>
      <c r="K119" s="9"/>
      <c r="L119" s="9"/>
      <c r="M119" s="12"/>
      <c r="N119" s="31"/>
    </row>
    <row r="120" spans="1:14">
      <c r="A120" s="28" t="s">
        <v>2487</v>
      </c>
      <c r="B120" s="51" t="s">
        <v>2346</v>
      </c>
      <c r="C120" s="8" t="s">
        <v>2468</v>
      </c>
      <c r="D120" s="18" t="s">
        <v>2348</v>
      </c>
      <c r="E120" s="36" t="s">
        <v>2375</v>
      </c>
      <c r="F120" s="5"/>
      <c r="G120" s="9" t="s">
        <v>2349</v>
      </c>
      <c r="H120" s="9" t="s">
        <v>1417</v>
      </c>
      <c r="I120" s="5"/>
      <c r="J120" s="18"/>
      <c r="K120" s="9"/>
      <c r="L120" s="9"/>
      <c r="M120" s="12"/>
      <c r="N120" s="31"/>
    </row>
    <row r="121" spans="1:14">
      <c r="A121" s="28" t="s">
        <v>2488</v>
      </c>
      <c r="B121" s="51" t="s">
        <v>2346</v>
      </c>
      <c r="C121" s="8" t="s">
        <v>2468</v>
      </c>
      <c r="D121" s="18" t="s">
        <v>2348</v>
      </c>
      <c r="E121" s="36" t="s">
        <v>2377</v>
      </c>
      <c r="F121" s="5"/>
      <c r="G121" s="9" t="s">
        <v>2354</v>
      </c>
      <c r="H121" s="9" t="s">
        <v>1432</v>
      </c>
      <c r="I121" s="5"/>
      <c r="J121" s="18"/>
      <c r="K121" s="9"/>
      <c r="L121" s="9"/>
      <c r="M121" s="12"/>
      <c r="N121" s="31"/>
    </row>
    <row r="122" spans="1:14">
      <c r="A122" s="28" t="s">
        <v>2489</v>
      </c>
      <c r="B122" s="51" t="s">
        <v>2346</v>
      </c>
      <c r="C122" s="8" t="s">
        <v>2468</v>
      </c>
      <c r="D122" s="18" t="s">
        <v>2348</v>
      </c>
      <c r="E122" s="36" t="s">
        <v>2379</v>
      </c>
      <c r="F122" s="5"/>
      <c r="G122" s="9" t="s">
        <v>2349</v>
      </c>
      <c r="H122" s="9" t="s">
        <v>1401</v>
      </c>
      <c r="I122" s="5"/>
      <c r="J122" s="18"/>
      <c r="K122" s="9"/>
      <c r="L122" s="9"/>
      <c r="M122" s="12"/>
      <c r="N122" s="31"/>
    </row>
    <row r="123" spans="1:14">
      <c r="A123" s="28" t="s">
        <v>2490</v>
      </c>
      <c r="B123" s="51" t="s">
        <v>2346</v>
      </c>
      <c r="C123" s="8" t="s">
        <v>2468</v>
      </c>
      <c r="D123" s="18" t="s">
        <v>2348</v>
      </c>
      <c r="E123" s="36" t="s">
        <v>2381</v>
      </c>
      <c r="F123" s="5"/>
      <c r="G123" s="9" t="s">
        <v>2349</v>
      </c>
      <c r="H123" s="9" t="s">
        <v>1417</v>
      </c>
      <c r="I123" s="5"/>
      <c r="J123" s="18"/>
      <c r="K123" s="9"/>
      <c r="L123" s="9"/>
      <c r="M123" s="12"/>
      <c r="N123" s="31"/>
    </row>
    <row r="124" spans="1:14">
      <c r="A124" s="28" t="s">
        <v>2491</v>
      </c>
      <c r="B124" s="51" t="s">
        <v>2346</v>
      </c>
      <c r="C124" s="8" t="s">
        <v>2468</v>
      </c>
      <c r="D124" s="18" t="s">
        <v>2348</v>
      </c>
      <c r="E124" s="36" t="s">
        <v>2383</v>
      </c>
      <c r="F124" s="5"/>
      <c r="G124" s="9" t="s">
        <v>2349</v>
      </c>
      <c r="H124" s="9" t="s">
        <v>1417</v>
      </c>
      <c r="I124" s="5"/>
      <c r="J124" s="18"/>
      <c r="K124" s="9"/>
      <c r="L124" s="9"/>
      <c r="M124" s="12"/>
      <c r="N124" s="31"/>
    </row>
    <row r="125" spans="1:14">
      <c r="A125" s="28" t="s">
        <v>2492</v>
      </c>
      <c r="B125" s="51" t="s">
        <v>2346</v>
      </c>
      <c r="C125" s="8" t="s">
        <v>2468</v>
      </c>
      <c r="D125" s="18" t="s">
        <v>2348</v>
      </c>
      <c r="E125" s="36" t="s">
        <v>2385</v>
      </c>
      <c r="F125" s="5"/>
      <c r="G125" s="9" t="s">
        <v>2363</v>
      </c>
      <c r="H125" s="9" t="s">
        <v>1486</v>
      </c>
      <c r="I125" s="5"/>
      <c r="J125" s="18"/>
      <c r="K125" s="9"/>
      <c r="L125" s="9"/>
      <c r="M125" s="12"/>
      <c r="N125" s="31"/>
    </row>
    <row r="126" spans="1:14">
      <c r="A126" s="28" t="s">
        <v>2493</v>
      </c>
      <c r="B126" s="51" t="s">
        <v>2346</v>
      </c>
      <c r="C126" s="8" t="s">
        <v>2468</v>
      </c>
      <c r="D126" s="18" t="s">
        <v>2348</v>
      </c>
      <c r="E126" s="36" t="s">
        <v>2387</v>
      </c>
      <c r="F126" s="5"/>
      <c r="G126" s="9" t="s">
        <v>2349</v>
      </c>
      <c r="H126" s="9" t="s">
        <v>1417</v>
      </c>
      <c r="I126" s="5"/>
      <c r="J126" s="18"/>
      <c r="K126" s="9"/>
      <c r="L126" s="9"/>
      <c r="M126" s="12"/>
      <c r="N126" s="31"/>
    </row>
    <row r="127" spans="1:14">
      <c r="A127" s="28" t="s">
        <v>2494</v>
      </c>
      <c r="B127" s="51" t="s">
        <v>2346</v>
      </c>
      <c r="C127" s="8" t="s">
        <v>2468</v>
      </c>
      <c r="D127" s="18" t="s">
        <v>2348</v>
      </c>
      <c r="E127" s="36" t="s">
        <v>2389</v>
      </c>
      <c r="F127" s="5"/>
      <c r="G127" s="9" t="s">
        <v>2349</v>
      </c>
      <c r="H127" s="9" t="s">
        <v>1417</v>
      </c>
      <c r="I127" s="5"/>
      <c r="J127" s="18"/>
      <c r="K127" s="9"/>
      <c r="L127" s="9"/>
      <c r="M127" s="12"/>
      <c r="N127" s="31"/>
    </row>
    <row r="128" spans="1:14">
      <c r="A128" s="28" t="s">
        <v>2495</v>
      </c>
      <c r="B128" s="51" t="s">
        <v>2346</v>
      </c>
      <c r="C128" s="8" t="s">
        <v>2468</v>
      </c>
      <c r="D128" s="18" t="s">
        <v>2348</v>
      </c>
      <c r="E128" s="36" t="s">
        <v>2391</v>
      </c>
      <c r="F128" s="5"/>
      <c r="G128" s="9" t="s">
        <v>2349</v>
      </c>
      <c r="H128" s="9" t="s">
        <v>1486</v>
      </c>
      <c r="I128" s="5"/>
      <c r="J128" s="18"/>
      <c r="K128" s="9"/>
      <c r="L128" s="9"/>
      <c r="M128" s="12"/>
      <c r="N128" s="31"/>
    </row>
    <row r="129" spans="1:14">
      <c r="A129" s="28" t="s">
        <v>2496</v>
      </c>
      <c r="B129" s="51" t="s">
        <v>2346</v>
      </c>
      <c r="C129" s="8" t="s">
        <v>2468</v>
      </c>
      <c r="D129" s="18" t="s">
        <v>2393</v>
      </c>
      <c r="E129" s="36" t="s">
        <v>1371</v>
      </c>
      <c r="F129" s="5"/>
      <c r="G129" s="9" t="s">
        <v>2349</v>
      </c>
      <c r="H129" s="9" t="s">
        <v>1401</v>
      </c>
      <c r="I129" s="5"/>
      <c r="J129" s="18"/>
      <c r="K129" s="9"/>
      <c r="L129" s="9"/>
      <c r="M129" s="12"/>
      <c r="N129" s="31"/>
    </row>
    <row r="130" spans="1:14">
      <c r="A130" s="28" t="s">
        <v>2497</v>
      </c>
      <c r="B130" s="51" t="s">
        <v>2346</v>
      </c>
      <c r="C130" s="8" t="s">
        <v>2468</v>
      </c>
      <c r="D130" s="18" t="s">
        <v>2393</v>
      </c>
      <c r="E130" s="36" t="s">
        <v>1373</v>
      </c>
      <c r="F130" s="5"/>
      <c r="G130" s="9" t="s">
        <v>2349</v>
      </c>
      <c r="H130" s="9" t="s">
        <v>1417</v>
      </c>
      <c r="I130" s="5"/>
      <c r="J130" s="18"/>
      <c r="K130" s="9"/>
      <c r="L130" s="9"/>
      <c r="M130" s="12"/>
      <c r="N130" s="31"/>
    </row>
    <row r="131" spans="1:14">
      <c r="A131" s="28" t="s">
        <v>2498</v>
      </c>
      <c r="B131" s="51" t="s">
        <v>2346</v>
      </c>
      <c r="C131" s="8" t="s">
        <v>2468</v>
      </c>
      <c r="D131" s="18" t="s">
        <v>2393</v>
      </c>
      <c r="E131" s="36" t="s">
        <v>1374</v>
      </c>
      <c r="F131" s="5"/>
      <c r="G131" s="9" t="s">
        <v>2349</v>
      </c>
      <c r="H131" s="9" t="s">
        <v>1417</v>
      </c>
      <c r="I131" s="5"/>
      <c r="J131" s="18"/>
      <c r="K131" s="9"/>
      <c r="L131" s="9"/>
      <c r="M131" s="12"/>
      <c r="N131" s="31"/>
    </row>
    <row r="132" spans="1:14">
      <c r="A132" s="28" t="s">
        <v>2499</v>
      </c>
      <c r="B132" s="51" t="s">
        <v>2346</v>
      </c>
      <c r="C132" s="8" t="s">
        <v>2468</v>
      </c>
      <c r="D132" s="18" t="s">
        <v>2393</v>
      </c>
      <c r="E132" s="36" t="s">
        <v>1375</v>
      </c>
      <c r="F132" s="5"/>
      <c r="G132" s="9" t="s">
        <v>2349</v>
      </c>
      <c r="H132" s="9" t="s">
        <v>1417</v>
      </c>
      <c r="I132" s="5"/>
      <c r="J132" s="18"/>
      <c r="K132" s="9"/>
      <c r="L132" s="9"/>
      <c r="M132" s="12"/>
      <c r="N132" s="31"/>
    </row>
    <row r="133" spans="1:14">
      <c r="A133" s="28" t="s">
        <v>2500</v>
      </c>
      <c r="B133" s="51" t="s">
        <v>2346</v>
      </c>
      <c r="C133" s="8" t="s">
        <v>2468</v>
      </c>
      <c r="D133" s="18" t="s">
        <v>2393</v>
      </c>
      <c r="E133" s="36" t="s">
        <v>1376</v>
      </c>
      <c r="F133" s="5"/>
      <c r="G133" s="9" t="s">
        <v>2349</v>
      </c>
      <c r="H133" s="9" t="s">
        <v>1417</v>
      </c>
      <c r="I133" s="5"/>
      <c r="J133" s="18"/>
      <c r="K133" s="9"/>
      <c r="L133" s="9"/>
      <c r="M133" s="12"/>
      <c r="N133" s="31"/>
    </row>
    <row r="134" spans="1:14">
      <c r="A134" s="28" t="s">
        <v>2501</v>
      </c>
      <c r="B134" s="51" t="s">
        <v>2346</v>
      </c>
      <c r="C134" s="8" t="s">
        <v>2468</v>
      </c>
      <c r="D134" s="18" t="s">
        <v>2393</v>
      </c>
      <c r="E134" s="36" t="s">
        <v>1377</v>
      </c>
      <c r="F134" s="5"/>
      <c r="G134" s="9" t="s">
        <v>2349</v>
      </c>
      <c r="H134" s="9" t="s">
        <v>1486</v>
      </c>
      <c r="I134" s="5"/>
      <c r="J134" s="18"/>
      <c r="K134" s="9"/>
      <c r="L134" s="9"/>
      <c r="M134" s="12"/>
      <c r="N134" s="31"/>
    </row>
    <row r="135" spans="1:14">
      <c r="A135" s="28" t="s">
        <v>2502</v>
      </c>
      <c r="B135" s="51" t="s">
        <v>2346</v>
      </c>
      <c r="C135" s="8" t="s">
        <v>2468</v>
      </c>
      <c r="D135" s="18" t="s">
        <v>2393</v>
      </c>
      <c r="E135" s="36" t="s">
        <v>1378</v>
      </c>
      <c r="F135" s="5"/>
      <c r="G135" s="9" t="s">
        <v>2349</v>
      </c>
      <c r="H135" s="9" t="s">
        <v>1417</v>
      </c>
      <c r="I135" s="5"/>
      <c r="J135" s="18"/>
      <c r="K135" s="9"/>
      <c r="L135" s="9"/>
      <c r="M135" s="12"/>
      <c r="N135" s="31"/>
    </row>
    <row r="136" spans="1:14">
      <c r="A136" s="28" t="s">
        <v>2503</v>
      </c>
      <c r="B136" s="51" t="s">
        <v>2346</v>
      </c>
      <c r="C136" s="8" t="s">
        <v>2468</v>
      </c>
      <c r="D136" s="18" t="s">
        <v>2393</v>
      </c>
      <c r="E136" s="36" t="s">
        <v>2358</v>
      </c>
      <c r="F136" s="5"/>
      <c r="G136" s="9" t="s">
        <v>2349</v>
      </c>
      <c r="H136" s="9" t="s">
        <v>1401</v>
      </c>
      <c r="I136" s="5"/>
      <c r="J136" s="18"/>
      <c r="K136" s="9"/>
      <c r="L136" s="9"/>
      <c r="M136" s="12"/>
      <c r="N136" s="31"/>
    </row>
    <row r="137" spans="1:14">
      <c r="A137" s="28" t="s">
        <v>2504</v>
      </c>
      <c r="B137" s="51" t="s">
        <v>2346</v>
      </c>
      <c r="C137" s="8" t="s">
        <v>2468</v>
      </c>
      <c r="D137" s="18" t="s">
        <v>2393</v>
      </c>
      <c r="E137" s="36" t="s">
        <v>2360</v>
      </c>
      <c r="F137" s="5"/>
      <c r="G137" s="9" t="s">
        <v>2349</v>
      </c>
      <c r="H137" s="9" t="s">
        <v>1417</v>
      </c>
      <c r="I137" s="5"/>
      <c r="J137" s="18"/>
      <c r="K137" s="9"/>
      <c r="L137" s="9"/>
      <c r="M137" s="12"/>
      <c r="N137" s="31"/>
    </row>
    <row r="138" spans="1:14">
      <c r="A138" s="28" t="s">
        <v>2505</v>
      </c>
      <c r="B138" s="51" t="s">
        <v>2346</v>
      </c>
      <c r="C138" s="8" t="s">
        <v>2468</v>
      </c>
      <c r="D138" s="18" t="s">
        <v>2393</v>
      </c>
      <c r="E138" s="36" t="s">
        <v>2362</v>
      </c>
      <c r="F138" s="5"/>
      <c r="G138" s="9" t="s">
        <v>2349</v>
      </c>
      <c r="H138" s="9" t="s">
        <v>1417</v>
      </c>
      <c r="I138" s="5"/>
      <c r="J138" s="18"/>
      <c r="K138" s="9"/>
      <c r="L138" s="9"/>
      <c r="M138" s="12"/>
      <c r="N138" s="31"/>
    </row>
    <row r="139" spans="1:14">
      <c r="A139" s="28" t="s">
        <v>2506</v>
      </c>
      <c r="B139" s="51" t="s">
        <v>2346</v>
      </c>
      <c r="C139" s="8" t="s">
        <v>2468</v>
      </c>
      <c r="D139" s="18" t="s">
        <v>2393</v>
      </c>
      <c r="E139" s="36" t="s">
        <v>2365</v>
      </c>
      <c r="F139" s="5"/>
      <c r="G139" s="9" t="s">
        <v>2349</v>
      </c>
      <c r="H139" s="9" t="s">
        <v>1401</v>
      </c>
      <c r="I139" s="5"/>
      <c r="J139" s="18"/>
      <c r="K139" s="9"/>
      <c r="L139" s="9"/>
      <c r="M139" s="12"/>
      <c r="N139" s="31"/>
    </row>
    <row r="140" spans="1:14">
      <c r="A140" s="28" t="s">
        <v>2507</v>
      </c>
      <c r="B140" s="51" t="s">
        <v>2346</v>
      </c>
      <c r="C140" s="8" t="s">
        <v>2468</v>
      </c>
      <c r="D140" s="18" t="s">
        <v>2393</v>
      </c>
      <c r="E140" s="36" t="s">
        <v>2367</v>
      </c>
      <c r="F140" s="5"/>
      <c r="G140" s="9" t="s">
        <v>2349</v>
      </c>
      <c r="H140" s="9" t="s">
        <v>1417</v>
      </c>
      <c r="I140" s="5"/>
      <c r="J140" s="18"/>
      <c r="K140" s="9"/>
      <c r="L140" s="9"/>
      <c r="M140" s="12"/>
      <c r="N140" s="31"/>
    </row>
    <row r="141" spans="1:14">
      <c r="A141" s="28" t="s">
        <v>2508</v>
      </c>
      <c r="B141" s="51" t="s">
        <v>2346</v>
      </c>
      <c r="C141" s="8" t="s">
        <v>2468</v>
      </c>
      <c r="D141" s="18" t="s">
        <v>2393</v>
      </c>
      <c r="E141" s="36" t="s">
        <v>2369</v>
      </c>
      <c r="F141" s="5"/>
      <c r="G141" s="9" t="s">
        <v>2349</v>
      </c>
      <c r="H141" s="9" t="s">
        <v>1417</v>
      </c>
      <c r="I141" s="5"/>
      <c r="J141" s="18"/>
      <c r="K141" s="9"/>
      <c r="L141" s="9"/>
      <c r="M141" s="12"/>
      <c r="N141" s="31"/>
    </row>
    <row r="142" spans="1:14">
      <c r="A142" s="28" t="s">
        <v>2509</v>
      </c>
      <c r="B142" s="51" t="s">
        <v>2346</v>
      </c>
      <c r="C142" s="8" t="s">
        <v>2468</v>
      </c>
      <c r="D142" s="18" t="s">
        <v>2393</v>
      </c>
      <c r="E142" s="36" t="s">
        <v>2371</v>
      </c>
      <c r="F142" s="5"/>
      <c r="G142" s="9" t="s">
        <v>2349</v>
      </c>
      <c r="H142" s="9" t="s">
        <v>1417</v>
      </c>
      <c r="I142" s="5"/>
      <c r="J142" s="18"/>
      <c r="K142" s="9"/>
      <c r="L142" s="9"/>
      <c r="M142" s="12"/>
      <c r="N142" s="31"/>
    </row>
    <row r="143" spans="1:14">
      <c r="A143" s="28" t="s">
        <v>2510</v>
      </c>
      <c r="B143" s="51" t="s">
        <v>2346</v>
      </c>
      <c r="C143" s="8" t="s">
        <v>2468</v>
      </c>
      <c r="D143" s="18" t="s">
        <v>2393</v>
      </c>
      <c r="E143" s="36" t="s">
        <v>2373</v>
      </c>
      <c r="F143" s="5"/>
      <c r="G143" s="9" t="s">
        <v>2354</v>
      </c>
      <c r="H143" s="9" t="s">
        <v>1417</v>
      </c>
      <c r="I143" s="5"/>
      <c r="J143" s="18"/>
      <c r="K143" s="9"/>
      <c r="L143" s="9"/>
      <c r="M143" s="12"/>
      <c r="N143" s="31"/>
    </row>
    <row r="144" spans="1:14">
      <c r="A144" s="28" t="s">
        <v>2511</v>
      </c>
      <c r="B144" s="51" t="s">
        <v>2346</v>
      </c>
      <c r="C144" s="8" t="s">
        <v>2468</v>
      </c>
      <c r="D144" s="18" t="s">
        <v>2393</v>
      </c>
      <c r="E144" s="36" t="s">
        <v>2375</v>
      </c>
      <c r="F144" s="5"/>
      <c r="G144" s="9" t="s">
        <v>2354</v>
      </c>
      <c r="H144" s="9" t="s">
        <v>1401</v>
      </c>
      <c r="I144" s="5"/>
      <c r="J144" s="18"/>
      <c r="K144" s="9"/>
      <c r="L144" s="9"/>
      <c r="M144" s="12"/>
      <c r="N144" s="31"/>
    </row>
    <row r="145" spans="1:14">
      <c r="A145" s="28" t="s">
        <v>2512</v>
      </c>
      <c r="B145" s="51" t="s">
        <v>2346</v>
      </c>
      <c r="C145" s="8" t="s">
        <v>2468</v>
      </c>
      <c r="D145" s="18" t="s">
        <v>2393</v>
      </c>
      <c r="E145" s="36" t="s">
        <v>2377</v>
      </c>
      <c r="F145" s="5"/>
      <c r="G145" s="9" t="s">
        <v>2363</v>
      </c>
      <c r="H145" s="9" t="s">
        <v>1486</v>
      </c>
      <c r="I145" s="5"/>
      <c r="J145" s="18"/>
      <c r="K145" s="9"/>
      <c r="L145" s="9"/>
      <c r="M145" s="12"/>
      <c r="N145" s="31"/>
    </row>
    <row r="146" spans="1:14">
      <c r="A146" s="28" t="s">
        <v>2513</v>
      </c>
      <c r="B146" s="51" t="s">
        <v>2346</v>
      </c>
      <c r="C146" s="8" t="s">
        <v>2468</v>
      </c>
      <c r="D146" s="18" t="s">
        <v>2393</v>
      </c>
      <c r="E146" s="36" t="s">
        <v>2379</v>
      </c>
      <c r="F146" s="5"/>
      <c r="G146" s="9" t="s">
        <v>2349</v>
      </c>
      <c r="H146" s="9" t="s">
        <v>1417</v>
      </c>
      <c r="I146" s="5"/>
      <c r="J146" s="18"/>
      <c r="K146" s="9"/>
      <c r="L146" s="9"/>
      <c r="M146" s="12"/>
      <c r="N146" s="31"/>
    </row>
    <row r="147" spans="1:14">
      <c r="A147" s="28" t="s">
        <v>2514</v>
      </c>
      <c r="B147" s="51" t="s">
        <v>2346</v>
      </c>
      <c r="C147" s="8" t="s">
        <v>2468</v>
      </c>
      <c r="D147" s="18" t="s">
        <v>2393</v>
      </c>
      <c r="E147" s="36" t="s">
        <v>2381</v>
      </c>
      <c r="F147" s="5"/>
      <c r="G147" s="9" t="s">
        <v>2349</v>
      </c>
      <c r="H147" s="9" t="s">
        <v>1401</v>
      </c>
      <c r="I147" s="5"/>
      <c r="J147" s="18"/>
      <c r="K147" s="9"/>
      <c r="L147" s="9"/>
      <c r="M147" s="12"/>
      <c r="N147" s="31"/>
    </row>
    <row r="148" spans="1:14">
      <c r="A148" s="28" t="s">
        <v>2515</v>
      </c>
      <c r="B148" s="51" t="s">
        <v>2346</v>
      </c>
      <c r="C148" s="8" t="s">
        <v>2468</v>
      </c>
      <c r="D148" s="18" t="s">
        <v>2393</v>
      </c>
      <c r="E148" s="36" t="s">
        <v>2383</v>
      </c>
      <c r="F148" s="5"/>
      <c r="G148" s="9" t="s">
        <v>2349</v>
      </c>
      <c r="H148" s="9" t="s">
        <v>1432</v>
      </c>
      <c r="I148" s="5"/>
      <c r="J148" s="18"/>
      <c r="K148" s="9"/>
      <c r="L148" s="9"/>
      <c r="M148" s="12"/>
      <c r="N148" s="31"/>
    </row>
    <row r="149" spans="1:14">
      <c r="A149" s="28" t="s">
        <v>2516</v>
      </c>
      <c r="B149" s="51" t="s">
        <v>2346</v>
      </c>
      <c r="C149" s="8" t="s">
        <v>2468</v>
      </c>
      <c r="D149" s="18" t="s">
        <v>2393</v>
      </c>
      <c r="E149" s="36" t="s">
        <v>2385</v>
      </c>
      <c r="F149" s="5"/>
      <c r="G149" s="9" t="s">
        <v>2349</v>
      </c>
      <c r="H149" s="9" t="s">
        <v>1417</v>
      </c>
      <c r="I149" s="5"/>
      <c r="J149" s="18"/>
      <c r="K149" s="9"/>
      <c r="L149" s="9"/>
      <c r="M149" s="12"/>
      <c r="N149" s="31"/>
    </row>
    <row r="150" spans="1:14">
      <c r="A150" s="28" t="s">
        <v>2517</v>
      </c>
      <c r="B150" s="51" t="s">
        <v>2346</v>
      </c>
      <c r="C150" s="8" t="s">
        <v>2468</v>
      </c>
      <c r="D150" s="18" t="s">
        <v>2393</v>
      </c>
      <c r="E150" s="36" t="s">
        <v>2387</v>
      </c>
      <c r="F150" s="5"/>
      <c r="G150" s="9" t="s">
        <v>2349</v>
      </c>
      <c r="H150" s="9" t="s">
        <v>1401</v>
      </c>
      <c r="I150" s="5"/>
      <c r="J150" s="18"/>
      <c r="K150" s="9"/>
      <c r="L150" s="9"/>
      <c r="M150" s="12"/>
      <c r="N150" s="31"/>
    </row>
    <row r="151" spans="1:14">
      <c r="A151" s="28" t="s">
        <v>2518</v>
      </c>
      <c r="B151" s="51" t="s">
        <v>2346</v>
      </c>
      <c r="C151" s="8" t="s">
        <v>2468</v>
      </c>
      <c r="D151" s="18" t="s">
        <v>2393</v>
      </c>
      <c r="E151" s="36" t="s">
        <v>2389</v>
      </c>
      <c r="F151" s="5"/>
      <c r="G151" s="9" t="s">
        <v>2349</v>
      </c>
      <c r="H151" s="9" t="s">
        <v>1417</v>
      </c>
      <c r="I151" s="5"/>
      <c r="J151" s="18"/>
      <c r="K151" s="9"/>
      <c r="L151" s="9"/>
      <c r="M151" s="12"/>
      <c r="N151" s="31"/>
    </row>
    <row r="152" spans="1:14">
      <c r="A152" s="28" t="s">
        <v>2519</v>
      </c>
      <c r="B152" s="51" t="s">
        <v>2346</v>
      </c>
      <c r="C152" s="8" t="s">
        <v>2468</v>
      </c>
      <c r="D152" s="18" t="s">
        <v>2393</v>
      </c>
      <c r="E152" s="36" t="s">
        <v>2391</v>
      </c>
      <c r="F152" s="5"/>
      <c r="G152" s="9" t="s">
        <v>2349</v>
      </c>
      <c r="H152" s="9" t="s">
        <v>1401</v>
      </c>
      <c r="I152" s="5"/>
      <c r="J152" s="18"/>
      <c r="K152" s="9"/>
      <c r="L152" s="9"/>
      <c r="M152" s="12"/>
      <c r="N152" s="31"/>
    </row>
    <row r="153" spans="1:14">
      <c r="A153" s="28" t="s">
        <v>2520</v>
      </c>
      <c r="B153" s="51" t="s">
        <v>2346</v>
      </c>
      <c r="C153" s="8" t="s">
        <v>2468</v>
      </c>
      <c r="D153" s="18" t="s">
        <v>2418</v>
      </c>
      <c r="E153" s="36" t="s">
        <v>1371</v>
      </c>
      <c r="F153" s="5"/>
      <c r="G153" s="9" t="s">
        <v>2349</v>
      </c>
      <c r="H153" s="9" t="s">
        <v>1401</v>
      </c>
      <c r="I153" s="5"/>
      <c r="J153" s="18"/>
      <c r="K153" s="9"/>
      <c r="L153" s="9"/>
      <c r="M153" s="12"/>
      <c r="N153" s="31"/>
    </row>
    <row r="154" spans="1:14">
      <c r="A154" s="28" t="s">
        <v>2521</v>
      </c>
      <c r="B154" s="51" t="s">
        <v>2346</v>
      </c>
      <c r="C154" s="8" t="s">
        <v>2468</v>
      </c>
      <c r="D154" s="18" t="s">
        <v>2418</v>
      </c>
      <c r="E154" s="36" t="s">
        <v>1373</v>
      </c>
      <c r="F154" s="5"/>
      <c r="G154" s="9" t="s">
        <v>2349</v>
      </c>
      <c r="H154" s="9" t="s">
        <v>1401</v>
      </c>
      <c r="I154" s="5"/>
      <c r="J154" s="18"/>
      <c r="K154" s="9"/>
      <c r="L154" s="9"/>
      <c r="M154" s="12"/>
      <c r="N154" s="31"/>
    </row>
    <row r="155" spans="1:14">
      <c r="A155" s="28" t="s">
        <v>2522</v>
      </c>
      <c r="B155" s="51" t="s">
        <v>2346</v>
      </c>
      <c r="C155" s="8" t="s">
        <v>2468</v>
      </c>
      <c r="D155" s="18" t="s">
        <v>2418</v>
      </c>
      <c r="E155" s="36" t="s">
        <v>1374</v>
      </c>
      <c r="F155" s="5"/>
      <c r="G155" s="9" t="s">
        <v>2349</v>
      </c>
      <c r="H155" s="9" t="s">
        <v>1401</v>
      </c>
      <c r="I155" s="5"/>
      <c r="J155" s="18"/>
      <c r="K155" s="9"/>
      <c r="L155" s="9"/>
      <c r="M155" s="12"/>
      <c r="N155" s="31"/>
    </row>
    <row r="156" spans="1:14">
      <c r="A156" s="28" t="s">
        <v>2523</v>
      </c>
      <c r="B156" s="51" t="s">
        <v>2346</v>
      </c>
      <c r="C156" s="8" t="s">
        <v>2468</v>
      </c>
      <c r="D156" s="18" t="s">
        <v>2418</v>
      </c>
      <c r="E156" s="36" t="s">
        <v>1375</v>
      </c>
      <c r="F156" s="5"/>
      <c r="G156" s="9" t="s">
        <v>2354</v>
      </c>
      <c r="H156" s="9" t="s">
        <v>1432</v>
      </c>
      <c r="I156" s="5"/>
      <c r="J156" s="18"/>
      <c r="K156" s="9"/>
      <c r="L156" s="9"/>
      <c r="M156" s="12"/>
      <c r="N156" s="31"/>
    </row>
    <row r="157" spans="1:14">
      <c r="A157" s="28" t="s">
        <v>2524</v>
      </c>
      <c r="B157" s="51" t="s">
        <v>2346</v>
      </c>
      <c r="C157" s="8" t="s">
        <v>2468</v>
      </c>
      <c r="D157" s="18" t="s">
        <v>2418</v>
      </c>
      <c r="E157" s="36" t="s">
        <v>1376</v>
      </c>
      <c r="F157" s="5"/>
      <c r="G157" s="9" t="s">
        <v>2349</v>
      </c>
      <c r="H157" s="9" t="s">
        <v>1417</v>
      </c>
      <c r="I157" s="5"/>
      <c r="J157" s="18"/>
      <c r="K157" s="9"/>
      <c r="L157" s="9"/>
      <c r="M157" s="12"/>
      <c r="N157" s="31"/>
    </row>
    <row r="158" spans="1:14">
      <c r="A158" s="28" t="s">
        <v>2525</v>
      </c>
      <c r="B158" s="51" t="s">
        <v>2346</v>
      </c>
      <c r="C158" s="8" t="s">
        <v>2468</v>
      </c>
      <c r="D158" s="18" t="s">
        <v>2418</v>
      </c>
      <c r="E158" s="36" t="s">
        <v>1377</v>
      </c>
      <c r="F158" s="5"/>
      <c r="G158" s="9" t="s">
        <v>2349</v>
      </c>
      <c r="H158" s="9" t="s">
        <v>1486</v>
      </c>
      <c r="I158" s="5"/>
      <c r="J158" s="18"/>
      <c r="K158" s="9"/>
      <c r="L158" s="9"/>
      <c r="M158" s="12"/>
      <c r="N158" s="31"/>
    </row>
    <row r="159" spans="1:14">
      <c r="A159" s="28" t="s">
        <v>2526</v>
      </c>
      <c r="B159" s="51" t="s">
        <v>2346</v>
      </c>
      <c r="C159" s="8" t="s">
        <v>2468</v>
      </c>
      <c r="D159" s="18" t="s">
        <v>2418</v>
      </c>
      <c r="E159" s="36" t="s">
        <v>1378</v>
      </c>
      <c r="F159" s="5"/>
      <c r="G159" s="9" t="s">
        <v>2349</v>
      </c>
      <c r="H159" s="9" t="s">
        <v>1417</v>
      </c>
      <c r="I159" s="5"/>
      <c r="J159" s="18"/>
      <c r="K159" s="9"/>
      <c r="L159" s="9"/>
      <c r="M159" s="12"/>
      <c r="N159" s="31"/>
    </row>
    <row r="160" spans="1:14">
      <c r="A160" s="28" t="s">
        <v>2527</v>
      </c>
      <c r="B160" s="51" t="s">
        <v>2346</v>
      </c>
      <c r="C160" s="8" t="s">
        <v>2468</v>
      </c>
      <c r="D160" s="18" t="s">
        <v>2418</v>
      </c>
      <c r="E160" s="36" t="s">
        <v>2358</v>
      </c>
      <c r="F160" s="5"/>
      <c r="G160" s="9" t="s">
        <v>2349</v>
      </c>
      <c r="H160" s="9" t="s">
        <v>1401</v>
      </c>
      <c r="I160" s="5"/>
      <c r="J160" s="18"/>
      <c r="K160" s="9"/>
      <c r="L160" s="9"/>
      <c r="M160" s="12"/>
      <c r="N160" s="31"/>
    </row>
    <row r="161" spans="1:14">
      <c r="A161" s="28" t="s">
        <v>2528</v>
      </c>
      <c r="B161" s="51" t="s">
        <v>2346</v>
      </c>
      <c r="C161" s="8" t="s">
        <v>2468</v>
      </c>
      <c r="D161" s="18" t="s">
        <v>2418</v>
      </c>
      <c r="E161" s="36" t="s">
        <v>2360</v>
      </c>
      <c r="F161" s="5"/>
      <c r="G161" s="9" t="s">
        <v>2349</v>
      </c>
      <c r="H161" s="9" t="s">
        <v>1401</v>
      </c>
      <c r="I161" s="5"/>
      <c r="J161" s="18"/>
      <c r="K161" s="9"/>
      <c r="L161" s="9"/>
      <c r="M161" s="12"/>
      <c r="N161" s="31"/>
    </row>
    <row r="162" spans="1:14">
      <c r="A162" s="28" t="s">
        <v>2529</v>
      </c>
      <c r="B162" s="51" t="s">
        <v>2346</v>
      </c>
      <c r="C162" s="8" t="s">
        <v>2468</v>
      </c>
      <c r="D162" s="18" t="s">
        <v>2418</v>
      </c>
      <c r="E162" s="36" t="s">
        <v>2362</v>
      </c>
      <c r="F162" s="5"/>
      <c r="G162" s="9" t="s">
        <v>2349</v>
      </c>
      <c r="H162" s="9" t="s">
        <v>1401</v>
      </c>
      <c r="I162" s="5"/>
      <c r="J162" s="18"/>
      <c r="K162" s="9"/>
      <c r="L162" s="9"/>
      <c r="M162" s="12"/>
      <c r="N162" s="31"/>
    </row>
    <row r="163" spans="1:14">
      <c r="A163" s="28" t="s">
        <v>2530</v>
      </c>
      <c r="B163" s="51" t="s">
        <v>2346</v>
      </c>
      <c r="C163" s="8" t="s">
        <v>2468</v>
      </c>
      <c r="D163" s="18" t="s">
        <v>2418</v>
      </c>
      <c r="E163" s="36" t="s">
        <v>2365</v>
      </c>
      <c r="F163" s="5"/>
      <c r="G163" s="9" t="s">
        <v>2349</v>
      </c>
      <c r="H163" s="9" t="s">
        <v>1401</v>
      </c>
      <c r="I163" s="5"/>
      <c r="J163" s="18"/>
      <c r="K163" s="9"/>
      <c r="L163" s="9"/>
      <c r="M163" s="12"/>
      <c r="N163" s="31"/>
    </row>
    <row r="164" spans="1:14">
      <c r="A164" s="28" t="s">
        <v>2531</v>
      </c>
      <c r="B164" s="51" t="s">
        <v>2346</v>
      </c>
      <c r="C164" s="8" t="s">
        <v>2468</v>
      </c>
      <c r="D164" s="18" t="s">
        <v>2418</v>
      </c>
      <c r="E164" s="36" t="s">
        <v>2367</v>
      </c>
      <c r="F164" s="5"/>
      <c r="G164" s="9" t="s">
        <v>2349</v>
      </c>
      <c r="H164" s="9" t="s">
        <v>1401</v>
      </c>
      <c r="I164" s="5"/>
      <c r="J164" s="18"/>
      <c r="K164" s="9"/>
      <c r="L164" s="9"/>
      <c r="M164" s="12"/>
      <c r="N164" s="31"/>
    </row>
    <row r="165" spans="1:14">
      <c r="A165" s="28" t="s">
        <v>2532</v>
      </c>
      <c r="B165" s="51" t="s">
        <v>2346</v>
      </c>
      <c r="C165" s="8" t="s">
        <v>2468</v>
      </c>
      <c r="D165" s="18" t="s">
        <v>2418</v>
      </c>
      <c r="E165" s="36" t="s">
        <v>2369</v>
      </c>
      <c r="F165" s="5"/>
      <c r="G165" s="9" t="s">
        <v>2354</v>
      </c>
      <c r="H165" s="9" t="s">
        <v>1417</v>
      </c>
      <c r="I165" s="5"/>
      <c r="J165" s="18"/>
      <c r="K165" s="9"/>
      <c r="L165" s="9"/>
      <c r="M165" s="12"/>
      <c r="N165" s="31"/>
    </row>
    <row r="166" spans="1:14">
      <c r="A166" s="28" t="s">
        <v>2533</v>
      </c>
      <c r="B166" s="51" t="s">
        <v>2346</v>
      </c>
      <c r="C166" s="8" t="s">
        <v>2468</v>
      </c>
      <c r="D166" s="18" t="s">
        <v>2418</v>
      </c>
      <c r="E166" s="36" t="s">
        <v>2371</v>
      </c>
      <c r="F166" s="5"/>
      <c r="G166" s="9" t="s">
        <v>2349</v>
      </c>
      <c r="H166" s="9" t="s">
        <v>1401</v>
      </c>
      <c r="I166" s="5"/>
      <c r="J166" s="18"/>
      <c r="K166" s="9"/>
      <c r="L166" s="9"/>
      <c r="M166" s="12"/>
      <c r="N166" s="31"/>
    </row>
    <row r="167" spans="1:14">
      <c r="A167" s="28" t="s">
        <v>2534</v>
      </c>
      <c r="B167" s="51" t="s">
        <v>2346</v>
      </c>
      <c r="C167" s="8" t="s">
        <v>2468</v>
      </c>
      <c r="D167" s="18" t="s">
        <v>2418</v>
      </c>
      <c r="E167" s="36" t="s">
        <v>2373</v>
      </c>
      <c r="F167" s="5"/>
      <c r="G167" s="9" t="s">
        <v>2349</v>
      </c>
      <c r="H167" s="9" t="s">
        <v>1401</v>
      </c>
      <c r="I167" s="5"/>
      <c r="J167" s="18"/>
      <c r="K167" s="9"/>
      <c r="L167" s="9"/>
      <c r="M167" s="12"/>
      <c r="N167" s="31"/>
    </row>
    <row r="168" spans="1:14">
      <c r="A168" s="28" t="s">
        <v>2535</v>
      </c>
      <c r="B168" s="51" t="s">
        <v>2346</v>
      </c>
      <c r="C168" s="8" t="s">
        <v>2468</v>
      </c>
      <c r="D168" s="18" t="s">
        <v>2418</v>
      </c>
      <c r="E168" s="36" t="s">
        <v>2375</v>
      </c>
      <c r="F168" s="5"/>
      <c r="G168" s="9" t="s">
        <v>2349</v>
      </c>
      <c r="H168" s="9" t="s">
        <v>1401</v>
      </c>
      <c r="I168" s="5"/>
      <c r="J168" s="18"/>
      <c r="K168" s="9"/>
      <c r="L168" s="9"/>
      <c r="M168" s="12"/>
      <c r="N168" s="31"/>
    </row>
    <row r="169" spans="1:14">
      <c r="A169" s="28" t="s">
        <v>2536</v>
      </c>
      <c r="B169" s="51" t="s">
        <v>2346</v>
      </c>
      <c r="C169" s="8" t="s">
        <v>2468</v>
      </c>
      <c r="D169" s="18" t="s">
        <v>2418</v>
      </c>
      <c r="E169" s="36" t="s">
        <v>2377</v>
      </c>
      <c r="F169" s="5"/>
      <c r="G169" s="9" t="s">
        <v>2349</v>
      </c>
      <c r="H169" s="9" t="s">
        <v>1401</v>
      </c>
      <c r="I169" s="5"/>
      <c r="J169" s="18"/>
      <c r="K169" s="9"/>
      <c r="L169" s="9"/>
      <c r="M169" s="12"/>
      <c r="N169" s="31"/>
    </row>
    <row r="170" spans="1:14">
      <c r="A170" s="28" t="s">
        <v>2537</v>
      </c>
      <c r="B170" s="51" t="s">
        <v>2346</v>
      </c>
      <c r="C170" s="8" t="s">
        <v>2468</v>
      </c>
      <c r="D170" s="18" t="s">
        <v>2418</v>
      </c>
      <c r="E170" s="36" t="s">
        <v>2379</v>
      </c>
      <c r="F170" s="5"/>
      <c r="G170" s="9" t="s">
        <v>2349</v>
      </c>
      <c r="H170" s="9" t="s">
        <v>1401</v>
      </c>
      <c r="I170" s="5"/>
      <c r="J170" s="18"/>
      <c r="K170" s="9"/>
      <c r="L170" s="9"/>
      <c r="M170" s="12"/>
      <c r="N170" s="31"/>
    </row>
    <row r="171" spans="1:14">
      <c r="A171" s="28" t="s">
        <v>2538</v>
      </c>
      <c r="B171" s="51" t="s">
        <v>2346</v>
      </c>
      <c r="C171" s="8" t="s">
        <v>2468</v>
      </c>
      <c r="D171" s="18" t="s">
        <v>2418</v>
      </c>
      <c r="E171" s="36" t="s">
        <v>2381</v>
      </c>
      <c r="F171" s="5"/>
      <c r="G171" s="9" t="s">
        <v>2349</v>
      </c>
      <c r="H171" s="9" t="s">
        <v>1417</v>
      </c>
      <c r="I171" s="5"/>
      <c r="J171" s="18"/>
      <c r="K171" s="9"/>
      <c r="L171" s="9"/>
      <c r="M171" s="12"/>
      <c r="N171" s="31"/>
    </row>
    <row r="172" spans="1:14">
      <c r="A172" s="28" t="s">
        <v>2539</v>
      </c>
      <c r="B172" s="51" t="s">
        <v>2346</v>
      </c>
      <c r="C172" s="8" t="s">
        <v>2468</v>
      </c>
      <c r="D172" s="18" t="s">
        <v>2418</v>
      </c>
      <c r="E172" s="36" t="s">
        <v>2383</v>
      </c>
      <c r="F172" s="5"/>
      <c r="G172" s="9" t="s">
        <v>2349</v>
      </c>
      <c r="H172" s="9" t="s">
        <v>1401</v>
      </c>
      <c r="I172" s="5"/>
      <c r="J172" s="18"/>
      <c r="K172" s="9"/>
      <c r="L172" s="9"/>
      <c r="M172" s="12"/>
      <c r="N172" s="31"/>
    </row>
    <row r="173" spans="1:14">
      <c r="A173" s="28" t="s">
        <v>2540</v>
      </c>
      <c r="B173" s="51" t="s">
        <v>2346</v>
      </c>
      <c r="C173" s="8" t="s">
        <v>2468</v>
      </c>
      <c r="D173" s="18" t="s">
        <v>2418</v>
      </c>
      <c r="E173" s="36" t="s">
        <v>2385</v>
      </c>
      <c r="F173" s="5"/>
      <c r="G173" s="9" t="s">
        <v>2349</v>
      </c>
      <c r="H173" s="9" t="s">
        <v>1401</v>
      </c>
      <c r="I173" s="5"/>
      <c r="J173" s="18"/>
      <c r="K173" s="9"/>
      <c r="L173" s="9"/>
      <c r="M173" s="12"/>
      <c r="N173" s="31"/>
    </row>
    <row r="174" spans="1:14">
      <c r="A174" s="28" t="s">
        <v>2541</v>
      </c>
      <c r="B174" s="51" t="s">
        <v>2346</v>
      </c>
      <c r="C174" s="8" t="s">
        <v>2468</v>
      </c>
      <c r="D174" s="18" t="s">
        <v>2418</v>
      </c>
      <c r="E174" s="36" t="s">
        <v>2387</v>
      </c>
      <c r="F174" s="5"/>
      <c r="G174" s="9" t="s">
        <v>2354</v>
      </c>
      <c r="H174" s="9" t="s">
        <v>1417</v>
      </c>
      <c r="I174" s="5"/>
      <c r="J174" s="18"/>
      <c r="K174" s="9"/>
      <c r="L174" s="9"/>
      <c r="M174" s="12"/>
      <c r="N174" s="31"/>
    </row>
    <row r="175" spans="1:14">
      <c r="A175" s="28" t="s">
        <v>2542</v>
      </c>
      <c r="B175" s="51" t="s">
        <v>2346</v>
      </c>
      <c r="C175" s="8" t="s">
        <v>2468</v>
      </c>
      <c r="D175" s="18" t="s">
        <v>2418</v>
      </c>
      <c r="E175" s="36" t="s">
        <v>2389</v>
      </c>
      <c r="F175" s="5"/>
      <c r="G175" s="9" t="s">
        <v>2349</v>
      </c>
      <c r="H175" s="9" t="s">
        <v>1401</v>
      </c>
      <c r="I175" s="5"/>
      <c r="J175" s="18"/>
      <c r="K175" s="9"/>
      <c r="L175" s="9"/>
      <c r="M175" s="12"/>
      <c r="N175" s="31"/>
    </row>
    <row r="176" spans="1:14">
      <c r="A176" s="28" t="s">
        <v>2543</v>
      </c>
      <c r="B176" s="51" t="s">
        <v>2346</v>
      </c>
      <c r="C176" s="8" t="s">
        <v>2468</v>
      </c>
      <c r="D176" s="18" t="s">
        <v>2418</v>
      </c>
      <c r="E176" s="36" t="s">
        <v>2391</v>
      </c>
      <c r="F176" s="5"/>
      <c r="G176" s="9" t="s">
        <v>2349</v>
      </c>
      <c r="H176" s="9" t="s">
        <v>1401</v>
      </c>
      <c r="I176" s="5"/>
      <c r="J176" s="18"/>
      <c r="K176" s="9"/>
      <c r="L176" s="9"/>
      <c r="M176" s="12"/>
      <c r="N176" s="31"/>
    </row>
    <row r="177" spans="1:14">
      <c r="A177" s="28" t="s">
        <v>2544</v>
      </c>
      <c r="B177" s="51" t="s">
        <v>2346</v>
      </c>
      <c r="C177" s="8" t="s">
        <v>2468</v>
      </c>
      <c r="D177" s="18" t="s">
        <v>2443</v>
      </c>
      <c r="E177" s="36" t="s">
        <v>1371</v>
      </c>
      <c r="F177" s="5"/>
      <c r="G177" s="9" t="s">
        <v>2354</v>
      </c>
      <c r="H177" s="9" t="s">
        <v>1401</v>
      </c>
      <c r="I177" s="5"/>
      <c r="J177" s="18"/>
      <c r="K177" s="9"/>
      <c r="L177" s="9"/>
      <c r="M177" s="12"/>
      <c r="N177" s="31"/>
    </row>
    <row r="178" spans="1:14">
      <c r="A178" s="28" t="s">
        <v>2545</v>
      </c>
      <c r="B178" s="51" t="s">
        <v>2346</v>
      </c>
      <c r="C178" s="8" t="s">
        <v>2468</v>
      </c>
      <c r="D178" s="18" t="s">
        <v>2443</v>
      </c>
      <c r="E178" s="36" t="s">
        <v>1373</v>
      </c>
      <c r="F178" s="5"/>
      <c r="G178" s="9" t="s">
        <v>2363</v>
      </c>
      <c r="H178" s="9" t="s">
        <v>1486</v>
      </c>
      <c r="I178" s="5"/>
      <c r="J178" s="18"/>
      <c r="K178" s="9"/>
      <c r="L178" s="9"/>
      <c r="M178" s="12"/>
      <c r="N178" s="31"/>
    </row>
    <row r="179" spans="1:14">
      <c r="A179" s="28" t="s">
        <v>2546</v>
      </c>
      <c r="B179" s="51" t="s">
        <v>2346</v>
      </c>
      <c r="C179" s="8" t="s">
        <v>2468</v>
      </c>
      <c r="D179" s="18" t="s">
        <v>2443</v>
      </c>
      <c r="E179" s="36" t="s">
        <v>1374</v>
      </c>
      <c r="F179" s="5"/>
      <c r="G179" s="9" t="s">
        <v>2354</v>
      </c>
      <c r="H179" s="9" t="s">
        <v>1417</v>
      </c>
      <c r="I179" s="5"/>
      <c r="J179" s="18"/>
      <c r="K179" s="9"/>
      <c r="L179" s="9"/>
      <c r="M179" s="12"/>
      <c r="N179" s="31"/>
    </row>
    <row r="180" spans="1:14">
      <c r="A180" s="28" t="s">
        <v>2547</v>
      </c>
      <c r="B180" s="51" t="s">
        <v>2346</v>
      </c>
      <c r="C180" s="8" t="s">
        <v>2468</v>
      </c>
      <c r="D180" s="18" t="s">
        <v>2443</v>
      </c>
      <c r="E180" s="36" t="s">
        <v>1375</v>
      </c>
      <c r="F180" s="5"/>
      <c r="G180" s="9" t="s">
        <v>2349</v>
      </c>
      <c r="H180" s="9" t="s">
        <v>1401</v>
      </c>
      <c r="I180" s="5"/>
      <c r="J180" s="18"/>
      <c r="K180" s="9"/>
      <c r="L180" s="9"/>
      <c r="M180" s="12"/>
      <c r="N180" s="31"/>
    </row>
    <row r="181" spans="1:14">
      <c r="A181" s="28" t="s">
        <v>2548</v>
      </c>
      <c r="B181" s="51" t="s">
        <v>2346</v>
      </c>
      <c r="C181" s="8" t="s">
        <v>2468</v>
      </c>
      <c r="D181" s="18" t="s">
        <v>2443</v>
      </c>
      <c r="E181" s="36" t="s">
        <v>1376</v>
      </c>
      <c r="F181" s="5"/>
      <c r="G181" s="9" t="s">
        <v>2349</v>
      </c>
      <c r="H181" s="9" t="s">
        <v>1401</v>
      </c>
      <c r="I181" s="5"/>
      <c r="J181" s="18"/>
      <c r="K181" s="9"/>
      <c r="L181" s="9"/>
      <c r="M181" s="12"/>
      <c r="N181" s="31"/>
    </row>
    <row r="182" spans="1:14">
      <c r="A182" s="28" t="s">
        <v>2549</v>
      </c>
      <c r="B182" s="51" t="s">
        <v>2346</v>
      </c>
      <c r="C182" s="8" t="s">
        <v>2468</v>
      </c>
      <c r="D182" s="18" t="s">
        <v>2443</v>
      </c>
      <c r="E182" s="36" t="s">
        <v>1377</v>
      </c>
      <c r="F182" s="5"/>
      <c r="G182" s="9" t="s">
        <v>2349</v>
      </c>
      <c r="H182" s="9" t="s">
        <v>1401</v>
      </c>
      <c r="I182" s="5"/>
      <c r="J182" s="18"/>
      <c r="K182" s="9"/>
      <c r="L182" s="9"/>
      <c r="M182" s="12"/>
      <c r="N182" s="31"/>
    </row>
    <row r="183" spans="1:14">
      <c r="A183" s="28" t="s">
        <v>2550</v>
      </c>
      <c r="B183" s="51" t="s">
        <v>2346</v>
      </c>
      <c r="C183" s="8" t="s">
        <v>2468</v>
      </c>
      <c r="D183" s="18" t="s">
        <v>2443</v>
      </c>
      <c r="E183" s="36" t="s">
        <v>1378</v>
      </c>
      <c r="F183" s="5"/>
      <c r="G183" s="9" t="s">
        <v>2349</v>
      </c>
      <c r="H183" s="9" t="s">
        <v>1401</v>
      </c>
      <c r="I183" s="5"/>
      <c r="J183" s="18"/>
      <c r="K183" s="9"/>
      <c r="L183" s="9"/>
      <c r="M183" s="12"/>
      <c r="N183" s="31"/>
    </row>
    <row r="184" spans="1:14">
      <c r="A184" s="28" t="s">
        <v>2551</v>
      </c>
      <c r="B184" s="51" t="s">
        <v>2346</v>
      </c>
      <c r="C184" s="8" t="s">
        <v>2468</v>
      </c>
      <c r="D184" s="18" t="s">
        <v>2443</v>
      </c>
      <c r="E184" s="36" t="s">
        <v>2358</v>
      </c>
      <c r="F184" s="5"/>
      <c r="G184" s="9" t="s">
        <v>2363</v>
      </c>
      <c r="H184" s="9" t="s">
        <v>1486</v>
      </c>
      <c r="I184" s="5"/>
      <c r="J184" s="18"/>
      <c r="K184" s="9"/>
      <c r="L184" s="9"/>
      <c r="M184" s="12"/>
      <c r="N184" s="31"/>
    </row>
    <row r="185" spans="1:14">
      <c r="A185" s="28" t="s">
        <v>2552</v>
      </c>
      <c r="B185" s="51" t="s">
        <v>2346</v>
      </c>
      <c r="C185" s="8" t="s">
        <v>2468</v>
      </c>
      <c r="D185" s="18" t="s">
        <v>2443</v>
      </c>
      <c r="E185" s="36" t="s">
        <v>2360</v>
      </c>
      <c r="F185" s="5"/>
      <c r="G185" s="9" t="s">
        <v>2363</v>
      </c>
      <c r="H185" s="9" t="s">
        <v>1486</v>
      </c>
      <c r="I185" s="5"/>
      <c r="J185" s="18"/>
      <c r="K185" s="9"/>
      <c r="L185" s="9"/>
      <c r="M185" s="12"/>
      <c r="N185" s="31"/>
    </row>
    <row r="186" spans="1:14">
      <c r="A186" s="28" t="s">
        <v>2553</v>
      </c>
      <c r="B186" s="51" t="s">
        <v>2346</v>
      </c>
      <c r="C186" s="8" t="s">
        <v>2468</v>
      </c>
      <c r="D186" s="18" t="s">
        <v>2443</v>
      </c>
      <c r="E186" s="36" t="s">
        <v>2362</v>
      </c>
      <c r="F186" s="5"/>
      <c r="G186" s="9" t="s">
        <v>2363</v>
      </c>
      <c r="H186" s="9" t="s">
        <v>1486</v>
      </c>
      <c r="I186" s="5"/>
      <c r="J186" s="18"/>
      <c r="K186" s="9"/>
      <c r="L186" s="9"/>
      <c r="M186" s="12"/>
      <c r="N186" s="31"/>
    </row>
    <row r="187" spans="1:14">
      <c r="A187" s="28" t="s">
        <v>2554</v>
      </c>
      <c r="B187" s="51" t="s">
        <v>2346</v>
      </c>
      <c r="C187" s="8" t="s">
        <v>2468</v>
      </c>
      <c r="D187" s="18" t="s">
        <v>2443</v>
      </c>
      <c r="E187" s="36" t="s">
        <v>2365</v>
      </c>
      <c r="F187" s="5"/>
      <c r="G187" s="9" t="s">
        <v>2354</v>
      </c>
      <c r="H187" s="9" t="s">
        <v>1417</v>
      </c>
      <c r="I187" s="5"/>
      <c r="J187" s="18"/>
      <c r="K187" s="9"/>
      <c r="L187" s="9"/>
      <c r="M187" s="12"/>
      <c r="N187" s="31"/>
    </row>
    <row r="188" spans="1:14">
      <c r="A188" s="28" t="s">
        <v>2555</v>
      </c>
      <c r="B188" s="51" t="s">
        <v>2346</v>
      </c>
      <c r="C188" s="8" t="s">
        <v>2468</v>
      </c>
      <c r="D188" s="18" t="s">
        <v>2443</v>
      </c>
      <c r="E188" s="36" t="s">
        <v>2367</v>
      </c>
      <c r="F188" s="5"/>
      <c r="G188" s="9" t="s">
        <v>2354</v>
      </c>
      <c r="H188" s="9" t="s">
        <v>1417</v>
      </c>
      <c r="I188" s="5"/>
      <c r="J188" s="18"/>
      <c r="K188" s="9"/>
      <c r="L188" s="9"/>
      <c r="M188" s="12"/>
      <c r="N188" s="31"/>
    </row>
    <row r="189" spans="1:14">
      <c r="A189" s="28" t="s">
        <v>2556</v>
      </c>
      <c r="B189" s="51" t="s">
        <v>2346</v>
      </c>
      <c r="C189" s="8" t="s">
        <v>2468</v>
      </c>
      <c r="D189" s="18" t="s">
        <v>2443</v>
      </c>
      <c r="E189" s="36" t="s">
        <v>2369</v>
      </c>
      <c r="F189" s="5"/>
      <c r="G189" s="9" t="s">
        <v>2363</v>
      </c>
      <c r="H189" s="9" t="s">
        <v>1486</v>
      </c>
      <c r="I189" s="5"/>
      <c r="J189" s="18"/>
      <c r="K189" s="9"/>
      <c r="L189" s="9"/>
      <c r="M189" s="12"/>
      <c r="N189" s="31"/>
    </row>
    <row r="190" spans="1:14">
      <c r="A190" s="28" t="s">
        <v>2557</v>
      </c>
      <c r="B190" s="51" t="s">
        <v>2346</v>
      </c>
      <c r="C190" s="8" t="s">
        <v>2468</v>
      </c>
      <c r="D190" s="18" t="s">
        <v>2443</v>
      </c>
      <c r="E190" s="36" t="s">
        <v>2371</v>
      </c>
      <c r="F190" s="5"/>
      <c r="G190" s="9" t="s">
        <v>2363</v>
      </c>
      <c r="H190" s="9" t="s">
        <v>1486</v>
      </c>
      <c r="I190" s="5"/>
      <c r="J190" s="18"/>
      <c r="K190" s="9"/>
      <c r="L190" s="9"/>
      <c r="M190" s="12"/>
      <c r="N190" s="31"/>
    </row>
    <row r="191" spans="1:14">
      <c r="A191" s="28" t="s">
        <v>2558</v>
      </c>
      <c r="B191" s="51" t="s">
        <v>2346</v>
      </c>
      <c r="C191" s="8" t="s">
        <v>2468</v>
      </c>
      <c r="D191" s="18" t="s">
        <v>2443</v>
      </c>
      <c r="E191" s="36" t="s">
        <v>2373</v>
      </c>
      <c r="F191" s="5"/>
      <c r="G191" s="9" t="s">
        <v>2363</v>
      </c>
      <c r="H191" s="9" t="s">
        <v>1486</v>
      </c>
      <c r="I191" s="5"/>
      <c r="J191" s="18"/>
      <c r="K191" s="9"/>
      <c r="L191" s="9"/>
      <c r="M191" s="12"/>
      <c r="N191" s="31"/>
    </row>
    <row r="192" spans="1:14">
      <c r="A192" s="28" t="s">
        <v>2559</v>
      </c>
      <c r="B192" s="51" t="s">
        <v>2346</v>
      </c>
      <c r="C192" s="8" t="s">
        <v>2468</v>
      </c>
      <c r="D192" s="18" t="s">
        <v>2443</v>
      </c>
      <c r="E192" s="36" t="s">
        <v>2375</v>
      </c>
      <c r="F192" s="5"/>
      <c r="G192" s="9" t="s">
        <v>2363</v>
      </c>
      <c r="H192" s="9" t="s">
        <v>1486</v>
      </c>
      <c r="I192" s="5"/>
      <c r="J192" s="18"/>
      <c r="K192" s="9"/>
      <c r="L192" s="9"/>
      <c r="M192" s="12"/>
      <c r="N192" s="31"/>
    </row>
    <row r="193" spans="1:14">
      <c r="A193" s="28" t="s">
        <v>2560</v>
      </c>
      <c r="B193" s="51" t="s">
        <v>2346</v>
      </c>
      <c r="C193" s="8" t="s">
        <v>2468</v>
      </c>
      <c r="D193" s="18" t="s">
        <v>2443</v>
      </c>
      <c r="E193" s="36" t="s">
        <v>2377</v>
      </c>
      <c r="F193" s="5"/>
      <c r="G193" s="9" t="s">
        <v>2354</v>
      </c>
      <c r="H193" s="9" t="s">
        <v>1417</v>
      </c>
      <c r="I193" s="5"/>
      <c r="J193" s="18"/>
      <c r="K193" s="9"/>
      <c r="L193" s="9"/>
      <c r="M193" s="12"/>
      <c r="N193" s="31"/>
    </row>
    <row r="194" spans="1:14">
      <c r="A194" s="28" t="s">
        <v>2561</v>
      </c>
      <c r="B194" s="51" t="s">
        <v>2346</v>
      </c>
      <c r="C194" s="8" t="s">
        <v>2468</v>
      </c>
      <c r="D194" s="18" t="s">
        <v>2443</v>
      </c>
      <c r="E194" s="36" t="s">
        <v>2379</v>
      </c>
      <c r="F194" s="5"/>
      <c r="G194" s="9" t="s">
        <v>2349</v>
      </c>
      <c r="H194" s="9" t="s">
        <v>1401</v>
      </c>
      <c r="I194" s="5"/>
      <c r="J194" s="18"/>
      <c r="K194" s="9"/>
      <c r="L194" s="9"/>
      <c r="M194" s="12"/>
      <c r="N194" s="31"/>
    </row>
    <row r="195" spans="1:14">
      <c r="A195" s="28" t="s">
        <v>2562</v>
      </c>
      <c r="B195" s="51" t="s">
        <v>2346</v>
      </c>
      <c r="C195" s="8" t="s">
        <v>2468</v>
      </c>
      <c r="D195" s="18" t="s">
        <v>2443</v>
      </c>
      <c r="E195" s="36" t="s">
        <v>2381</v>
      </c>
      <c r="F195" s="5"/>
      <c r="G195" s="9" t="s">
        <v>2349</v>
      </c>
      <c r="H195" s="9" t="s">
        <v>1401</v>
      </c>
      <c r="I195" s="5"/>
      <c r="J195" s="18"/>
      <c r="K195" s="9"/>
      <c r="L195" s="9"/>
      <c r="M195" s="12"/>
      <c r="N195" s="31"/>
    </row>
    <row r="196" spans="1:14">
      <c r="A196" s="28" t="s">
        <v>2563</v>
      </c>
      <c r="B196" s="51" t="s">
        <v>2346</v>
      </c>
      <c r="C196" s="8" t="s">
        <v>2468</v>
      </c>
      <c r="D196" s="18" t="s">
        <v>2443</v>
      </c>
      <c r="E196" s="36" t="s">
        <v>2383</v>
      </c>
      <c r="F196" s="5"/>
      <c r="G196" s="9" t="s">
        <v>2349</v>
      </c>
      <c r="H196" s="9" t="s">
        <v>1401</v>
      </c>
      <c r="I196" s="5"/>
      <c r="J196" s="18"/>
      <c r="K196" s="9"/>
      <c r="L196" s="9"/>
      <c r="M196" s="12"/>
      <c r="N196" s="31"/>
    </row>
    <row r="197" spans="1:14">
      <c r="A197" s="28" t="s">
        <v>2564</v>
      </c>
      <c r="B197" s="51" t="s">
        <v>2346</v>
      </c>
      <c r="C197" s="8" t="s">
        <v>2468</v>
      </c>
      <c r="D197" s="18" t="s">
        <v>2443</v>
      </c>
      <c r="E197" s="36" t="s">
        <v>2385</v>
      </c>
      <c r="F197" s="5"/>
      <c r="G197" s="9" t="s">
        <v>2349</v>
      </c>
      <c r="H197" s="9" t="s">
        <v>1401</v>
      </c>
      <c r="I197" s="5"/>
      <c r="J197" s="18"/>
      <c r="K197" s="9"/>
      <c r="L197" s="9"/>
      <c r="M197" s="12"/>
      <c r="N197" s="31"/>
    </row>
    <row r="198" spans="1:14">
      <c r="A198" s="28" t="s">
        <v>2565</v>
      </c>
      <c r="B198" s="51" t="s">
        <v>2346</v>
      </c>
      <c r="C198" s="8" t="s">
        <v>2468</v>
      </c>
      <c r="D198" s="18" t="s">
        <v>2443</v>
      </c>
      <c r="E198" s="36" t="s">
        <v>2387</v>
      </c>
      <c r="F198" s="5"/>
      <c r="G198" s="9" t="s">
        <v>2349</v>
      </c>
      <c r="H198" s="9" t="s">
        <v>1401</v>
      </c>
      <c r="I198" s="5"/>
      <c r="J198" s="18"/>
      <c r="K198" s="9"/>
      <c r="L198" s="9"/>
      <c r="M198" s="12"/>
      <c r="N198" s="31"/>
    </row>
    <row r="199" spans="1:14">
      <c r="A199" s="28" t="s">
        <v>2566</v>
      </c>
      <c r="B199" s="51" t="s">
        <v>2346</v>
      </c>
      <c r="C199" s="8" t="s">
        <v>2468</v>
      </c>
      <c r="D199" s="18" t="s">
        <v>2443</v>
      </c>
      <c r="E199" s="36" t="s">
        <v>2389</v>
      </c>
      <c r="F199" s="5"/>
      <c r="G199" s="9" t="s">
        <v>2349</v>
      </c>
      <c r="H199" s="9" t="s">
        <v>1401</v>
      </c>
      <c r="I199" s="5"/>
      <c r="J199" s="18"/>
      <c r="K199" s="9"/>
      <c r="L199" s="9"/>
      <c r="M199" s="12"/>
      <c r="N199" s="31"/>
    </row>
    <row r="200" spans="1:14">
      <c r="A200" s="28" t="s">
        <v>2567</v>
      </c>
      <c r="B200" s="51" t="s">
        <v>2346</v>
      </c>
      <c r="C200" s="8" t="s">
        <v>2468</v>
      </c>
      <c r="D200" s="18" t="s">
        <v>2443</v>
      </c>
      <c r="E200" s="36" t="s">
        <v>2391</v>
      </c>
      <c r="F200" s="5"/>
      <c r="G200" s="9" t="s">
        <v>2363</v>
      </c>
      <c r="H200" s="9" t="s">
        <v>1486</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79" t="s">
        <v>2568</v>
      </c>
      <c r="B1" s="279"/>
      <c r="C1" s="279"/>
      <c r="D1" s="279"/>
      <c r="E1" s="279"/>
      <c r="F1" s="279"/>
      <c r="G1" s="279"/>
      <c r="H1" s="279"/>
      <c r="I1" s="279"/>
      <c r="J1" s="279"/>
      <c r="K1" s="279"/>
      <c r="L1" s="279"/>
      <c r="M1" s="280"/>
    </row>
    <row r="2" spans="1:13" ht="14.5">
      <c r="A2" s="281" t="s">
        <v>2569</v>
      </c>
      <c r="B2" s="281"/>
      <c r="C2" s="281"/>
      <c r="D2" s="281"/>
      <c r="E2" s="281"/>
      <c r="F2" s="281"/>
      <c r="G2" s="281"/>
      <c r="H2" s="281"/>
      <c r="I2" s="281"/>
      <c r="J2" s="281"/>
      <c r="K2" s="281"/>
      <c r="L2" s="281"/>
      <c r="M2" s="282"/>
    </row>
    <row r="3" spans="1:13">
      <c r="A3" s="283" t="s">
        <v>2570</v>
      </c>
      <c r="B3" s="283"/>
      <c r="C3" s="283"/>
      <c r="D3" s="283"/>
      <c r="E3" s="283"/>
      <c r="F3" s="283"/>
      <c r="G3" s="283"/>
      <c r="H3" s="283"/>
      <c r="I3" s="283"/>
      <c r="J3" s="283"/>
      <c r="K3" s="283"/>
      <c r="L3" s="283"/>
      <c r="M3" s="284"/>
    </row>
    <row r="5" spans="1:13" ht="26">
      <c r="A5" s="49" t="s">
        <v>2571</v>
      </c>
      <c r="B5" s="49" t="s">
        <v>2338</v>
      </c>
      <c r="C5" s="49" t="s">
        <v>2572</v>
      </c>
      <c r="D5" s="49" t="s">
        <v>2573</v>
      </c>
      <c r="E5" s="49" t="s">
        <v>2574</v>
      </c>
      <c r="F5" s="49" t="s">
        <v>2575</v>
      </c>
      <c r="G5" s="49" t="s">
        <v>2576</v>
      </c>
      <c r="H5" s="49" t="s">
        <v>2577</v>
      </c>
      <c r="I5" s="49" t="s">
        <v>29</v>
      </c>
      <c r="J5" s="49" t="s">
        <v>28</v>
      </c>
      <c r="K5" s="49" t="s">
        <v>30</v>
      </c>
      <c r="L5" s="49" t="s">
        <v>31</v>
      </c>
      <c r="M5" s="49" t="s">
        <v>23</v>
      </c>
    </row>
    <row r="6" spans="1:13">
      <c r="A6" s="50" t="s">
        <v>2578</v>
      </c>
      <c r="B6" s="51" t="s">
        <v>2346</v>
      </c>
      <c r="C6" s="52">
        <v>2026</v>
      </c>
      <c r="D6" s="50" t="s">
        <v>2579</v>
      </c>
      <c r="E6" s="53">
        <v>350000000</v>
      </c>
      <c r="F6" s="53">
        <v>15850000</v>
      </c>
      <c r="G6" s="54">
        <f t="shared" ref="G6:G69" si="0">IF(A6="","",SUMIFS($F$6:F6,$B$6:B6,B6,$C$6:C6,C6))</f>
        <v>15850000</v>
      </c>
      <c r="H6" s="55">
        <f t="shared" ref="H6:H69" si="1">IF(A6="","",IFERROR(G6/E6,0))</f>
        <v>4.5285714285714283E-2</v>
      </c>
      <c r="I6" s="50" t="s">
        <v>1424</v>
      </c>
      <c r="J6" s="56"/>
      <c r="K6" s="56"/>
      <c r="L6" s="50"/>
      <c r="M6" s="51"/>
    </row>
    <row r="7" spans="1:13">
      <c r="A7" s="50" t="s">
        <v>2580</v>
      </c>
      <c r="B7" s="51" t="s">
        <v>2346</v>
      </c>
      <c r="C7" s="52">
        <v>2026</v>
      </c>
      <c r="D7" s="50" t="s">
        <v>2581</v>
      </c>
      <c r="E7" s="53">
        <v>350000000</v>
      </c>
      <c r="F7" s="53">
        <v>23675000</v>
      </c>
      <c r="G7" s="54">
        <f t="shared" si="0"/>
        <v>39525000</v>
      </c>
      <c r="H7" s="55">
        <f t="shared" si="1"/>
        <v>0.11292857142857143</v>
      </c>
      <c r="I7" s="50" t="s">
        <v>1424</v>
      </c>
      <c r="J7" s="56"/>
      <c r="K7" s="56"/>
      <c r="L7" s="50"/>
      <c r="M7" s="51"/>
    </row>
    <row r="8" spans="1:13">
      <c r="A8" s="50" t="s">
        <v>2582</v>
      </c>
      <c r="B8" s="51" t="s">
        <v>2346</v>
      </c>
      <c r="C8" s="52">
        <v>2026</v>
      </c>
      <c r="D8" s="50" t="s">
        <v>2583</v>
      </c>
      <c r="E8" s="53">
        <v>350000000</v>
      </c>
      <c r="F8" s="53">
        <v>24950000</v>
      </c>
      <c r="G8" s="54">
        <f t="shared" si="0"/>
        <v>64475000</v>
      </c>
      <c r="H8" s="55">
        <f t="shared" si="1"/>
        <v>0.18421428571428572</v>
      </c>
      <c r="I8" s="50" t="s">
        <v>1424</v>
      </c>
      <c r="J8" s="56"/>
      <c r="K8" s="56"/>
      <c r="L8" s="50"/>
      <c r="M8" s="51"/>
    </row>
    <row r="9" spans="1:13">
      <c r="A9" s="50" t="s">
        <v>2584</v>
      </c>
      <c r="B9" s="51" t="s">
        <v>2346</v>
      </c>
      <c r="C9" s="52">
        <v>2026</v>
      </c>
      <c r="D9" s="50" t="s">
        <v>2585</v>
      </c>
      <c r="E9" s="53">
        <v>350000000</v>
      </c>
      <c r="F9" s="53">
        <v>32950000</v>
      </c>
      <c r="G9" s="54">
        <f t="shared" si="0"/>
        <v>97425000</v>
      </c>
      <c r="H9" s="55">
        <f t="shared" si="1"/>
        <v>0.27835714285714286</v>
      </c>
      <c r="I9" s="50" t="s">
        <v>1424</v>
      </c>
      <c r="J9" s="56"/>
      <c r="K9" s="56"/>
      <c r="L9" s="50"/>
      <c r="M9" s="51"/>
    </row>
    <row r="10" spans="1:13">
      <c r="A10" s="50" t="s">
        <v>2586</v>
      </c>
      <c r="B10" s="51" t="s">
        <v>2346</v>
      </c>
      <c r="C10" s="52">
        <v>2026</v>
      </c>
      <c r="D10" s="50" t="s">
        <v>2587</v>
      </c>
      <c r="E10" s="53">
        <v>350000000</v>
      </c>
      <c r="F10" s="53">
        <v>23000000</v>
      </c>
      <c r="G10" s="54">
        <f t="shared" si="0"/>
        <v>120425000</v>
      </c>
      <c r="H10" s="55">
        <f t="shared" si="1"/>
        <v>0.34407142857142858</v>
      </c>
      <c r="I10" s="50" t="s">
        <v>1424</v>
      </c>
      <c r="J10" s="56"/>
      <c r="K10" s="56"/>
      <c r="L10" s="50"/>
      <c r="M10" s="51"/>
    </row>
    <row r="11" spans="1:13">
      <c r="A11" s="50" t="s">
        <v>2588</v>
      </c>
      <c r="B11" s="51" t="s">
        <v>2346</v>
      </c>
      <c r="C11" s="52">
        <v>2026</v>
      </c>
      <c r="D11" s="50" t="s">
        <v>2589</v>
      </c>
      <c r="E11" s="53">
        <v>350000000</v>
      </c>
      <c r="F11" s="53">
        <v>34775000</v>
      </c>
      <c r="G11" s="54">
        <f t="shared" si="0"/>
        <v>155200000</v>
      </c>
      <c r="H11" s="55">
        <f t="shared" si="1"/>
        <v>0.44342857142857145</v>
      </c>
      <c r="I11" s="50" t="s">
        <v>1424</v>
      </c>
      <c r="J11" s="56"/>
      <c r="K11" s="56"/>
      <c r="L11" s="50"/>
      <c r="M11" s="51"/>
    </row>
    <row r="12" spans="1:13">
      <c r="A12" s="50" t="s">
        <v>2590</v>
      </c>
      <c r="B12" s="51" t="s">
        <v>2346</v>
      </c>
      <c r="C12" s="52">
        <v>2026</v>
      </c>
      <c r="D12" s="50" t="s">
        <v>2591</v>
      </c>
      <c r="E12" s="53">
        <v>350000000</v>
      </c>
      <c r="F12" s="53">
        <v>30175000</v>
      </c>
      <c r="G12" s="54">
        <f t="shared" si="0"/>
        <v>185375000</v>
      </c>
      <c r="H12" s="55">
        <f t="shared" si="1"/>
        <v>0.52964285714285719</v>
      </c>
      <c r="I12" s="50" t="s">
        <v>1424</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3" t="s">
        <v>2592</v>
      </c>
      <c r="B1" s="263"/>
      <c r="C1" s="263"/>
      <c r="D1" s="263"/>
      <c r="E1" s="263"/>
      <c r="F1" s="263"/>
      <c r="G1" s="263"/>
      <c r="H1" s="263"/>
      <c r="I1" s="263"/>
      <c r="J1" s="263"/>
      <c r="K1" s="263"/>
      <c r="L1" s="263"/>
      <c r="M1" s="263"/>
      <c r="N1" s="263"/>
    </row>
    <row r="2" spans="1:14">
      <c r="A2" s="264" t="s">
        <v>2593</v>
      </c>
      <c r="B2" s="264"/>
      <c r="C2" s="264"/>
      <c r="D2" s="264"/>
      <c r="E2" s="264"/>
      <c r="F2" s="264"/>
      <c r="G2" s="264"/>
      <c r="H2" s="264"/>
      <c r="I2" s="264"/>
      <c r="J2" s="264"/>
      <c r="K2" s="264"/>
      <c r="L2" s="264"/>
      <c r="M2" s="264"/>
      <c r="N2" s="264"/>
    </row>
    <row r="3" spans="1:14">
      <c r="A3" s="265" t="s">
        <v>1365</v>
      </c>
      <c r="B3" s="265"/>
      <c r="C3" s="265"/>
      <c r="D3" s="265"/>
      <c r="E3" s="265"/>
      <c r="F3" s="265"/>
      <c r="G3" s="265"/>
      <c r="H3" s="265"/>
      <c r="I3" s="265"/>
      <c r="J3" s="265"/>
      <c r="K3" s="265"/>
      <c r="L3" s="265"/>
      <c r="M3" s="265"/>
      <c r="N3" s="265"/>
    </row>
    <row r="5" spans="1:14" ht="26">
      <c r="A5" s="1" t="s">
        <v>2594</v>
      </c>
      <c r="B5" s="2" t="s">
        <v>2338</v>
      </c>
      <c r="C5" s="2" t="s">
        <v>2595</v>
      </c>
      <c r="D5" s="2" t="s">
        <v>2596</v>
      </c>
      <c r="E5" s="2" t="s">
        <v>2597</v>
      </c>
      <c r="F5" s="58" t="s">
        <v>2598</v>
      </c>
      <c r="G5" s="2" t="s">
        <v>2599</v>
      </c>
      <c r="H5" s="2" t="s">
        <v>2600</v>
      </c>
      <c r="I5" s="2" t="s">
        <v>2601</v>
      </c>
      <c r="J5" s="2" t="s">
        <v>27</v>
      </c>
      <c r="K5" s="2" t="s">
        <v>28</v>
      </c>
      <c r="L5" s="2" t="s">
        <v>29</v>
      </c>
      <c r="M5" s="2" t="s">
        <v>30</v>
      </c>
      <c r="N5" s="3" t="s">
        <v>31</v>
      </c>
    </row>
    <row r="6" spans="1:14">
      <c r="A6" s="27" t="s">
        <v>2602</v>
      </c>
      <c r="B6" s="8" t="s">
        <v>2346</v>
      </c>
      <c r="C6" s="8" t="s">
        <v>2603</v>
      </c>
      <c r="D6" s="4"/>
      <c r="E6" s="8" t="s">
        <v>2604</v>
      </c>
      <c r="F6" s="8" t="s">
        <v>2605</v>
      </c>
      <c r="G6" s="8"/>
      <c r="H6" s="8"/>
      <c r="I6" s="11"/>
      <c r="J6" s="17"/>
      <c r="K6" s="8"/>
      <c r="L6" s="8"/>
      <c r="M6" s="11"/>
      <c r="N6" s="30"/>
    </row>
    <row r="7" spans="1:14">
      <c r="A7" s="28" t="s">
        <v>2606</v>
      </c>
      <c r="B7" s="9" t="s">
        <v>2346</v>
      </c>
      <c r="C7" s="9" t="s">
        <v>2607</v>
      </c>
      <c r="D7" s="5"/>
      <c r="E7" s="9" t="s">
        <v>1401</v>
      </c>
      <c r="F7" s="9" t="s">
        <v>2605</v>
      </c>
      <c r="G7" s="9"/>
      <c r="H7" s="9"/>
      <c r="I7" s="12"/>
      <c r="J7" s="18"/>
      <c r="K7" s="9"/>
      <c r="L7" s="9"/>
      <c r="M7" s="12"/>
      <c r="N7" s="31"/>
    </row>
    <row r="8" spans="1:14">
      <c r="A8" s="28" t="s">
        <v>2608</v>
      </c>
      <c r="B8" s="9" t="s">
        <v>2346</v>
      </c>
      <c r="C8" s="9" t="s">
        <v>2609</v>
      </c>
      <c r="D8" s="5"/>
      <c r="E8" s="9" t="s">
        <v>1432</v>
      </c>
      <c r="F8" s="9" t="s">
        <v>2610</v>
      </c>
      <c r="G8" s="9"/>
      <c r="H8" s="9"/>
      <c r="I8" s="12"/>
      <c r="J8" s="18"/>
      <c r="K8" s="9"/>
      <c r="L8" s="9"/>
      <c r="M8" s="12"/>
      <c r="N8" s="31"/>
    </row>
    <row r="9" spans="1:14">
      <c r="A9" s="28" t="s">
        <v>2611</v>
      </c>
      <c r="B9" s="9" t="s">
        <v>2346</v>
      </c>
      <c r="C9" s="9" t="s">
        <v>2612</v>
      </c>
      <c r="D9" s="5"/>
      <c r="E9" s="9" t="s">
        <v>2604</v>
      </c>
      <c r="F9" s="9" t="s">
        <v>2605</v>
      </c>
      <c r="G9" s="9"/>
      <c r="H9" s="9"/>
      <c r="I9" s="12"/>
      <c r="J9" s="18"/>
      <c r="K9" s="9"/>
      <c r="L9" s="9"/>
      <c r="M9" s="12"/>
      <c r="N9" s="31"/>
    </row>
    <row r="10" spans="1:14">
      <c r="A10" s="28" t="s">
        <v>2613</v>
      </c>
      <c r="B10" s="9" t="s">
        <v>2346</v>
      </c>
      <c r="C10" s="9" t="s">
        <v>2614</v>
      </c>
      <c r="D10" s="5"/>
      <c r="E10" s="9" t="s">
        <v>1417</v>
      </c>
      <c r="F10" s="9" t="s">
        <v>2605</v>
      </c>
      <c r="G10" s="9"/>
      <c r="H10" s="9"/>
      <c r="I10" s="12"/>
      <c r="J10" s="18"/>
      <c r="K10" s="9"/>
      <c r="L10" s="9"/>
      <c r="M10" s="12"/>
      <c r="N10" s="31"/>
    </row>
    <row r="11" spans="1:14">
      <c r="A11" s="28" t="s">
        <v>2615</v>
      </c>
      <c r="B11" s="9" t="s">
        <v>2346</v>
      </c>
      <c r="C11" s="9" t="s">
        <v>2616</v>
      </c>
      <c r="D11" s="5"/>
      <c r="E11" s="9" t="s">
        <v>1417</v>
      </c>
      <c r="F11" s="9" t="s">
        <v>2605</v>
      </c>
      <c r="G11" s="9"/>
      <c r="H11" s="9"/>
      <c r="I11" s="12"/>
      <c r="J11" s="18"/>
      <c r="K11" s="9"/>
      <c r="L11" s="9"/>
      <c r="M11" s="12"/>
      <c r="N11" s="31"/>
    </row>
    <row r="12" spans="1:14">
      <c r="A12" s="28" t="s">
        <v>2617</v>
      </c>
      <c r="B12" s="9" t="s">
        <v>2346</v>
      </c>
      <c r="C12" s="9" t="s">
        <v>2618</v>
      </c>
      <c r="D12" s="5"/>
      <c r="E12" s="9" t="s">
        <v>2604</v>
      </c>
      <c r="F12" s="9" t="s">
        <v>2605</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88" t="s">
        <v>2619</v>
      </c>
      <c r="B1" s="288"/>
      <c r="C1" s="288"/>
      <c r="D1" s="288"/>
      <c r="E1" s="288"/>
      <c r="F1" s="288"/>
      <c r="G1" s="288"/>
      <c r="H1" s="288"/>
      <c r="I1" s="288"/>
      <c r="J1" s="288"/>
      <c r="K1" s="288"/>
      <c r="L1" s="288"/>
      <c r="M1" s="288"/>
      <c r="N1" s="288"/>
      <c r="O1" s="288"/>
    </row>
    <row r="2" spans="1:15" ht="4.75" customHeight="1">
      <c r="A2" s="289" t="s">
        <v>2620</v>
      </c>
      <c r="B2" s="289"/>
      <c r="C2" s="289"/>
      <c r="D2" s="289"/>
      <c r="E2" s="289"/>
      <c r="F2" s="289"/>
      <c r="G2" s="289"/>
      <c r="H2" s="289"/>
      <c r="I2" s="289"/>
      <c r="J2" s="289"/>
      <c r="K2" s="289"/>
      <c r="L2" s="289"/>
      <c r="M2" s="289"/>
      <c r="N2" s="289"/>
      <c r="O2" s="289"/>
    </row>
    <row r="3" spans="1:15" ht="6.75" customHeight="1">
      <c r="A3" s="290" t="s">
        <v>2621</v>
      </c>
      <c r="B3" s="290"/>
      <c r="C3" s="290"/>
      <c r="D3" s="290"/>
      <c r="E3" s="290"/>
      <c r="F3" s="290"/>
      <c r="G3" s="290"/>
      <c r="H3" s="290"/>
      <c r="I3" s="290"/>
      <c r="J3" s="290"/>
      <c r="K3" s="290"/>
      <c r="L3" s="290"/>
      <c r="M3" s="290"/>
      <c r="N3" s="290"/>
      <c r="O3" s="290"/>
    </row>
    <row r="5" spans="1:15" ht="7.5" customHeight="1">
      <c r="A5" s="152" t="s">
        <v>2622</v>
      </c>
      <c r="B5" s="151" t="s">
        <v>2572</v>
      </c>
      <c r="C5" s="151" t="s">
        <v>2623</v>
      </c>
      <c r="D5" s="151" t="s">
        <v>2624</v>
      </c>
      <c r="E5" s="151" t="s">
        <v>2625</v>
      </c>
      <c r="F5" s="151" t="s">
        <v>2626</v>
      </c>
      <c r="G5" s="151" t="s">
        <v>2627</v>
      </c>
      <c r="H5" s="151" t="s">
        <v>2628</v>
      </c>
      <c r="I5" s="151" t="s">
        <v>2629</v>
      </c>
      <c r="J5" s="151" t="s">
        <v>2630</v>
      </c>
      <c r="K5" s="151" t="s">
        <v>28</v>
      </c>
      <c r="L5" s="151" t="s">
        <v>29</v>
      </c>
      <c r="M5" s="151" t="s">
        <v>30</v>
      </c>
      <c r="N5" s="151" t="s">
        <v>31</v>
      </c>
      <c r="O5" s="150" t="s">
        <v>1275</v>
      </c>
    </row>
    <row r="6" spans="1:15" ht="4.75" customHeight="1">
      <c r="A6" s="149" t="s">
        <v>2631</v>
      </c>
      <c r="B6" s="148">
        <v>2018</v>
      </c>
      <c r="C6" s="148" t="s">
        <v>2632</v>
      </c>
      <c r="D6" s="148" t="s">
        <v>2633</v>
      </c>
      <c r="E6" s="147">
        <v>87</v>
      </c>
      <c r="F6" s="147">
        <v>36</v>
      </c>
      <c r="G6" s="147">
        <v>122</v>
      </c>
      <c r="H6" s="147">
        <v>0</v>
      </c>
      <c r="I6" s="147">
        <v>0</v>
      </c>
      <c r="J6" s="147">
        <f t="shared" ref="J6:J23" si="0">SUM(E6:I6)</f>
        <v>245</v>
      </c>
      <c r="K6" s="146" t="s">
        <v>1500</v>
      </c>
      <c r="L6" s="146" t="s">
        <v>1408</v>
      </c>
      <c r="M6" s="146"/>
      <c r="N6" s="146"/>
      <c r="O6" s="145"/>
    </row>
    <row r="7" spans="1:15" ht="4.75" customHeight="1">
      <c r="A7" s="144" t="s">
        <v>2634</v>
      </c>
      <c r="B7" s="143">
        <v>2018</v>
      </c>
      <c r="C7" s="143" t="s">
        <v>2632</v>
      </c>
      <c r="D7" s="143" t="s">
        <v>2635</v>
      </c>
      <c r="E7" s="142">
        <v>169</v>
      </c>
      <c r="F7" s="142">
        <v>46</v>
      </c>
      <c r="G7" s="142">
        <v>0</v>
      </c>
      <c r="H7" s="142">
        <v>0</v>
      </c>
      <c r="I7" s="142">
        <v>0</v>
      </c>
      <c r="J7" s="142">
        <f t="shared" si="0"/>
        <v>215</v>
      </c>
      <c r="K7" s="141" t="s">
        <v>1500</v>
      </c>
      <c r="L7" s="141" t="s">
        <v>1408</v>
      </c>
      <c r="M7" s="141"/>
      <c r="N7" s="141"/>
      <c r="O7" s="140"/>
    </row>
    <row r="8" spans="1:15" ht="4.75" customHeight="1">
      <c r="A8" s="144" t="s">
        <v>2636</v>
      </c>
      <c r="B8" s="143">
        <v>2019</v>
      </c>
      <c r="C8" s="143" t="s">
        <v>2632</v>
      </c>
      <c r="D8" s="143" t="s">
        <v>2633</v>
      </c>
      <c r="E8" s="142">
        <v>70</v>
      </c>
      <c r="F8" s="142">
        <v>0</v>
      </c>
      <c r="G8" s="142">
        <v>111</v>
      </c>
      <c r="H8" s="142">
        <v>0</v>
      </c>
      <c r="I8" s="142">
        <v>0</v>
      </c>
      <c r="J8" s="142">
        <f t="shared" si="0"/>
        <v>181</v>
      </c>
      <c r="K8" s="141" t="s">
        <v>1500</v>
      </c>
      <c r="L8" s="141" t="s">
        <v>1408</v>
      </c>
      <c r="M8" s="141"/>
      <c r="N8" s="141"/>
      <c r="O8" s="140"/>
    </row>
    <row r="9" spans="1:15" ht="4.75" customHeight="1">
      <c r="A9" s="144" t="s">
        <v>2637</v>
      </c>
      <c r="B9" s="143">
        <v>2019</v>
      </c>
      <c r="C9" s="143" t="s">
        <v>2632</v>
      </c>
      <c r="D9" s="143" t="s">
        <v>2635</v>
      </c>
      <c r="E9" s="142">
        <v>50</v>
      </c>
      <c r="F9" s="142">
        <v>12</v>
      </c>
      <c r="G9" s="142">
        <v>0</v>
      </c>
      <c r="H9" s="142">
        <v>57</v>
      </c>
      <c r="I9" s="142">
        <v>0</v>
      </c>
      <c r="J9" s="142">
        <f t="shared" si="0"/>
        <v>119</v>
      </c>
      <c r="K9" s="141" t="s">
        <v>1500</v>
      </c>
      <c r="L9" s="141" t="s">
        <v>1408</v>
      </c>
      <c r="M9" s="141"/>
      <c r="N9" s="141"/>
      <c r="O9" s="140"/>
    </row>
    <row r="10" spans="1:15" ht="4.75" customHeight="1">
      <c r="A10" s="144" t="s">
        <v>2638</v>
      </c>
      <c r="B10" s="143">
        <v>2020</v>
      </c>
      <c r="C10" s="143" t="s">
        <v>2632</v>
      </c>
      <c r="D10" s="143" t="s">
        <v>2633</v>
      </c>
      <c r="E10" s="142">
        <v>8</v>
      </c>
      <c r="F10" s="142">
        <v>0</v>
      </c>
      <c r="G10" s="142">
        <v>19</v>
      </c>
      <c r="H10" s="142">
        <v>0</v>
      </c>
      <c r="I10" s="142">
        <v>0</v>
      </c>
      <c r="J10" s="142">
        <f t="shared" si="0"/>
        <v>27</v>
      </c>
      <c r="K10" s="141" t="s">
        <v>1500</v>
      </c>
      <c r="L10" s="141" t="s">
        <v>1408</v>
      </c>
      <c r="M10" s="141"/>
      <c r="N10" s="141"/>
      <c r="O10" s="140"/>
    </row>
    <row r="11" spans="1:15" ht="4.75" customHeight="1">
      <c r="A11" s="144" t="s">
        <v>2639</v>
      </c>
      <c r="B11" s="143">
        <v>2020</v>
      </c>
      <c r="C11" s="143" t="s">
        <v>2632</v>
      </c>
      <c r="D11" s="143" t="s">
        <v>2635</v>
      </c>
      <c r="E11" s="142">
        <v>40</v>
      </c>
      <c r="F11" s="142">
        <v>0</v>
      </c>
      <c r="G11" s="142">
        <v>80</v>
      </c>
      <c r="H11" s="142">
        <v>23</v>
      </c>
      <c r="I11" s="142">
        <v>0</v>
      </c>
      <c r="J11" s="142">
        <f t="shared" si="0"/>
        <v>143</v>
      </c>
      <c r="K11" s="141" t="s">
        <v>1500</v>
      </c>
      <c r="L11" s="141" t="s">
        <v>1408</v>
      </c>
      <c r="M11" s="141"/>
      <c r="N11" s="141"/>
      <c r="O11" s="140"/>
    </row>
    <row r="12" spans="1:15" ht="4.75" customHeight="1">
      <c r="A12" s="144" t="s">
        <v>2640</v>
      </c>
      <c r="B12" s="143">
        <v>2021</v>
      </c>
      <c r="C12" s="143" t="s">
        <v>2632</v>
      </c>
      <c r="D12" s="143" t="s">
        <v>2633</v>
      </c>
      <c r="E12" s="142">
        <v>6</v>
      </c>
      <c r="F12" s="142">
        <v>0</v>
      </c>
      <c r="G12" s="142">
        <v>0</v>
      </c>
      <c r="H12" s="142">
        <v>0</v>
      </c>
      <c r="I12" s="142">
        <v>0</v>
      </c>
      <c r="J12" s="142">
        <f t="shared" si="0"/>
        <v>6</v>
      </c>
      <c r="K12" s="141" t="s">
        <v>1500</v>
      </c>
      <c r="L12" s="141" t="s">
        <v>1408</v>
      </c>
      <c r="M12" s="141"/>
      <c r="N12" s="141"/>
      <c r="O12" s="140"/>
    </row>
    <row r="13" spans="1:15" ht="4.75" customHeight="1">
      <c r="A13" s="144" t="s">
        <v>2641</v>
      </c>
      <c r="B13" s="143">
        <v>2021</v>
      </c>
      <c r="C13" s="143" t="s">
        <v>2632</v>
      </c>
      <c r="D13" s="143" t="s">
        <v>2635</v>
      </c>
      <c r="E13" s="142">
        <v>16</v>
      </c>
      <c r="F13" s="142">
        <v>0</v>
      </c>
      <c r="G13" s="142">
        <v>47</v>
      </c>
      <c r="H13" s="142">
        <v>99</v>
      </c>
      <c r="I13" s="142">
        <v>0</v>
      </c>
      <c r="J13" s="142">
        <f t="shared" si="0"/>
        <v>162</v>
      </c>
      <c r="K13" s="141" t="s">
        <v>1500</v>
      </c>
      <c r="L13" s="141" t="s">
        <v>1408</v>
      </c>
      <c r="M13" s="141"/>
      <c r="N13" s="141"/>
      <c r="O13" s="140"/>
    </row>
    <row r="14" spans="1:15" ht="4.75" customHeight="1">
      <c r="A14" s="144" t="s">
        <v>2642</v>
      </c>
      <c r="B14" s="143">
        <v>2022</v>
      </c>
      <c r="C14" s="143" t="s">
        <v>2632</v>
      </c>
      <c r="D14" s="143" t="s">
        <v>2633</v>
      </c>
      <c r="E14" s="142">
        <v>4</v>
      </c>
      <c r="F14" s="142">
        <v>0</v>
      </c>
      <c r="G14" s="142">
        <v>0</v>
      </c>
      <c r="H14" s="142">
        <v>0</v>
      </c>
      <c r="I14" s="142">
        <v>0</v>
      </c>
      <c r="J14" s="142">
        <f t="shared" si="0"/>
        <v>4</v>
      </c>
      <c r="K14" s="141" t="s">
        <v>1500</v>
      </c>
      <c r="L14" s="141" t="s">
        <v>1408</v>
      </c>
      <c r="M14" s="141"/>
      <c r="N14" s="141"/>
      <c r="O14" s="140"/>
    </row>
    <row r="15" spans="1:15" ht="4.75" customHeight="1">
      <c r="A15" s="144" t="s">
        <v>2643</v>
      </c>
      <c r="B15" s="143">
        <v>2022</v>
      </c>
      <c r="C15" s="143" t="s">
        <v>2632</v>
      </c>
      <c r="D15" s="143" t="s">
        <v>2635</v>
      </c>
      <c r="E15" s="142">
        <v>18</v>
      </c>
      <c r="F15" s="142">
        <v>0</v>
      </c>
      <c r="G15" s="142">
        <v>0</v>
      </c>
      <c r="H15" s="142">
        <v>0</v>
      </c>
      <c r="I15" s="142">
        <v>0</v>
      </c>
      <c r="J15" s="142">
        <f t="shared" si="0"/>
        <v>18</v>
      </c>
      <c r="K15" s="141" t="s">
        <v>1500</v>
      </c>
      <c r="L15" s="141" t="s">
        <v>1408</v>
      </c>
      <c r="M15" s="141"/>
      <c r="N15" s="141"/>
      <c r="O15" s="140"/>
    </row>
    <row r="16" spans="1:15" ht="4.75" customHeight="1">
      <c r="A16" s="144" t="s">
        <v>2644</v>
      </c>
      <c r="B16" s="143">
        <v>2023</v>
      </c>
      <c r="C16" s="143" t="s">
        <v>2632</v>
      </c>
      <c r="D16" s="143" t="s">
        <v>2633</v>
      </c>
      <c r="E16" s="142">
        <v>4</v>
      </c>
      <c r="F16" s="142">
        <v>0</v>
      </c>
      <c r="G16" s="142">
        <v>0</v>
      </c>
      <c r="H16" s="142">
        <v>0</v>
      </c>
      <c r="I16" s="142">
        <v>0</v>
      </c>
      <c r="J16" s="142">
        <f t="shared" si="0"/>
        <v>4</v>
      </c>
      <c r="K16" s="141" t="s">
        <v>1500</v>
      </c>
      <c r="L16" s="141" t="s">
        <v>1408</v>
      </c>
      <c r="M16" s="141"/>
      <c r="N16" s="141"/>
      <c r="O16" s="140"/>
    </row>
    <row r="17" spans="1:15" ht="4.75" customHeight="1">
      <c r="A17" s="144" t="s">
        <v>2645</v>
      </c>
      <c r="B17" s="143">
        <v>2023</v>
      </c>
      <c r="C17" s="143" t="s">
        <v>2632</v>
      </c>
      <c r="D17" s="143" t="s">
        <v>2635</v>
      </c>
      <c r="E17" s="142">
        <v>11</v>
      </c>
      <c r="F17" s="142">
        <v>0</v>
      </c>
      <c r="G17" s="142">
        <v>0</v>
      </c>
      <c r="H17" s="142">
        <v>0</v>
      </c>
      <c r="I17" s="142">
        <v>0</v>
      </c>
      <c r="J17" s="142">
        <f t="shared" si="0"/>
        <v>11</v>
      </c>
      <c r="K17" s="141" t="s">
        <v>1500</v>
      </c>
      <c r="L17" s="141" t="s">
        <v>1408</v>
      </c>
      <c r="M17" s="141"/>
      <c r="N17" s="141"/>
      <c r="O17" s="140"/>
    </row>
    <row r="18" spans="1:15" ht="4.75" customHeight="1">
      <c r="A18" s="144" t="s">
        <v>2646</v>
      </c>
      <c r="B18" s="143">
        <v>2024</v>
      </c>
      <c r="C18" s="143" t="s">
        <v>2632</v>
      </c>
      <c r="D18" s="143" t="s">
        <v>2633</v>
      </c>
      <c r="E18" s="142">
        <v>0</v>
      </c>
      <c r="F18" s="142">
        <v>20</v>
      </c>
      <c r="G18" s="142">
        <v>0</v>
      </c>
      <c r="H18" s="142">
        <v>0</v>
      </c>
      <c r="I18" s="142">
        <v>0</v>
      </c>
      <c r="J18" s="142">
        <f t="shared" si="0"/>
        <v>20</v>
      </c>
      <c r="K18" s="141" t="s">
        <v>1500</v>
      </c>
      <c r="L18" s="141" t="s">
        <v>1408</v>
      </c>
      <c r="M18" s="141"/>
      <c r="N18" s="141"/>
      <c r="O18" s="140"/>
    </row>
    <row r="19" spans="1:15" ht="4.75" customHeight="1">
      <c r="A19" s="144" t="s">
        <v>2647</v>
      </c>
      <c r="B19" s="143">
        <v>2024</v>
      </c>
      <c r="C19" s="143" t="s">
        <v>2632</v>
      </c>
      <c r="D19" s="143" t="s">
        <v>2635</v>
      </c>
      <c r="E19" s="142">
        <v>8</v>
      </c>
      <c r="F19" s="142">
        <v>0</v>
      </c>
      <c r="G19" s="142">
        <v>0</v>
      </c>
      <c r="H19" s="142">
        <v>0</v>
      </c>
      <c r="I19" s="142">
        <v>2</v>
      </c>
      <c r="J19" s="142">
        <f t="shared" si="0"/>
        <v>10</v>
      </c>
      <c r="K19" s="141" t="s">
        <v>1500</v>
      </c>
      <c r="L19" s="141" t="s">
        <v>1408</v>
      </c>
      <c r="M19" s="141"/>
      <c r="N19" s="141"/>
      <c r="O19" s="140"/>
    </row>
    <row r="20" spans="1:15" ht="4.75" customHeight="1">
      <c r="A20" s="144" t="s">
        <v>2648</v>
      </c>
      <c r="B20" s="143">
        <v>2025</v>
      </c>
      <c r="C20" s="143" t="s">
        <v>2632</v>
      </c>
      <c r="D20" s="143" t="s">
        <v>2633</v>
      </c>
      <c r="E20" s="142">
        <v>1</v>
      </c>
      <c r="F20" s="142">
        <v>0</v>
      </c>
      <c r="G20" s="142">
        <v>0</v>
      </c>
      <c r="H20" s="142">
        <v>1</v>
      </c>
      <c r="I20" s="142">
        <v>0</v>
      </c>
      <c r="J20" s="142">
        <f t="shared" si="0"/>
        <v>2</v>
      </c>
      <c r="K20" s="141" t="s">
        <v>1500</v>
      </c>
      <c r="L20" s="141" t="s">
        <v>1408</v>
      </c>
      <c r="M20" s="141"/>
      <c r="N20" s="141"/>
      <c r="O20" s="140"/>
    </row>
    <row r="21" spans="1:15" ht="4.75" customHeight="1">
      <c r="A21" s="144" t="s">
        <v>2649</v>
      </c>
      <c r="B21" s="143">
        <v>2025</v>
      </c>
      <c r="C21" s="143" t="s">
        <v>2632</v>
      </c>
      <c r="D21" s="143" t="s">
        <v>2635</v>
      </c>
      <c r="E21" s="142">
        <v>4</v>
      </c>
      <c r="F21" s="142">
        <v>0</v>
      </c>
      <c r="G21" s="142">
        <v>0</v>
      </c>
      <c r="H21" s="142">
        <v>49</v>
      </c>
      <c r="I21" s="142">
        <v>6</v>
      </c>
      <c r="J21" s="142">
        <f t="shared" si="0"/>
        <v>59</v>
      </c>
      <c r="K21" s="141" t="s">
        <v>1500</v>
      </c>
      <c r="L21" s="141" t="s">
        <v>1408</v>
      </c>
      <c r="M21" s="141"/>
      <c r="N21" s="141"/>
      <c r="O21" s="140"/>
    </row>
    <row r="22" spans="1:15" ht="4.75" customHeight="1">
      <c r="A22" s="144" t="s">
        <v>2650</v>
      </c>
      <c r="B22" s="143">
        <v>2026</v>
      </c>
      <c r="C22" s="143" t="s">
        <v>2651</v>
      </c>
      <c r="D22" s="143" t="s">
        <v>2633</v>
      </c>
      <c r="E22" s="142">
        <v>2</v>
      </c>
      <c r="F22" s="142">
        <v>0</v>
      </c>
      <c r="G22" s="142">
        <v>0</v>
      </c>
      <c r="H22" s="142">
        <v>0</v>
      </c>
      <c r="I22" s="142">
        <v>0</v>
      </c>
      <c r="J22" s="142">
        <f t="shared" si="0"/>
        <v>2</v>
      </c>
      <c r="K22" s="141" t="s">
        <v>1500</v>
      </c>
      <c r="L22" s="141" t="s">
        <v>1408</v>
      </c>
      <c r="M22" s="141"/>
      <c r="N22" s="141"/>
      <c r="O22" s="140" t="s">
        <v>2652</v>
      </c>
    </row>
    <row r="23" spans="1:15" ht="4.75" customHeight="1">
      <c r="A23" s="139" t="s">
        <v>2653</v>
      </c>
      <c r="B23" s="138">
        <v>2026</v>
      </c>
      <c r="C23" s="138" t="s">
        <v>2651</v>
      </c>
      <c r="D23" s="138" t="s">
        <v>2635</v>
      </c>
      <c r="E23" s="137">
        <v>8</v>
      </c>
      <c r="F23" s="137">
        <v>0</v>
      </c>
      <c r="G23" s="137">
        <v>0</v>
      </c>
      <c r="H23" s="137">
        <v>135</v>
      </c>
      <c r="I23" s="137">
        <v>0</v>
      </c>
      <c r="J23" s="137">
        <f t="shared" si="0"/>
        <v>143</v>
      </c>
      <c r="K23" s="136" t="s">
        <v>1500</v>
      </c>
      <c r="L23" s="136" t="s">
        <v>1408</v>
      </c>
      <c r="M23" s="136"/>
      <c r="N23" s="136"/>
      <c r="O23" s="135" t="s">
        <v>2652</v>
      </c>
    </row>
    <row r="24" spans="1:15">
      <c r="E24" s="134"/>
      <c r="F24" s="134"/>
      <c r="G24" s="134"/>
      <c r="H24" s="134"/>
      <c r="I24" s="134"/>
      <c r="J24" s="134"/>
    </row>
    <row r="25" spans="1:15" ht="4.75" customHeight="1">
      <c r="B25" s="291" t="s">
        <v>2654</v>
      </c>
      <c r="C25" s="291"/>
      <c r="D25" s="291"/>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85" t="s">
        <v>2655</v>
      </c>
      <c r="C26" s="285"/>
      <c r="D26" s="285"/>
      <c r="E26" s="286"/>
      <c r="F26" s="286"/>
      <c r="G26" s="286"/>
      <c r="H26" s="286"/>
      <c r="I26" s="286"/>
      <c r="J26" s="130">
        <f>SUMIF(C6:C23,"Realisasi",J6:J23)</f>
        <v>1226</v>
      </c>
    </row>
    <row r="27" spans="1:15" ht="4.75" customHeight="1">
      <c r="B27" s="285" t="s">
        <v>2656</v>
      </c>
      <c r="C27" s="285"/>
      <c r="D27" s="285"/>
      <c r="E27" s="286"/>
      <c r="F27" s="286"/>
      <c r="G27" s="286"/>
      <c r="H27" s="286"/>
      <c r="I27" s="286"/>
      <c r="J27" s="130">
        <f>SUMIF(C6:C23,"Proses",J6:J23)</f>
        <v>145</v>
      </c>
      <c r="K27" s="287" t="s">
        <v>2657</v>
      </c>
      <c r="L27" s="287"/>
      <c r="M27" s="287"/>
      <c r="N27" s="287"/>
      <c r="O27" s="287"/>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88" t="s">
        <v>2658</v>
      </c>
      <c r="B1" s="288"/>
      <c r="C1" s="288"/>
      <c r="D1" s="288"/>
      <c r="E1" s="288"/>
      <c r="F1" s="288"/>
      <c r="G1" s="288"/>
      <c r="H1" s="288"/>
      <c r="I1" s="288"/>
      <c r="J1" s="288"/>
      <c r="K1" s="288"/>
      <c r="L1" s="288"/>
      <c r="M1" s="288"/>
      <c r="N1" s="288"/>
      <c r="O1" s="288"/>
      <c r="P1" s="288"/>
      <c r="Q1" s="288"/>
      <c r="R1" s="288"/>
      <c r="S1" s="288"/>
    </row>
    <row r="2" spans="1:19" ht="5.15" customHeight="1">
      <c r="A2" s="289" t="s">
        <v>2659</v>
      </c>
      <c r="B2" s="289"/>
      <c r="C2" s="289"/>
      <c r="D2" s="289"/>
      <c r="E2" s="289"/>
      <c r="F2" s="289"/>
      <c r="G2" s="289"/>
      <c r="H2" s="289"/>
      <c r="I2" s="289"/>
      <c r="J2" s="289"/>
      <c r="K2" s="289"/>
      <c r="L2" s="289"/>
      <c r="M2" s="289"/>
      <c r="N2" s="289"/>
      <c r="O2" s="289"/>
      <c r="P2" s="289"/>
      <c r="Q2" s="289"/>
      <c r="R2" s="289"/>
      <c r="S2" s="289"/>
    </row>
    <row r="3" spans="1:19" ht="7.15" customHeight="1">
      <c r="A3" s="290" t="s">
        <v>2660</v>
      </c>
      <c r="B3" s="290"/>
      <c r="C3" s="290"/>
      <c r="D3" s="290"/>
      <c r="E3" s="290"/>
      <c r="F3" s="290"/>
      <c r="G3" s="290"/>
      <c r="H3" s="290"/>
      <c r="I3" s="290"/>
      <c r="J3" s="290"/>
      <c r="K3" s="290"/>
      <c r="L3" s="290"/>
      <c r="M3" s="290"/>
      <c r="N3" s="290"/>
      <c r="O3" s="290"/>
      <c r="P3" s="290"/>
      <c r="Q3" s="290"/>
      <c r="R3" s="290"/>
      <c r="S3" s="290"/>
    </row>
    <row r="5" spans="1:19" ht="8.25" customHeight="1">
      <c r="A5" s="152" t="s">
        <v>2661</v>
      </c>
      <c r="B5" s="151" t="s">
        <v>2572</v>
      </c>
      <c r="C5" s="151" t="s">
        <v>2662</v>
      </c>
      <c r="D5" s="151" t="s">
        <v>2663</v>
      </c>
      <c r="E5" s="151" t="s">
        <v>2664</v>
      </c>
      <c r="F5" s="151" t="s">
        <v>2665</v>
      </c>
      <c r="G5" s="151" t="s">
        <v>2666</v>
      </c>
      <c r="H5" s="151" t="s">
        <v>2667</v>
      </c>
      <c r="I5" s="151" t="s">
        <v>2668</v>
      </c>
      <c r="J5" s="151" t="s">
        <v>2669</v>
      </c>
      <c r="K5" s="151" t="s">
        <v>2670</v>
      </c>
      <c r="L5" s="151" t="s">
        <v>2671</v>
      </c>
      <c r="M5" s="151" t="s">
        <v>2672</v>
      </c>
      <c r="N5" s="151" t="s">
        <v>2623</v>
      </c>
      <c r="O5" s="151" t="s">
        <v>1275</v>
      </c>
      <c r="P5" s="151" t="s">
        <v>28</v>
      </c>
      <c r="Q5" s="151" t="s">
        <v>29</v>
      </c>
      <c r="R5" s="151" t="s">
        <v>30</v>
      </c>
      <c r="S5" s="150" t="s">
        <v>31</v>
      </c>
    </row>
    <row r="6" spans="1:19" ht="8.25" customHeight="1">
      <c r="A6" s="149" t="s">
        <v>2673</v>
      </c>
      <c r="B6" s="148">
        <v>2014</v>
      </c>
      <c r="C6" s="148" t="s">
        <v>2674</v>
      </c>
      <c r="D6" s="148" t="s">
        <v>2675</v>
      </c>
      <c r="E6" s="148"/>
      <c r="F6" s="148">
        <v>14</v>
      </c>
      <c r="G6" s="164">
        <v>196.2</v>
      </c>
      <c r="H6" s="164"/>
      <c r="I6" s="163"/>
      <c r="J6" s="164">
        <f t="shared" ref="J6:J13" si="0">$G$6-G6</f>
        <v>0</v>
      </c>
      <c r="K6" s="163">
        <f t="shared" ref="K6:K13" si="1">IF($G$6=0,"",J6/$G$6)</f>
        <v>0</v>
      </c>
      <c r="L6" s="146" t="s">
        <v>2676</v>
      </c>
      <c r="M6" s="146" t="s">
        <v>2677</v>
      </c>
      <c r="N6" s="146" t="s">
        <v>2678</v>
      </c>
      <c r="O6" s="146" t="s">
        <v>2679</v>
      </c>
      <c r="P6" s="146" t="s">
        <v>1500</v>
      </c>
      <c r="Q6" s="146" t="s">
        <v>2680</v>
      </c>
      <c r="R6" s="146"/>
      <c r="S6" s="145"/>
    </row>
    <row r="7" spans="1:19" ht="8.25" customHeight="1">
      <c r="A7" s="144" t="s">
        <v>2681</v>
      </c>
      <c r="B7" s="143">
        <v>2018</v>
      </c>
      <c r="C7" s="143" t="s">
        <v>2682</v>
      </c>
      <c r="D7" s="143" t="s">
        <v>2675</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2683</v>
      </c>
      <c r="M7" s="141" t="s">
        <v>2677</v>
      </c>
      <c r="N7" s="141" t="s">
        <v>2678</v>
      </c>
      <c r="O7" s="141" t="s">
        <v>2684</v>
      </c>
      <c r="P7" s="141" t="s">
        <v>1500</v>
      </c>
      <c r="Q7" s="141" t="s">
        <v>2680</v>
      </c>
      <c r="R7" s="141"/>
      <c r="S7" s="140"/>
    </row>
    <row r="8" spans="1:19" ht="8.25" customHeight="1">
      <c r="A8" s="144" t="s">
        <v>2685</v>
      </c>
      <c r="B8" s="143">
        <v>2019</v>
      </c>
      <c r="C8" s="143" t="s">
        <v>2686</v>
      </c>
      <c r="D8" s="143" t="s">
        <v>2675</v>
      </c>
      <c r="E8" s="143"/>
      <c r="F8" s="143">
        <v>1</v>
      </c>
      <c r="G8" s="162">
        <v>21.9</v>
      </c>
      <c r="H8" s="162">
        <f t="shared" si="2"/>
        <v>-165.98999999999998</v>
      </c>
      <c r="I8" s="161">
        <f t="shared" si="3"/>
        <v>-0.88344243972537118</v>
      </c>
      <c r="J8" s="162">
        <f t="shared" si="0"/>
        <v>174.29999999999998</v>
      </c>
      <c r="K8" s="161">
        <f t="shared" si="1"/>
        <v>0.88837920489296629</v>
      </c>
      <c r="L8" s="141" t="s">
        <v>2687</v>
      </c>
      <c r="M8" s="141" t="s">
        <v>2677</v>
      </c>
      <c r="N8" s="141" t="s">
        <v>2678</v>
      </c>
      <c r="O8" s="141" t="s">
        <v>2688</v>
      </c>
      <c r="P8" s="141" t="s">
        <v>1500</v>
      </c>
      <c r="Q8" s="141" t="s">
        <v>2680</v>
      </c>
      <c r="R8" s="141"/>
      <c r="S8" s="140"/>
    </row>
    <row r="9" spans="1:19" ht="8.25" customHeight="1">
      <c r="A9" s="144" t="s">
        <v>2689</v>
      </c>
      <c r="B9" s="143">
        <v>2020</v>
      </c>
      <c r="C9" s="143" t="s">
        <v>2690</v>
      </c>
      <c r="D9" s="143" t="s">
        <v>2691</v>
      </c>
      <c r="E9" s="143"/>
      <c r="F9" s="143">
        <v>8</v>
      </c>
      <c r="G9" s="162">
        <v>148.5</v>
      </c>
      <c r="H9" s="162">
        <f t="shared" si="2"/>
        <v>126.6</v>
      </c>
      <c r="I9" s="161">
        <f t="shared" si="3"/>
        <v>5.7808219178082192</v>
      </c>
      <c r="J9" s="162">
        <f t="shared" si="0"/>
        <v>47.699999999999989</v>
      </c>
      <c r="K9" s="161">
        <f t="shared" si="1"/>
        <v>0.24311926605504583</v>
      </c>
      <c r="L9" s="141" t="s">
        <v>2692</v>
      </c>
      <c r="M9" s="141" t="s">
        <v>2693</v>
      </c>
      <c r="N9" s="141" t="s">
        <v>2678</v>
      </c>
      <c r="O9" s="141" t="s">
        <v>2694</v>
      </c>
      <c r="P9" s="141" t="s">
        <v>1500</v>
      </c>
      <c r="Q9" s="141" t="s">
        <v>2680</v>
      </c>
      <c r="R9" s="141"/>
      <c r="S9" s="140"/>
    </row>
    <row r="10" spans="1:19" ht="8.25" customHeight="1">
      <c r="A10" s="144" t="s">
        <v>2695</v>
      </c>
      <c r="B10" s="143">
        <v>2021</v>
      </c>
      <c r="C10" s="143" t="s">
        <v>2690</v>
      </c>
      <c r="D10" s="143" t="s">
        <v>2691</v>
      </c>
      <c r="E10" s="143"/>
      <c r="F10" s="143">
        <v>8</v>
      </c>
      <c r="G10" s="162">
        <v>150.09</v>
      </c>
      <c r="H10" s="162">
        <f t="shared" si="2"/>
        <v>1.5900000000000034</v>
      </c>
      <c r="I10" s="161">
        <f t="shared" si="3"/>
        <v>1.0707070707070729E-2</v>
      </c>
      <c r="J10" s="162">
        <f t="shared" si="0"/>
        <v>46.109999999999985</v>
      </c>
      <c r="K10" s="161">
        <f t="shared" si="1"/>
        <v>0.2350152905198776</v>
      </c>
      <c r="L10" s="141" t="s">
        <v>2696</v>
      </c>
      <c r="M10" s="141" t="s">
        <v>2693</v>
      </c>
      <c r="N10" s="141" t="s">
        <v>2678</v>
      </c>
      <c r="O10" s="141" t="s">
        <v>2697</v>
      </c>
      <c r="P10" s="141" t="s">
        <v>1500</v>
      </c>
      <c r="Q10" s="141" t="s">
        <v>2680</v>
      </c>
      <c r="R10" s="141"/>
      <c r="S10" s="140"/>
    </row>
    <row r="11" spans="1:19" ht="8.25" customHeight="1">
      <c r="A11" s="144" t="s">
        <v>2698</v>
      </c>
      <c r="B11" s="143">
        <v>2022</v>
      </c>
      <c r="C11" s="143" t="s">
        <v>2690</v>
      </c>
      <c r="D11" s="143" t="s">
        <v>2691</v>
      </c>
      <c r="E11" s="143"/>
      <c r="F11" s="143">
        <v>6</v>
      </c>
      <c r="G11" s="162">
        <v>85.3</v>
      </c>
      <c r="H11" s="162">
        <f t="shared" si="2"/>
        <v>-64.790000000000006</v>
      </c>
      <c r="I11" s="161">
        <f t="shared" si="3"/>
        <v>-0.43167432873609168</v>
      </c>
      <c r="J11" s="162">
        <f t="shared" si="0"/>
        <v>110.89999999999999</v>
      </c>
      <c r="K11" s="161">
        <f t="shared" si="1"/>
        <v>0.56523955147808358</v>
      </c>
      <c r="L11" s="141" t="s">
        <v>2699</v>
      </c>
      <c r="M11" s="141" t="s">
        <v>2700</v>
      </c>
      <c r="N11" s="141" t="s">
        <v>2678</v>
      </c>
      <c r="O11" s="141" t="s">
        <v>2701</v>
      </c>
      <c r="P11" s="141" t="s">
        <v>1500</v>
      </c>
      <c r="Q11" s="141" t="s">
        <v>2680</v>
      </c>
      <c r="R11" s="141"/>
      <c r="S11" s="140"/>
    </row>
    <row r="12" spans="1:19" ht="8.25" customHeight="1">
      <c r="A12" s="144" t="s">
        <v>2702</v>
      </c>
      <c r="B12" s="143">
        <v>2023</v>
      </c>
      <c r="C12" s="143" t="s">
        <v>2690</v>
      </c>
      <c r="D12" s="143" t="s">
        <v>2691</v>
      </c>
      <c r="E12" s="143"/>
      <c r="F12" s="143">
        <v>2</v>
      </c>
      <c r="G12" s="162">
        <v>28.43</v>
      </c>
      <c r="H12" s="162">
        <f t="shared" si="2"/>
        <v>-56.87</v>
      </c>
      <c r="I12" s="161">
        <f t="shared" si="3"/>
        <v>-0.6667057444314185</v>
      </c>
      <c r="J12" s="162">
        <f t="shared" si="0"/>
        <v>167.76999999999998</v>
      </c>
      <c r="K12" s="161">
        <f t="shared" si="1"/>
        <v>0.85509683995922525</v>
      </c>
      <c r="L12" s="141" t="s">
        <v>2703</v>
      </c>
      <c r="M12" s="141" t="s">
        <v>2700</v>
      </c>
      <c r="N12" s="141" t="s">
        <v>2678</v>
      </c>
      <c r="O12" s="141" t="s">
        <v>2704</v>
      </c>
      <c r="P12" s="141" t="s">
        <v>1500</v>
      </c>
      <c r="Q12" s="141" t="s">
        <v>2680</v>
      </c>
      <c r="R12" s="141"/>
      <c r="S12" s="140"/>
    </row>
    <row r="13" spans="1:19" ht="8.25" customHeight="1">
      <c r="A13" s="139" t="s">
        <v>2705</v>
      </c>
      <c r="B13" s="138">
        <v>2024</v>
      </c>
      <c r="C13" s="138" t="s">
        <v>2706</v>
      </c>
      <c r="D13" s="138" t="s">
        <v>2691</v>
      </c>
      <c r="E13" s="138"/>
      <c r="F13" s="138">
        <v>2</v>
      </c>
      <c r="G13" s="160">
        <v>24.08</v>
      </c>
      <c r="H13" s="160">
        <f t="shared" si="2"/>
        <v>-4.3500000000000014</v>
      </c>
      <c r="I13" s="159">
        <f t="shared" si="3"/>
        <v>-0.15300738656348933</v>
      </c>
      <c r="J13" s="160">
        <f t="shared" si="0"/>
        <v>172.12</v>
      </c>
      <c r="K13" s="159">
        <f t="shared" si="1"/>
        <v>0.87726809378185533</v>
      </c>
      <c r="L13" s="136" t="s">
        <v>2707</v>
      </c>
      <c r="M13" s="136" t="s">
        <v>2700</v>
      </c>
      <c r="N13" s="136" t="s">
        <v>2708</v>
      </c>
      <c r="O13" s="136" t="s">
        <v>2709</v>
      </c>
      <c r="P13" s="136" t="s">
        <v>1500</v>
      </c>
      <c r="Q13" s="136" t="s">
        <v>2680</v>
      </c>
      <c r="R13" s="136"/>
      <c r="S13" s="135"/>
    </row>
    <row r="15" spans="1:19" ht="4.75" customHeight="1">
      <c r="B15" s="293" t="s">
        <v>2710</v>
      </c>
      <c r="C15" s="293"/>
      <c r="D15" s="293"/>
      <c r="E15" s="293"/>
      <c r="F15" s="293"/>
      <c r="G15" s="158" t="s">
        <v>2711</v>
      </c>
    </row>
    <row r="16" spans="1:19" ht="4.75" customHeight="1">
      <c r="B16" s="294" t="s">
        <v>2712</v>
      </c>
      <c r="C16" s="294"/>
      <c r="D16" s="294"/>
      <c r="E16" s="294"/>
      <c r="F16" s="294"/>
      <c r="G16" s="156">
        <f>G6</f>
        <v>196.2</v>
      </c>
    </row>
    <row r="17" spans="2:7" ht="4.75" customHeight="1">
      <c r="B17" s="285" t="s">
        <v>2713</v>
      </c>
      <c r="C17" s="285"/>
      <c r="D17" s="285"/>
      <c r="E17" s="285"/>
      <c r="F17" s="285"/>
      <c r="G17" s="155">
        <f>G13</f>
        <v>24.08</v>
      </c>
    </row>
    <row r="18" spans="2:7" ht="4.75" customHeight="1">
      <c r="B18" s="285" t="s">
        <v>2714</v>
      </c>
      <c r="C18" s="285"/>
      <c r="D18" s="285"/>
      <c r="E18" s="285"/>
      <c r="F18" s="285"/>
      <c r="G18" s="155">
        <f>G16-G17</f>
        <v>172.12</v>
      </c>
    </row>
    <row r="19" spans="2:7" ht="4.75" customHeight="1">
      <c r="B19" s="292" t="s">
        <v>2715</v>
      </c>
      <c r="C19" s="292"/>
      <c r="D19" s="292"/>
      <c r="E19" s="292"/>
      <c r="F19" s="292"/>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88" t="s">
        <v>2716</v>
      </c>
      <c r="B1" s="288"/>
      <c r="C1" s="288"/>
      <c r="D1" s="288"/>
      <c r="E1" s="288"/>
      <c r="F1" s="288"/>
      <c r="G1" s="288"/>
      <c r="H1" s="288"/>
      <c r="I1" s="288"/>
      <c r="J1" s="288"/>
      <c r="K1" s="288"/>
      <c r="L1" s="288"/>
      <c r="M1" s="288"/>
      <c r="N1" s="288"/>
      <c r="O1" s="288"/>
      <c r="P1" s="288"/>
      <c r="Q1" s="288"/>
      <c r="R1" s="288"/>
      <c r="S1" s="288"/>
      <c r="T1" s="288"/>
    </row>
    <row r="2" spans="1:20" ht="14.5">
      <c r="A2" s="289" t="s">
        <v>2717</v>
      </c>
      <c r="B2" s="289"/>
      <c r="C2" s="289"/>
      <c r="D2" s="289"/>
      <c r="E2" s="289"/>
      <c r="F2" s="289"/>
      <c r="G2" s="289"/>
      <c r="H2" s="289"/>
      <c r="I2" s="289"/>
      <c r="J2" s="289"/>
      <c r="K2" s="289"/>
      <c r="L2" s="289"/>
      <c r="M2" s="289"/>
      <c r="N2" s="289"/>
      <c r="O2" s="289"/>
      <c r="P2" s="289"/>
      <c r="Q2" s="289"/>
      <c r="R2" s="289"/>
      <c r="S2" s="289"/>
      <c r="T2" s="289"/>
    </row>
    <row r="3" spans="1:20">
      <c r="A3" s="290" t="s">
        <v>2718</v>
      </c>
      <c r="B3" s="290"/>
      <c r="C3" s="290"/>
      <c r="D3" s="290"/>
      <c r="E3" s="290"/>
      <c r="F3" s="290"/>
      <c r="G3" s="290"/>
      <c r="H3" s="290"/>
      <c r="I3" s="290"/>
      <c r="J3" s="290"/>
      <c r="K3" s="290"/>
      <c r="L3" s="290"/>
      <c r="M3" s="290"/>
      <c r="N3" s="290"/>
      <c r="O3" s="290"/>
      <c r="P3" s="290"/>
      <c r="Q3" s="290"/>
      <c r="R3" s="290"/>
      <c r="S3" s="290"/>
      <c r="T3" s="290"/>
    </row>
    <row r="5" spans="1:20" ht="26">
      <c r="A5" s="152" t="s">
        <v>2719</v>
      </c>
      <c r="B5" s="151" t="s">
        <v>27</v>
      </c>
      <c r="C5" s="151" t="s">
        <v>2720</v>
      </c>
      <c r="D5" s="151" t="s">
        <v>7</v>
      </c>
      <c r="E5" s="151" t="s">
        <v>1380</v>
      </c>
      <c r="F5" s="151" t="s">
        <v>2721</v>
      </c>
      <c r="G5" s="151" t="s">
        <v>2666</v>
      </c>
      <c r="H5" s="151" t="s">
        <v>2624</v>
      </c>
      <c r="I5" s="151" t="s">
        <v>1394</v>
      </c>
      <c r="J5" s="151" t="s">
        <v>2722</v>
      </c>
      <c r="K5" s="151" t="s">
        <v>2663</v>
      </c>
      <c r="L5" s="151" t="s">
        <v>2664</v>
      </c>
      <c r="M5" s="151" t="s">
        <v>24</v>
      </c>
      <c r="N5" s="151" t="s">
        <v>25</v>
      </c>
      <c r="O5" s="151" t="s">
        <v>26</v>
      </c>
      <c r="P5" s="151" t="s">
        <v>1275</v>
      </c>
      <c r="Q5" s="151" t="s">
        <v>28</v>
      </c>
      <c r="R5" s="151" t="s">
        <v>29</v>
      </c>
      <c r="S5" s="151" t="s">
        <v>30</v>
      </c>
      <c r="T5" s="150" t="s">
        <v>31</v>
      </c>
    </row>
    <row r="6" spans="1:20" s="188" customFormat="1" ht="75">
      <c r="A6" s="177" t="s">
        <v>2723</v>
      </c>
      <c r="B6" s="177">
        <v>2014</v>
      </c>
      <c r="C6" s="177" t="s">
        <v>2724</v>
      </c>
      <c r="D6" s="177" t="s">
        <v>2725</v>
      </c>
      <c r="E6" s="177" t="s">
        <v>102</v>
      </c>
      <c r="F6" s="177">
        <v>6</v>
      </c>
      <c r="G6" s="178">
        <v>22.8</v>
      </c>
      <c r="H6" s="177" t="s">
        <v>2678</v>
      </c>
      <c r="I6" s="177" t="s">
        <v>1409</v>
      </c>
      <c r="J6" s="177">
        <v>2014</v>
      </c>
      <c r="K6" s="177" t="s">
        <v>2726</v>
      </c>
      <c r="L6" s="186" t="s">
        <v>2727</v>
      </c>
      <c r="M6" s="179" t="s">
        <v>2728</v>
      </c>
      <c r="N6" s="179" t="s">
        <v>2729</v>
      </c>
      <c r="O6" s="177"/>
      <c r="P6" s="180" t="s">
        <v>2730</v>
      </c>
      <c r="Q6" s="180" t="s">
        <v>2731</v>
      </c>
      <c r="R6" s="180" t="s">
        <v>223</v>
      </c>
      <c r="S6" s="180"/>
      <c r="T6" s="180" t="s">
        <v>1500</v>
      </c>
    </row>
    <row r="7" spans="1:20" s="188" customFormat="1" ht="75">
      <c r="A7" s="177" t="s">
        <v>2732</v>
      </c>
      <c r="B7" s="177">
        <v>2014</v>
      </c>
      <c r="C7" s="177" t="s">
        <v>2733</v>
      </c>
      <c r="D7" s="177" t="s">
        <v>576</v>
      </c>
      <c r="E7" s="177" t="s">
        <v>102</v>
      </c>
      <c r="F7" s="177">
        <v>5</v>
      </c>
      <c r="G7" s="178">
        <v>15.6</v>
      </c>
      <c r="H7" s="177" t="s">
        <v>2678</v>
      </c>
      <c r="I7" s="177" t="s">
        <v>1409</v>
      </c>
      <c r="J7" s="177">
        <v>2014</v>
      </c>
      <c r="K7" s="177" t="s">
        <v>2726</v>
      </c>
      <c r="L7" s="186" t="s">
        <v>2727</v>
      </c>
      <c r="M7" s="179" t="s">
        <v>2734</v>
      </c>
      <c r="N7" s="179" t="s">
        <v>2735</v>
      </c>
      <c r="O7" s="177"/>
      <c r="P7" s="180" t="s">
        <v>2730</v>
      </c>
      <c r="Q7" s="180" t="s">
        <v>2731</v>
      </c>
      <c r="R7" s="180" t="s">
        <v>223</v>
      </c>
      <c r="S7" s="180"/>
      <c r="T7" s="180" t="s">
        <v>1500</v>
      </c>
    </row>
    <row r="8" spans="1:20" s="188" customFormat="1" ht="75">
      <c r="A8" s="177" t="s">
        <v>2736</v>
      </c>
      <c r="B8" s="177">
        <v>2014</v>
      </c>
      <c r="C8" s="177" t="s">
        <v>2737</v>
      </c>
      <c r="D8" s="177" t="s">
        <v>2738</v>
      </c>
      <c r="E8" s="177" t="s">
        <v>433</v>
      </c>
      <c r="F8" s="177">
        <v>3</v>
      </c>
      <c r="G8" s="178">
        <v>8.3000000000000007</v>
      </c>
      <c r="H8" s="177" t="s">
        <v>2678</v>
      </c>
      <c r="I8" s="177" t="s">
        <v>1409</v>
      </c>
      <c r="J8" s="177">
        <v>2014</v>
      </c>
      <c r="K8" s="177" t="s">
        <v>2726</v>
      </c>
      <c r="L8" s="186" t="s">
        <v>2727</v>
      </c>
      <c r="M8" s="179" t="s">
        <v>2739</v>
      </c>
      <c r="N8" s="179" t="s">
        <v>2740</v>
      </c>
      <c r="O8" s="177"/>
      <c r="P8" s="180" t="s">
        <v>2730</v>
      </c>
      <c r="Q8" s="180" t="s">
        <v>2731</v>
      </c>
      <c r="R8" s="180" t="s">
        <v>223</v>
      </c>
      <c r="S8" s="180"/>
      <c r="T8" s="180" t="s">
        <v>1500</v>
      </c>
    </row>
    <row r="9" spans="1:20" s="188" customFormat="1" ht="75">
      <c r="A9" s="177" t="s">
        <v>2741</v>
      </c>
      <c r="B9" s="177">
        <v>2014</v>
      </c>
      <c r="C9" s="177" t="s">
        <v>2742</v>
      </c>
      <c r="D9" s="177" t="s">
        <v>2743</v>
      </c>
      <c r="E9" s="177" t="s">
        <v>433</v>
      </c>
      <c r="F9" s="177">
        <v>2</v>
      </c>
      <c r="G9" s="178">
        <v>2.4</v>
      </c>
      <c r="H9" s="177" t="s">
        <v>2678</v>
      </c>
      <c r="I9" s="177" t="s">
        <v>1409</v>
      </c>
      <c r="J9" s="177">
        <v>2014</v>
      </c>
      <c r="K9" s="177" t="s">
        <v>2726</v>
      </c>
      <c r="L9" s="186" t="s">
        <v>2727</v>
      </c>
      <c r="M9" s="179" t="s">
        <v>2744</v>
      </c>
      <c r="N9" s="179" t="s">
        <v>2745</v>
      </c>
      <c r="O9" s="177"/>
      <c r="P9" s="180" t="s">
        <v>2730</v>
      </c>
      <c r="Q9" s="180" t="s">
        <v>2731</v>
      </c>
      <c r="R9" s="180" t="s">
        <v>223</v>
      </c>
      <c r="S9" s="180"/>
      <c r="T9" s="180" t="s">
        <v>1500</v>
      </c>
    </row>
    <row r="10" spans="1:20" s="188" customFormat="1" ht="75">
      <c r="A10" s="177" t="s">
        <v>2746</v>
      </c>
      <c r="B10" s="177">
        <v>2014</v>
      </c>
      <c r="C10" s="177" t="s">
        <v>2747</v>
      </c>
      <c r="D10" s="177" t="s">
        <v>2748</v>
      </c>
      <c r="E10" s="177" t="s">
        <v>433</v>
      </c>
      <c r="F10" s="177">
        <v>5</v>
      </c>
      <c r="G10" s="178">
        <v>7.9</v>
      </c>
      <c r="H10" s="177" t="s">
        <v>2678</v>
      </c>
      <c r="I10" s="177" t="s">
        <v>1409</v>
      </c>
      <c r="J10" s="177">
        <v>2014</v>
      </c>
      <c r="K10" s="177" t="s">
        <v>2726</v>
      </c>
      <c r="L10" s="186" t="s">
        <v>2727</v>
      </c>
      <c r="M10" s="179" t="s">
        <v>2749</v>
      </c>
      <c r="N10" s="179" t="s">
        <v>2750</v>
      </c>
      <c r="O10" s="177"/>
      <c r="P10" s="180" t="s">
        <v>2730</v>
      </c>
      <c r="Q10" s="180" t="s">
        <v>2731</v>
      </c>
      <c r="R10" s="180" t="s">
        <v>223</v>
      </c>
      <c r="S10" s="180"/>
      <c r="T10" s="180" t="s">
        <v>1500</v>
      </c>
    </row>
    <row r="11" spans="1:20" s="188" customFormat="1" ht="75">
      <c r="A11" s="177" t="s">
        <v>2751</v>
      </c>
      <c r="B11" s="177">
        <v>2014</v>
      </c>
      <c r="C11" s="177" t="s">
        <v>2752</v>
      </c>
      <c r="D11" s="177" t="s">
        <v>127</v>
      </c>
      <c r="E11" s="177" t="s">
        <v>126</v>
      </c>
      <c r="F11" s="177">
        <v>4</v>
      </c>
      <c r="G11" s="178">
        <v>16.2</v>
      </c>
      <c r="H11" s="177" t="s">
        <v>2678</v>
      </c>
      <c r="I11" s="177" t="s">
        <v>1409</v>
      </c>
      <c r="J11" s="177">
        <v>2014</v>
      </c>
      <c r="K11" s="177" t="s">
        <v>2726</v>
      </c>
      <c r="L11" s="186" t="s">
        <v>2727</v>
      </c>
      <c r="M11" s="179" t="s">
        <v>2753</v>
      </c>
      <c r="N11" s="179" t="s">
        <v>2754</v>
      </c>
      <c r="O11" s="177"/>
      <c r="P11" s="180" t="s">
        <v>2730</v>
      </c>
      <c r="Q11" s="180" t="s">
        <v>2731</v>
      </c>
      <c r="R11" s="180" t="s">
        <v>223</v>
      </c>
      <c r="S11" s="180"/>
      <c r="T11" s="180" t="s">
        <v>1500</v>
      </c>
    </row>
    <row r="12" spans="1:20" s="188" customFormat="1" ht="75">
      <c r="A12" s="177" t="s">
        <v>2755</v>
      </c>
      <c r="B12" s="177">
        <v>2014</v>
      </c>
      <c r="C12" s="177" t="s">
        <v>2756</v>
      </c>
      <c r="D12" s="177" t="s">
        <v>291</v>
      </c>
      <c r="E12" s="177" t="s">
        <v>126</v>
      </c>
      <c r="F12" s="177">
        <v>2</v>
      </c>
      <c r="G12" s="178">
        <v>5.3</v>
      </c>
      <c r="H12" s="177" t="s">
        <v>2678</v>
      </c>
      <c r="I12" s="177" t="s">
        <v>1409</v>
      </c>
      <c r="J12" s="177">
        <v>2014</v>
      </c>
      <c r="K12" s="177" t="s">
        <v>2726</v>
      </c>
      <c r="L12" s="186" t="s">
        <v>2727</v>
      </c>
      <c r="M12" s="179" t="s">
        <v>2757</v>
      </c>
      <c r="N12" s="179" t="s">
        <v>2758</v>
      </c>
      <c r="O12" s="177"/>
      <c r="P12" s="180" t="s">
        <v>2730</v>
      </c>
      <c r="Q12" s="180" t="s">
        <v>2731</v>
      </c>
      <c r="R12" s="180" t="s">
        <v>223</v>
      </c>
      <c r="S12" s="180"/>
      <c r="T12" s="180" t="s">
        <v>1500</v>
      </c>
    </row>
    <row r="13" spans="1:20" s="188" customFormat="1" ht="75">
      <c r="A13" s="177" t="s">
        <v>2759</v>
      </c>
      <c r="B13" s="177">
        <v>2014</v>
      </c>
      <c r="C13" s="177" t="s">
        <v>2760</v>
      </c>
      <c r="D13" s="177" t="s">
        <v>2761</v>
      </c>
      <c r="E13" s="177" t="s">
        <v>1199</v>
      </c>
      <c r="F13" s="177">
        <v>5</v>
      </c>
      <c r="G13" s="178">
        <v>6</v>
      </c>
      <c r="H13" s="177" t="s">
        <v>2678</v>
      </c>
      <c r="I13" s="177" t="s">
        <v>1409</v>
      </c>
      <c r="J13" s="177">
        <v>2014</v>
      </c>
      <c r="K13" s="177" t="s">
        <v>2726</v>
      </c>
      <c r="L13" s="186" t="s">
        <v>2727</v>
      </c>
      <c r="M13" s="179" t="s">
        <v>2762</v>
      </c>
      <c r="N13" s="179" t="s">
        <v>2763</v>
      </c>
      <c r="O13" s="177"/>
      <c r="P13" s="180" t="s">
        <v>2730</v>
      </c>
      <c r="Q13" s="180" t="s">
        <v>2731</v>
      </c>
      <c r="R13" s="180" t="s">
        <v>223</v>
      </c>
      <c r="S13" s="180"/>
      <c r="T13" s="180" t="s">
        <v>1500</v>
      </c>
    </row>
    <row r="14" spans="1:20" s="188" customFormat="1" ht="75">
      <c r="A14" s="177" t="s">
        <v>2764</v>
      </c>
      <c r="B14" s="177">
        <v>2014</v>
      </c>
      <c r="C14" s="177" t="s">
        <v>2765</v>
      </c>
      <c r="D14" s="177" t="s">
        <v>2687</v>
      </c>
      <c r="E14" s="177" t="s">
        <v>1199</v>
      </c>
      <c r="F14" s="177">
        <v>8</v>
      </c>
      <c r="G14" s="178">
        <v>44.8</v>
      </c>
      <c r="H14" s="177" t="s">
        <v>2678</v>
      </c>
      <c r="I14" s="177" t="s">
        <v>1409</v>
      </c>
      <c r="J14" s="177">
        <v>2014</v>
      </c>
      <c r="K14" s="177" t="s">
        <v>2726</v>
      </c>
      <c r="L14" s="186" t="s">
        <v>2727</v>
      </c>
      <c r="M14" s="179" t="s">
        <v>2766</v>
      </c>
      <c r="N14" s="179" t="s">
        <v>2767</v>
      </c>
      <c r="O14" s="177"/>
      <c r="P14" s="180" t="s">
        <v>2730</v>
      </c>
      <c r="Q14" s="180" t="s">
        <v>2731</v>
      </c>
      <c r="R14" s="180" t="s">
        <v>223</v>
      </c>
      <c r="S14" s="180"/>
      <c r="T14" s="180" t="s">
        <v>1500</v>
      </c>
    </row>
    <row r="15" spans="1:20" s="188" customFormat="1" ht="75">
      <c r="A15" s="177" t="s">
        <v>2768</v>
      </c>
      <c r="B15" s="177">
        <v>2014</v>
      </c>
      <c r="C15" s="177" t="s">
        <v>2769</v>
      </c>
      <c r="D15" s="177" t="s">
        <v>2770</v>
      </c>
      <c r="E15" s="177" t="s">
        <v>1353</v>
      </c>
      <c r="F15" s="177">
        <v>1</v>
      </c>
      <c r="G15" s="178">
        <v>1.8</v>
      </c>
      <c r="H15" s="177" t="s">
        <v>2678</v>
      </c>
      <c r="I15" s="177" t="s">
        <v>1409</v>
      </c>
      <c r="J15" s="177">
        <v>2014</v>
      </c>
      <c r="K15" s="177" t="s">
        <v>2726</v>
      </c>
      <c r="L15" s="186" t="s">
        <v>2727</v>
      </c>
      <c r="M15" s="179" t="s">
        <v>2771</v>
      </c>
      <c r="N15" s="179" t="s">
        <v>2772</v>
      </c>
      <c r="O15" s="177"/>
      <c r="P15" s="180" t="s">
        <v>2730</v>
      </c>
      <c r="Q15" s="180" t="s">
        <v>2731</v>
      </c>
      <c r="R15" s="180" t="s">
        <v>223</v>
      </c>
      <c r="S15" s="180"/>
      <c r="T15" s="180" t="s">
        <v>1500</v>
      </c>
    </row>
    <row r="16" spans="1:20" s="188" customFormat="1" ht="75">
      <c r="A16" s="177" t="s">
        <v>2773</v>
      </c>
      <c r="B16" s="177">
        <v>2014</v>
      </c>
      <c r="C16" s="177" t="s">
        <v>2774</v>
      </c>
      <c r="D16" s="177" t="s">
        <v>2775</v>
      </c>
      <c r="E16" s="177" t="s">
        <v>1353</v>
      </c>
      <c r="F16" s="177">
        <v>2</v>
      </c>
      <c r="G16" s="178">
        <v>6.6</v>
      </c>
      <c r="H16" s="177" t="s">
        <v>2678</v>
      </c>
      <c r="I16" s="177" t="s">
        <v>1409</v>
      </c>
      <c r="J16" s="177">
        <v>2014</v>
      </c>
      <c r="K16" s="177" t="s">
        <v>2726</v>
      </c>
      <c r="L16" s="186" t="s">
        <v>2727</v>
      </c>
      <c r="M16" s="179" t="s">
        <v>2776</v>
      </c>
      <c r="N16" s="179" t="s">
        <v>2777</v>
      </c>
      <c r="O16" s="177"/>
      <c r="P16" s="180" t="s">
        <v>2730</v>
      </c>
      <c r="Q16" s="180" t="s">
        <v>2731</v>
      </c>
      <c r="R16" s="180" t="s">
        <v>223</v>
      </c>
      <c r="S16" s="180"/>
      <c r="T16" s="180" t="s">
        <v>1500</v>
      </c>
    </row>
    <row r="17" spans="1:21" s="188" customFormat="1" ht="75">
      <c r="A17" s="177" t="s">
        <v>2778</v>
      </c>
      <c r="B17" s="177">
        <v>2014</v>
      </c>
      <c r="C17" s="177" t="s">
        <v>2779</v>
      </c>
      <c r="D17" s="177" t="s">
        <v>2780</v>
      </c>
      <c r="E17" s="177" t="s">
        <v>1353</v>
      </c>
      <c r="F17" s="177">
        <v>7</v>
      </c>
      <c r="G17" s="178">
        <v>24.5</v>
      </c>
      <c r="H17" s="177" t="s">
        <v>2678</v>
      </c>
      <c r="I17" s="177" t="s">
        <v>1409</v>
      </c>
      <c r="J17" s="177">
        <v>2014</v>
      </c>
      <c r="K17" s="177" t="s">
        <v>2726</v>
      </c>
      <c r="L17" s="186" t="s">
        <v>2727</v>
      </c>
      <c r="M17" s="179" t="s">
        <v>2781</v>
      </c>
      <c r="N17" s="179" t="s">
        <v>2782</v>
      </c>
      <c r="O17" s="177"/>
      <c r="P17" s="180" t="s">
        <v>2730</v>
      </c>
      <c r="Q17" s="180" t="s">
        <v>2731</v>
      </c>
      <c r="R17" s="180" t="s">
        <v>223</v>
      </c>
      <c r="S17" s="180"/>
      <c r="T17" s="180" t="s">
        <v>1500</v>
      </c>
    </row>
    <row r="18" spans="1:21" s="188" customFormat="1" ht="75">
      <c r="A18" s="177" t="s">
        <v>2783</v>
      </c>
      <c r="B18" s="177">
        <v>2014</v>
      </c>
      <c r="C18" s="177" t="s">
        <v>2784</v>
      </c>
      <c r="D18" s="177" t="s">
        <v>2785</v>
      </c>
      <c r="E18" s="177" t="s">
        <v>1353</v>
      </c>
      <c r="F18" s="177">
        <v>4</v>
      </c>
      <c r="G18" s="178">
        <v>17.7</v>
      </c>
      <c r="H18" s="177" t="s">
        <v>2678</v>
      </c>
      <c r="I18" s="177" t="s">
        <v>1409</v>
      </c>
      <c r="J18" s="177">
        <v>2014</v>
      </c>
      <c r="K18" s="177" t="s">
        <v>2726</v>
      </c>
      <c r="L18" s="186" t="s">
        <v>2727</v>
      </c>
      <c r="M18" s="179" t="s">
        <v>2786</v>
      </c>
      <c r="N18" s="179" t="s">
        <v>2787</v>
      </c>
      <c r="O18" s="177"/>
      <c r="P18" s="180" t="s">
        <v>2730</v>
      </c>
      <c r="Q18" s="180" t="s">
        <v>2731</v>
      </c>
      <c r="R18" s="180" t="s">
        <v>223</v>
      </c>
      <c r="S18" s="180"/>
      <c r="T18" s="180" t="s">
        <v>1500</v>
      </c>
    </row>
    <row r="19" spans="1:21" s="188" customFormat="1" ht="75">
      <c r="A19" s="177" t="s">
        <v>2788</v>
      </c>
      <c r="B19" s="177">
        <v>2014</v>
      </c>
      <c r="C19" s="177" t="s">
        <v>2789</v>
      </c>
      <c r="D19" s="177" t="s">
        <v>2790</v>
      </c>
      <c r="E19" s="177" t="s">
        <v>1353</v>
      </c>
      <c r="F19" s="177">
        <v>9</v>
      </c>
      <c r="G19" s="178">
        <v>16.3</v>
      </c>
      <c r="H19" s="177" t="s">
        <v>2678</v>
      </c>
      <c r="I19" s="177" t="s">
        <v>1409</v>
      </c>
      <c r="J19" s="177">
        <v>2014</v>
      </c>
      <c r="K19" s="177" t="s">
        <v>2726</v>
      </c>
      <c r="L19" s="186" t="s">
        <v>2727</v>
      </c>
      <c r="M19" s="179">
        <v>-212775</v>
      </c>
      <c r="N19" s="179" t="s">
        <v>2791</v>
      </c>
      <c r="O19" s="177"/>
      <c r="P19" s="180" t="s">
        <v>2730</v>
      </c>
      <c r="Q19" s="180" t="s">
        <v>2731</v>
      </c>
      <c r="R19" s="180" t="s">
        <v>223</v>
      </c>
      <c r="S19" s="180"/>
      <c r="T19" s="180" t="s">
        <v>1500</v>
      </c>
    </row>
    <row r="20" spans="1:21" s="185" customFormat="1" ht="25">
      <c r="A20" s="173" t="s">
        <v>2792</v>
      </c>
      <c r="B20" s="173">
        <v>2018</v>
      </c>
      <c r="C20" s="173" t="s">
        <v>2724</v>
      </c>
      <c r="D20" s="173" t="s">
        <v>2725</v>
      </c>
      <c r="E20" s="173" t="s">
        <v>102</v>
      </c>
      <c r="F20" s="173">
        <v>6</v>
      </c>
      <c r="G20" s="174">
        <v>22.6</v>
      </c>
      <c r="H20" s="173" t="s">
        <v>2678</v>
      </c>
      <c r="I20" s="173" t="s">
        <v>1522</v>
      </c>
      <c r="J20" s="173">
        <v>2018</v>
      </c>
      <c r="K20" s="173" t="s">
        <v>2726</v>
      </c>
      <c r="L20" s="183" t="s">
        <v>2793</v>
      </c>
      <c r="M20" s="175" t="s">
        <v>2728</v>
      </c>
      <c r="N20" s="175" t="s">
        <v>2729</v>
      </c>
      <c r="O20" s="173"/>
      <c r="P20" s="176" t="s">
        <v>2794</v>
      </c>
      <c r="Q20" s="176" t="s">
        <v>2731</v>
      </c>
      <c r="R20" s="176" t="s">
        <v>223</v>
      </c>
      <c r="S20" s="176"/>
      <c r="T20" s="176" t="s">
        <v>1500</v>
      </c>
      <c r="U20" s="184"/>
    </row>
    <row r="21" spans="1:21" s="185" customFormat="1" ht="25">
      <c r="A21" s="173" t="s">
        <v>2795</v>
      </c>
      <c r="B21" s="173">
        <v>2018</v>
      </c>
      <c r="C21" s="173" t="s">
        <v>2733</v>
      </c>
      <c r="D21" s="173" t="s">
        <v>576</v>
      </c>
      <c r="E21" s="173" t="s">
        <v>102</v>
      </c>
      <c r="F21" s="173">
        <v>5</v>
      </c>
      <c r="G21" s="174">
        <v>15.6</v>
      </c>
      <c r="H21" s="173" t="s">
        <v>2678</v>
      </c>
      <c r="I21" s="173" t="s">
        <v>1522</v>
      </c>
      <c r="J21" s="173">
        <v>2018</v>
      </c>
      <c r="K21" s="173" t="s">
        <v>2726</v>
      </c>
      <c r="L21" s="183" t="s">
        <v>2793</v>
      </c>
      <c r="M21" s="175" t="s">
        <v>2734</v>
      </c>
      <c r="N21" s="175" t="s">
        <v>2735</v>
      </c>
      <c r="O21" s="173"/>
      <c r="P21" s="176" t="s">
        <v>2794</v>
      </c>
      <c r="Q21" s="176" t="s">
        <v>2731</v>
      </c>
      <c r="R21" s="176" t="s">
        <v>223</v>
      </c>
      <c r="S21" s="176"/>
      <c r="T21" s="176" t="s">
        <v>1500</v>
      </c>
      <c r="U21" s="184"/>
    </row>
    <row r="22" spans="1:21" s="185" customFormat="1" ht="25">
      <c r="A22" s="173" t="s">
        <v>2796</v>
      </c>
      <c r="B22" s="173">
        <v>2018</v>
      </c>
      <c r="C22" s="173" t="s">
        <v>2737</v>
      </c>
      <c r="D22" s="173" t="s">
        <v>2738</v>
      </c>
      <c r="E22" s="173" t="s">
        <v>433</v>
      </c>
      <c r="F22" s="173">
        <v>3</v>
      </c>
      <c r="G22" s="174">
        <v>0</v>
      </c>
      <c r="H22" s="173" t="s">
        <v>2678</v>
      </c>
      <c r="I22" s="173" t="s">
        <v>1522</v>
      </c>
      <c r="J22" s="173">
        <v>2018</v>
      </c>
      <c r="K22" s="173" t="s">
        <v>2726</v>
      </c>
      <c r="L22" s="183" t="s">
        <v>2793</v>
      </c>
      <c r="M22" s="175" t="s">
        <v>2739</v>
      </c>
      <c r="N22" s="175" t="s">
        <v>2740</v>
      </c>
      <c r="O22" s="173"/>
      <c r="P22" s="176" t="s">
        <v>2794</v>
      </c>
      <c r="Q22" s="176" t="s">
        <v>2731</v>
      </c>
      <c r="R22" s="176" t="s">
        <v>223</v>
      </c>
      <c r="S22" s="176"/>
      <c r="T22" s="176" t="s">
        <v>1500</v>
      </c>
      <c r="U22" s="184"/>
    </row>
    <row r="23" spans="1:21" s="185" customFormat="1" ht="25">
      <c r="A23" s="173" t="s">
        <v>2797</v>
      </c>
      <c r="B23" s="173">
        <v>2018</v>
      </c>
      <c r="C23" s="173" t="s">
        <v>2742</v>
      </c>
      <c r="D23" s="173" t="s">
        <v>2743</v>
      </c>
      <c r="E23" s="173" t="s">
        <v>433</v>
      </c>
      <c r="F23" s="173">
        <v>2</v>
      </c>
      <c r="G23" s="174">
        <v>2.4</v>
      </c>
      <c r="H23" s="173" t="s">
        <v>2678</v>
      </c>
      <c r="I23" s="173" t="s">
        <v>1522</v>
      </c>
      <c r="J23" s="173">
        <v>2018</v>
      </c>
      <c r="K23" s="173" t="s">
        <v>2726</v>
      </c>
      <c r="L23" s="183" t="s">
        <v>2793</v>
      </c>
      <c r="M23" s="175" t="s">
        <v>2744</v>
      </c>
      <c r="N23" s="175" t="s">
        <v>2745</v>
      </c>
      <c r="O23" s="173"/>
      <c r="P23" s="176" t="s">
        <v>2794</v>
      </c>
      <c r="Q23" s="176" t="s">
        <v>2731</v>
      </c>
      <c r="R23" s="176" t="s">
        <v>223</v>
      </c>
      <c r="S23" s="176"/>
      <c r="T23" s="176" t="s">
        <v>1500</v>
      </c>
      <c r="U23" s="184"/>
    </row>
    <row r="24" spans="1:21" s="185" customFormat="1" ht="25">
      <c r="A24" s="173" t="s">
        <v>2798</v>
      </c>
      <c r="B24" s="173">
        <v>2018</v>
      </c>
      <c r="C24" s="173" t="s">
        <v>2747</v>
      </c>
      <c r="D24" s="173" t="s">
        <v>2748</v>
      </c>
      <c r="E24" s="173" t="s">
        <v>433</v>
      </c>
      <c r="F24" s="173">
        <v>5</v>
      </c>
      <c r="G24" s="174">
        <v>7.9</v>
      </c>
      <c r="H24" s="173" t="s">
        <v>2678</v>
      </c>
      <c r="I24" s="173" t="s">
        <v>1522</v>
      </c>
      <c r="J24" s="173">
        <v>2018</v>
      </c>
      <c r="K24" s="173" t="s">
        <v>2726</v>
      </c>
      <c r="L24" s="183" t="s">
        <v>2793</v>
      </c>
      <c r="M24" s="175" t="s">
        <v>2749</v>
      </c>
      <c r="N24" s="175" t="s">
        <v>2750</v>
      </c>
      <c r="O24" s="173"/>
      <c r="P24" s="176" t="s">
        <v>2794</v>
      </c>
      <c r="Q24" s="176" t="s">
        <v>2731</v>
      </c>
      <c r="R24" s="176" t="s">
        <v>223</v>
      </c>
      <c r="S24" s="176"/>
      <c r="T24" s="176" t="s">
        <v>1500</v>
      </c>
      <c r="U24" s="184"/>
    </row>
    <row r="25" spans="1:21" s="185" customFormat="1" ht="25">
      <c r="A25" s="173" t="s">
        <v>2799</v>
      </c>
      <c r="B25" s="173">
        <v>2018</v>
      </c>
      <c r="C25" s="173" t="s">
        <v>2752</v>
      </c>
      <c r="D25" s="173" t="s">
        <v>127</v>
      </c>
      <c r="E25" s="173" t="s">
        <v>126</v>
      </c>
      <c r="F25" s="173">
        <v>4</v>
      </c>
      <c r="G25" s="174">
        <v>16.2</v>
      </c>
      <c r="H25" s="173" t="s">
        <v>2678</v>
      </c>
      <c r="I25" s="173" t="s">
        <v>1522</v>
      </c>
      <c r="J25" s="173">
        <v>2018</v>
      </c>
      <c r="K25" s="173" t="s">
        <v>2726</v>
      </c>
      <c r="L25" s="183" t="s">
        <v>2793</v>
      </c>
      <c r="M25" s="175" t="s">
        <v>2753</v>
      </c>
      <c r="N25" s="175" t="s">
        <v>2754</v>
      </c>
      <c r="O25" s="173"/>
      <c r="P25" s="176" t="s">
        <v>2794</v>
      </c>
      <c r="Q25" s="176" t="s">
        <v>2731</v>
      </c>
      <c r="R25" s="176" t="s">
        <v>223</v>
      </c>
      <c r="S25" s="176"/>
      <c r="T25" s="176" t="s">
        <v>1500</v>
      </c>
      <c r="U25" s="184"/>
    </row>
    <row r="26" spans="1:21" s="185" customFormat="1" ht="25">
      <c r="A26" s="173" t="s">
        <v>2800</v>
      </c>
      <c r="B26" s="173">
        <v>2018</v>
      </c>
      <c r="C26" s="173" t="s">
        <v>2756</v>
      </c>
      <c r="D26" s="173" t="s">
        <v>291</v>
      </c>
      <c r="E26" s="173" t="s">
        <v>126</v>
      </c>
      <c r="F26" s="173">
        <v>2</v>
      </c>
      <c r="G26" s="174">
        <v>5.3</v>
      </c>
      <c r="H26" s="173" t="s">
        <v>2678</v>
      </c>
      <c r="I26" s="173" t="s">
        <v>1522</v>
      </c>
      <c r="J26" s="173">
        <v>2018</v>
      </c>
      <c r="K26" s="173" t="s">
        <v>2726</v>
      </c>
      <c r="L26" s="183" t="s">
        <v>2793</v>
      </c>
      <c r="M26" s="175" t="s">
        <v>2757</v>
      </c>
      <c r="N26" s="175" t="s">
        <v>2758</v>
      </c>
      <c r="O26" s="173"/>
      <c r="P26" s="176" t="s">
        <v>2794</v>
      </c>
      <c r="Q26" s="176" t="s">
        <v>2731</v>
      </c>
      <c r="R26" s="176" t="s">
        <v>223</v>
      </c>
      <c r="S26" s="176"/>
      <c r="T26" s="176" t="s">
        <v>1500</v>
      </c>
      <c r="U26" s="184"/>
    </row>
    <row r="27" spans="1:21" s="185" customFormat="1" ht="25">
      <c r="A27" s="173" t="s">
        <v>2801</v>
      </c>
      <c r="B27" s="173">
        <v>2018</v>
      </c>
      <c r="C27" s="173" t="s">
        <v>2760</v>
      </c>
      <c r="D27" s="173" t="s">
        <v>2761</v>
      </c>
      <c r="E27" s="173" t="s">
        <v>1199</v>
      </c>
      <c r="F27" s="173">
        <v>5</v>
      </c>
      <c r="G27" s="174">
        <v>6</v>
      </c>
      <c r="H27" s="173" t="s">
        <v>2678</v>
      </c>
      <c r="I27" s="173" t="s">
        <v>1522</v>
      </c>
      <c r="J27" s="173">
        <v>2018</v>
      </c>
      <c r="K27" s="173" t="s">
        <v>2726</v>
      </c>
      <c r="L27" s="183" t="s">
        <v>2793</v>
      </c>
      <c r="M27" s="175" t="s">
        <v>2762</v>
      </c>
      <c r="N27" s="175" t="s">
        <v>2763</v>
      </c>
      <c r="O27" s="173"/>
      <c r="P27" s="176" t="s">
        <v>2794</v>
      </c>
      <c r="Q27" s="176" t="s">
        <v>2731</v>
      </c>
      <c r="R27" s="176" t="s">
        <v>223</v>
      </c>
      <c r="S27" s="176"/>
      <c r="T27" s="176" t="s">
        <v>1500</v>
      </c>
      <c r="U27" s="184"/>
    </row>
    <row r="28" spans="1:21" s="185" customFormat="1" ht="25">
      <c r="A28" s="173" t="s">
        <v>2802</v>
      </c>
      <c r="B28" s="173">
        <v>2018</v>
      </c>
      <c r="C28" s="173" t="s">
        <v>2765</v>
      </c>
      <c r="D28" s="173" t="s">
        <v>2687</v>
      </c>
      <c r="E28" s="173" t="s">
        <v>1199</v>
      </c>
      <c r="F28" s="173">
        <v>8</v>
      </c>
      <c r="G28" s="174">
        <v>44.8</v>
      </c>
      <c r="H28" s="173" t="s">
        <v>2678</v>
      </c>
      <c r="I28" s="173" t="s">
        <v>1522</v>
      </c>
      <c r="J28" s="173">
        <v>2018</v>
      </c>
      <c r="K28" s="173" t="s">
        <v>2726</v>
      </c>
      <c r="L28" s="183" t="s">
        <v>2793</v>
      </c>
      <c r="M28" s="175" t="s">
        <v>2766</v>
      </c>
      <c r="N28" s="175" t="s">
        <v>2767</v>
      </c>
      <c r="O28" s="173"/>
      <c r="P28" s="176" t="s">
        <v>2794</v>
      </c>
      <c r="Q28" s="176" t="s">
        <v>2731</v>
      </c>
      <c r="R28" s="176" t="s">
        <v>223</v>
      </c>
      <c r="S28" s="176"/>
      <c r="T28" s="176" t="s">
        <v>1500</v>
      </c>
      <c r="U28" s="184"/>
    </row>
    <row r="29" spans="1:21" s="185" customFormat="1" ht="25">
      <c r="A29" s="173" t="s">
        <v>2803</v>
      </c>
      <c r="B29" s="173">
        <v>2018</v>
      </c>
      <c r="C29" s="173" t="s">
        <v>2769</v>
      </c>
      <c r="D29" s="173" t="s">
        <v>2770</v>
      </c>
      <c r="E29" s="173" t="s">
        <v>1353</v>
      </c>
      <c r="F29" s="173">
        <v>1</v>
      </c>
      <c r="G29" s="174">
        <v>1.89</v>
      </c>
      <c r="H29" s="173" t="s">
        <v>2678</v>
      </c>
      <c r="I29" s="173" t="s">
        <v>1522</v>
      </c>
      <c r="J29" s="173">
        <v>2018</v>
      </c>
      <c r="K29" s="173" t="s">
        <v>2726</v>
      </c>
      <c r="L29" s="183" t="s">
        <v>2793</v>
      </c>
      <c r="M29" s="175" t="s">
        <v>2771</v>
      </c>
      <c r="N29" s="175" t="s">
        <v>2772</v>
      </c>
      <c r="O29" s="173"/>
      <c r="P29" s="176" t="s">
        <v>2794</v>
      </c>
      <c r="Q29" s="176" t="s">
        <v>2731</v>
      </c>
      <c r="R29" s="176" t="s">
        <v>223</v>
      </c>
      <c r="S29" s="176"/>
      <c r="T29" s="176" t="s">
        <v>1500</v>
      </c>
      <c r="U29" s="184"/>
    </row>
    <row r="30" spans="1:21" s="185" customFormat="1" ht="25">
      <c r="A30" s="173" t="s">
        <v>2804</v>
      </c>
      <c r="B30" s="173">
        <v>2018</v>
      </c>
      <c r="C30" s="173" t="s">
        <v>2774</v>
      </c>
      <c r="D30" s="173" t="s">
        <v>2775</v>
      </c>
      <c r="E30" s="173" t="s">
        <v>1353</v>
      </c>
      <c r="F30" s="173">
        <v>2</v>
      </c>
      <c r="G30" s="174">
        <v>6.6</v>
      </c>
      <c r="H30" s="173" t="s">
        <v>2678</v>
      </c>
      <c r="I30" s="173" t="s">
        <v>1522</v>
      </c>
      <c r="J30" s="173">
        <v>2018</v>
      </c>
      <c r="K30" s="173" t="s">
        <v>2726</v>
      </c>
      <c r="L30" s="183" t="s">
        <v>2793</v>
      </c>
      <c r="M30" s="175" t="s">
        <v>2776</v>
      </c>
      <c r="N30" s="175" t="s">
        <v>2777</v>
      </c>
      <c r="O30" s="173"/>
      <c r="P30" s="176" t="s">
        <v>2794</v>
      </c>
      <c r="Q30" s="176" t="s">
        <v>2731</v>
      </c>
      <c r="R30" s="176" t="s">
        <v>223</v>
      </c>
      <c r="S30" s="176"/>
      <c r="T30" s="176" t="s">
        <v>1500</v>
      </c>
      <c r="U30" s="184"/>
    </row>
    <row r="31" spans="1:21" s="185" customFormat="1" ht="25">
      <c r="A31" s="173" t="s">
        <v>2805</v>
      </c>
      <c r="B31" s="173">
        <v>2018</v>
      </c>
      <c r="C31" s="173" t="s">
        <v>2779</v>
      </c>
      <c r="D31" s="173" t="s">
        <v>2780</v>
      </c>
      <c r="E31" s="173" t="s">
        <v>1353</v>
      </c>
      <c r="F31" s="173">
        <v>7</v>
      </c>
      <c r="G31" s="174">
        <v>24.6</v>
      </c>
      <c r="H31" s="173" t="s">
        <v>2678</v>
      </c>
      <c r="I31" s="173" t="s">
        <v>1522</v>
      </c>
      <c r="J31" s="173">
        <v>2018</v>
      </c>
      <c r="K31" s="173" t="s">
        <v>2726</v>
      </c>
      <c r="L31" s="183" t="s">
        <v>2793</v>
      </c>
      <c r="M31" s="175" t="s">
        <v>2781</v>
      </c>
      <c r="N31" s="175" t="s">
        <v>2782</v>
      </c>
      <c r="O31" s="173"/>
      <c r="P31" s="176" t="s">
        <v>2794</v>
      </c>
      <c r="Q31" s="176" t="s">
        <v>2731</v>
      </c>
      <c r="R31" s="176" t="s">
        <v>223</v>
      </c>
      <c r="S31" s="176"/>
      <c r="T31" s="176" t="s">
        <v>1500</v>
      </c>
      <c r="U31" s="184"/>
    </row>
    <row r="32" spans="1:21" s="185" customFormat="1" ht="25">
      <c r="A32" s="173" t="s">
        <v>2806</v>
      </c>
      <c r="B32" s="173">
        <v>2018</v>
      </c>
      <c r="C32" s="173" t="s">
        <v>2784</v>
      </c>
      <c r="D32" s="173" t="s">
        <v>2785</v>
      </c>
      <c r="E32" s="173" t="s">
        <v>1353</v>
      </c>
      <c r="F32" s="173">
        <v>4</v>
      </c>
      <c r="G32" s="174">
        <v>17.7</v>
      </c>
      <c r="H32" s="173" t="s">
        <v>2678</v>
      </c>
      <c r="I32" s="173" t="s">
        <v>1522</v>
      </c>
      <c r="J32" s="173">
        <v>2018</v>
      </c>
      <c r="K32" s="173" t="s">
        <v>2726</v>
      </c>
      <c r="L32" s="183" t="s">
        <v>2793</v>
      </c>
      <c r="M32" s="175" t="s">
        <v>2786</v>
      </c>
      <c r="N32" s="175" t="s">
        <v>2787</v>
      </c>
      <c r="O32" s="173"/>
      <c r="P32" s="176" t="s">
        <v>2794</v>
      </c>
      <c r="Q32" s="176" t="s">
        <v>2731</v>
      </c>
      <c r="R32" s="176" t="s">
        <v>223</v>
      </c>
      <c r="S32" s="176"/>
      <c r="T32" s="176" t="s">
        <v>1500</v>
      </c>
      <c r="U32" s="184"/>
    </row>
    <row r="33" spans="1:21" s="185" customFormat="1" ht="25">
      <c r="A33" s="173" t="s">
        <v>2807</v>
      </c>
      <c r="B33" s="173">
        <v>2018</v>
      </c>
      <c r="C33" s="173" t="s">
        <v>2789</v>
      </c>
      <c r="D33" s="173" t="s">
        <v>2790</v>
      </c>
      <c r="E33" s="173" t="s">
        <v>1353</v>
      </c>
      <c r="F33" s="173">
        <v>9</v>
      </c>
      <c r="G33" s="174">
        <v>16.3</v>
      </c>
      <c r="H33" s="173" t="s">
        <v>2678</v>
      </c>
      <c r="I33" s="173" t="s">
        <v>1522</v>
      </c>
      <c r="J33" s="173">
        <v>2018</v>
      </c>
      <c r="K33" s="173" t="s">
        <v>2726</v>
      </c>
      <c r="L33" s="183" t="s">
        <v>2793</v>
      </c>
      <c r="M33" s="175">
        <v>-212775</v>
      </c>
      <c r="N33" s="175" t="s">
        <v>2791</v>
      </c>
      <c r="O33" s="173"/>
      <c r="P33" s="176" t="s">
        <v>2794</v>
      </c>
      <c r="Q33" s="176" t="s">
        <v>2731</v>
      </c>
      <c r="R33" s="176" t="s">
        <v>223</v>
      </c>
      <c r="S33" s="176"/>
      <c r="T33" s="176" t="s">
        <v>1500</v>
      </c>
      <c r="U33" s="184"/>
    </row>
    <row r="34" spans="1:21" s="182" customFormat="1" ht="37.5">
      <c r="A34" s="177" t="s">
        <v>2808</v>
      </c>
      <c r="B34" s="177">
        <v>2020</v>
      </c>
      <c r="C34" s="177" t="s">
        <v>2784</v>
      </c>
      <c r="D34" s="177" t="s">
        <v>2785</v>
      </c>
      <c r="E34" s="177" t="s">
        <v>1353</v>
      </c>
      <c r="F34" s="177">
        <v>3</v>
      </c>
      <c r="G34" s="178">
        <f>4+1.5+7.1</f>
        <v>12.6</v>
      </c>
      <c r="H34" s="177" t="s">
        <v>2678</v>
      </c>
      <c r="I34" s="177" t="s">
        <v>1522</v>
      </c>
      <c r="J34" s="177">
        <v>2020</v>
      </c>
      <c r="K34" s="177" t="s">
        <v>2691</v>
      </c>
      <c r="L34" s="186" t="s">
        <v>2809</v>
      </c>
      <c r="M34" s="179" t="s">
        <v>2786</v>
      </c>
      <c r="N34" s="179" t="s">
        <v>2787</v>
      </c>
      <c r="O34" s="177"/>
      <c r="P34" s="180" t="s">
        <v>2810</v>
      </c>
      <c r="Q34" s="180" t="s">
        <v>2731</v>
      </c>
      <c r="R34" s="180" t="s">
        <v>223</v>
      </c>
      <c r="S34" s="180"/>
      <c r="T34" s="180" t="s">
        <v>1500</v>
      </c>
      <c r="U34" s="181"/>
    </row>
    <row r="35" spans="1:21" s="182" customFormat="1" ht="37.5">
      <c r="A35" s="177" t="s">
        <v>2811</v>
      </c>
      <c r="B35" s="177">
        <v>2020</v>
      </c>
      <c r="C35" s="177" t="s">
        <v>2774</v>
      </c>
      <c r="D35" s="177" t="s">
        <v>2775</v>
      </c>
      <c r="E35" s="177" t="s">
        <v>1353</v>
      </c>
      <c r="F35" s="177">
        <v>3</v>
      </c>
      <c r="G35" s="178">
        <f>3.4+1.4+6.9</f>
        <v>11.7</v>
      </c>
      <c r="H35" s="177" t="s">
        <v>2678</v>
      </c>
      <c r="I35" s="177" t="s">
        <v>1522</v>
      </c>
      <c r="J35" s="177">
        <v>2020</v>
      </c>
      <c r="K35" s="177" t="s">
        <v>2691</v>
      </c>
      <c r="L35" s="186" t="s">
        <v>2809</v>
      </c>
      <c r="M35" s="179" t="s">
        <v>2776</v>
      </c>
      <c r="N35" s="179" t="s">
        <v>2777</v>
      </c>
      <c r="O35" s="177"/>
      <c r="P35" s="180" t="s">
        <v>2810</v>
      </c>
      <c r="Q35" s="180" t="s">
        <v>2731</v>
      </c>
      <c r="R35" s="180" t="s">
        <v>223</v>
      </c>
      <c r="S35" s="180"/>
      <c r="T35" s="180" t="s">
        <v>1500</v>
      </c>
      <c r="U35" s="181"/>
    </row>
    <row r="36" spans="1:21" s="182" customFormat="1" ht="37.5">
      <c r="A36" s="177" t="s">
        <v>2812</v>
      </c>
      <c r="B36" s="177">
        <v>2020</v>
      </c>
      <c r="C36" s="177" t="s">
        <v>2813</v>
      </c>
      <c r="D36" s="177" t="s">
        <v>1200</v>
      </c>
      <c r="E36" s="177" t="s">
        <v>1199</v>
      </c>
      <c r="F36" s="177">
        <v>1</v>
      </c>
      <c r="G36" s="178">
        <v>5.8</v>
      </c>
      <c r="H36" s="177" t="s">
        <v>2678</v>
      </c>
      <c r="I36" s="177" t="s">
        <v>1409</v>
      </c>
      <c r="J36" s="177">
        <v>2020</v>
      </c>
      <c r="K36" s="177" t="s">
        <v>2691</v>
      </c>
      <c r="L36" s="186" t="s">
        <v>2809</v>
      </c>
      <c r="M36" s="179" t="s">
        <v>2814</v>
      </c>
      <c r="N36" s="179" t="s">
        <v>2815</v>
      </c>
      <c r="O36" s="177"/>
      <c r="P36" s="180" t="s">
        <v>2816</v>
      </c>
      <c r="Q36" s="180" t="s">
        <v>2731</v>
      </c>
      <c r="R36" s="180" t="s">
        <v>223</v>
      </c>
      <c r="S36" s="180"/>
      <c r="T36" s="180" t="s">
        <v>1500</v>
      </c>
      <c r="U36" s="181"/>
    </row>
    <row r="37" spans="1:21" s="182" customFormat="1" ht="37.5">
      <c r="A37" s="177" t="s">
        <v>2817</v>
      </c>
      <c r="B37" s="177">
        <v>2020</v>
      </c>
      <c r="C37" s="177" t="s">
        <v>2818</v>
      </c>
      <c r="D37" s="177" t="s">
        <v>2819</v>
      </c>
      <c r="E37" s="177" t="s">
        <v>1199</v>
      </c>
      <c r="F37" s="177">
        <v>3</v>
      </c>
      <c r="G37" s="178">
        <f>9.2+12.5+10.8</f>
        <v>32.5</v>
      </c>
      <c r="H37" s="177" t="s">
        <v>2678</v>
      </c>
      <c r="I37" s="177" t="s">
        <v>1409</v>
      </c>
      <c r="J37" s="177">
        <v>2020</v>
      </c>
      <c r="K37" s="177" t="s">
        <v>2691</v>
      </c>
      <c r="L37" s="186" t="s">
        <v>2809</v>
      </c>
      <c r="M37" s="179" t="s">
        <v>2820</v>
      </c>
      <c r="N37" s="179" t="s">
        <v>2821</v>
      </c>
      <c r="O37" s="177"/>
      <c r="P37" s="180" t="s">
        <v>2816</v>
      </c>
      <c r="Q37" s="180" t="s">
        <v>2731</v>
      </c>
      <c r="R37" s="180" t="s">
        <v>223</v>
      </c>
      <c r="S37" s="180"/>
      <c r="T37" s="180" t="s">
        <v>1500</v>
      </c>
      <c r="U37" s="181"/>
    </row>
    <row r="38" spans="1:21" s="182" customFormat="1" ht="37.5">
      <c r="A38" s="177" t="s">
        <v>2822</v>
      </c>
      <c r="B38" s="177">
        <v>2020</v>
      </c>
      <c r="C38" s="177" t="s">
        <v>2823</v>
      </c>
      <c r="D38" s="177" t="s">
        <v>2824</v>
      </c>
      <c r="E38" s="177" t="s">
        <v>126</v>
      </c>
      <c r="F38" s="177">
        <v>3</v>
      </c>
      <c r="G38" s="178">
        <f>3.2+5.4+5.3</f>
        <v>13.900000000000002</v>
      </c>
      <c r="H38" s="177" t="s">
        <v>2678</v>
      </c>
      <c r="I38" s="177" t="s">
        <v>1409</v>
      </c>
      <c r="J38" s="177">
        <v>2020</v>
      </c>
      <c r="K38" s="177" t="s">
        <v>2691</v>
      </c>
      <c r="L38" s="186" t="s">
        <v>2809</v>
      </c>
      <c r="M38" s="179" t="s">
        <v>2825</v>
      </c>
      <c r="N38" s="179" t="s">
        <v>2826</v>
      </c>
      <c r="O38" s="177"/>
      <c r="P38" s="180" t="s">
        <v>2816</v>
      </c>
      <c r="Q38" s="180" t="s">
        <v>2731</v>
      </c>
      <c r="R38" s="180" t="s">
        <v>223</v>
      </c>
      <c r="S38" s="180"/>
      <c r="T38" s="180" t="s">
        <v>1500</v>
      </c>
      <c r="U38" s="181"/>
    </row>
    <row r="39" spans="1:21" s="182" customFormat="1" ht="37.5">
      <c r="A39" s="177" t="s">
        <v>2827</v>
      </c>
      <c r="B39" s="177">
        <v>2020</v>
      </c>
      <c r="C39" s="177" t="s">
        <v>2828</v>
      </c>
      <c r="D39" s="177" t="s">
        <v>158</v>
      </c>
      <c r="E39" s="177" t="s">
        <v>102</v>
      </c>
      <c r="F39" s="177">
        <v>3</v>
      </c>
      <c r="G39" s="178">
        <f>6.2+4+6.9</f>
        <v>17.100000000000001</v>
      </c>
      <c r="H39" s="177" t="s">
        <v>2678</v>
      </c>
      <c r="I39" s="177" t="s">
        <v>1409</v>
      </c>
      <c r="J39" s="177">
        <v>2020</v>
      </c>
      <c r="K39" s="177" t="s">
        <v>2691</v>
      </c>
      <c r="L39" s="186" t="s">
        <v>2809</v>
      </c>
      <c r="M39" s="179" t="s">
        <v>2829</v>
      </c>
      <c r="N39" s="179" t="s">
        <v>2830</v>
      </c>
      <c r="O39" s="177"/>
      <c r="P39" s="180" t="s">
        <v>2816</v>
      </c>
      <c r="Q39" s="180" t="s">
        <v>2731</v>
      </c>
      <c r="R39" s="180" t="s">
        <v>223</v>
      </c>
      <c r="S39" s="180"/>
      <c r="T39" s="180" t="s">
        <v>1500</v>
      </c>
      <c r="U39" s="181"/>
    </row>
    <row r="40" spans="1:21" s="182" customFormat="1" ht="37.5">
      <c r="A40" s="177" t="s">
        <v>2831</v>
      </c>
      <c r="B40" s="177">
        <v>2020</v>
      </c>
      <c r="C40" s="177" t="s">
        <v>2765</v>
      </c>
      <c r="D40" s="177" t="s">
        <v>2687</v>
      </c>
      <c r="E40" s="177" t="s">
        <v>1199</v>
      </c>
      <c r="F40" s="177">
        <v>5</v>
      </c>
      <c r="G40" s="178">
        <f>10.3+5.3+13.5+9.3+12.5</f>
        <v>50.900000000000006</v>
      </c>
      <c r="H40" s="177" t="s">
        <v>2678</v>
      </c>
      <c r="I40" s="177" t="s">
        <v>1409</v>
      </c>
      <c r="J40" s="177">
        <v>2020</v>
      </c>
      <c r="K40" s="177" t="s">
        <v>2691</v>
      </c>
      <c r="L40" s="186" t="s">
        <v>2809</v>
      </c>
      <c r="M40" s="179" t="s">
        <v>2832</v>
      </c>
      <c r="N40" s="179" t="s">
        <v>2833</v>
      </c>
      <c r="O40" s="177"/>
      <c r="P40" s="180" t="s">
        <v>2816</v>
      </c>
      <c r="Q40" s="180" t="s">
        <v>2731</v>
      </c>
      <c r="R40" s="180" t="s">
        <v>223</v>
      </c>
      <c r="S40" s="180"/>
      <c r="T40" s="180" t="s">
        <v>1500</v>
      </c>
      <c r="U40" s="181"/>
    </row>
    <row r="41" spans="1:21" s="182" customFormat="1" ht="37.5">
      <c r="A41" s="177" t="s">
        <v>2834</v>
      </c>
      <c r="B41" s="177">
        <v>2020</v>
      </c>
      <c r="C41" s="177" t="s">
        <v>2760</v>
      </c>
      <c r="D41" s="177" t="s">
        <v>2761</v>
      </c>
      <c r="E41" s="177" t="s">
        <v>1199</v>
      </c>
      <c r="F41" s="177">
        <v>1</v>
      </c>
      <c r="G41" s="187">
        <v>3.9</v>
      </c>
      <c r="H41" s="177" t="s">
        <v>2678</v>
      </c>
      <c r="I41" s="177" t="s">
        <v>1409</v>
      </c>
      <c r="J41" s="177">
        <v>2020</v>
      </c>
      <c r="K41" s="177" t="s">
        <v>2691</v>
      </c>
      <c r="L41" s="186" t="s">
        <v>2809</v>
      </c>
      <c r="M41" s="179" t="s">
        <v>2835</v>
      </c>
      <c r="N41" s="179" t="s">
        <v>2836</v>
      </c>
      <c r="O41" s="177"/>
      <c r="P41" s="180" t="s">
        <v>2816</v>
      </c>
      <c r="Q41" s="180" t="s">
        <v>2731</v>
      </c>
      <c r="R41" s="180" t="s">
        <v>223</v>
      </c>
      <c r="S41" s="180"/>
      <c r="T41" s="180" t="s">
        <v>1500</v>
      </c>
      <c r="U41" s="181"/>
    </row>
    <row r="42" spans="1:21" s="185" customFormat="1" ht="25">
      <c r="A42" s="173" t="s">
        <v>2837</v>
      </c>
      <c r="B42" s="173">
        <v>2021</v>
      </c>
      <c r="C42" s="173" t="s">
        <v>2838</v>
      </c>
      <c r="D42" s="173" t="s">
        <v>1200</v>
      </c>
      <c r="E42" s="173" t="s">
        <v>1199</v>
      </c>
      <c r="F42" s="173">
        <v>1</v>
      </c>
      <c r="G42" s="174">
        <v>5.8</v>
      </c>
      <c r="H42" s="173" t="s">
        <v>2678</v>
      </c>
      <c r="I42" s="173" t="s">
        <v>1522</v>
      </c>
      <c r="J42" s="173">
        <v>2021</v>
      </c>
      <c r="K42" s="173" t="s">
        <v>2691</v>
      </c>
      <c r="L42" s="183" t="s">
        <v>2839</v>
      </c>
      <c r="M42" s="175" t="s">
        <v>2814</v>
      </c>
      <c r="N42" s="175" t="s">
        <v>2815</v>
      </c>
      <c r="O42" s="173"/>
      <c r="P42" s="176" t="s">
        <v>2794</v>
      </c>
      <c r="Q42" s="176" t="s">
        <v>2731</v>
      </c>
      <c r="R42" s="176" t="s">
        <v>223</v>
      </c>
      <c r="S42" s="176"/>
      <c r="T42" s="176" t="s">
        <v>1500</v>
      </c>
      <c r="U42" s="184"/>
    </row>
    <row r="43" spans="1:21" s="185" customFormat="1" ht="50">
      <c r="A43" s="173" t="s">
        <v>2840</v>
      </c>
      <c r="B43" s="173">
        <v>2021</v>
      </c>
      <c r="C43" s="173" t="s">
        <v>2818</v>
      </c>
      <c r="D43" s="173" t="s">
        <v>2819</v>
      </c>
      <c r="E43" s="173" t="s">
        <v>1199</v>
      </c>
      <c r="F43" s="173">
        <v>3</v>
      </c>
      <c r="G43" s="174">
        <v>32.520000000000003</v>
      </c>
      <c r="H43" s="173" t="s">
        <v>2678</v>
      </c>
      <c r="I43" s="173" t="s">
        <v>1522</v>
      </c>
      <c r="J43" s="173">
        <v>2021</v>
      </c>
      <c r="K43" s="173" t="s">
        <v>2691</v>
      </c>
      <c r="L43" s="183" t="s">
        <v>2839</v>
      </c>
      <c r="M43" s="175" t="s">
        <v>2820</v>
      </c>
      <c r="N43" s="175" t="s">
        <v>2821</v>
      </c>
      <c r="O43" s="173"/>
      <c r="P43" s="176" t="s">
        <v>2841</v>
      </c>
      <c r="Q43" s="176" t="s">
        <v>2731</v>
      </c>
      <c r="R43" s="176" t="s">
        <v>223</v>
      </c>
      <c r="S43" s="176"/>
      <c r="T43" s="176" t="s">
        <v>1500</v>
      </c>
      <c r="U43" s="184"/>
    </row>
    <row r="44" spans="1:21" s="185" customFormat="1" ht="25">
      <c r="A44" s="173" t="s">
        <v>2842</v>
      </c>
      <c r="B44" s="173">
        <v>2021</v>
      </c>
      <c r="C44" s="173" t="s">
        <v>2823</v>
      </c>
      <c r="D44" s="173" t="s">
        <v>2824</v>
      </c>
      <c r="E44" s="173" t="s">
        <v>126</v>
      </c>
      <c r="F44" s="173">
        <v>3</v>
      </c>
      <c r="G44" s="174">
        <v>13.9</v>
      </c>
      <c r="H44" s="173" t="s">
        <v>2678</v>
      </c>
      <c r="I44" s="173" t="s">
        <v>1522</v>
      </c>
      <c r="J44" s="173">
        <v>2021</v>
      </c>
      <c r="K44" s="173" t="s">
        <v>2691</v>
      </c>
      <c r="L44" s="183" t="s">
        <v>2839</v>
      </c>
      <c r="M44" s="175" t="s">
        <v>2825</v>
      </c>
      <c r="N44" s="175" t="s">
        <v>2826</v>
      </c>
      <c r="O44" s="173"/>
      <c r="P44" s="176" t="s">
        <v>2794</v>
      </c>
      <c r="Q44" s="176" t="s">
        <v>2731</v>
      </c>
      <c r="R44" s="176" t="s">
        <v>223</v>
      </c>
      <c r="S44" s="176"/>
      <c r="T44" s="176" t="s">
        <v>1500</v>
      </c>
      <c r="U44" s="184"/>
    </row>
    <row r="45" spans="1:21" s="185" customFormat="1" ht="25">
      <c r="A45" s="173" t="s">
        <v>2843</v>
      </c>
      <c r="B45" s="173">
        <v>2021</v>
      </c>
      <c r="C45" s="173" t="s">
        <v>2828</v>
      </c>
      <c r="D45" s="173" t="s">
        <v>158</v>
      </c>
      <c r="E45" s="173" t="s">
        <v>102</v>
      </c>
      <c r="F45" s="173">
        <v>3</v>
      </c>
      <c r="G45" s="174">
        <v>17.14</v>
      </c>
      <c r="H45" s="173" t="s">
        <v>2678</v>
      </c>
      <c r="I45" s="173" t="s">
        <v>1522</v>
      </c>
      <c r="J45" s="173">
        <v>2021</v>
      </c>
      <c r="K45" s="173" t="s">
        <v>2691</v>
      </c>
      <c r="L45" s="183" t="s">
        <v>2839</v>
      </c>
      <c r="M45" s="175" t="s">
        <v>2829</v>
      </c>
      <c r="N45" s="175" t="s">
        <v>2830</v>
      </c>
      <c r="O45" s="173"/>
      <c r="P45" s="176" t="s">
        <v>2794</v>
      </c>
      <c r="Q45" s="176" t="s">
        <v>2731</v>
      </c>
      <c r="R45" s="176" t="s">
        <v>223</v>
      </c>
      <c r="S45" s="176"/>
      <c r="T45" s="176" t="s">
        <v>1500</v>
      </c>
      <c r="U45" s="184"/>
    </row>
    <row r="46" spans="1:21" s="185" customFormat="1" ht="50">
      <c r="A46" s="173" t="s">
        <v>2844</v>
      </c>
      <c r="B46" s="173">
        <v>2021</v>
      </c>
      <c r="C46" s="173" t="s">
        <v>2765</v>
      </c>
      <c r="D46" s="173" t="s">
        <v>2687</v>
      </c>
      <c r="E46" s="173" t="s">
        <v>1199</v>
      </c>
      <c r="F46" s="173">
        <v>5</v>
      </c>
      <c r="G46" s="174">
        <v>50.92</v>
      </c>
      <c r="H46" s="173" t="s">
        <v>2678</v>
      </c>
      <c r="I46" s="173" t="s">
        <v>1522</v>
      </c>
      <c r="J46" s="173">
        <v>2021</v>
      </c>
      <c r="K46" s="173" t="s">
        <v>2691</v>
      </c>
      <c r="L46" s="183" t="s">
        <v>2839</v>
      </c>
      <c r="M46" s="175" t="s">
        <v>2832</v>
      </c>
      <c r="N46" s="175" t="s">
        <v>2833</v>
      </c>
      <c r="O46" s="173"/>
      <c r="P46" s="176" t="s">
        <v>2845</v>
      </c>
      <c r="Q46" s="176" t="s">
        <v>2731</v>
      </c>
      <c r="R46" s="176" t="s">
        <v>223</v>
      </c>
      <c r="S46" s="176"/>
      <c r="T46" s="176" t="s">
        <v>1500</v>
      </c>
      <c r="U46" s="184"/>
    </row>
    <row r="47" spans="1:21" s="185" customFormat="1" ht="37.5">
      <c r="A47" s="173" t="s">
        <v>2846</v>
      </c>
      <c r="B47" s="173">
        <v>2021</v>
      </c>
      <c r="C47" s="173" t="s">
        <v>2760</v>
      </c>
      <c r="D47" s="173" t="s">
        <v>2761</v>
      </c>
      <c r="E47" s="173" t="s">
        <v>1199</v>
      </c>
      <c r="F47" s="173">
        <v>1</v>
      </c>
      <c r="G47" s="174">
        <v>3.94</v>
      </c>
      <c r="H47" s="173" t="s">
        <v>2678</v>
      </c>
      <c r="I47" s="173" t="s">
        <v>2847</v>
      </c>
      <c r="J47" s="173">
        <v>2021</v>
      </c>
      <c r="K47" s="173" t="s">
        <v>2691</v>
      </c>
      <c r="L47" s="183" t="s">
        <v>2839</v>
      </c>
      <c r="M47" s="175" t="s">
        <v>2835</v>
      </c>
      <c r="N47" s="175" t="s">
        <v>2836</v>
      </c>
      <c r="O47" s="173"/>
      <c r="P47" s="176" t="s">
        <v>2848</v>
      </c>
      <c r="Q47" s="176" t="s">
        <v>2731</v>
      </c>
      <c r="R47" s="176" t="s">
        <v>223</v>
      </c>
      <c r="S47" s="176"/>
      <c r="T47" s="176" t="s">
        <v>1500</v>
      </c>
      <c r="U47" s="184"/>
    </row>
    <row r="48" spans="1:21" s="185" customFormat="1" ht="25">
      <c r="A48" s="173" t="s">
        <v>2849</v>
      </c>
      <c r="B48" s="173">
        <v>2021</v>
      </c>
      <c r="C48" s="173" t="s">
        <v>2779</v>
      </c>
      <c r="D48" s="173" t="s">
        <v>2780</v>
      </c>
      <c r="E48" s="173" t="s">
        <v>1353</v>
      </c>
      <c r="F48" s="173">
        <v>6</v>
      </c>
      <c r="G48" s="174">
        <v>18.13</v>
      </c>
      <c r="H48" s="173" t="s">
        <v>2678</v>
      </c>
      <c r="I48" s="173" t="s">
        <v>1409</v>
      </c>
      <c r="J48" s="173">
        <v>2021</v>
      </c>
      <c r="K48" s="173" t="s">
        <v>2691</v>
      </c>
      <c r="L48" s="183" t="s">
        <v>2839</v>
      </c>
      <c r="M48" s="175" t="s">
        <v>2850</v>
      </c>
      <c r="N48" s="175" t="s">
        <v>2851</v>
      </c>
      <c r="O48" s="173"/>
      <c r="P48" s="176" t="s">
        <v>2852</v>
      </c>
      <c r="Q48" s="176" t="s">
        <v>2731</v>
      </c>
      <c r="R48" s="176" t="s">
        <v>223</v>
      </c>
      <c r="S48" s="176"/>
      <c r="T48" s="176" t="s">
        <v>1500</v>
      </c>
      <c r="U48" s="184"/>
    </row>
    <row r="49" spans="1:21" s="185" customFormat="1" ht="25">
      <c r="A49" s="173" t="s">
        <v>2853</v>
      </c>
      <c r="B49" s="173">
        <v>2021</v>
      </c>
      <c r="C49" s="173" t="s">
        <v>2854</v>
      </c>
      <c r="D49" s="173" t="s">
        <v>2855</v>
      </c>
      <c r="E49" s="173" t="s">
        <v>1199</v>
      </c>
      <c r="F49" s="173">
        <v>1</v>
      </c>
      <c r="G49" s="174">
        <v>7.74</v>
      </c>
      <c r="H49" s="173" t="s">
        <v>2678</v>
      </c>
      <c r="I49" s="173" t="s">
        <v>1409</v>
      </c>
      <c r="J49" s="173">
        <v>2021</v>
      </c>
      <c r="K49" s="173" t="s">
        <v>2691</v>
      </c>
      <c r="L49" s="183" t="s">
        <v>2839</v>
      </c>
      <c r="M49" s="175" t="s">
        <v>2856</v>
      </c>
      <c r="N49" s="175" t="s">
        <v>2857</v>
      </c>
      <c r="O49" s="173"/>
      <c r="P49" s="176" t="s">
        <v>2852</v>
      </c>
      <c r="Q49" s="176" t="s">
        <v>2731</v>
      </c>
      <c r="R49" s="176" t="s">
        <v>223</v>
      </c>
      <c r="S49" s="176"/>
      <c r="T49" s="176" t="s">
        <v>1500</v>
      </c>
      <c r="U49" s="184"/>
    </row>
    <row r="50" spans="1:21" s="182" customFormat="1" ht="25">
      <c r="A50" s="177" t="s">
        <v>2858</v>
      </c>
      <c r="B50" s="177">
        <v>2022</v>
      </c>
      <c r="C50" s="177" t="s">
        <v>2818</v>
      </c>
      <c r="D50" s="177" t="s">
        <v>2819</v>
      </c>
      <c r="E50" s="177" t="s">
        <v>1199</v>
      </c>
      <c r="F50" s="177">
        <v>1</v>
      </c>
      <c r="G50" s="178">
        <v>12.5</v>
      </c>
      <c r="H50" s="177" t="s">
        <v>2678</v>
      </c>
      <c r="I50" s="177" t="s">
        <v>1522</v>
      </c>
      <c r="J50" s="177">
        <v>2022</v>
      </c>
      <c r="K50" s="177" t="s">
        <v>2691</v>
      </c>
      <c r="L50" s="177" t="s">
        <v>2859</v>
      </c>
      <c r="M50" s="179" t="s">
        <v>2820</v>
      </c>
      <c r="N50" s="179" t="s">
        <v>2821</v>
      </c>
      <c r="O50" s="177"/>
      <c r="P50" s="180" t="s">
        <v>2794</v>
      </c>
      <c r="Q50" s="180" t="s">
        <v>1500</v>
      </c>
      <c r="R50" s="180" t="s">
        <v>223</v>
      </c>
      <c r="S50" s="180"/>
      <c r="T50" s="180" t="s">
        <v>1500</v>
      </c>
      <c r="U50" s="181"/>
    </row>
    <row r="51" spans="1:21" s="182" customFormat="1" ht="50">
      <c r="A51" s="177" t="s">
        <v>2860</v>
      </c>
      <c r="B51" s="177">
        <v>2022</v>
      </c>
      <c r="C51" s="177" t="s">
        <v>2765</v>
      </c>
      <c r="D51" s="177" t="s">
        <v>2687</v>
      </c>
      <c r="E51" s="177" t="s">
        <v>1199</v>
      </c>
      <c r="F51" s="177">
        <v>3</v>
      </c>
      <c r="G51" s="178">
        <v>32.090000000000003</v>
      </c>
      <c r="H51" s="177" t="s">
        <v>2678</v>
      </c>
      <c r="I51" s="177" t="s">
        <v>1522</v>
      </c>
      <c r="J51" s="177">
        <v>2022</v>
      </c>
      <c r="K51" s="177" t="s">
        <v>2691</v>
      </c>
      <c r="L51" s="177" t="s">
        <v>2859</v>
      </c>
      <c r="M51" s="179" t="s">
        <v>2832</v>
      </c>
      <c r="N51" s="179" t="s">
        <v>2833</v>
      </c>
      <c r="O51" s="177"/>
      <c r="P51" s="180" t="s">
        <v>2861</v>
      </c>
      <c r="Q51" s="180" t="s">
        <v>1500</v>
      </c>
      <c r="R51" s="180" t="s">
        <v>223</v>
      </c>
      <c r="S51" s="180"/>
      <c r="T51" s="180" t="s">
        <v>1500</v>
      </c>
      <c r="U51" s="181"/>
    </row>
    <row r="52" spans="1:21" s="182" customFormat="1" ht="25">
      <c r="A52" s="177" t="s">
        <v>2862</v>
      </c>
      <c r="B52" s="177">
        <v>2022</v>
      </c>
      <c r="C52" s="177" t="s">
        <v>2760</v>
      </c>
      <c r="D52" s="177" t="s">
        <v>2761</v>
      </c>
      <c r="E52" s="177" t="s">
        <v>1199</v>
      </c>
      <c r="F52" s="177">
        <v>1</v>
      </c>
      <c r="G52" s="178">
        <v>3.94</v>
      </c>
      <c r="H52" s="177" t="s">
        <v>2678</v>
      </c>
      <c r="I52" s="177" t="s">
        <v>1522</v>
      </c>
      <c r="J52" s="177">
        <v>2022</v>
      </c>
      <c r="K52" s="177" t="s">
        <v>2691</v>
      </c>
      <c r="L52" s="177" t="s">
        <v>2859</v>
      </c>
      <c r="M52" s="179" t="s">
        <v>2835</v>
      </c>
      <c r="N52" s="179" t="s">
        <v>2836</v>
      </c>
      <c r="O52" s="177"/>
      <c r="P52" s="180" t="s">
        <v>2794</v>
      </c>
      <c r="Q52" s="180" t="s">
        <v>1500</v>
      </c>
      <c r="R52" s="180" t="s">
        <v>223</v>
      </c>
      <c r="S52" s="180"/>
      <c r="T52" s="180" t="s">
        <v>1500</v>
      </c>
      <c r="U52" s="181"/>
    </row>
    <row r="53" spans="1:21" s="182" customFormat="1" ht="37.5">
      <c r="A53" s="177" t="s">
        <v>2863</v>
      </c>
      <c r="B53" s="177">
        <v>2022</v>
      </c>
      <c r="C53" s="177" t="s">
        <v>2779</v>
      </c>
      <c r="D53" s="177" t="s">
        <v>2780</v>
      </c>
      <c r="E53" s="177" t="s">
        <v>1353</v>
      </c>
      <c r="F53" s="177">
        <v>6</v>
      </c>
      <c r="G53" s="178">
        <v>18.13</v>
      </c>
      <c r="H53" s="177" t="s">
        <v>2678</v>
      </c>
      <c r="I53" s="177" t="s">
        <v>2847</v>
      </c>
      <c r="J53" s="177">
        <v>2022</v>
      </c>
      <c r="K53" s="177" t="s">
        <v>2691</v>
      </c>
      <c r="L53" s="177" t="s">
        <v>2859</v>
      </c>
      <c r="M53" s="179" t="s">
        <v>2850</v>
      </c>
      <c r="N53" s="179" t="s">
        <v>2851</v>
      </c>
      <c r="O53" s="177"/>
      <c r="P53" s="180" t="s">
        <v>2848</v>
      </c>
      <c r="Q53" s="180" t="s">
        <v>1500</v>
      </c>
      <c r="R53" s="180" t="s">
        <v>223</v>
      </c>
      <c r="S53" s="180"/>
      <c r="T53" s="180" t="s">
        <v>1500</v>
      </c>
      <c r="U53" s="181"/>
    </row>
    <row r="54" spans="1:21" s="182" customFormat="1" ht="25">
      <c r="A54" s="177" t="s">
        <v>2864</v>
      </c>
      <c r="B54" s="177">
        <v>2022</v>
      </c>
      <c r="C54" s="177" t="s">
        <v>2854</v>
      </c>
      <c r="D54" s="177" t="s">
        <v>2855</v>
      </c>
      <c r="E54" s="177" t="s">
        <v>1199</v>
      </c>
      <c r="F54" s="177">
        <v>1</v>
      </c>
      <c r="G54" s="178">
        <v>7.74</v>
      </c>
      <c r="H54" s="177" t="s">
        <v>2678</v>
      </c>
      <c r="I54" s="177" t="s">
        <v>1522</v>
      </c>
      <c r="J54" s="177">
        <v>2022</v>
      </c>
      <c r="K54" s="177" t="s">
        <v>2691</v>
      </c>
      <c r="L54" s="177" t="s">
        <v>2859</v>
      </c>
      <c r="M54" s="179" t="s">
        <v>2856</v>
      </c>
      <c r="N54" s="179" t="s">
        <v>2857</v>
      </c>
      <c r="O54" s="177"/>
      <c r="P54" s="180" t="s">
        <v>2794</v>
      </c>
      <c r="Q54" s="180" t="s">
        <v>1500</v>
      </c>
      <c r="R54" s="180" t="s">
        <v>223</v>
      </c>
      <c r="S54" s="180"/>
      <c r="T54" s="180" t="s">
        <v>1500</v>
      </c>
      <c r="U54" s="181"/>
    </row>
    <row r="55" spans="1:21" s="182" customFormat="1" ht="25">
      <c r="A55" s="177" t="s">
        <v>2865</v>
      </c>
      <c r="B55" s="177">
        <v>2022</v>
      </c>
      <c r="C55" s="177" t="s">
        <v>2866</v>
      </c>
      <c r="D55" s="177" t="s">
        <v>114</v>
      </c>
      <c r="E55" s="177" t="s">
        <v>75</v>
      </c>
      <c r="F55" s="177">
        <v>2</v>
      </c>
      <c r="G55" s="178">
        <v>10.9</v>
      </c>
      <c r="H55" s="177" t="s">
        <v>2678</v>
      </c>
      <c r="I55" s="177" t="s">
        <v>1522</v>
      </c>
      <c r="J55" s="177">
        <v>2022</v>
      </c>
      <c r="K55" s="177" t="s">
        <v>2691</v>
      </c>
      <c r="L55" s="177" t="s">
        <v>2859</v>
      </c>
      <c r="M55" s="179" t="s">
        <v>2867</v>
      </c>
      <c r="N55" s="179" t="s">
        <v>2868</v>
      </c>
      <c r="O55" s="177"/>
      <c r="P55" s="180" t="s">
        <v>2794</v>
      </c>
      <c r="Q55" s="180" t="s">
        <v>1500</v>
      </c>
      <c r="R55" s="180" t="s">
        <v>223</v>
      </c>
      <c r="S55" s="180"/>
      <c r="T55" s="180" t="s">
        <v>1500</v>
      </c>
      <c r="U55" s="181"/>
    </row>
    <row r="56" spans="1:21" ht="25">
      <c r="A56" s="173" t="s">
        <v>2869</v>
      </c>
      <c r="B56" s="173">
        <v>2024</v>
      </c>
      <c r="C56" s="173" t="s">
        <v>2765</v>
      </c>
      <c r="D56" s="173" t="s">
        <v>2687</v>
      </c>
      <c r="E56" s="173" t="s">
        <v>1199</v>
      </c>
      <c r="F56" s="173">
        <v>1</v>
      </c>
      <c r="G56" s="174">
        <v>8.8000000000000007</v>
      </c>
      <c r="H56" s="173" t="s">
        <v>2870</v>
      </c>
      <c r="I56" s="173" t="s">
        <v>1409</v>
      </c>
      <c r="J56" s="173">
        <v>2024</v>
      </c>
      <c r="K56" s="173" t="s">
        <v>2691</v>
      </c>
      <c r="L56" s="173"/>
      <c r="M56" s="175" t="s">
        <v>2832</v>
      </c>
      <c r="N56" s="175" t="s">
        <v>2833</v>
      </c>
      <c r="O56" s="183"/>
      <c r="P56" s="176" t="s">
        <v>2871</v>
      </c>
      <c r="Q56" s="176" t="s">
        <v>1500</v>
      </c>
      <c r="R56" s="176" t="s">
        <v>223</v>
      </c>
      <c r="S56" s="176"/>
      <c r="T56" s="176" t="s">
        <v>1500</v>
      </c>
    </row>
    <row r="57" spans="1:21" ht="25">
      <c r="A57" s="173" t="s">
        <v>2872</v>
      </c>
      <c r="B57" s="173">
        <v>2024</v>
      </c>
      <c r="C57" s="173" t="s">
        <v>2779</v>
      </c>
      <c r="D57" s="173" t="s">
        <v>2780</v>
      </c>
      <c r="E57" s="173" t="s">
        <v>1353</v>
      </c>
      <c r="F57" s="173">
        <v>6</v>
      </c>
      <c r="G57" s="174">
        <v>15.28</v>
      </c>
      <c r="H57" s="173" t="s">
        <v>2870</v>
      </c>
      <c r="I57" s="173" t="s">
        <v>1409</v>
      </c>
      <c r="J57" s="173">
        <v>2024</v>
      </c>
      <c r="K57" s="173" t="s">
        <v>2691</v>
      </c>
      <c r="L57" s="173"/>
      <c r="M57" s="175" t="s">
        <v>2850</v>
      </c>
      <c r="N57" s="175" t="s">
        <v>2851</v>
      </c>
      <c r="O57" s="173"/>
      <c r="P57" s="176" t="s">
        <v>2873</v>
      </c>
      <c r="Q57" s="176" t="s">
        <v>1500</v>
      </c>
      <c r="R57" s="176" t="s">
        <v>223</v>
      </c>
      <c r="S57" s="176"/>
      <c r="T57" s="176" t="s">
        <v>1500</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95" t="s">
        <v>2874</v>
      </c>
      <c r="C60" s="295"/>
      <c r="D60" s="295"/>
      <c r="E60" s="295"/>
      <c r="F60" s="295"/>
      <c r="G60" s="158" t="s">
        <v>2711</v>
      </c>
      <c r="M60" s="165"/>
      <c r="N60" s="165"/>
    </row>
    <row r="61" spans="1:21">
      <c r="B61" s="294" t="s">
        <v>2875</v>
      </c>
      <c r="C61" s="294"/>
      <c r="D61" s="294"/>
      <c r="E61" s="294"/>
      <c r="F61" s="294"/>
      <c r="G61" s="157">
        <f>COUNTA(A6:A58)</f>
        <v>52</v>
      </c>
      <c r="M61" s="165"/>
      <c r="N61" s="165"/>
    </row>
    <row r="62" spans="1:21">
      <c r="B62" s="285" t="s">
        <v>2876</v>
      </c>
      <c r="C62" s="285"/>
      <c r="D62" s="285"/>
      <c r="E62" s="285"/>
      <c r="F62" s="285"/>
      <c r="G62" s="131">
        <f>SUM(F6:F58)</f>
        <v>192</v>
      </c>
      <c r="M62" s="165"/>
      <c r="N62" s="165"/>
    </row>
    <row r="63" spans="1:21">
      <c r="B63" s="285" t="s">
        <v>2877</v>
      </c>
      <c r="C63" s="285"/>
      <c r="D63" s="285"/>
      <c r="E63" s="285"/>
      <c r="F63" s="285"/>
      <c r="G63" s="155">
        <f>SUM(G6:G58)</f>
        <v>791.96</v>
      </c>
      <c r="M63" s="165"/>
      <c r="N63" s="165"/>
    </row>
    <row r="64" spans="1:21">
      <c r="B64" s="292" t="s">
        <v>2878</v>
      </c>
      <c r="C64" s="292"/>
      <c r="D64" s="292"/>
      <c r="E64" s="292"/>
      <c r="F64" s="292"/>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296" t="s">
        <v>2879</v>
      </c>
      <c r="B1" s="296"/>
      <c r="C1" s="296"/>
      <c r="D1" s="296"/>
      <c r="E1" s="296"/>
      <c r="F1" s="296"/>
      <c r="G1" s="296"/>
      <c r="H1" s="296"/>
      <c r="I1" s="296"/>
      <c r="J1" s="296"/>
      <c r="K1" s="296"/>
      <c r="L1" s="296"/>
      <c r="M1" s="296"/>
      <c r="N1" s="296"/>
      <c r="O1" s="296"/>
      <c r="P1" s="296"/>
      <c r="Q1" s="296"/>
      <c r="R1" s="296"/>
      <c r="S1" s="296"/>
      <c r="T1" s="296"/>
      <c r="U1" s="296"/>
      <c r="V1" s="296"/>
      <c r="W1" s="296"/>
      <c r="X1" s="296"/>
      <c r="Y1" s="296"/>
      <c r="Z1" s="296"/>
      <c r="AA1" s="296"/>
      <c r="AB1" s="296"/>
      <c r="AC1" s="296"/>
      <c r="AD1" s="296"/>
      <c r="AE1" s="296"/>
    </row>
    <row r="2" spans="1:31" ht="4.75" customHeight="1">
      <c r="A2" s="297" t="s">
        <v>2880</v>
      </c>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row>
    <row r="3" spans="1:31" ht="6.4" customHeight="1">
      <c r="A3" s="298" t="s">
        <v>2881</v>
      </c>
      <c r="B3" s="298"/>
      <c r="C3" s="298"/>
      <c r="D3" s="298"/>
      <c r="E3" s="298"/>
      <c r="F3" s="298"/>
      <c r="G3" s="298"/>
      <c r="H3" s="298"/>
      <c r="I3" s="298"/>
      <c r="J3" s="298"/>
      <c r="K3" s="298"/>
      <c r="L3" s="298"/>
      <c r="M3" s="298"/>
      <c r="N3" s="298"/>
      <c r="O3" s="298"/>
      <c r="P3" s="298"/>
      <c r="Q3" s="298"/>
      <c r="R3" s="298"/>
      <c r="S3" s="298"/>
      <c r="T3" s="298"/>
      <c r="U3" s="298"/>
      <c r="V3" s="298"/>
      <c r="W3" s="298"/>
      <c r="X3" s="298"/>
      <c r="Y3" s="298"/>
      <c r="Z3" s="298"/>
      <c r="AA3" s="298"/>
      <c r="AB3" s="298"/>
      <c r="AC3" s="298"/>
      <c r="AD3" s="298"/>
      <c r="AE3" s="298"/>
    </row>
    <row r="5" spans="1:31" ht="7.15" customHeight="1">
      <c r="A5" s="204" t="s">
        <v>2882</v>
      </c>
      <c r="B5" s="204" t="s">
        <v>2572</v>
      </c>
      <c r="C5" s="204" t="s">
        <v>2883</v>
      </c>
      <c r="D5" s="204" t="s">
        <v>1338</v>
      </c>
      <c r="E5" s="204" t="s">
        <v>2884</v>
      </c>
      <c r="F5" s="204" t="s">
        <v>2885</v>
      </c>
      <c r="G5" s="204" t="s">
        <v>2886</v>
      </c>
      <c r="H5" s="204" t="s">
        <v>2887</v>
      </c>
      <c r="I5" s="204" t="s">
        <v>2888</v>
      </c>
      <c r="J5" s="204" t="s">
        <v>2889</v>
      </c>
      <c r="K5" s="204" t="s">
        <v>2890</v>
      </c>
      <c r="L5" s="204" t="s">
        <v>2891</v>
      </c>
      <c r="M5" s="204" t="s">
        <v>2892</v>
      </c>
      <c r="N5" s="204" t="s">
        <v>1347</v>
      </c>
      <c r="O5" s="204" t="s">
        <v>2893</v>
      </c>
      <c r="P5" s="204" t="s">
        <v>2894</v>
      </c>
      <c r="Q5" s="204" t="s">
        <v>2895</v>
      </c>
      <c r="R5" s="204" t="s">
        <v>1369</v>
      </c>
      <c r="S5" s="204" t="s">
        <v>2896</v>
      </c>
      <c r="T5" s="204" t="s">
        <v>2897</v>
      </c>
      <c r="U5" s="204" t="s">
        <v>2898</v>
      </c>
      <c r="V5" s="204" t="s">
        <v>2899</v>
      </c>
      <c r="W5" s="204" t="s">
        <v>2900</v>
      </c>
      <c r="X5" s="204" t="s">
        <v>2901</v>
      </c>
      <c r="Y5" s="204" t="s">
        <v>2902</v>
      </c>
      <c r="Z5" s="204" t="s">
        <v>2903</v>
      </c>
      <c r="AA5" s="204" t="s">
        <v>2904</v>
      </c>
      <c r="AB5" s="204" t="s">
        <v>28</v>
      </c>
      <c r="AC5" s="204" t="s">
        <v>1275</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2026-08-16T17:28:52Z</dcterms:modified>
</cp:coreProperties>
</file>